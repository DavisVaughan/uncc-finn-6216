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0116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davisvaughan/Google Drive/UNCC/10thSemesterClasses/uncc-finn-6216/hw/2/"/>
    </mc:Choice>
  </mc:AlternateContent>
  <bookViews>
    <workbookView xWindow="48000" yWindow="7440" windowWidth="19200" windowHeight="10580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calcPr calcId="171027"/>
</workbook>
</file>

<file path=xl/calcChain.xml><?xml version="1.0" encoding="utf-8"?>
<calcChain xmlns="http://schemas.openxmlformats.org/spreadsheetml/2006/main">
  <c r="B20" i="1" l="1"/>
  <c r="B32" i="1"/>
  <c r="B17" i="1"/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" i="1"/>
  <c r="O3" i="1"/>
  <c r="P3" i="1" s="1"/>
  <c r="O4" i="1"/>
  <c r="P4" i="1" s="1"/>
  <c r="O5" i="1"/>
  <c r="P5" i="1" s="1"/>
  <c r="O6" i="1"/>
  <c r="P6" i="1" s="1"/>
  <c r="O7" i="1"/>
  <c r="P7" i="1" s="1"/>
  <c r="O8" i="1"/>
  <c r="P8" i="1" s="1"/>
  <c r="O9" i="1"/>
  <c r="P9" i="1" s="1"/>
  <c r="O10" i="1"/>
  <c r="P10" i="1" s="1"/>
  <c r="O11" i="1"/>
  <c r="P11" i="1" s="1"/>
  <c r="O12" i="1"/>
  <c r="P12" i="1" s="1"/>
  <c r="O13" i="1"/>
  <c r="P13" i="1" s="1"/>
  <c r="O14" i="1"/>
  <c r="P14" i="1" s="1"/>
  <c r="O15" i="1"/>
  <c r="P15" i="1" s="1"/>
  <c r="O16" i="1"/>
  <c r="P16" i="1" s="1"/>
  <c r="O17" i="1"/>
  <c r="P17" i="1" s="1"/>
  <c r="O18" i="1"/>
  <c r="P18" i="1" s="1"/>
  <c r="O19" i="1"/>
  <c r="P19" i="1" s="1"/>
  <c r="O20" i="1"/>
  <c r="P20" i="1" s="1"/>
  <c r="O21" i="1"/>
  <c r="P21" i="1" s="1"/>
  <c r="O22" i="1"/>
  <c r="P22" i="1" s="1"/>
  <c r="O23" i="1"/>
  <c r="P23" i="1" s="1"/>
  <c r="O24" i="1"/>
  <c r="P24" i="1" s="1"/>
  <c r="O25" i="1"/>
  <c r="P25" i="1" s="1"/>
  <c r="O26" i="1"/>
  <c r="P26" i="1" s="1"/>
  <c r="O27" i="1"/>
  <c r="P27" i="1" s="1"/>
  <c r="O28" i="1"/>
  <c r="P28" i="1" s="1"/>
  <c r="O29" i="1"/>
  <c r="P29" i="1" s="1"/>
  <c r="O30" i="1"/>
  <c r="P30" i="1" s="1"/>
  <c r="O31" i="1"/>
  <c r="P31" i="1" s="1"/>
  <c r="O32" i="1"/>
  <c r="P32" i="1" s="1"/>
  <c r="O33" i="1"/>
  <c r="P33" i="1" s="1"/>
  <c r="O34" i="1"/>
  <c r="P34" i="1" s="1"/>
  <c r="O35" i="1"/>
  <c r="P35" i="1" s="1"/>
  <c r="O36" i="1"/>
  <c r="P36" i="1" s="1"/>
  <c r="O37" i="1"/>
  <c r="P37" i="1" s="1"/>
  <c r="O38" i="1"/>
  <c r="P38" i="1" s="1"/>
  <c r="O39" i="1"/>
  <c r="P39" i="1" s="1"/>
  <c r="O40" i="1"/>
  <c r="P40" i="1" s="1"/>
  <c r="O41" i="1"/>
  <c r="P41" i="1" s="1"/>
  <c r="O42" i="1"/>
  <c r="P42" i="1" s="1"/>
  <c r="O43" i="1"/>
  <c r="P43" i="1" s="1"/>
  <c r="O44" i="1"/>
  <c r="P44" i="1" s="1"/>
  <c r="O45" i="1"/>
  <c r="P45" i="1" s="1"/>
  <c r="O46" i="1"/>
  <c r="P46" i="1" s="1"/>
  <c r="O47" i="1"/>
  <c r="P47" i="1" s="1"/>
  <c r="O48" i="1"/>
  <c r="P48" i="1" s="1"/>
  <c r="O49" i="1"/>
  <c r="P49" i="1" s="1"/>
  <c r="O50" i="1"/>
  <c r="P50" i="1" s="1"/>
  <c r="O51" i="1"/>
  <c r="P51" i="1" s="1"/>
  <c r="O52" i="1"/>
  <c r="P52" i="1" s="1"/>
  <c r="O53" i="1"/>
  <c r="P53" i="1" s="1"/>
  <c r="O54" i="1"/>
  <c r="P54" i="1" s="1"/>
  <c r="O55" i="1"/>
  <c r="P55" i="1" s="1"/>
  <c r="O56" i="1"/>
  <c r="P56" i="1" s="1"/>
  <c r="O57" i="1"/>
  <c r="P57" i="1" s="1"/>
  <c r="O58" i="1"/>
  <c r="P58" i="1" s="1"/>
  <c r="O59" i="1"/>
  <c r="P59" i="1" s="1"/>
  <c r="O60" i="1"/>
  <c r="P60" i="1" s="1"/>
  <c r="O61" i="1"/>
  <c r="P61" i="1" s="1"/>
  <c r="O62" i="1"/>
  <c r="P62" i="1" s="1"/>
  <c r="O63" i="1"/>
  <c r="P63" i="1" s="1"/>
  <c r="O64" i="1"/>
  <c r="P64" i="1" s="1"/>
  <c r="O65" i="1"/>
  <c r="P65" i="1" s="1"/>
  <c r="O66" i="1"/>
  <c r="P66" i="1" s="1"/>
  <c r="O67" i="1"/>
  <c r="P67" i="1" s="1"/>
  <c r="O68" i="1"/>
  <c r="P68" i="1" s="1"/>
  <c r="O69" i="1"/>
  <c r="P69" i="1" s="1"/>
  <c r="O70" i="1"/>
  <c r="P70" i="1" s="1"/>
  <c r="O71" i="1"/>
  <c r="P71" i="1" s="1"/>
  <c r="O72" i="1"/>
  <c r="P72" i="1" s="1"/>
  <c r="O73" i="1"/>
  <c r="P73" i="1" s="1"/>
  <c r="O74" i="1"/>
  <c r="P74" i="1" s="1"/>
  <c r="O75" i="1"/>
  <c r="P75" i="1" s="1"/>
  <c r="O76" i="1"/>
  <c r="P76" i="1" s="1"/>
  <c r="O77" i="1"/>
  <c r="P77" i="1" s="1"/>
  <c r="O78" i="1"/>
  <c r="P78" i="1" s="1"/>
  <c r="O79" i="1"/>
  <c r="P79" i="1" s="1"/>
  <c r="O80" i="1"/>
  <c r="P80" i="1" s="1"/>
  <c r="O81" i="1"/>
  <c r="P81" i="1" s="1"/>
  <c r="O82" i="1"/>
  <c r="P82" i="1" s="1"/>
  <c r="O83" i="1"/>
  <c r="P83" i="1" s="1"/>
  <c r="O84" i="1"/>
  <c r="P84" i="1" s="1"/>
  <c r="O85" i="1"/>
  <c r="P85" i="1" s="1"/>
  <c r="O86" i="1"/>
  <c r="P86" i="1" s="1"/>
  <c r="O87" i="1"/>
  <c r="P87" i="1" s="1"/>
  <c r="O88" i="1"/>
  <c r="P88" i="1" s="1"/>
  <c r="O89" i="1"/>
  <c r="P89" i="1" s="1"/>
  <c r="O90" i="1"/>
  <c r="P90" i="1" s="1"/>
  <c r="O91" i="1"/>
  <c r="P91" i="1" s="1"/>
  <c r="O92" i="1"/>
  <c r="P92" i="1" s="1"/>
  <c r="O93" i="1"/>
  <c r="P93" i="1" s="1"/>
  <c r="O94" i="1"/>
  <c r="P94" i="1" s="1"/>
  <c r="O95" i="1"/>
  <c r="P95" i="1" s="1"/>
  <c r="O96" i="1"/>
  <c r="P96" i="1" s="1"/>
  <c r="O97" i="1"/>
  <c r="P97" i="1" s="1"/>
  <c r="O98" i="1"/>
  <c r="P98" i="1" s="1"/>
  <c r="O99" i="1"/>
  <c r="P99" i="1" s="1"/>
  <c r="O100" i="1"/>
  <c r="P100" i="1" s="1"/>
  <c r="O101" i="1"/>
  <c r="P101" i="1" s="1"/>
  <c r="O102" i="1"/>
  <c r="P102" i="1" s="1"/>
  <c r="O103" i="1"/>
  <c r="P103" i="1" s="1"/>
  <c r="O104" i="1"/>
  <c r="P104" i="1" s="1"/>
  <c r="O105" i="1"/>
  <c r="P105" i="1" s="1"/>
  <c r="O106" i="1"/>
  <c r="P106" i="1" s="1"/>
  <c r="O107" i="1"/>
  <c r="P107" i="1" s="1"/>
  <c r="O108" i="1"/>
  <c r="P108" i="1" s="1"/>
  <c r="O109" i="1"/>
  <c r="P109" i="1" s="1"/>
  <c r="O110" i="1"/>
  <c r="P110" i="1" s="1"/>
  <c r="O111" i="1"/>
  <c r="P111" i="1" s="1"/>
  <c r="O112" i="1"/>
  <c r="P112" i="1" s="1"/>
  <c r="O113" i="1"/>
  <c r="P113" i="1" s="1"/>
  <c r="O114" i="1"/>
  <c r="P114" i="1" s="1"/>
  <c r="O115" i="1"/>
  <c r="P115" i="1" s="1"/>
  <c r="O116" i="1"/>
  <c r="P116" i="1" s="1"/>
  <c r="O117" i="1"/>
  <c r="P117" i="1" s="1"/>
  <c r="O118" i="1"/>
  <c r="P118" i="1" s="1"/>
  <c r="O119" i="1"/>
  <c r="P119" i="1" s="1"/>
  <c r="O120" i="1"/>
  <c r="P120" i="1" s="1"/>
  <c r="O121" i="1"/>
  <c r="P121" i="1" s="1"/>
  <c r="O122" i="1"/>
  <c r="P122" i="1" s="1"/>
  <c r="O123" i="1"/>
  <c r="P123" i="1" s="1"/>
  <c r="O124" i="1"/>
  <c r="P124" i="1" s="1"/>
  <c r="O125" i="1"/>
  <c r="P125" i="1" s="1"/>
  <c r="O126" i="1"/>
  <c r="P126" i="1" s="1"/>
  <c r="O127" i="1"/>
  <c r="P127" i="1" s="1"/>
  <c r="O128" i="1"/>
  <c r="P128" i="1" s="1"/>
  <c r="O129" i="1"/>
  <c r="P129" i="1" s="1"/>
  <c r="O130" i="1"/>
  <c r="P130" i="1" s="1"/>
  <c r="O131" i="1"/>
  <c r="P131" i="1" s="1"/>
  <c r="O132" i="1"/>
  <c r="P132" i="1" s="1"/>
  <c r="O133" i="1"/>
  <c r="P133" i="1" s="1"/>
  <c r="O134" i="1"/>
  <c r="P134" i="1" s="1"/>
  <c r="O135" i="1"/>
  <c r="P135" i="1" s="1"/>
  <c r="O136" i="1"/>
  <c r="P136" i="1" s="1"/>
  <c r="O137" i="1"/>
  <c r="P137" i="1" s="1"/>
  <c r="O138" i="1"/>
  <c r="P138" i="1" s="1"/>
  <c r="O139" i="1"/>
  <c r="P139" i="1" s="1"/>
  <c r="O140" i="1"/>
  <c r="P140" i="1" s="1"/>
  <c r="O141" i="1"/>
  <c r="P141" i="1" s="1"/>
  <c r="O142" i="1"/>
  <c r="P142" i="1" s="1"/>
  <c r="O143" i="1"/>
  <c r="P143" i="1" s="1"/>
  <c r="O144" i="1"/>
  <c r="P144" i="1" s="1"/>
  <c r="O145" i="1"/>
  <c r="P145" i="1" s="1"/>
  <c r="O146" i="1"/>
  <c r="P146" i="1" s="1"/>
  <c r="O147" i="1"/>
  <c r="P147" i="1" s="1"/>
  <c r="O148" i="1"/>
  <c r="P148" i="1" s="1"/>
  <c r="O149" i="1"/>
  <c r="P149" i="1" s="1"/>
  <c r="O150" i="1"/>
  <c r="P150" i="1" s="1"/>
  <c r="O151" i="1"/>
  <c r="P151" i="1" s="1"/>
  <c r="O152" i="1"/>
  <c r="P152" i="1" s="1"/>
  <c r="O153" i="1"/>
  <c r="P153" i="1" s="1"/>
  <c r="O154" i="1"/>
  <c r="P154" i="1" s="1"/>
  <c r="O155" i="1"/>
  <c r="P155" i="1" s="1"/>
  <c r="O156" i="1"/>
  <c r="P156" i="1" s="1"/>
  <c r="O157" i="1"/>
  <c r="P157" i="1" s="1"/>
  <c r="O158" i="1"/>
  <c r="P158" i="1" s="1"/>
  <c r="O159" i="1"/>
  <c r="P159" i="1" s="1"/>
  <c r="O160" i="1"/>
  <c r="P160" i="1" s="1"/>
  <c r="O161" i="1"/>
  <c r="P161" i="1" s="1"/>
  <c r="O162" i="1"/>
  <c r="P162" i="1" s="1"/>
  <c r="O163" i="1"/>
  <c r="P163" i="1" s="1"/>
  <c r="O164" i="1"/>
  <c r="P164" i="1" s="1"/>
  <c r="O165" i="1"/>
  <c r="P165" i="1" s="1"/>
  <c r="O166" i="1"/>
  <c r="P166" i="1" s="1"/>
  <c r="O167" i="1"/>
  <c r="P167" i="1" s="1"/>
  <c r="O168" i="1"/>
  <c r="P168" i="1" s="1"/>
  <c r="O169" i="1"/>
  <c r="P169" i="1" s="1"/>
  <c r="O170" i="1"/>
  <c r="P170" i="1" s="1"/>
  <c r="O171" i="1"/>
  <c r="P171" i="1" s="1"/>
  <c r="O172" i="1"/>
  <c r="P172" i="1" s="1"/>
  <c r="O173" i="1"/>
  <c r="P173" i="1" s="1"/>
  <c r="O174" i="1"/>
  <c r="P174" i="1" s="1"/>
  <c r="O175" i="1"/>
  <c r="P175" i="1" s="1"/>
  <c r="O176" i="1"/>
  <c r="P176" i="1" s="1"/>
  <c r="O177" i="1"/>
  <c r="P177" i="1" s="1"/>
  <c r="O178" i="1"/>
  <c r="P178" i="1" s="1"/>
  <c r="O179" i="1"/>
  <c r="P179" i="1" s="1"/>
  <c r="O180" i="1"/>
  <c r="P180" i="1" s="1"/>
  <c r="O181" i="1"/>
  <c r="P181" i="1" s="1"/>
  <c r="O182" i="1"/>
  <c r="P182" i="1" s="1"/>
  <c r="O183" i="1"/>
  <c r="P183" i="1" s="1"/>
  <c r="O184" i="1"/>
  <c r="P184" i="1" s="1"/>
  <c r="O185" i="1"/>
  <c r="P185" i="1" s="1"/>
  <c r="O186" i="1"/>
  <c r="P186" i="1" s="1"/>
  <c r="O187" i="1"/>
  <c r="P187" i="1" s="1"/>
  <c r="O188" i="1"/>
  <c r="P188" i="1" s="1"/>
  <c r="O189" i="1"/>
  <c r="P189" i="1" s="1"/>
  <c r="O190" i="1"/>
  <c r="P190" i="1" s="1"/>
  <c r="O191" i="1"/>
  <c r="P191" i="1" s="1"/>
  <c r="O192" i="1"/>
  <c r="P192" i="1" s="1"/>
  <c r="O193" i="1"/>
  <c r="P193" i="1" s="1"/>
  <c r="O194" i="1"/>
  <c r="P194" i="1" s="1"/>
  <c r="O195" i="1"/>
  <c r="P195" i="1" s="1"/>
  <c r="O196" i="1"/>
  <c r="P196" i="1" s="1"/>
  <c r="O197" i="1"/>
  <c r="P197" i="1" s="1"/>
  <c r="O198" i="1"/>
  <c r="P198" i="1" s="1"/>
  <c r="O199" i="1"/>
  <c r="P199" i="1" s="1"/>
  <c r="O200" i="1"/>
  <c r="P200" i="1" s="1"/>
  <c r="O201" i="1"/>
  <c r="P201" i="1" s="1"/>
  <c r="O202" i="1"/>
  <c r="P202" i="1" s="1"/>
  <c r="O203" i="1"/>
  <c r="P203" i="1" s="1"/>
  <c r="O204" i="1"/>
  <c r="P204" i="1" s="1"/>
  <c r="O205" i="1"/>
  <c r="P205" i="1" s="1"/>
  <c r="O206" i="1"/>
  <c r="P206" i="1" s="1"/>
  <c r="O207" i="1"/>
  <c r="P207" i="1" s="1"/>
  <c r="O208" i="1"/>
  <c r="P208" i="1" s="1"/>
  <c r="O209" i="1"/>
  <c r="P209" i="1" s="1"/>
  <c r="O210" i="1"/>
  <c r="P210" i="1" s="1"/>
  <c r="O211" i="1"/>
  <c r="P211" i="1" s="1"/>
  <c r="O212" i="1"/>
  <c r="P212" i="1" s="1"/>
  <c r="O213" i="1"/>
  <c r="P213" i="1" s="1"/>
  <c r="O214" i="1"/>
  <c r="P214" i="1" s="1"/>
  <c r="O215" i="1"/>
  <c r="P215" i="1" s="1"/>
  <c r="O216" i="1"/>
  <c r="P216" i="1" s="1"/>
  <c r="O217" i="1"/>
  <c r="P217" i="1" s="1"/>
  <c r="O218" i="1"/>
  <c r="P218" i="1" s="1"/>
  <c r="O219" i="1"/>
  <c r="P219" i="1" s="1"/>
  <c r="O220" i="1"/>
  <c r="P220" i="1" s="1"/>
  <c r="O221" i="1"/>
  <c r="P221" i="1" s="1"/>
  <c r="O222" i="1"/>
  <c r="P222" i="1" s="1"/>
  <c r="O223" i="1"/>
  <c r="P223" i="1" s="1"/>
  <c r="O224" i="1"/>
  <c r="P224" i="1" s="1"/>
  <c r="O225" i="1"/>
  <c r="P225" i="1" s="1"/>
  <c r="O226" i="1"/>
  <c r="P226" i="1" s="1"/>
  <c r="O227" i="1"/>
  <c r="P227" i="1" s="1"/>
  <c r="O228" i="1"/>
  <c r="P228" i="1" s="1"/>
  <c r="O229" i="1"/>
  <c r="P229" i="1" s="1"/>
  <c r="O230" i="1"/>
  <c r="P230" i="1" s="1"/>
  <c r="O231" i="1"/>
  <c r="P231" i="1" s="1"/>
  <c r="O232" i="1"/>
  <c r="P232" i="1" s="1"/>
  <c r="O233" i="1"/>
  <c r="P233" i="1" s="1"/>
  <c r="O234" i="1"/>
  <c r="P234" i="1" s="1"/>
  <c r="O235" i="1"/>
  <c r="P235" i="1" s="1"/>
  <c r="O236" i="1"/>
  <c r="P236" i="1" s="1"/>
  <c r="O237" i="1"/>
  <c r="P237" i="1" s="1"/>
  <c r="O238" i="1"/>
  <c r="P238" i="1" s="1"/>
  <c r="O239" i="1"/>
  <c r="P239" i="1" s="1"/>
  <c r="O240" i="1"/>
  <c r="P240" i="1" s="1"/>
  <c r="O241" i="1"/>
  <c r="P241" i="1" s="1"/>
  <c r="O242" i="1"/>
  <c r="P242" i="1" s="1"/>
  <c r="O243" i="1"/>
  <c r="P243" i="1" s="1"/>
  <c r="O244" i="1"/>
  <c r="P244" i="1" s="1"/>
  <c r="O245" i="1"/>
  <c r="P245" i="1" s="1"/>
  <c r="O246" i="1"/>
  <c r="P246" i="1" s="1"/>
  <c r="O247" i="1"/>
  <c r="P247" i="1" s="1"/>
  <c r="O248" i="1"/>
  <c r="P248" i="1" s="1"/>
  <c r="O249" i="1"/>
  <c r="P249" i="1" s="1"/>
  <c r="O250" i="1"/>
  <c r="P250" i="1" s="1"/>
  <c r="O251" i="1"/>
  <c r="P251" i="1" s="1"/>
  <c r="O252" i="1"/>
  <c r="P252" i="1" s="1"/>
  <c r="O253" i="1"/>
  <c r="P253" i="1" s="1"/>
  <c r="O254" i="1"/>
  <c r="P254" i="1" s="1"/>
  <c r="O255" i="1"/>
  <c r="P255" i="1" s="1"/>
  <c r="O256" i="1"/>
  <c r="P256" i="1" s="1"/>
  <c r="O257" i="1"/>
  <c r="P257" i="1" s="1"/>
  <c r="O258" i="1"/>
  <c r="P258" i="1" s="1"/>
  <c r="O259" i="1"/>
  <c r="P259" i="1" s="1"/>
  <c r="O260" i="1"/>
  <c r="P260" i="1" s="1"/>
  <c r="O261" i="1"/>
  <c r="P261" i="1" s="1"/>
  <c r="O262" i="1"/>
  <c r="P262" i="1" s="1"/>
  <c r="O263" i="1"/>
  <c r="P263" i="1" s="1"/>
  <c r="O264" i="1"/>
  <c r="P264" i="1" s="1"/>
  <c r="O265" i="1"/>
  <c r="P265" i="1" s="1"/>
  <c r="O266" i="1"/>
  <c r="P266" i="1" s="1"/>
  <c r="O267" i="1"/>
  <c r="P267" i="1" s="1"/>
  <c r="O268" i="1"/>
  <c r="P268" i="1" s="1"/>
  <c r="O269" i="1"/>
  <c r="P269" i="1" s="1"/>
  <c r="O270" i="1"/>
  <c r="P270" i="1" s="1"/>
  <c r="O271" i="1"/>
  <c r="P271" i="1" s="1"/>
  <c r="O272" i="1"/>
  <c r="P272" i="1" s="1"/>
  <c r="O273" i="1"/>
  <c r="P273" i="1" s="1"/>
  <c r="O274" i="1"/>
  <c r="P274" i="1" s="1"/>
  <c r="O275" i="1"/>
  <c r="P275" i="1" s="1"/>
  <c r="O276" i="1"/>
  <c r="P276" i="1" s="1"/>
  <c r="O277" i="1"/>
  <c r="P277" i="1" s="1"/>
  <c r="O278" i="1"/>
  <c r="P278" i="1" s="1"/>
  <c r="O279" i="1"/>
  <c r="P279" i="1" s="1"/>
  <c r="O280" i="1"/>
  <c r="P280" i="1" s="1"/>
  <c r="O281" i="1"/>
  <c r="P281" i="1" s="1"/>
  <c r="O282" i="1"/>
  <c r="P282" i="1" s="1"/>
  <c r="O283" i="1"/>
  <c r="P283" i="1" s="1"/>
  <c r="O284" i="1"/>
  <c r="P284" i="1" s="1"/>
  <c r="O285" i="1"/>
  <c r="P285" i="1" s="1"/>
  <c r="O286" i="1"/>
  <c r="P286" i="1" s="1"/>
  <c r="O287" i="1"/>
  <c r="P287" i="1" s="1"/>
  <c r="O288" i="1"/>
  <c r="P288" i="1" s="1"/>
  <c r="O289" i="1"/>
  <c r="P289" i="1" s="1"/>
  <c r="O290" i="1"/>
  <c r="P290" i="1" s="1"/>
  <c r="O291" i="1"/>
  <c r="P291" i="1" s="1"/>
  <c r="O292" i="1"/>
  <c r="P292" i="1" s="1"/>
  <c r="O293" i="1"/>
  <c r="P293" i="1" s="1"/>
  <c r="O294" i="1"/>
  <c r="P294" i="1" s="1"/>
  <c r="O295" i="1"/>
  <c r="P295" i="1" s="1"/>
  <c r="O296" i="1"/>
  <c r="P296" i="1" s="1"/>
  <c r="O297" i="1"/>
  <c r="P297" i="1" s="1"/>
  <c r="O298" i="1"/>
  <c r="P298" i="1" s="1"/>
  <c r="O299" i="1"/>
  <c r="P299" i="1" s="1"/>
  <c r="O300" i="1"/>
  <c r="P300" i="1" s="1"/>
  <c r="O301" i="1"/>
  <c r="P301" i="1" s="1"/>
  <c r="O302" i="1"/>
  <c r="P302" i="1" s="1"/>
  <c r="O303" i="1"/>
  <c r="P303" i="1" s="1"/>
  <c r="O304" i="1"/>
  <c r="P304" i="1" s="1"/>
  <c r="O305" i="1"/>
  <c r="P305" i="1" s="1"/>
  <c r="O306" i="1"/>
  <c r="P306" i="1" s="1"/>
  <c r="O307" i="1"/>
  <c r="P307" i="1" s="1"/>
  <c r="O308" i="1"/>
  <c r="P308" i="1" s="1"/>
  <c r="O309" i="1"/>
  <c r="P309" i="1" s="1"/>
  <c r="O310" i="1"/>
  <c r="P310" i="1" s="1"/>
  <c r="O311" i="1"/>
  <c r="P311" i="1" s="1"/>
  <c r="O312" i="1"/>
  <c r="P312" i="1" s="1"/>
  <c r="O313" i="1"/>
  <c r="P313" i="1" s="1"/>
  <c r="O314" i="1"/>
  <c r="P314" i="1" s="1"/>
  <c r="O315" i="1"/>
  <c r="P315" i="1" s="1"/>
  <c r="O316" i="1"/>
  <c r="P316" i="1" s="1"/>
  <c r="O317" i="1"/>
  <c r="P317" i="1" s="1"/>
  <c r="O318" i="1"/>
  <c r="P318" i="1" s="1"/>
  <c r="O319" i="1"/>
  <c r="P319" i="1" s="1"/>
  <c r="O320" i="1"/>
  <c r="P320" i="1" s="1"/>
  <c r="O321" i="1"/>
  <c r="P321" i="1" s="1"/>
  <c r="O322" i="1"/>
  <c r="P322" i="1" s="1"/>
  <c r="O323" i="1"/>
  <c r="P323" i="1" s="1"/>
  <c r="O324" i="1"/>
  <c r="P324" i="1" s="1"/>
  <c r="O325" i="1"/>
  <c r="P325" i="1" s="1"/>
  <c r="O326" i="1"/>
  <c r="P326" i="1" s="1"/>
  <c r="O327" i="1"/>
  <c r="P327" i="1" s="1"/>
  <c r="O328" i="1"/>
  <c r="P328" i="1" s="1"/>
  <c r="O329" i="1"/>
  <c r="P329" i="1" s="1"/>
  <c r="O330" i="1"/>
  <c r="P330" i="1" s="1"/>
  <c r="O331" i="1"/>
  <c r="P331" i="1" s="1"/>
  <c r="O332" i="1"/>
  <c r="P332" i="1" s="1"/>
  <c r="O333" i="1"/>
  <c r="P333" i="1" s="1"/>
  <c r="O334" i="1"/>
  <c r="P334" i="1" s="1"/>
  <c r="O335" i="1"/>
  <c r="P335" i="1" s="1"/>
  <c r="O336" i="1"/>
  <c r="P336" i="1" s="1"/>
  <c r="O337" i="1"/>
  <c r="P337" i="1" s="1"/>
  <c r="O338" i="1"/>
  <c r="P338" i="1" s="1"/>
  <c r="O339" i="1"/>
  <c r="P339" i="1" s="1"/>
  <c r="O340" i="1"/>
  <c r="P340" i="1" s="1"/>
  <c r="O341" i="1"/>
  <c r="P341" i="1" s="1"/>
  <c r="O342" i="1"/>
  <c r="P342" i="1" s="1"/>
  <c r="O343" i="1"/>
  <c r="P343" i="1" s="1"/>
  <c r="O344" i="1"/>
  <c r="P344" i="1" s="1"/>
  <c r="O345" i="1"/>
  <c r="P345" i="1" s="1"/>
  <c r="O346" i="1"/>
  <c r="P346" i="1" s="1"/>
  <c r="O347" i="1"/>
  <c r="P347" i="1" s="1"/>
  <c r="O348" i="1"/>
  <c r="P348" i="1" s="1"/>
  <c r="O349" i="1"/>
  <c r="P349" i="1" s="1"/>
  <c r="O350" i="1"/>
  <c r="P350" i="1" s="1"/>
  <c r="O351" i="1"/>
  <c r="P351" i="1" s="1"/>
  <c r="O352" i="1"/>
  <c r="P352" i="1" s="1"/>
  <c r="O353" i="1"/>
  <c r="P353" i="1" s="1"/>
  <c r="O354" i="1"/>
  <c r="P354" i="1" s="1"/>
  <c r="O355" i="1"/>
  <c r="P355" i="1" s="1"/>
  <c r="O356" i="1"/>
  <c r="P356" i="1" s="1"/>
  <c r="O357" i="1"/>
  <c r="P357" i="1" s="1"/>
  <c r="O358" i="1"/>
  <c r="P358" i="1" s="1"/>
  <c r="O359" i="1"/>
  <c r="P359" i="1" s="1"/>
  <c r="O360" i="1"/>
  <c r="P360" i="1" s="1"/>
  <c r="O361" i="1"/>
  <c r="P361" i="1" s="1"/>
  <c r="O362" i="1"/>
  <c r="P362" i="1" s="1"/>
  <c r="O363" i="1"/>
  <c r="P363" i="1" s="1"/>
  <c r="O364" i="1"/>
  <c r="P364" i="1" s="1"/>
  <c r="O365" i="1"/>
  <c r="P365" i="1" s="1"/>
  <c r="O366" i="1"/>
  <c r="P366" i="1" s="1"/>
  <c r="O367" i="1"/>
  <c r="P367" i="1" s="1"/>
  <c r="O368" i="1"/>
  <c r="P368" i="1" s="1"/>
  <c r="O369" i="1"/>
  <c r="P369" i="1" s="1"/>
  <c r="O370" i="1"/>
  <c r="P370" i="1" s="1"/>
  <c r="O371" i="1"/>
  <c r="P371" i="1" s="1"/>
  <c r="O372" i="1"/>
  <c r="P372" i="1" s="1"/>
  <c r="O373" i="1"/>
  <c r="P373" i="1" s="1"/>
  <c r="O374" i="1"/>
  <c r="P374" i="1" s="1"/>
  <c r="O375" i="1"/>
  <c r="P375" i="1" s="1"/>
  <c r="O376" i="1"/>
  <c r="P376" i="1" s="1"/>
  <c r="O377" i="1"/>
  <c r="P377" i="1" s="1"/>
  <c r="O378" i="1"/>
  <c r="P378" i="1" s="1"/>
  <c r="O379" i="1"/>
  <c r="P379" i="1" s="1"/>
  <c r="O380" i="1"/>
  <c r="P380" i="1" s="1"/>
  <c r="O381" i="1"/>
  <c r="P381" i="1" s="1"/>
  <c r="O382" i="1"/>
  <c r="P382" i="1" s="1"/>
  <c r="O383" i="1"/>
  <c r="P383" i="1" s="1"/>
  <c r="O384" i="1"/>
  <c r="P384" i="1" s="1"/>
  <c r="O385" i="1"/>
  <c r="P385" i="1" s="1"/>
  <c r="O386" i="1"/>
  <c r="P386" i="1" s="1"/>
  <c r="O387" i="1"/>
  <c r="P387" i="1" s="1"/>
  <c r="O388" i="1"/>
  <c r="P388" i="1" s="1"/>
  <c r="O389" i="1"/>
  <c r="P389" i="1" s="1"/>
  <c r="O390" i="1"/>
  <c r="P390" i="1" s="1"/>
  <c r="O391" i="1"/>
  <c r="P391" i="1" s="1"/>
  <c r="O392" i="1"/>
  <c r="P392" i="1" s="1"/>
  <c r="O393" i="1"/>
  <c r="P393" i="1" s="1"/>
  <c r="O394" i="1"/>
  <c r="P394" i="1" s="1"/>
  <c r="O395" i="1"/>
  <c r="P395" i="1" s="1"/>
  <c r="O396" i="1"/>
  <c r="P396" i="1" s="1"/>
  <c r="O397" i="1"/>
  <c r="P397" i="1" s="1"/>
  <c r="O398" i="1"/>
  <c r="P398" i="1" s="1"/>
  <c r="O399" i="1"/>
  <c r="P399" i="1" s="1"/>
  <c r="O400" i="1"/>
  <c r="P400" i="1" s="1"/>
  <c r="O401" i="1"/>
  <c r="P401" i="1" s="1"/>
  <c r="O402" i="1"/>
  <c r="P402" i="1" s="1"/>
  <c r="O403" i="1"/>
  <c r="P403" i="1" s="1"/>
  <c r="O404" i="1"/>
  <c r="P404" i="1" s="1"/>
  <c r="O405" i="1"/>
  <c r="P405" i="1" s="1"/>
  <c r="O406" i="1"/>
  <c r="P406" i="1" s="1"/>
  <c r="O407" i="1"/>
  <c r="P407" i="1" s="1"/>
  <c r="O408" i="1"/>
  <c r="P408" i="1" s="1"/>
  <c r="O409" i="1"/>
  <c r="P409" i="1" s="1"/>
  <c r="O410" i="1"/>
  <c r="P410" i="1" s="1"/>
  <c r="O411" i="1"/>
  <c r="P411" i="1" s="1"/>
  <c r="O412" i="1"/>
  <c r="P412" i="1" s="1"/>
  <c r="O413" i="1"/>
  <c r="P413" i="1" s="1"/>
  <c r="O414" i="1"/>
  <c r="P414" i="1" s="1"/>
  <c r="O415" i="1"/>
  <c r="P415" i="1" s="1"/>
  <c r="O416" i="1"/>
  <c r="P416" i="1" s="1"/>
  <c r="O417" i="1"/>
  <c r="P417" i="1" s="1"/>
  <c r="O418" i="1"/>
  <c r="P418" i="1" s="1"/>
  <c r="O419" i="1"/>
  <c r="P419" i="1" s="1"/>
  <c r="O420" i="1"/>
  <c r="P420" i="1" s="1"/>
  <c r="O421" i="1"/>
  <c r="P421" i="1" s="1"/>
  <c r="O422" i="1"/>
  <c r="P422" i="1" s="1"/>
  <c r="O423" i="1"/>
  <c r="P423" i="1" s="1"/>
  <c r="O424" i="1"/>
  <c r="P424" i="1" s="1"/>
  <c r="O425" i="1"/>
  <c r="P425" i="1" s="1"/>
  <c r="O426" i="1"/>
  <c r="P426" i="1" s="1"/>
  <c r="O427" i="1"/>
  <c r="P427" i="1" s="1"/>
  <c r="O428" i="1"/>
  <c r="P428" i="1" s="1"/>
  <c r="O429" i="1"/>
  <c r="P429" i="1" s="1"/>
  <c r="O430" i="1"/>
  <c r="P430" i="1" s="1"/>
  <c r="O431" i="1"/>
  <c r="P431" i="1" s="1"/>
  <c r="O432" i="1"/>
  <c r="P432" i="1" s="1"/>
  <c r="O433" i="1"/>
  <c r="P433" i="1" s="1"/>
  <c r="O434" i="1"/>
  <c r="P434" i="1" s="1"/>
  <c r="O435" i="1"/>
  <c r="P435" i="1" s="1"/>
  <c r="O436" i="1"/>
  <c r="P436" i="1" s="1"/>
  <c r="O437" i="1"/>
  <c r="P437" i="1" s="1"/>
  <c r="O438" i="1"/>
  <c r="P438" i="1" s="1"/>
  <c r="O439" i="1"/>
  <c r="P439" i="1" s="1"/>
  <c r="O440" i="1"/>
  <c r="P440" i="1" s="1"/>
  <c r="O441" i="1"/>
  <c r="P441" i="1" s="1"/>
  <c r="O442" i="1"/>
  <c r="P442" i="1" s="1"/>
  <c r="O443" i="1"/>
  <c r="P443" i="1" s="1"/>
  <c r="O444" i="1"/>
  <c r="P444" i="1" s="1"/>
  <c r="O445" i="1"/>
  <c r="P445" i="1" s="1"/>
  <c r="O446" i="1"/>
  <c r="P446" i="1" s="1"/>
  <c r="O447" i="1"/>
  <c r="P447" i="1" s="1"/>
  <c r="O448" i="1"/>
  <c r="P448" i="1" s="1"/>
  <c r="O449" i="1"/>
  <c r="P449" i="1" s="1"/>
  <c r="O450" i="1"/>
  <c r="P450" i="1" s="1"/>
  <c r="O451" i="1"/>
  <c r="P451" i="1" s="1"/>
  <c r="O452" i="1"/>
  <c r="P452" i="1" s="1"/>
  <c r="O453" i="1"/>
  <c r="P453" i="1" s="1"/>
  <c r="O454" i="1"/>
  <c r="P454" i="1" s="1"/>
  <c r="O455" i="1"/>
  <c r="P455" i="1" s="1"/>
  <c r="O456" i="1"/>
  <c r="P456" i="1" s="1"/>
  <c r="O457" i="1"/>
  <c r="P457" i="1" s="1"/>
  <c r="O458" i="1"/>
  <c r="P458" i="1" s="1"/>
  <c r="O459" i="1"/>
  <c r="P459" i="1" s="1"/>
  <c r="O460" i="1"/>
  <c r="P460" i="1" s="1"/>
  <c r="O461" i="1"/>
  <c r="P461" i="1" s="1"/>
  <c r="O462" i="1"/>
  <c r="P462" i="1" s="1"/>
  <c r="O463" i="1"/>
  <c r="P463" i="1" s="1"/>
  <c r="O464" i="1"/>
  <c r="P464" i="1" s="1"/>
  <c r="O465" i="1"/>
  <c r="P465" i="1" s="1"/>
  <c r="O466" i="1"/>
  <c r="P466" i="1" s="1"/>
  <c r="O467" i="1"/>
  <c r="P467" i="1" s="1"/>
  <c r="O468" i="1"/>
  <c r="P468" i="1" s="1"/>
  <c r="O469" i="1"/>
  <c r="P469" i="1" s="1"/>
  <c r="O470" i="1"/>
  <c r="P470" i="1" s="1"/>
  <c r="O471" i="1"/>
  <c r="P471" i="1" s="1"/>
  <c r="O472" i="1"/>
  <c r="P472" i="1" s="1"/>
  <c r="O473" i="1"/>
  <c r="P473" i="1" s="1"/>
  <c r="O474" i="1"/>
  <c r="P474" i="1" s="1"/>
  <c r="O475" i="1"/>
  <c r="P475" i="1" s="1"/>
  <c r="O476" i="1"/>
  <c r="P476" i="1" s="1"/>
  <c r="O477" i="1"/>
  <c r="P477" i="1" s="1"/>
  <c r="O478" i="1"/>
  <c r="P478" i="1" s="1"/>
  <c r="O479" i="1"/>
  <c r="P479" i="1" s="1"/>
  <c r="O480" i="1"/>
  <c r="P480" i="1" s="1"/>
  <c r="O481" i="1"/>
  <c r="P481" i="1" s="1"/>
  <c r="O482" i="1"/>
  <c r="P482" i="1" s="1"/>
  <c r="O483" i="1"/>
  <c r="P483" i="1" s="1"/>
  <c r="O484" i="1"/>
  <c r="P484" i="1" s="1"/>
  <c r="O485" i="1"/>
  <c r="P485" i="1" s="1"/>
  <c r="O486" i="1"/>
  <c r="P486" i="1" s="1"/>
  <c r="O487" i="1"/>
  <c r="P487" i="1" s="1"/>
  <c r="O488" i="1"/>
  <c r="P488" i="1" s="1"/>
  <c r="O489" i="1"/>
  <c r="P489" i="1" s="1"/>
  <c r="O490" i="1"/>
  <c r="P490" i="1" s="1"/>
  <c r="O491" i="1"/>
  <c r="P491" i="1" s="1"/>
  <c r="O492" i="1"/>
  <c r="P492" i="1" s="1"/>
  <c r="O493" i="1"/>
  <c r="P493" i="1" s="1"/>
  <c r="O494" i="1"/>
  <c r="P494" i="1" s="1"/>
  <c r="O495" i="1"/>
  <c r="P495" i="1" s="1"/>
  <c r="O496" i="1"/>
  <c r="P496" i="1" s="1"/>
  <c r="O497" i="1"/>
  <c r="P497" i="1" s="1"/>
  <c r="O498" i="1"/>
  <c r="P498" i="1" s="1"/>
  <c r="O499" i="1"/>
  <c r="P499" i="1" s="1"/>
  <c r="O500" i="1"/>
  <c r="P500" i="1" s="1"/>
  <c r="O501" i="1"/>
  <c r="P501" i="1" s="1"/>
  <c r="O502" i="1"/>
  <c r="P502" i="1" s="1"/>
  <c r="O503" i="1"/>
  <c r="P503" i="1" s="1"/>
  <c r="O504" i="1"/>
  <c r="P504" i="1" s="1"/>
  <c r="O505" i="1"/>
  <c r="P505" i="1" s="1"/>
  <c r="O506" i="1"/>
  <c r="P506" i="1" s="1"/>
  <c r="O507" i="1"/>
  <c r="P507" i="1" s="1"/>
  <c r="O508" i="1"/>
  <c r="P508" i="1" s="1"/>
  <c r="O509" i="1"/>
  <c r="P509" i="1" s="1"/>
  <c r="O510" i="1"/>
  <c r="P510" i="1" s="1"/>
  <c r="O511" i="1"/>
  <c r="P511" i="1" s="1"/>
  <c r="O512" i="1"/>
  <c r="P512" i="1" s="1"/>
  <c r="O513" i="1"/>
  <c r="P513" i="1" s="1"/>
  <c r="O514" i="1"/>
  <c r="P514" i="1" s="1"/>
  <c r="O515" i="1"/>
  <c r="P515" i="1" s="1"/>
  <c r="O516" i="1"/>
  <c r="P516" i="1" s="1"/>
  <c r="O517" i="1"/>
  <c r="P517" i="1" s="1"/>
  <c r="O518" i="1"/>
  <c r="P518" i="1" s="1"/>
  <c r="O519" i="1"/>
  <c r="P519" i="1" s="1"/>
  <c r="O520" i="1"/>
  <c r="P520" i="1" s="1"/>
  <c r="O521" i="1"/>
  <c r="P521" i="1" s="1"/>
  <c r="O522" i="1"/>
  <c r="P522" i="1" s="1"/>
  <c r="O523" i="1"/>
  <c r="P523" i="1" s="1"/>
  <c r="O524" i="1"/>
  <c r="P524" i="1" s="1"/>
  <c r="O525" i="1"/>
  <c r="P525" i="1" s="1"/>
  <c r="O526" i="1"/>
  <c r="P526" i="1" s="1"/>
  <c r="O527" i="1"/>
  <c r="P527" i="1" s="1"/>
  <c r="O528" i="1"/>
  <c r="P528" i="1" s="1"/>
  <c r="O529" i="1"/>
  <c r="P529" i="1" s="1"/>
  <c r="O530" i="1"/>
  <c r="P530" i="1" s="1"/>
  <c r="O531" i="1"/>
  <c r="P531" i="1" s="1"/>
  <c r="O532" i="1"/>
  <c r="P532" i="1" s="1"/>
  <c r="O533" i="1"/>
  <c r="P533" i="1" s="1"/>
  <c r="O534" i="1"/>
  <c r="P534" i="1" s="1"/>
  <c r="O535" i="1"/>
  <c r="P535" i="1" s="1"/>
  <c r="O536" i="1"/>
  <c r="P536" i="1" s="1"/>
  <c r="O537" i="1"/>
  <c r="P537" i="1" s="1"/>
  <c r="O538" i="1"/>
  <c r="P538" i="1" s="1"/>
  <c r="O539" i="1"/>
  <c r="P539" i="1" s="1"/>
  <c r="O540" i="1"/>
  <c r="P540" i="1" s="1"/>
  <c r="O541" i="1"/>
  <c r="P541" i="1" s="1"/>
  <c r="O542" i="1"/>
  <c r="P542" i="1" s="1"/>
  <c r="O543" i="1"/>
  <c r="P543" i="1" s="1"/>
  <c r="O544" i="1"/>
  <c r="P544" i="1" s="1"/>
  <c r="O545" i="1"/>
  <c r="P545" i="1" s="1"/>
  <c r="O546" i="1"/>
  <c r="P546" i="1" s="1"/>
  <c r="O547" i="1"/>
  <c r="P547" i="1" s="1"/>
  <c r="O548" i="1"/>
  <c r="P548" i="1" s="1"/>
  <c r="O549" i="1"/>
  <c r="P549" i="1" s="1"/>
  <c r="O550" i="1"/>
  <c r="P550" i="1" s="1"/>
  <c r="O551" i="1"/>
  <c r="P551" i="1" s="1"/>
  <c r="O552" i="1"/>
  <c r="P552" i="1" s="1"/>
  <c r="O553" i="1"/>
  <c r="P553" i="1" s="1"/>
  <c r="O554" i="1"/>
  <c r="P554" i="1" s="1"/>
  <c r="O555" i="1"/>
  <c r="P555" i="1" s="1"/>
  <c r="O556" i="1"/>
  <c r="P556" i="1" s="1"/>
  <c r="O557" i="1"/>
  <c r="P557" i="1" s="1"/>
  <c r="O558" i="1"/>
  <c r="P558" i="1" s="1"/>
  <c r="O559" i="1"/>
  <c r="P559" i="1" s="1"/>
  <c r="O560" i="1"/>
  <c r="P560" i="1" s="1"/>
  <c r="O561" i="1"/>
  <c r="P561" i="1" s="1"/>
  <c r="O562" i="1"/>
  <c r="P562" i="1" s="1"/>
  <c r="O563" i="1"/>
  <c r="P563" i="1" s="1"/>
  <c r="O564" i="1"/>
  <c r="P564" i="1" s="1"/>
  <c r="O565" i="1"/>
  <c r="P565" i="1" s="1"/>
  <c r="O566" i="1"/>
  <c r="P566" i="1" s="1"/>
  <c r="O567" i="1"/>
  <c r="P567" i="1" s="1"/>
  <c r="O568" i="1"/>
  <c r="P568" i="1" s="1"/>
  <c r="O569" i="1"/>
  <c r="P569" i="1" s="1"/>
  <c r="O570" i="1"/>
  <c r="P570" i="1" s="1"/>
  <c r="O571" i="1"/>
  <c r="P571" i="1" s="1"/>
  <c r="O572" i="1"/>
  <c r="P572" i="1" s="1"/>
  <c r="O573" i="1"/>
  <c r="P573" i="1" s="1"/>
  <c r="O574" i="1"/>
  <c r="P574" i="1" s="1"/>
  <c r="O575" i="1"/>
  <c r="P575" i="1" s="1"/>
  <c r="O576" i="1"/>
  <c r="P576" i="1" s="1"/>
  <c r="O577" i="1"/>
  <c r="P577" i="1" s="1"/>
  <c r="O578" i="1"/>
  <c r="P578" i="1" s="1"/>
  <c r="O579" i="1"/>
  <c r="P579" i="1" s="1"/>
  <c r="O580" i="1"/>
  <c r="P580" i="1" s="1"/>
  <c r="O581" i="1"/>
  <c r="P581" i="1" s="1"/>
  <c r="O582" i="1"/>
  <c r="P582" i="1" s="1"/>
  <c r="O583" i="1"/>
  <c r="P583" i="1" s="1"/>
  <c r="O584" i="1"/>
  <c r="P584" i="1" s="1"/>
  <c r="O585" i="1"/>
  <c r="P585" i="1" s="1"/>
  <c r="O586" i="1"/>
  <c r="P586" i="1" s="1"/>
  <c r="O587" i="1"/>
  <c r="P587" i="1" s="1"/>
  <c r="O588" i="1"/>
  <c r="P588" i="1" s="1"/>
  <c r="O589" i="1"/>
  <c r="P589" i="1" s="1"/>
  <c r="O590" i="1"/>
  <c r="P590" i="1" s="1"/>
  <c r="O591" i="1"/>
  <c r="P591" i="1" s="1"/>
  <c r="O592" i="1"/>
  <c r="P592" i="1" s="1"/>
  <c r="O593" i="1"/>
  <c r="P593" i="1" s="1"/>
  <c r="O594" i="1"/>
  <c r="P594" i="1" s="1"/>
  <c r="O595" i="1"/>
  <c r="P595" i="1" s="1"/>
  <c r="O596" i="1"/>
  <c r="P596" i="1" s="1"/>
  <c r="O597" i="1"/>
  <c r="P597" i="1" s="1"/>
  <c r="O598" i="1"/>
  <c r="P598" i="1" s="1"/>
  <c r="O599" i="1"/>
  <c r="P599" i="1" s="1"/>
  <c r="O600" i="1"/>
  <c r="P600" i="1" s="1"/>
  <c r="O601" i="1"/>
  <c r="P601" i="1" s="1"/>
  <c r="O602" i="1"/>
  <c r="P602" i="1" s="1"/>
  <c r="O603" i="1"/>
  <c r="P603" i="1" s="1"/>
  <c r="O604" i="1"/>
  <c r="P604" i="1" s="1"/>
  <c r="O605" i="1"/>
  <c r="P605" i="1" s="1"/>
  <c r="O606" i="1"/>
  <c r="P606" i="1" s="1"/>
  <c r="O607" i="1"/>
  <c r="P607" i="1" s="1"/>
  <c r="O608" i="1"/>
  <c r="P608" i="1" s="1"/>
  <c r="O609" i="1"/>
  <c r="P609" i="1" s="1"/>
  <c r="O610" i="1"/>
  <c r="P610" i="1" s="1"/>
  <c r="O611" i="1"/>
  <c r="P611" i="1" s="1"/>
  <c r="O612" i="1"/>
  <c r="P612" i="1" s="1"/>
  <c r="O613" i="1"/>
  <c r="P613" i="1" s="1"/>
  <c r="O614" i="1"/>
  <c r="P614" i="1" s="1"/>
  <c r="O615" i="1"/>
  <c r="P615" i="1" s="1"/>
  <c r="O616" i="1"/>
  <c r="P616" i="1" s="1"/>
  <c r="O617" i="1"/>
  <c r="P617" i="1" s="1"/>
  <c r="O618" i="1"/>
  <c r="P618" i="1" s="1"/>
  <c r="O619" i="1"/>
  <c r="P619" i="1" s="1"/>
  <c r="O620" i="1"/>
  <c r="P620" i="1" s="1"/>
  <c r="O621" i="1"/>
  <c r="P621" i="1" s="1"/>
  <c r="O622" i="1"/>
  <c r="P622" i="1" s="1"/>
  <c r="O623" i="1"/>
  <c r="P623" i="1" s="1"/>
  <c r="O624" i="1"/>
  <c r="P624" i="1" s="1"/>
  <c r="O625" i="1"/>
  <c r="P625" i="1" s="1"/>
  <c r="O626" i="1"/>
  <c r="P626" i="1" s="1"/>
  <c r="O627" i="1"/>
  <c r="P627" i="1" s="1"/>
  <c r="O628" i="1"/>
  <c r="P628" i="1" s="1"/>
  <c r="O629" i="1"/>
  <c r="P629" i="1" s="1"/>
  <c r="O630" i="1"/>
  <c r="P630" i="1" s="1"/>
  <c r="O631" i="1"/>
  <c r="P631" i="1" s="1"/>
  <c r="O632" i="1"/>
  <c r="P632" i="1" s="1"/>
  <c r="O633" i="1"/>
  <c r="P633" i="1" s="1"/>
  <c r="O634" i="1"/>
  <c r="P634" i="1" s="1"/>
  <c r="O635" i="1"/>
  <c r="P635" i="1" s="1"/>
  <c r="O636" i="1"/>
  <c r="P636" i="1" s="1"/>
  <c r="O637" i="1"/>
  <c r="P637" i="1" s="1"/>
  <c r="O638" i="1"/>
  <c r="P638" i="1" s="1"/>
  <c r="O639" i="1"/>
  <c r="P639" i="1" s="1"/>
  <c r="O640" i="1"/>
  <c r="P640" i="1" s="1"/>
  <c r="O641" i="1"/>
  <c r="P641" i="1" s="1"/>
  <c r="O642" i="1"/>
  <c r="P642" i="1" s="1"/>
  <c r="O643" i="1"/>
  <c r="P643" i="1" s="1"/>
  <c r="O644" i="1"/>
  <c r="P644" i="1" s="1"/>
  <c r="O645" i="1"/>
  <c r="P645" i="1" s="1"/>
  <c r="O646" i="1"/>
  <c r="P646" i="1" s="1"/>
  <c r="O647" i="1"/>
  <c r="P647" i="1" s="1"/>
  <c r="O648" i="1"/>
  <c r="P648" i="1" s="1"/>
  <c r="O649" i="1"/>
  <c r="P649" i="1" s="1"/>
  <c r="O650" i="1"/>
  <c r="P650" i="1" s="1"/>
  <c r="O651" i="1"/>
  <c r="P651" i="1" s="1"/>
  <c r="O652" i="1"/>
  <c r="P652" i="1" s="1"/>
  <c r="O653" i="1"/>
  <c r="P653" i="1" s="1"/>
  <c r="O654" i="1"/>
  <c r="P654" i="1" s="1"/>
  <c r="O655" i="1"/>
  <c r="P655" i="1" s="1"/>
  <c r="O656" i="1"/>
  <c r="P656" i="1" s="1"/>
  <c r="O657" i="1"/>
  <c r="P657" i="1" s="1"/>
  <c r="O658" i="1"/>
  <c r="P658" i="1" s="1"/>
  <c r="O659" i="1"/>
  <c r="P659" i="1" s="1"/>
  <c r="O660" i="1"/>
  <c r="P660" i="1" s="1"/>
  <c r="O661" i="1"/>
  <c r="P661" i="1" s="1"/>
  <c r="O662" i="1"/>
  <c r="P662" i="1" s="1"/>
  <c r="O663" i="1"/>
  <c r="P663" i="1" s="1"/>
  <c r="O664" i="1"/>
  <c r="P664" i="1" s="1"/>
  <c r="O665" i="1"/>
  <c r="P665" i="1" s="1"/>
  <c r="O666" i="1"/>
  <c r="P666" i="1" s="1"/>
  <c r="O667" i="1"/>
  <c r="P667" i="1" s="1"/>
  <c r="O668" i="1"/>
  <c r="P668" i="1" s="1"/>
  <c r="O669" i="1"/>
  <c r="P669" i="1" s="1"/>
  <c r="O670" i="1"/>
  <c r="P670" i="1" s="1"/>
  <c r="O671" i="1"/>
  <c r="P671" i="1" s="1"/>
  <c r="O672" i="1"/>
  <c r="P672" i="1" s="1"/>
  <c r="O673" i="1"/>
  <c r="P673" i="1" s="1"/>
  <c r="O674" i="1"/>
  <c r="P674" i="1" s="1"/>
  <c r="O675" i="1"/>
  <c r="P675" i="1" s="1"/>
  <c r="O676" i="1"/>
  <c r="P676" i="1" s="1"/>
  <c r="O677" i="1"/>
  <c r="P677" i="1" s="1"/>
  <c r="O678" i="1"/>
  <c r="P678" i="1" s="1"/>
  <c r="O679" i="1"/>
  <c r="P679" i="1" s="1"/>
  <c r="O680" i="1"/>
  <c r="P680" i="1" s="1"/>
  <c r="O681" i="1"/>
  <c r="P681" i="1" s="1"/>
  <c r="O682" i="1"/>
  <c r="P682" i="1" s="1"/>
  <c r="O683" i="1"/>
  <c r="P683" i="1" s="1"/>
  <c r="O684" i="1"/>
  <c r="P684" i="1" s="1"/>
  <c r="O685" i="1"/>
  <c r="P685" i="1" s="1"/>
  <c r="O686" i="1"/>
  <c r="P686" i="1" s="1"/>
  <c r="O687" i="1"/>
  <c r="P687" i="1" s="1"/>
  <c r="O688" i="1"/>
  <c r="P688" i="1" s="1"/>
  <c r="O689" i="1"/>
  <c r="P689" i="1" s="1"/>
  <c r="O690" i="1"/>
  <c r="P690" i="1" s="1"/>
  <c r="O691" i="1"/>
  <c r="P691" i="1" s="1"/>
  <c r="O692" i="1"/>
  <c r="P692" i="1" s="1"/>
  <c r="O693" i="1"/>
  <c r="P693" i="1" s="1"/>
  <c r="O694" i="1"/>
  <c r="P694" i="1" s="1"/>
  <c r="O695" i="1"/>
  <c r="P695" i="1" s="1"/>
  <c r="O696" i="1"/>
  <c r="P696" i="1" s="1"/>
  <c r="O697" i="1"/>
  <c r="P697" i="1" s="1"/>
  <c r="O698" i="1"/>
  <c r="P698" i="1" s="1"/>
  <c r="O699" i="1"/>
  <c r="P699" i="1" s="1"/>
  <c r="O700" i="1"/>
  <c r="P700" i="1" s="1"/>
  <c r="O701" i="1"/>
  <c r="P701" i="1" s="1"/>
  <c r="O702" i="1"/>
  <c r="P702" i="1" s="1"/>
  <c r="O703" i="1"/>
  <c r="P703" i="1" s="1"/>
  <c r="O704" i="1"/>
  <c r="P704" i="1" s="1"/>
  <c r="O705" i="1"/>
  <c r="P705" i="1" s="1"/>
  <c r="O706" i="1"/>
  <c r="P706" i="1" s="1"/>
  <c r="O707" i="1"/>
  <c r="P707" i="1" s="1"/>
  <c r="O708" i="1"/>
  <c r="P708" i="1" s="1"/>
  <c r="O709" i="1"/>
  <c r="P709" i="1" s="1"/>
  <c r="O710" i="1"/>
  <c r="P710" i="1" s="1"/>
  <c r="O711" i="1"/>
  <c r="P711" i="1" s="1"/>
  <c r="O712" i="1"/>
  <c r="P712" i="1" s="1"/>
  <c r="O713" i="1"/>
  <c r="P713" i="1" s="1"/>
  <c r="O714" i="1"/>
  <c r="P714" i="1" s="1"/>
  <c r="O715" i="1"/>
  <c r="P715" i="1" s="1"/>
  <c r="O716" i="1"/>
  <c r="P716" i="1" s="1"/>
  <c r="O717" i="1"/>
  <c r="P717" i="1" s="1"/>
  <c r="O718" i="1"/>
  <c r="P718" i="1" s="1"/>
  <c r="O719" i="1"/>
  <c r="P719" i="1" s="1"/>
  <c r="O720" i="1"/>
  <c r="P720" i="1" s="1"/>
  <c r="O721" i="1"/>
  <c r="P721" i="1" s="1"/>
  <c r="O722" i="1"/>
  <c r="P722" i="1" s="1"/>
  <c r="O723" i="1"/>
  <c r="P723" i="1" s="1"/>
  <c r="O724" i="1"/>
  <c r="P724" i="1" s="1"/>
  <c r="O725" i="1"/>
  <c r="P725" i="1" s="1"/>
  <c r="O726" i="1"/>
  <c r="P726" i="1" s="1"/>
  <c r="O727" i="1"/>
  <c r="P727" i="1" s="1"/>
  <c r="O728" i="1"/>
  <c r="P728" i="1" s="1"/>
  <c r="O729" i="1"/>
  <c r="P729" i="1" s="1"/>
  <c r="O730" i="1"/>
  <c r="P730" i="1" s="1"/>
  <c r="O731" i="1"/>
  <c r="P731" i="1" s="1"/>
  <c r="O732" i="1"/>
  <c r="P732" i="1" s="1"/>
  <c r="O733" i="1"/>
  <c r="P733" i="1" s="1"/>
  <c r="O734" i="1"/>
  <c r="P734" i="1" s="1"/>
  <c r="O735" i="1"/>
  <c r="P735" i="1" s="1"/>
  <c r="O736" i="1"/>
  <c r="P736" i="1" s="1"/>
  <c r="O737" i="1"/>
  <c r="P737" i="1" s="1"/>
  <c r="O738" i="1"/>
  <c r="P738" i="1" s="1"/>
  <c r="O739" i="1"/>
  <c r="P739" i="1" s="1"/>
  <c r="O740" i="1"/>
  <c r="P740" i="1" s="1"/>
  <c r="O741" i="1"/>
  <c r="P741" i="1" s="1"/>
  <c r="O742" i="1"/>
  <c r="P742" i="1" s="1"/>
  <c r="O743" i="1"/>
  <c r="P743" i="1" s="1"/>
  <c r="O744" i="1"/>
  <c r="P744" i="1" s="1"/>
  <c r="O745" i="1"/>
  <c r="P745" i="1" s="1"/>
  <c r="O746" i="1"/>
  <c r="P746" i="1" s="1"/>
  <c r="O747" i="1"/>
  <c r="P747" i="1" s="1"/>
  <c r="O748" i="1"/>
  <c r="P748" i="1" s="1"/>
  <c r="O749" i="1"/>
  <c r="P749" i="1" s="1"/>
  <c r="O750" i="1"/>
  <c r="P750" i="1" s="1"/>
  <c r="O751" i="1"/>
  <c r="P751" i="1" s="1"/>
  <c r="O752" i="1"/>
  <c r="P752" i="1" s="1"/>
  <c r="O753" i="1"/>
  <c r="P753" i="1" s="1"/>
  <c r="O754" i="1"/>
  <c r="P754" i="1" s="1"/>
  <c r="O755" i="1"/>
  <c r="P755" i="1" s="1"/>
  <c r="O756" i="1"/>
  <c r="P756" i="1" s="1"/>
  <c r="O757" i="1"/>
  <c r="P757" i="1" s="1"/>
  <c r="O758" i="1"/>
  <c r="P758" i="1" s="1"/>
  <c r="O759" i="1"/>
  <c r="P759" i="1" s="1"/>
  <c r="O760" i="1"/>
  <c r="P760" i="1" s="1"/>
  <c r="O761" i="1"/>
  <c r="P761" i="1" s="1"/>
  <c r="O762" i="1"/>
  <c r="P762" i="1" s="1"/>
  <c r="O763" i="1"/>
  <c r="P763" i="1" s="1"/>
  <c r="O764" i="1"/>
  <c r="P764" i="1" s="1"/>
  <c r="O765" i="1"/>
  <c r="P765" i="1" s="1"/>
  <c r="O766" i="1"/>
  <c r="P766" i="1" s="1"/>
  <c r="O767" i="1"/>
  <c r="P767" i="1" s="1"/>
  <c r="O768" i="1"/>
  <c r="P768" i="1" s="1"/>
  <c r="O769" i="1"/>
  <c r="P769" i="1" s="1"/>
  <c r="O770" i="1"/>
  <c r="P770" i="1" s="1"/>
  <c r="O771" i="1"/>
  <c r="P771" i="1" s="1"/>
  <c r="O772" i="1"/>
  <c r="P772" i="1" s="1"/>
  <c r="O773" i="1"/>
  <c r="P773" i="1" s="1"/>
  <c r="O774" i="1"/>
  <c r="P774" i="1" s="1"/>
  <c r="O775" i="1"/>
  <c r="P775" i="1" s="1"/>
  <c r="O776" i="1"/>
  <c r="P776" i="1" s="1"/>
  <c r="O777" i="1"/>
  <c r="P777" i="1" s="1"/>
  <c r="O778" i="1"/>
  <c r="P778" i="1" s="1"/>
  <c r="O779" i="1"/>
  <c r="P779" i="1" s="1"/>
  <c r="O780" i="1"/>
  <c r="P780" i="1" s="1"/>
  <c r="O781" i="1"/>
  <c r="P781" i="1" s="1"/>
  <c r="O782" i="1"/>
  <c r="P782" i="1" s="1"/>
  <c r="O783" i="1"/>
  <c r="P783" i="1" s="1"/>
  <c r="O784" i="1"/>
  <c r="P784" i="1" s="1"/>
  <c r="O785" i="1"/>
  <c r="P785" i="1" s="1"/>
  <c r="O786" i="1"/>
  <c r="P786" i="1" s="1"/>
  <c r="O787" i="1"/>
  <c r="P787" i="1" s="1"/>
  <c r="O788" i="1"/>
  <c r="P788" i="1" s="1"/>
  <c r="O789" i="1"/>
  <c r="P789" i="1" s="1"/>
  <c r="O790" i="1"/>
  <c r="P790" i="1" s="1"/>
  <c r="O791" i="1"/>
  <c r="P791" i="1" s="1"/>
  <c r="O792" i="1"/>
  <c r="P792" i="1" s="1"/>
  <c r="O793" i="1"/>
  <c r="P793" i="1" s="1"/>
  <c r="O794" i="1"/>
  <c r="P794" i="1" s="1"/>
  <c r="O795" i="1"/>
  <c r="P795" i="1" s="1"/>
  <c r="O796" i="1"/>
  <c r="P796" i="1" s="1"/>
  <c r="O797" i="1"/>
  <c r="P797" i="1" s="1"/>
  <c r="O798" i="1"/>
  <c r="P798" i="1" s="1"/>
  <c r="O799" i="1"/>
  <c r="P799" i="1" s="1"/>
  <c r="O800" i="1"/>
  <c r="P800" i="1" s="1"/>
  <c r="O801" i="1"/>
  <c r="P801" i="1" s="1"/>
  <c r="O802" i="1"/>
  <c r="P802" i="1" s="1"/>
  <c r="O803" i="1"/>
  <c r="P803" i="1" s="1"/>
  <c r="O804" i="1"/>
  <c r="P804" i="1" s="1"/>
  <c r="O805" i="1"/>
  <c r="P805" i="1" s="1"/>
  <c r="O806" i="1"/>
  <c r="P806" i="1" s="1"/>
  <c r="O807" i="1"/>
  <c r="P807" i="1" s="1"/>
  <c r="O808" i="1"/>
  <c r="P808" i="1" s="1"/>
  <c r="O809" i="1"/>
  <c r="P809" i="1" s="1"/>
  <c r="O810" i="1"/>
  <c r="P810" i="1" s="1"/>
  <c r="O811" i="1"/>
  <c r="P811" i="1" s="1"/>
  <c r="O812" i="1"/>
  <c r="P812" i="1" s="1"/>
  <c r="O813" i="1"/>
  <c r="P813" i="1" s="1"/>
  <c r="O814" i="1"/>
  <c r="P814" i="1" s="1"/>
  <c r="O815" i="1"/>
  <c r="P815" i="1" s="1"/>
  <c r="O816" i="1"/>
  <c r="P816" i="1" s="1"/>
  <c r="O817" i="1"/>
  <c r="P817" i="1" s="1"/>
  <c r="O818" i="1"/>
  <c r="P818" i="1" s="1"/>
  <c r="O819" i="1"/>
  <c r="P819" i="1" s="1"/>
  <c r="O820" i="1"/>
  <c r="P820" i="1" s="1"/>
  <c r="O821" i="1"/>
  <c r="P821" i="1" s="1"/>
  <c r="O822" i="1"/>
  <c r="P822" i="1" s="1"/>
  <c r="O823" i="1"/>
  <c r="P823" i="1" s="1"/>
  <c r="O824" i="1"/>
  <c r="P824" i="1" s="1"/>
  <c r="O825" i="1"/>
  <c r="P825" i="1" s="1"/>
  <c r="O826" i="1"/>
  <c r="P826" i="1" s="1"/>
  <c r="O827" i="1"/>
  <c r="P827" i="1" s="1"/>
  <c r="O828" i="1"/>
  <c r="P828" i="1" s="1"/>
  <c r="O829" i="1"/>
  <c r="P829" i="1" s="1"/>
  <c r="O830" i="1"/>
  <c r="P830" i="1" s="1"/>
  <c r="O831" i="1"/>
  <c r="P831" i="1" s="1"/>
  <c r="O832" i="1"/>
  <c r="P832" i="1" s="1"/>
  <c r="O833" i="1"/>
  <c r="P833" i="1" s="1"/>
  <c r="O834" i="1"/>
  <c r="P834" i="1" s="1"/>
  <c r="O835" i="1"/>
  <c r="P835" i="1" s="1"/>
  <c r="O836" i="1"/>
  <c r="P836" i="1" s="1"/>
  <c r="O837" i="1"/>
  <c r="P837" i="1" s="1"/>
  <c r="O838" i="1"/>
  <c r="P838" i="1" s="1"/>
  <c r="O839" i="1"/>
  <c r="P839" i="1" s="1"/>
  <c r="O840" i="1"/>
  <c r="P840" i="1" s="1"/>
  <c r="O841" i="1"/>
  <c r="P841" i="1" s="1"/>
  <c r="O842" i="1"/>
  <c r="P842" i="1" s="1"/>
  <c r="O843" i="1"/>
  <c r="P843" i="1" s="1"/>
  <c r="O844" i="1"/>
  <c r="P844" i="1" s="1"/>
  <c r="O845" i="1"/>
  <c r="P845" i="1" s="1"/>
  <c r="O846" i="1"/>
  <c r="P846" i="1" s="1"/>
  <c r="O847" i="1"/>
  <c r="P847" i="1" s="1"/>
  <c r="O848" i="1"/>
  <c r="P848" i="1" s="1"/>
  <c r="O849" i="1"/>
  <c r="P849" i="1" s="1"/>
  <c r="O850" i="1"/>
  <c r="P850" i="1" s="1"/>
  <c r="O851" i="1"/>
  <c r="P851" i="1" s="1"/>
  <c r="O852" i="1"/>
  <c r="P852" i="1" s="1"/>
  <c r="O853" i="1"/>
  <c r="P853" i="1" s="1"/>
  <c r="O854" i="1"/>
  <c r="P854" i="1" s="1"/>
  <c r="O855" i="1"/>
  <c r="P855" i="1" s="1"/>
  <c r="O856" i="1"/>
  <c r="P856" i="1" s="1"/>
  <c r="O857" i="1"/>
  <c r="P857" i="1" s="1"/>
  <c r="O858" i="1"/>
  <c r="P858" i="1" s="1"/>
  <c r="O859" i="1"/>
  <c r="P859" i="1" s="1"/>
  <c r="O860" i="1"/>
  <c r="P860" i="1" s="1"/>
  <c r="O861" i="1"/>
  <c r="P861" i="1" s="1"/>
  <c r="O862" i="1"/>
  <c r="P862" i="1" s="1"/>
  <c r="O863" i="1"/>
  <c r="P863" i="1" s="1"/>
  <c r="O864" i="1"/>
  <c r="P864" i="1" s="1"/>
  <c r="O865" i="1"/>
  <c r="P865" i="1" s="1"/>
  <c r="O866" i="1"/>
  <c r="P866" i="1" s="1"/>
  <c r="O867" i="1"/>
  <c r="P867" i="1" s="1"/>
  <c r="O868" i="1"/>
  <c r="P868" i="1" s="1"/>
  <c r="O869" i="1"/>
  <c r="P869" i="1" s="1"/>
  <c r="O870" i="1"/>
  <c r="P870" i="1" s="1"/>
  <c r="O871" i="1"/>
  <c r="P871" i="1" s="1"/>
  <c r="O872" i="1"/>
  <c r="P872" i="1" s="1"/>
  <c r="O873" i="1"/>
  <c r="P873" i="1" s="1"/>
  <c r="O874" i="1"/>
  <c r="P874" i="1" s="1"/>
  <c r="O875" i="1"/>
  <c r="P875" i="1" s="1"/>
  <c r="O876" i="1"/>
  <c r="P876" i="1" s="1"/>
  <c r="O877" i="1"/>
  <c r="P877" i="1" s="1"/>
  <c r="O878" i="1"/>
  <c r="P878" i="1" s="1"/>
  <c r="O879" i="1"/>
  <c r="P879" i="1" s="1"/>
  <c r="O880" i="1"/>
  <c r="P880" i="1" s="1"/>
  <c r="O881" i="1"/>
  <c r="P881" i="1" s="1"/>
  <c r="O882" i="1"/>
  <c r="P882" i="1" s="1"/>
  <c r="O883" i="1"/>
  <c r="P883" i="1" s="1"/>
  <c r="O884" i="1"/>
  <c r="P884" i="1" s="1"/>
  <c r="O885" i="1"/>
  <c r="P885" i="1" s="1"/>
  <c r="O886" i="1"/>
  <c r="P886" i="1" s="1"/>
  <c r="O887" i="1"/>
  <c r="P887" i="1" s="1"/>
  <c r="O888" i="1"/>
  <c r="P888" i="1" s="1"/>
  <c r="O889" i="1"/>
  <c r="P889" i="1" s="1"/>
  <c r="O890" i="1"/>
  <c r="P890" i="1" s="1"/>
  <c r="O891" i="1"/>
  <c r="P891" i="1" s="1"/>
  <c r="O892" i="1"/>
  <c r="P892" i="1" s="1"/>
  <c r="O893" i="1"/>
  <c r="P893" i="1" s="1"/>
  <c r="O894" i="1"/>
  <c r="P894" i="1" s="1"/>
  <c r="O895" i="1"/>
  <c r="P895" i="1" s="1"/>
  <c r="O896" i="1"/>
  <c r="P896" i="1" s="1"/>
  <c r="O897" i="1"/>
  <c r="P897" i="1" s="1"/>
  <c r="O898" i="1"/>
  <c r="P898" i="1" s="1"/>
  <c r="O899" i="1"/>
  <c r="P899" i="1" s="1"/>
  <c r="O900" i="1"/>
  <c r="P900" i="1" s="1"/>
  <c r="O901" i="1"/>
  <c r="P901" i="1" s="1"/>
  <c r="O902" i="1"/>
  <c r="P902" i="1" s="1"/>
  <c r="O903" i="1"/>
  <c r="P903" i="1" s="1"/>
  <c r="O904" i="1"/>
  <c r="P904" i="1" s="1"/>
  <c r="O905" i="1"/>
  <c r="P905" i="1" s="1"/>
  <c r="O906" i="1"/>
  <c r="P906" i="1" s="1"/>
  <c r="O907" i="1"/>
  <c r="P907" i="1" s="1"/>
  <c r="O908" i="1"/>
  <c r="P908" i="1" s="1"/>
  <c r="O909" i="1"/>
  <c r="P909" i="1" s="1"/>
  <c r="O910" i="1"/>
  <c r="P910" i="1" s="1"/>
  <c r="O911" i="1"/>
  <c r="P911" i="1" s="1"/>
  <c r="O912" i="1"/>
  <c r="P912" i="1" s="1"/>
  <c r="O913" i="1"/>
  <c r="P913" i="1" s="1"/>
  <c r="O914" i="1"/>
  <c r="P914" i="1" s="1"/>
  <c r="O915" i="1"/>
  <c r="P915" i="1" s="1"/>
  <c r="O916" i="1"/>
  <c r="P916" i="1" s="1"/>
  <c r="O917" i="1"/>
  <c r="P917" i="1" s="1"/>
  <c r="O918" i="1"/>
  <c r="P918" i="1" s="1"/>
  <c r="O919" i="1"/>
  <c r="P919" i="1" s="1"/>
  <c r="O920" i="1"/>
  <c r="P920" i="1" s="1"/>
  <c r="O921" i="1"/>
  <c r="P921" i="1" s="1"/>
  <c r="O922" i="1"/>
  <c r="P922" i="1" s="1"/>
  <c r="O923" i="1"/>
  <c r="P923" i="1" s="1"/>
  <c r="O924" i="1"/>
  <c r="P924" i="1" s="1"/>
  <c r="O925" i="1"/>
  <c r="P925" i="1" s="1"/>
  <c r="O926" i="1"/>
  <c r="P926" i="1" s="1"/>
  <c r="O927" i="1"/>
  <c r="P927" i="1" s="1"/>
  <c r="O928" i="1"/>
  <c r="P928" i="1" s="1"/>
  <c r="O929" i="1"/>
  <c r="P929" i="1" s="1"/>
  <c r="O930" i="1"/>
  <c r="P930" i="1" s="1"/>
  <c r="O931" i="1"/>
  <c r="P931" i="1" s="1"/>
  <c r="O932" i="1"/>
  <c r="P932" i="1" s="1"/>
  <c r="O933" i="1"/>
  <c r="P933" i="1" s="1"/>
  <c r="O934" i="1"/>
  <c r="P934" i="1" s="1"/>
  <c r="O935" i="1"/>
  <c r="P935" i="1" s="1"/>
  <c r="O936" i="1"/>
  <c r="P936" i="1" s="1"/>
  <c r="O937" i="1"/>
  <c r="P937" i="1" s="1"/>
  <c r="O938" i="1"/>
  <c r="P938" i="1" s="1"/>
  <c r="O939" i="1"/>
  <c r="P939" i="1" s="1"/>
  <c r="O940" i="1"/>
  <c r="P940" i="1" s="1"/>
  <c r="O941" i="1"/>
  <c r="P941" i="1" s="1"/>
  <c r="O942" i="1"/>
  <c r="P942" i="1" s="1"/>
  <c r="O943" i="1"/>
  <c r="P943" i="1" s="1"/>
  <c r="O944" i="1"/>
  <c r="P944" i="1" s="1"/>
  <c r="O945" i="1"/>
  <c r="P945" i="1" s="1"/>
  <c r="O946" i="1"/>
  <c r="P946" i="1" s="1"/>
  <c r="O947" i="1"/>
  <c r="P947" i="1" s="1"/>
  <c r="O948" i="1"/>
  <c r="P948" i="1" s="1"/>
  <c r="O949" i="1"/>
  <c r="P949" i="1" s="1"/>
  <c r="O950" i="1"/>
  <c r="P950" i="1" s="1"/>
  <c r="O951" i="1"/>
  <c r="P951" i="1" s="1"/>
  <c r="O952" i="1"/>
  <c r="P952" i="1" s="1"/>
  <c r="O953" i="1"/>
  <c r="P953" i="1" s="1"/>
  <c r="O954" i="1"/>
  <c r="P954" i="1" s="1"/>
  <c r="O955" i="1"/>
  <c r="P955" i="1" s="1"/>
  <c r="O956" i="1"/>
  <c r="P956" i="1" s="1"/>
  <c r="O957" i="1"/>
  <c r="P957" i="1" s="1"/>
  <c r="O958" i="1"/>
  <c r="P958" i="1" s="1"/>
  <c r="O959" i="1"/>
  <c r="P959" i="1" s="1"/>
  <c r="O960" i="1"/>
  <c r="P960" i="1" s="1"/>
  <c r="O961" i="1"/>
  <c r="P961" i="1" s="1"/>
  <c r="O962" i="1"/>
  <c r="P962" i="1" s="1"/>
  <c r="O963" i="1"/>
  <c r="P963" i="1" s="1"/>
  <c r="O964" i="1"/>
  <c r="P964" i="1" s="1"/>
  <c r="O965" i="1"/>
  <c r="P965" i="1" s="1"/>
  <c r="O966" i="1"/>
  <c r="P966" i="1" s="1"/>
  <c r="O967" i="1"/>
  <c r="P967" i="1" s="1"/>
  <c r="O968" i="1"/>
  <c r="P968" i="1" s="1"/>
  <c r="O969" i="1"/>
  <c r="P969" i="1" s="1"/>
  <c r="O970" i="1"/>
  <c r="P970" i="1" s="1"/>
  <c r="O971" i="1"/>
  <c r="P971" i="1" s="1"/>
  <c r="O972" i="1"/>
  <c r="P972" i="1" s="1"/>
  <c r="O973" i="1"/>
  <c r="P973" i="1" s="1"/>
  <c r="O974" i="1"/>
  <c r="P974" i="1" s="1"/>
  <c r="O975" i="1"/>
  <c r="P975" i="1" s="1"/>
  <c r="O976" i="1"/>
  <c r="P976" i="1" s="1"/>
  <c r="O977" i="1"/>
  <c r="P977" i="1" s="1"/>
  <c r="O978" i="1"/>
  <c r="P978" i="1" s="1"/>
  <c r="O979" i="1"/>
  <c r="P979" i="1" s="1"/>
  <c r="O980" i="1"/>
  <c r="P980" i="1" s="1"/>
  <c r="O981" i="1"/>
  <c r="P981" i="1" s="1"/>
  <c r="O982" i="1"/>
  <c r="P982" i="1" s="1"/>
  <c r="O983" i="1"/>
  <c r="P983" i="1" s="1"/>
  <c r="O984" i="1"/>
  <c r="P984" i="1" s="1"/>
  <c r="O985" i="1"/>
  <c r="P985" i="1" s="1"/>
  <c r="O986" i="1"/>
  <c r="P986" i="1" s="1"/>
  <c r="O987" i="1"/>
  <c r="P987" i="1" s="1"/>
  <c r="O988" i="1"/>
  <c r="P988" i="1" s="1"/>
  <c r="O989" i="1"/>
  <c r="P989" i="1" s="1"/>
  <c r="O990" i="1"/>
  <c r="P990" i="1" s="1"/>
  <c r="O991" i="1"/>
  <c r="P991" i="1" s="1"/>
  <c r="O992" i="1"/>
  <c r="P992" i="1" s="1"/>
  <c r="O993" i="1"/>
  <c r="P993" i="1" s="1"/>
  <c r="O994" i="1"/>
  <c r="P994" i="1" s="1"/>
  <c r="O995" i="1"/>
  <c r="P995" i="1" s="1"/>
  <c r="O996" i="1"/>
  <c r="P996" i="1" s="1"/>
  <c r="O997" i="1"/>
  <c r="P997" i="1" s="1"/>
  <c r="O998" i="1"/>
  <c r="P998" i="1" s="1"/>
  <c r="O999" i="1"/>
  <c r="P999" i="1" s="1"/>
  <c r="O1000" i="1"/>
  <c r="P1000" i="1" s="1"/>
  <c r="O1001" i="1"/>
  <c r="P1001" i="1" s="1"/>
  <c r="O1002" i="1"/>
  <c r="P1002" i="1" s="1"/>
  <c r="O1003" i="1"/>
  <c r="P1003" i="1" s="1"/>
  <c r="O1004" i="1"/>
  <c r="P1004" i="1" s="1"/>
  <c r="O1005" i="1"/>
  <c r="P1005" i="1" s="1"/>
  <c r="O1006" i="1"/>
  <c r="P1006" i="1" s="1"/>
  <c r="O1007" i="1"/>
  <c r="P1007" i="1" s="1"/>
  <c r="O1008" i="1"/>
  <c r="P1008" i="1" s="1"/>
  <c r="O1009" i="1"/>
  <c r="P1009" i="1" s="1"/>
  <c r="O1010" i="1"/>
  <c r="P1010" i="1" s="1"/>
  <c r="O1011" i="1"/>
  <c r="P1011" i="1" s="1"/>
  <c r="O1012" i="1"/>
  <c r="P1012" i="1" s="1"/>
  <c r="O1013" i="1"/>
  <c r="P1013" i="1" s="1"/>
  <c r="O1014" i="1"/>
  <c r="P1014" i="1" s="1"/>
  <c r="O1015" i="1"/>
  <c r="P1015" i="1" s="1"/>
  <c r="O1016" i="1"/>
  <c r="P1016" i="1" s="1"/>
  <c r="O1017" i="1"/>
  <c r="P1017" i="1" s="1"/>
  <c r="O1018" i="1"/>
  <c r="P1018" i="1" s="1"/>
  <c r="O1019" i="1"/>
  <c r="P1019" i="1" s="1"/>
  <c r="O1020" i="1"/>
  <c r="P1020" i="1" s="1"/>
  <c r="O1021" i="1"/>
  <c r="P1021" i="1" s="1"/>
  <c r="O1022" i="1"/>
  <c r="P1022" i="1" s="1"/>
  <c r="O1023" i="1"/>
  <c r="P1023" i="1" s="1"/>
  <c r="O1024" i="1"/>
  <c r="P1024" i="1" s="1"/>
  <c r="O1025" i="1"/>
  <c r="P1025" i="1" s="1"/>
  <c r="O1026" i="1"/>
  <c r="P1026" i="1" s="1"/>
  <c r="O1027" i="1"/>
  <c r="P1027" i="1" s="1"/>
  <c r="O1028" i="1"/>
  <c r="P1028" i="1" s="1"/>
  <c r="O1029" i="1"/>
  <c r="P1029" i="1" s="1"/>
  <c r="O1030" i="1"/>
  <c r="P1030" i="1" s="1"/>
  <c r="O1031" i="1"/>
  <c r="P1031" i="1" s="1"/>
  <c r="O1032" i="1"/>
  <c r="P1032" i="1" s="1"/>
  <c r="O1033" i="1"/>
  <c r="P1033" i="1" s="1"/>
  <c r="O1034" i="1"/>
  <c r="P1034" i="1" s="1"/>
  <c r="O1035" i="1"/>
  <c r="P1035" i="1" s="1"/>
  <c r="O1036" i="1"/>
  <c r="P1036" i="1" s="1"/>
  <c r="O1037" i="1"/>
  <c r="P1037" i="1" s="1"/>
  <c r="O1038" i="1"/>
  <c r="P1038" i="1" s="1"/>
  <c r="O1039" i="1"/>
  <c r="P1039" i="1" s="1"/>
  <c r="O1040" i="1"/>
  <c r="P1040" i="1" s="1"/>
  <c r="O1041" i="1"/>
  <c r="P1041" i="1" s="1"/>
  <c r="O1042" i="1"/>
  <c r="P1042" i="1" s="1"/>
  <c r="O1043" i="1"/>
  <c r="P1043" i="1" s="1"/>
  <c r="O1044" i="1"/>
  <c r="P1044" i="1" s="1"/>
  <c r="O1045" i="1"/>
  <c r="P1045" i="1" s="1"/>
  <c r="O1046" i="1"/>
  <c r="P1046" i="1" s="1"/>
  <c r="O1047" i="1"/>
  <c r="P1047" i="1" s="1"/>
  <c r="O1048" i="1"/>
  <c r="P1048" i="1" s="1"/>
  <c r="O1049" i="1"/>
  <c r="P1049" i="1" s="1"/>
  <c r="O1050" i="1"/>
  <c r="P1050" i="1" s="1"/>
  <c r="O1051" i="1"/>
  <c r="P1051" i="1" s="1"/>
  <c r="O1052" i="1"/>
  <c r="P1052" i="1" s="1"/>
  <c r="O1053" i="1"/>
  <c r="P1053" i="1" s="1"/>
  <c r="O1054" i="1"/>
  <c r="P1054" i="1" s="1"/>
  <c r="O1055" i="1"/>
  <c r="P1055" i="1" s="1"/>
  <c r="O1056" i="1"/>
  <c r="P1056" i="1" s="1"/>
  <c r="O1057" i="1"/>
  <c r="P1057" i="1" s="1"/>
  <c r="O1058" i="1"/>
  <c r="P1058" i="1" s="1"/>
  <c r="O1059" i="1"/>
  <c r="P1059" i="1" s="1"/>
  <c r="O1060" i="1"/>
  <c r="P1060" i="1" s="1"/>
  <c r="O1061" i="1"/>
  <c r="P1061" i="1" s="1"/>
  <c r="O1062" i="1"/>
  <c r="P1062" i="1" s="1"/>
  <c r="O1063" i="1"/>
  <c r="P1063" i="1" s="1"/>
  <c r="O1064" i="1"/>
  <c r="P1064" i="1" s="1"/>
  <c r="O1065" i="1"/>
  <c r="P1065" i="1" s="1"/>
  <c r="O1066" i="1"/>
  <c r="P1066" i="1" s="1"/>
  <c r="O1067" i="1"/>
  <c r="P1067" i="1" s="1"/>
  <c r="O1068" i="1"/>
  <c r="P1068" i="1" s="1"/>
  <c r="O1069" i="1"/>
  <c r="P1069" i="1" s="1"/>
  <c r="O1070" i="1"/>
  <c r="P1070" i="1" s="1"/>
  <c r="O1071" i="1"/>
  <c r="P1071" i="1" s="1"/>
  <c r="O1072" i="1"/>
  <c r="P1072" i="1" s="1"/>
  <c r="O1073" i="1"/>
  <c r="P1073" i="1" s="1"/>
  <c r="O1074" i="1"/>
  <c r="P1074" i="1" s="1"/>
  <c r="O1075" i="1"/>
  <c r="P1075" i="1" s="1"/>
  <c r="O1076" i="1"/>
  <c r="P1076" i="1" s="1"/>
  <c r="O1077" i="1"/>
  <c r="P1077" i="1" s="1"/>
  <c r="O1078" i="1"/>
  <c r="P1078" i="1" s="1"/>
  <c r="O1079" i="1"/>
  <c r="P1079" i="1" s="1"/>
  <c r="O1080" i="1"/>
  <c r="P1080" i="1" s="1"/>
  <c r="O1081" i="1"/>
  <c r="P1081" i="1" s="1"/>
  <c r="O1082" i="1"/>
  <c r="P1082" i="1" s="1"/>
  <c r="O1083" i="1"/>
  <c r="P1083" i="1" s="1"/>
  <c r="O1084" i="1"/>
  <c r="P1084" i="1" s="1"/>
  <c r="O1085" i="1"/>
  <c r="P1085" i="1" s="1"/>
  <c r="O1086" i="1"/>
  <c r="P1086" i="1" s="1"/>
  <c r="O1087" i="1"/>
  <c r="P1087" i="1" s="1"/>
  <c r="O1088" i="1"/>
  <c r="P1088" i="1" s="1"/>
  <c r="O1089" i="1"/>
  <c r="P1089" i="1" s="1"/>
  <c r="O1090" i="1"/>
  <c r="P1090" i="1" s="1"/>
  <c r="O1091" i="1"/>
  <c r="P1091" i="1" s="1"/>
  <c r="O1092" i="1"/>
  <c r="P1092" i="1" s="1"/>
  <c r="O1093" i="1"/>
  <c r="P1093" i="1" s="1"/>
  <c r="O1094" i="1"/>
  <c r="P1094" i="1" s="1"/>
  <c r="O1095" i="1"/>
  <c r="P1095" i="1" s="1"/>
  <c r="O1096" i="1"/>
  <c r="P1096" i="1" s="1"/>
  <c r="O1097" i="1"/>
  <c r="P1097" i="1" s="1"/>
  <c r="O1098" i="1"/>
  <c r="P1098" i="1" s="1"/>
  <c r="O1099" i="1"/>
  <c r="P1099" i="1" s="1"/>
  <c r="O1100" i="1"/>
  <c r="P1100" i="1" s="1"/>
  <c r="O1101" i="1"/>
  <c r="P1101" i="1" s="1"/>
  <c r="O1102" i="1"/>
  <c r="P1102" i="1" s="1"/>
  <c r="O1103" i="1"/>
  <c r="P1103" i="1" s="1"/>
  <c r="O1104" i="1"/>
  <c r="P1104" i="1" s="1"/>
  <c r="O1105" i="1"/>
  <c r="P1105" i="1" s="1"/>
  <c r="O1106" i="1"/>
  <c r="P1106" i="1" s="1"/>
  <c r="O1107" i="1"/>
  <c r="P1107" i="1" s="1"/>
  <c r="O1108" i="1"/>
  <c r="P1108" i="1" s="1"/>
  <c r="O1109" i="1"/>
  <c r="P1109" i="1" s="1"/>
  <c r="O1110" i="1"/>
  <c r="P1110" i="1" s="1"/>
  <c r="O1111" i="1"/>
  <c r="P1111" i="1" s="1"/>
  <c r="O1112" i="1"/>
  <c r="P1112" i="1" s="1"/>
  <c r="O1113" i="1"/>
  <c r="P1113" i="1" s="1"/>
  <c r="O1114" i="1"/>
  <c r="P1114" i="1" s="1"/>
  <c r="O1115" i="1"/>
  <c r="P1115" i="1" s="1"/>
  <c r="O1116" i="1"/>
  <c r="P1116" i="1" s="1"/>
  <c r="O1117" i="1"/>
  <c r="P1117" i="1" s="1"/>
  <c r="O1118" i="1"/>
  <c r="P1118" i="1" s="1"/>
  <c r="O1119" i="1"/>
  <c r="P1119" i="1" s="1"/>
  <c r="O1120" i="1"/>
  <c r="P1120" i="1" s="1"/>
  <c r="O1121" i="1"/>
  <c r="P1121" i="1" s="1"/>
  <c r="O1122" i="1"/>
  <c r="P1122" i="1" s="1"/>
  <c r="O1123" i="1"/>
  <c r="P1123" i="1" s="1"/>
  <c r="O1124" i="1"/>
  <c r="P1124" i="1" s="1"/>
  <c r="O1125" i="1"/>
  <c r="P1125" i="1" s="1"/>
  <c r="O1126" i="1"/>
  <c r="P1126" i="1" s="1"/>
  <c r="O1127" i="1"/>
  <c r="P1127" i="1" s="1"/>
  <c r="O1128" i="1"/>
  <c r="P1128" i="1" s="1"/>
  <c r="O1129" i="1"/>
  <c r="P1129" i="1" s="1"/>
  <c r="O1130" i="1"/>
  <c r="P1130" i="1" s="1"/>
  <c r="O1131" i="1"/>
  <c r="P1131" i="1" s="1"/>
  <c r="O1132" i="1"/>
  <c r="P1132" i="1" s="1"/>
  <c r="O1133" i="1"/>
  <c r="P1133" i="1" s="1"/>
  <c r="O1134" i="1"/>
  <c r="P1134" i="1" s="1"/>
  <c r="O1135" i="1"/>
  <c r="P1135" i="1" s="1"/>
  <c r="O1136" i="1"/>
  <c r="P1136" i="1" s="1"/>
  <c r="O1137" i="1"/>
  <c r="P1137" i="1" s="1"/>
  <c r="O1138" i="1"/>
  <c r="P1138" i="1" s="1"/>
  <c r="O1139" i="1"/>
  <c r="P1139" i="1" s="1"/>
  <c r="O1140" i="1"/>
  <c r="P1140" i="1" s="1"/>
  <c r="O1141" i="1"/>
  <c r="P1141" i="1" s="1"/>
  <c r="O1142" i="1"/>
  <c r="P1142" i="1" s="1"/>
  <c r="O1143" i="1"/>
  <c r="P1143" i="1" s="1"/>
  <c r="O1144" i="1"/>
  <c r="P1144" i="1" s="1"/>
  <c r="O1145" i="1"/>
  <c r="P1145" i="1" s="1"/>
  <c r="O1146" i="1"/>
  <c r="P1146" i="1" s="1"/>
  <c r="O1147" i="1"/>
  <c r="P1147" i="1" s="1"/>
  <c r="O1148" i="1"/>
  <c r="P1148" i="1" s="1"/>
  <c r="O1149" i="1"/>
  <c r="P1149" i="1" s="1"/>
  <c r="O1150" i="1"/>
  <c r="P1150" i="1" s="1"/>
  <c r="O1151" i="1"/>
  <c r="P1151" i="1" s="1"/>
  <c r="O1152" i="1"/>
  <c r="P1152" i="1" s="1"/>
  <c r="O1153" i="1"/>
  <c r="P1153" i="1" s="1"/>
  <c r="O1154" i="1"/>
  <c r="P1154" i="1" s="1"/>
  <c r="O1155" i="1"/>
  <c r="P1155" i="1" s="1"/>
  <c r="O1156" i="1"/>
  <c r="P1156" i="1" s="1"/>
  <c r="O1157" i="1"/>
  <c r="P1157" i="1" s="1"/>
  <c r="O1158" i="1"/>
  <c r="P1158" i="1" s="1"/>
  <c r="O1159" i="1"/>
  <c r="P1159" i="1" s="1"/>
  <c r="O1160" i="1"/>
  <c r="P1160" i="1" s="1"/>
  <c r="O1161" i="1"/>
  <c r="P1161" i="1" s="1"/>
  <c r="O1162" i="1"/>
  <c r="P1162" i="1" s="1"/>
  <c r="O1163" i="1"/>
  <c r="P1163" i="1" s="1"/>
  <c r="O1164" i="1"/>
  <c r="P1164" i="1" s="1"/>
  <c r="O1165" i="1"/>
  <c r="P1165" i="1" s="1"/>
  <c r="O1166" i="1"/>
  <c r="P1166" i="1" s="1"/>
  <c r="O1167" i="1"/>
  <c r="P1167" i="1" s="1"/>
  <c r="O1168" i="1"/>
  <c r="P1168" i="1" s="1"/>
  <c r="O1169" i="1"/>
  <c r="P1169" i="1" s="1"/>
  <c r="O1170" i="1"/>
  <c r="P1170" i="1" s="1"/>
  <c r="O1171" i="1"/>
  <c r="P1171" i="1" s="1"/>
  <c r="O1172" i="1"/>
  <c r="P1172" i="1" s="1"/>
  <c r="O1173" i="1"/>
  <c r="P1173" i="1" s="1"/>
  <c r="O1174" i="1"/>
  <c r="P1174" i="1" s="1"/>
  <c r="O1175" i="1"/>
  <c r="P1175" i="1" s="1"/>
  <c r="O1176" i="1"/>
  <c r="P1176" i="1" s="1"/>
  <c r="O1177" i="1"/>
  <c r="P1177" i="1" s="1"/>
  <c r="O1178" i="1"/>
  <c r="P1178" i="1" s="1"/>
  <c r="O1179" i="1"/>
  <c r="P1179" i="1" s="1"/>
  <c r="O1180" i="1"/>
  <c r="P1180" i="1" s="1"/>
  <c r="O1181" i="1"/>
  <c r="P1181" i="1" s="1"/>
  <c r="O1182" i="1"/>
  <c r="P1182" i="1" s="1"/>
  <c r="O1183" i="1"/>
  <c r="P1183" i="1" s="1"/>
  <c r="O1184" i="1"/>
  <c r="P1184" i="1" s="1"/>
  <c r="O1185" i="1"/>
  <c r="P1185" i="1" s="1"/>
  <c r="O1186" i="1"/>
  <c r="P1186" i="1" s="1"/>
  <c r="O1187" i="1"/>
  <c r="P1187" i="1" s="1"/>
  <c r="O1188" i="1"/>
  <c r="P1188" i="1" s="1"/>
  <c r="O1189" i="1"/>
  <c r="P1189" i="1" s="1"/>
  <c r="O1190" i="1"/>
  <c r="P1190" i="1" s="1"/>
  <c r="O1191" i="1"/>
  <c r="P1191" i="1" s="1"/>
  <c r="O1192" i="1"/>
  <c r="P1192" i="1" s="1"/>
  <c r="O1193" i="1"/>
  <c r="P1193" i="1" s="1"/>
  <c r="O1194" i="1"/>
  <c r="P1194" i="1" s="1"/>
  <c r="O1195" i="1"/>
  <c r="P1195" i="1" s="1"/>
  <c r="O1196" i="1"/>
  <c r="P1196" i="1" s="1"/>
  <c r="O1197" i="1"/>
  <c r="P1197" i="1" s="1"/>
  <c r="O1198" i="1"/>
  <c r="P1198" i="1" s="1"/>
  <c r="O1199" i="1"/>
  <c r="P1199" i="1" s="1"/>
  <c r="O1200" i="1"/>
  <c r="P1200" i="1" s="1"/>
  <c r="O1201" i="1"/>
  <c r="P1201" i="1" s="1"/>
  <c r="O1202" i="1"/>
  <c r="P1202" i="1" s="1"/>
  <c r="O1203" i="1"/>
  <c r="P1203" i="1" s="1"/>
  <c r="O1204" i="1"/>
  <c r="P1204" i="1" s="1"/>
  <c r="O1205" i="1"/>
  <c r="P1205" i="1" s="1"/>
  <c r="O1206" i="1"/>
  <c r="P1206" i="1" s="1"/>
  <c r="O1207" i="1"/>
  <c r="P1207" i="1" s="1"/>
  <c r="O1208" i="1"/>
  <c r="P1208" i="1" s="1"/>
  <c r="O1209" i="1"/>
  <c r="P1209" i="1" s="1"/>
  <c r="O1210" i="1"/>
  <c r="P1210" i="1" s="1"/>
  <c r="O1211" i="1"/>
  <c r="P1211" i="1" s="1"/>
  <c r="O1212" i="1"/>
  <c r="P1212" i="1" s="1"/>
  <c r="O1213" i="1"/>
  <c r="P1213" i="1" s="1"/>
  <c r="O1214" i="1"/>
  <c r="P1214" i="1" s="1"/>
  <c r="O1215" i="1"/>
  <c r="P1215" i="1" s="1"/>
  <c r="O1216" i="1"/>
  <c r="P1216" i="1" s="1"/>
  <c r="O1217" i="1"/>
  <c r="P1217" i="1" s="1"/>
  <c r="O1218" i="1"/>
  <c r="P1218" i="1" s="1"/>
  <c r="O1219" i="1"/>
  <c r="P1219" i="1" s="1"/>
  <c r="O1220" i="1"/>
  <c r="P1220" i="1" s="1"/>
  <c r="O1221" i="1"/>
  <c r="P1221" i="1" s="1"/>
  <c r="O1222" i="1"/>
  <c r="P1222" i="1" s="1"/>
  <c r="O1223" i="1"/>
  <c r="P1223" i="1" s="1"/>
  <c r="O1224" i="1"/>
  <c r="P1224" i="1" s="1"/>
  <c r="O1225" i="1"/>
  <c r="P1225" i="1" s="1"/>
  <c r="O1226" i="1"/>
  <c r="P1226" i="1" s="1"/>
  <c r="O1227" i="1"/>
  <c r="P1227" i="1" s="1"/>
  <c r="O1228" i="1"/>
  <c r="P1228" i="1" s="1"/>
  <c r="O1229" i="1"/>
  <c r="P1229" i="1" s="1"/>
  <c r="O1230" i="1"/>
  <c r="P1230" i="1" s="1"/>
  <c r="O1231" i="1"/>
  <c r="P1231" i="1" s="1"/>
  <c r="O1232" i="1"/>
  <c r="P1232" i="1" s="1"/>
  <c r="O1233" i="1"/>
  <c r="P1233" i="1" s="1"/>
  <c r="O1234" i="1"/>
  <c r="P1234" i="1" s="1"/>
  <c r="O1235" i="1"/>
  <c r="P1235" i="1" s="1"/>
  <c r="O1236" i="1"/>
  <c r="P1236" i="1" s="1"/>
  <c r="O1237" i="1"/>
  <c r="P1237" i="1" s="1"/>
  <c r="O1238" i="1"/>
  <c r="P1238" i="1" s="1"/>
  <c r="O1239" i="1"/>
  <c r="P1239" i="1" s="1"/>
  <c r="O1240" i="1"/>
  <c r="P1240" i="1" s="1"/>
  <c r="O1241" i="1"/>
  <c r="P1241" i="1" s="1"/>
  <c r="O1242" i="1"/>
  <c r="P1242" i="1" s="1"/>
  <c r="O1243" i="1"/>
  <c r="P1243" i="1" s="1"/>
  <c r="O1244" i="1"/>
  <c r="P1244" i="1" s="1"/>
  <c r="O1245" i="1"/>
  <c r="P1245" i="1" s="1"/>
  <c r="O1246" i="1"/>
  <c r="P1246" i="1" s="1"/>
  <c r="O1247" i="1"/>
  <c r="P1247" i="1" s="1"/>
  <c r="O1248" i="1"/>
  <c r="P1248" i="1" s="1"/>
  <c r="O1249" i="1"/>
  <c r="P1249" i="1" s="1"/>
  <c r="O1250" i="1"/>
  <c r="P1250" i="1" s="1"/>
  <c r="O1251" i="1"/>
  <c r="P1251" i="1" s="1"/>
  <c r="O1252" i="1"/>
  <c r="P1252" i="1" s="1"/>
  <c r="O1253" i="1"/>
  <c r="P1253" i="1" s="1"/>
  <c r="O1254" i="1"/>
  <c r="P1254" i="1" s="1"/>
  <c r="O1255" i="1"/>
  <c r="P1255" i="1" s="1"/>
  <c r="O1256" i="1"/>
  <c r="P1256" i="1" s="1"/>
  <c r="O1257" i="1"/>
  <c r="P1257" i="1" s="1"/>
  <c r="O1258" i="1"/>
  <c r="P1258" i="1" s="1"/>
  <c r="O1259" i="1"/>
  <c r="P1259" i="1" s="1"/>
  <c r="O1260" i="1"/>
  <c r="P1260" i="1" s="1"/>
  <c r="O1261" i="1"/>
  <c r="P1261" i="1" s="1"/>
  <c r="O1262" i="1"/>
  <c r="P1262" i="1" s="1"/>
  <c r="O1263" i="1"/>
  <c r="P1263" i="1" s="1"/>
  <c r="O1264" i="1"/>
  <c r="P1264" i="1" s="1"/>
  <c r="O1265" i="1"/>
  <c r="P1265" i="1" s="1"/>
  <c r="O1266" i="1"/>
  <c r="P1266" i="1" s="1"/>
  <c r="O1267" i="1"/>
  <c r="P1267" i="1" s="1"/>
  <c r="O1268" i="1"/>
  <c r="P1268" i="1" s="1"/>
  <c r="O1269" i="1"/>
  <c r="P1269" i="1" s="1"/>
  <c r="O1270" i="1"/>
  <c r="P1270" i="1" s="1"/>
  <c r="O1271" i="1"/>
  <c r="P1271" i="1" s="1"/>
  <c r="O1272" i="1"/>
  <c r="P1272" i="1" s="1"/>
  <c r="O1273" i="1"/>
  <c r="P1273" i="1" s="1"/>
  <c r="O1274" i="1"/>
  <c r="P1274" i="1" s="1"/>
  <c r="O1275" i="1"/>
  <c r="P1275" i="1" s="1"/>
  <c r="O1276" i="1"/>
  <c r="P1276" i="1" s="1"/>
  <c r="O1277" i="1"/>
  <c r="P1277" i="1" s="1"/>
  <c r="O1278" i="1"/>
  <c r="P1278" i="1" s="1"/>
  <c r="O1279" i="1"/>
  <c r="P1279" i="1" s="1"/>
  <c r="O1280" i="1"/>
  <c r="P1280" i="1" s="1"/>
  <c r="O1281" i="1"/>
  <c r="P1281" i="1" s="1"/>
  <c r="O1282" i="1"/>
  <c r="P1282" i="1" s="1"/>
  <c r="O1283" i="1"/>
  <c r="P1283" i="1" s="1"/>
  <c r="O1284" i="1"/>
  <c r="P1284" i="1" s="1"/>
  <c r="O1285" i="1"/>
  <c r="P1285" i="1" s="1"/>
  <c r="O1286" i="1"/>
  <c r="P1286" i="1" s="1"/>
  <c r="O1287" i="1"/>
  <c r="P1287" i="1" s="1"/>
  <c r="O1288" i="1"/>
  <c r="P1288" i="1" s="1"/>
  <c r="O1289" i="1"/>
  <c r="P1289" i="1" s="1"/>
  <c r="O1290" i="1"/>
  <c r="P1290" i="1" s="1"/>
  <c r="O1291" i="1"/>
  <c r="P1291" i="1" s="1"/>
  <c r="O1292" i="1"/>
  <c r="P1292" i="1" s="1"/>
  <c r="O1293" i="1"/>
  <c r="P1293" i="1" s="1"/>
  <c r="O1294" i="1"/>
  <c r="P1294" i="1" s="1"/>
  <c r="O1295" i="1"/>
  <c r="P1295" i="1" s="1"/>
  <c r="O1296" i="1"/>
  <c r="P1296" i="1" s="1"/>
  <c r="O1297" i="1"/>
  <c r="P1297" i="1" s="1"/>
  <c r="O1298" i="1"/>
  <c r="P1298" i="1" s="1"/>
  <c r="O1299" i="1"/>
  <c r="P1299" i="1" s="1"/>
  <c r="O1300" i="1"/>
  <c r="P1300" i="1" s="1"/>
  <c r="O1301" i="1"/>
  <c r="P1301" i="1" s="1"/>
  <c r="O1302" i="1"/>
  <c r="P1302" i="1" s="1"/>
  <c r="O1303" i="1"/>
  <c r="P1303" i="1" s="1"/>
  <c r="O1304" i="1"/>
  <c r="P1304" i="1" s="1"/>
  <c r="O1305" i="1"/>
  <c r="P1305" i="1" s="1"/>
  <c r="O1306" i="1"/>
  <c r="P1306" i="1" s="1"/>
  <c r="O1307" i="1"/>
  <c r="P1307" i="1" s="1"/>
  <c r="O1308" i="1"/>
  <c r="P1308" i="1" s="1"/>
  <c r="O1309" i="1"/>
  <c r="P1309" i="1" s="1"/>
  <c r="O1310" i="1"/>
  <c r="P1310" i="1" s="1"/>
  <c r="O1311" i="1"/>
  <c r="P1311" i="1" s="1"/>
  <c r="O1312" i="1"/>
  <c r="P1312" i="1" s="1"/>
  <c r="O1313" i="1"/>
  <c r="P1313" i="1" s="1"/>
  <c r="O1314" i="1"/>
  <c r="P1314" i="1" s="1"/>
  <c r="O1315" i="1"/>
  <c r="P1315" i="1" s="1"/>
  <c r="O1316" i="1"/>
  <c r="P1316" i="1" s="1"/>
  <c r="O1317" i="1"/>
  <c r="P1317" i="1" s="1"/>
  <c r="O1318" i="1"/>
  <c r="P1318" i="1" s="1"/>
  <c r="O1319" i="1"/>
  <c r="P1319" i="1" s="1"/>
  <c r="O1320" i="1"/>
  <c r="P1320" i="1" s="1"/>
  <c r="O1321" i="1"/>
  <c r="P1321" i="1" s="1"/>
  <c r="O1322" i="1"/>
  <c r="P1322" i="1" s="1"/>
  <c r="O1323" i="1"/>
  <c r="P1323" i="1" s="1"/>
  <c r="O1324" i="1"/>
  <c r="P1324" i="1" s="1"/>
  <c r="O1325" i="1"/>
  <c r="P1325" i="1" s="1"/>
  <c r="O1326" i="1"/>
  <c r="P1326" i="1" s="1"/>
  <c r="O1327" i="1"/>
  <c r="P1327" i="1" s="1"/>
  <c r="O1328" i="1"/>
  <c r="P1328" i="1" s="1"/>
  <c r="O1329" i="1"/>
  <c r="P1329" i="1" s="1"/>
  <c r="O1330" i="1"/>
  <c r="P1330" i="1" s="1"/>
  <c r="O1331" i="1"/>
  <c r="P1331" i="1" s="1"/>
  <c r="O1332" i="1"/>
  <c r="P1332" i="1" s="1"/>
  <c r="O1333" i="1"/>
  <c r="P1333" i="1" s="1"/>
  <c r="O1334" i="1"/>
  <c r="P1334" i="1" s="1"/>
  <c r="O1335" i="1"/>
  <c r="P1335" i="1" s="1"/>
  <c r="O1336" i="1"/>
  <c r="P1336" i="1" s="1"/>
  <c r="O1337" i="1"/>
  <c r="P1337" i="1" s="1"/>
  <c r="O1338" i="1"/>
  <c r="P1338" i="1" s="1"/>
  <c r="O1339" i="1"/>
  <c r="P1339" i="1" s="1"/>
  <c r="O1340" i="1"/>
  <c r="P1340" i="1" s="1"/>
  <c r="O1341" i="1"/>
  <c r="P1341" i="1" s="1"/>
  <c r="O1342" i="1"/>
  <c r="P1342" i="1" s="1"/>
  <c r="O1343" i="1"/>
  <c r="P1343" i="1" s="1"/>
  <c r="O1344" i="1"/>
  <c r="P1344" i="1" s="1"/>
  <c r="O1345" i="1"/>
  <c r="P1345" i="1" s="1"/>
  <c r="O1346" i="1"/>
  <c r="P1346" i="1" s="1"/>
  <c r="O1347" i="1"/>
  <c r="P1347" i="1" s="1"/>
  <c r="O1348" i="1"/>
  <c r="P1348" i="1" s="1"/>
  <c r="O1349" i="1"/>
  <c r="P1349" i="1" s="1"/>
  <c r="O1350" i="1"/>
  <c r="P1350" i="1" s="1"/>
  <c r="O1351" i="1"/>
  <c r="P1351" i="1" s="1"/>
  <c r="O1352" i="1"/>
  <c r="P1352" i="1" s="1"/>
  <c r="O1353" i="1"/>
  <c r="P1353" i="1" s="1"/>
  <c r="O1354" i="1"/>
  <c r="P1354" i="1" s="1"/>
  <c r="O1355" i="1"/>
  <c r="P1355" i="1" s="1"/>
  <c r="O1356" i="1"/>
  <c r="P1356" i="1" s="1"/>
  <c r="O1357" i="1"/>
  <c r="P1357" i="1" s="1"/>
  <c r="O1358" i="1"/>
  <c r="P1358" i="1" s="1"/>
  <c r="O1359" i="1"/>
  <c r="P1359" i="1" s="1"/>
  <c r="O1360" i="1"/>
  <c r="P1360" i="1" s="1"/>
  <c r="O1361" i="1"/>
  <c r="P1361" i="1" s="1"/>
  <c r="O1362" i="1"/>
  <c r="P1362" i="1" s="1"/>
  <c r="O1363" i="1"/>
  <c r="P1363" i="1" s="1"/>
  <c r="O1364" i="1"/>
  <c r="P1364" i="1" s="1"/>
  <c r="O1365" i="1"/>
  <c r="P1365" i="1" s="1"/>
  <c r="O1366" i="1"/>
  <c r="P1366" i="1" s="1"/>
  <c r="O1367" i="1"/>
  <c r="P1367" i="1" s="1"/>
  <c r="O1368" i="1"/>
  <c r="P1368" i="1" s="1"/>
  <c r="O1369" i="1"/>
  <c r="P1369" i="1" s="1"/>
  <c r="O1370" i="1"/>
  <c r="P1370" i="1" s="1"/>
  <c r="O1371" i="1"/>
  <c r="P1371" i="1" s="1"/>
  <c r="O1372" i="1"/>
  <c r="P1372" i="1" s="1"/>
  <c r="O1373" i="1"/>
  <c r="P1373" i="1" s="1"/>
  <c r="O1374" i="1"/>
  <c r="P1374" i="1" s="1"/>
  <c r="O1375" i="1"/>
  <c r="P1375" i="1" s="1"/>
  <c r="O1376" i="1"/>
  <c r="P1376" i="1" s="1"/>
  <c r="O1377" i="1"/>
  <c r="P1377" i="1" s="1"/>
  <c r="O1378" i="1"/>
  <c r="P1378" i="1" s="1"/>
  <c r="O1379" i="1"/>
  <c r="P1379" i="1" s="1"/>
  <c r="O1380" i="1"/>
  <c r="P1380" i="1" s="1"/>
  <c r="O1381" i="1"/>
  <c r="P1381" i="1" s="1"/>
  <c r="O1382" i="1"/>
  <c r="P1382" i="1" s="1"/>
  <c r="O1383" i="1"/>
  <c r="P1383" i="1" s="1"/>
  <c r="O1384" i="1"/>
  <c r="P1384" i="1" s="1"/>
  <c r="O1385" i="1"/>
  <c r="P1385" i="1" s="1"/>
  <c r="O1386" i="1"/>
  <c r="P1386" i="1" s="1"/>
  <c r="O1387" i="1"/>
  <c r="P1387" i="1" s="1"/>
  <c r="O1388" i="1"/>
  <c r="P1388" i="1" s="1"/>
  <c r="O1389" i="1"/>
  <c r="P1389" i="1" s="1"/>
  <c r="O1390" i="1"/>
  <c r="P1390" i="1" s="1"/>
  <c r="O1391" i="1"/>
  <c r="P1391" i="1" s="1"/>
  <c r="O1392" i="1"/>
  <c r="P1392" i="1" s="1"/>
  <c r="O1393" i="1"/>
  <c r="P1393" i="1" s="1"/>
  <c r="O1394" i="1"/>
  <c r="P1394" i="1" s="1"/>
  <c r="O1395" i="1"/>
  <c r="P1395" i="1" s="1"/>
  <c r="O1396" i="1"/>
  <c r="P1396" i="1" s="1"/>
  <c r="O1397" i="1"/>
  <c r="P1397" i="1" s="1"/>
  <c r="O1398" i="1"/>
  <c r="P1398" i="1" s="1"/>
  <c r="O1399" i="1"/>
  <c r="P1399" i="1" s="1"/>
  <c r="O1400" i="1"/>
  <c r="P1400" i="1" s="1"/>
  <c r="O1401" i="1"/>
  <c r="P1401" i="1" s="1"/>
  <c r="O1402" i="1"/>
  <c r="P1402" i="1" s="1"/>
  <c r="O1403" i="1"/>
  <c r="P1403" i="1" s="1"/>
  <c r="O1404" i="1"/>
  <c r="P1404" i="1" s="1"/>
  <c r="O1405" i="1"/>
  <c r="P1405" i="1" s="1"/>
  <c r="O1406" i="1"/>
  <c r="P1406" i="1" s="1"/>
  <c r="O1407" i="1"/>
  <c r="P1407" i="1" s="1"/>
  <c r="O1408" i="1"/>
  <c r="P1408" i="1" s="1"/>
  <c r="O1409" i="1"/>
  <c r="P1409" i="1" s="1"/>
  <c r="O1410" i="1"/>
  <c r="P1410" i="1" s="1"/>
  <c r="O1411" i="1"/>
  <c r="P1411" i="1" s="1"/>
  <c r="O1412" i="1"/>
  <c r="P1412" i="1" s="1"/>
  <c r="O1413" i="1"/>
  <c r="P1413" i="1" s="1"/>
  <c r="O1414" i="1"/>
  <c r="P1414" i="1" s="1"/>
  <c r="O1415" i="1"/>
  <c r="P1415" i="1" s="1"/>
  <c r="O1416" i="1"/>
  <c r="P1416" i="1" s="1"/>
  <c r="O1417" i="1"/>
  <c r="P1417" i="1" s="1"/>
  <c r="O1418" i="1"/>
  <c r="P1418" i="1" s="1"/>
  <c r="O1419" i="1"/>
  <c r="P1419" i="1" s="1"/>
  <c r="O1420" i="1"/>
  <c r="P1420" i="1" s="1"/>
  <c r="O1421" i="1"/>
  <c r="P1421" i="1" s="1"/>
  <c r="O1422" i="1"/>
  <c r="P1422" i="1" s="1"/>
  <c r="O1423" i="1"/>
  <c r="P1423" i="1" s="1"/>
  <c r="O1424" i="1"/>
  <c r="P1424" i="1" s="1"/>
  <c r="O1425" i="1"/>
  <c r="P1425" i="1" s="1"/>
  <c r="O1426" i="1"/>
  <c r="P1426" i="1" s="1"/>
  <c r="O1427" i="1"/>
  <c r="P1427" i="1" s="1"/>
  <c r="O1428" i="1"/>
  <c r="P1428" i="1" s="1"/>
  <c r="O1429" i="1"/>
  <c r="P1429" i="1" s="1"/>
  <c r="O1430" i="1"/>
  <c r="P1430" i="1" s="1"/>
  <c r="O1431" i="1"/>
  <c r="P1431" i="1" s="1"/>
  <c r="O1432" i="1"/>
  <c r="P1432" i="1" s="1"/>
  <c r="O1433" i="1"/>
  <c r="P1433" i="1" s="1"/>
  <c r="O1434" i="1"/>
  <c r="P1434" i="1" s="1"/>
  <c r="O1435" i="1"/>
  <c r="P1435" i="1" s="1"/>
  <c r="O1436" i="1"/>
  <c r="P1436" i="1" s="1"/>
  <c r="O1437" i="1"/>
  <c r="P1437" i="1" s="1"/>
  <c r="O1438" i="1"/>
  <c r="P1438" i="1" s="1"/>
  <c r="O1439" i="1"/>
  <c r="P1439" i="1" s="1"/>
  <c r="O1440" i="1"/>
  <c r="P1440" i="1" s="1"/>
  <c r="O1441" i="1"/>
  <c r="P1441" i="1" s="1"/>
  <c r="O1442" i="1"/>
  <c r="P1442" i="1" s="1"/>
  <c r="O1443" i="1"/>
  <c r="P1443" i="1" s="1"/>
  <c r="O1444" i="1"/>
  <c r="P1444" i="1" s="1"/>
  <c r="O1445" i="1"/>
  <c r="P1445" i="1" s="1"/>
  <c r="O1446" i="1"/>
  <c r="P1446" i="1" s="1"/>
  <c r="O1447" i="1"/>
  <c r="P1447" i="1" s="1"/>
  <c r="O1448" i="1"/>
  <c r="P1448" i="1" s="1"/>
  <c r="O1449" i="1"/>
  <c r="P1449" i="1" s="1"/>
  <c r="O1450" i="1"/>
  <c r="P1450" i="1" s="1"/>
  <c r="O1451" i="1"/>
  <c r="P1451" i="1" s="1"/>
  <c r="O1452" i="1"/>
  <c r="P1452" i="1" s="1"/>
  <c r="O1453" i="1"/>
  <c r="P1453" i="1" s="1"/>
  <c r="O1454" i="1"/>
  <c r="P1454" i="1" s="1"/>
  <c r="O1455" i="1"/>
  <c r="P1455" i="1" s="1"/>
  <c r="O1456" i="1"/>
  <c r="P1456" i="1" s="1"/>
  <c r="O1457" i="1"/>
  <c r="P1457" i="1" s="1"/>
  <c r="O1458" i="1"/>
  <c r="P1458" i="1" s="1"/>
  <c r="O1459" i="1"/>
  <c r="P1459" i="1" s="1"/>
  <c r="O1460" i="1"/>
  <c r="P1460" i="1" s="1"/>
  <c r="O1461" i="1"/>
  <c r="P1461" i="1" s="1"/>
  <c r="O1462" i="1"/>
  <c r="P1462" i="1" s="1"/>
  <c r="O1463" i="1"/>
  <c r="P1463" i="1" s="1"/>
  <c r="O1464" i="1"/>
  <c r="P1464" i="1" s="1"/>
  <c r="O1465" i="1"/>
  <c r="P1465" i="1" s="1"/>
  <c r="O1466" i="1"/>
  <c r="P1466" i="1" s="1"/>
  <c r="O1467" i="1"/>
  <c r="P1467" i="1" s="1"/>
  <c r="O1468" i="1"/>
  <c r="P1468" i="1" s="1"/>
  <c r="O1469" i="1"/>
  <c r="P1469" i="1" s="1"/>
  <c r="O1470" i="1"/>
  <c r="P1470" i="1" s="1"/>
  <c r="O1471" i="1"/>
  <c r="P1471" i="1" s="1"/>
  <c r="O1472" i="1"/>
  <c r="P1472" i="1" s="1"/>
  <c r="O1473" i="1"/>
  <c r="P1473" i="1" s="1"/>
  <c r="O1474" i="1"/>
  <c r="P1474" i="1" s="1"/>
  <c r="O1475" i="1"/>
  <c r="P1475" i="1" s="1"/>
  <c r="O1476" i="1"/>
  <c r="P1476" i="1" s="1"/>
  <c r="O1477" i="1"/>
  <c r="P1477" i="1" s="1"/>
  <c r="O1478" i="1"/>
  <c r="P1478" i="1" s="1"/>
  <c r="O1479" i="1"/>
  <c r="P1479" i="1" s="1"/>
  <c r="O1480" i="1"/>
  <c r="P1480" i="1" s="1"/>
  <c r="O1481" i="1"/>
  <c r="P1481" i="1" s="1"/>
  <c r="O1482" i="1"/>
  <c r="P1482" i="1" s="1"/>
  <c r="O1483" i="1"/>
  <c r="P1483" i="1" s="1"/>
  <c r="O1484" i="1"/>
  <c r="P1484" i="1" s="1"/>
  <c r="O1485" i="1"/>
  <c r="P1485" i="1" s="1"/>
  <c r="O1486" i="1"/>
  <c r="P1486" i="1" s="1"/>
  <c r="O1487" i="1"/>
  <c r="P1487" i="1" s="1"/>
  <c r="O1488" i="1"/>
  <c r="P1488" i="1" s="1"/>
  <c r="O1489" i="1"/>
  <c r="P1489" i="1" s="1"/>
  <c r="O1490" i="1"/>
  <c r="P1490" i="1" s="1"/>
  <c r="O1491" i="1"/>
  <c r="P1491" i="1" s="1"/>
  <c r="O1492" i="1"/>
  <c r="P1492" i="1" s="1"/>
  <c r="O1493" i="1"/>
  <c r="P1493" i="1" s="1"/>
  <c r="O1494" i="1"/>
  <c r="P1494" i="1" s="1"/>
  <c r="O1495" i="1"/>
  <c r="P1495" i="1" s="1"/>
  <c r="O1496" i="1"/>
  <c r="P1496" i="1" s="1"/>
  <c r="O1497" i="1"/>
  <c r="P1497" i="1" s="1"/>
  <c r="O1498" i="1"/>
  <c r="P1498" i="1" s="1"/>
  <c r="O1499" i="1"/>
  <c r="P1499" i="1" s="1"/>
  <c r="O1500" i="1"/>
  <c r="P1500" i="1" s="1"/>
  <c r="O1501" i="1"/>
  <c r="P1501" i="1" s="1"/>
  <c r="O1502" i="1"/>
  <c r="P1502" i="1" s="1"/>
  <c r="O1503" i="1"/>
  <c r="P1503" i="1" s="1"/>
  <c r="O1504" i="1"/>
  <c r="P1504" i="1" s="1"/>
  <c r="O1505" i="1"/>
  <c r="P1505" i="1" s="1"/>
  <c r="O1506" i="1"/>
  <c r="P1506" i="1" s="1"/>
  <c r="O1507" i="1"/>
  <c r="P1507" i="1" s="1"/>
  <c r="O1508" i="1"/>
  <c r="P1508" i="1" s="1"/>
  <c r="O1509" i="1"/>
  <c r="P1509" i="1" s="1"/>
  <c r="O1510" i="1"/>
  <c r="P1510" i="1" s="1"/>
  <c r="O1511" i="1"/>
  <c r="P1511" i="1" s="1"/>
  <c r="O1512" i="1"/>
  <c r="P1512" i="1" s="1"/>
  <c r="O1513" i="1"/>
  <c r="P1513" i="1" s="1"/>
  <c r="O1514" i="1"/>
  <c r="P1514" i="1" s="1"/>
  <c r="O1515" i="1"/>
  <c r="P1515" i="1" s="1"/>
  <c r="O1516" i="1"/>
  <c r="P1516" i="1" s="1"/>
  <c r="O1517" i="1"/>
  <c r="P1517" i="1" s="1"/>
  <c r="O1518" i="1"/>
  <c r="P1518" i="1" s="1"/>
  <c r="O1519" i="1"/>
  <c r="P1519" i="1" s="1"/>
  <c r="O1520" i="1"/>
  <c r="P1520" i="1" s="1"/>
  <c r="O1521" i="1"/>
  <c r="P1521" i="1" s="1"/>
  <c r="O1522" i="1"/>
  <c r="P1522" i="1" s="1"/>
  <c r="O1523" i="1"/>
  <c r="P1523" i="1" s="1"/>
  <c r="O1524" i="1"/>
  <c r="P1524" i="1" s="1"/>
  <c r="O1525" i="1"/>
  <c r="P1525" i="1" s="1"/>
  <c r="O1526" i="1"/>
  <c r="P1526" i="1" s="1"/>
  <c r="O1527" i="1"/>
  <c r="P1527" i="1" s="1"/>
  <c r="O1528" i="1"/>
  <c r="P1528" i="1" s="1"/>
  <c r="O1529" i="1"/>
  <c r="P1529" i="1" s="1"/>
  <c r="O1530" i="1"/>
  <c r="P1530" i="1" s="1"/>
  <c r="O1531" i="1"/>
  <c r="P1531" i="1" s="1"/>
  <c r="O1532" i="1"/>
  <c r="P1532" i="1" s="1"/>
  <c r="O1533" i="1"/>
  <c r="P1533" i="1" s="1"/>
  <c r="O1534" i="1"/>
  <c r="P1534" i="1" s="1"/>
  <c r="O1535" i="1"/>
  <c r="P1535" i="1" s="1"/>
  <c r="O1536" i="1"/>
  <c r="P1536" i="1" s="1"/>
  <c r="O1537" i="1"/>
  <c r="P1537" i="1" s="1"/>
  <c r="O1538" i="1"/>
  <c r="P1538" i="1" s="1"/>
  <c r="O1539" i="1"/>
  <c r="P1539" i="1" s="1"/>
  <c r="O1540" i="1"/>
  <c r="P1540" i="1" s="1"/>
  <c r="O1541" i="1"/>
  <c r="P1541" i="1" s="1"/>
  <c r="O1542" i="1"/>
  <c r="P1542" i="1" s="1"/>
  <c r="O1543" i="1"/>
  <c r="P1543" i="1" s="1"/>
  <c r="O1544" i="1"/>
  <c r="P1544" i="1" s="1"/>
  <c r="O1545" i="1"/>
  <c r="P1545" i="1" s="1"/>
  <c r="O1546" i="1"/>
  <c r="P1546" i="1" s="1"/>
  <c r="O1547" i="1"/>
  <c r="P1547" i="1" s="1"/>
  <c r="O1548" i="1"/>
  <c r="P1548" i="1" s="1"/>
  <c r="O1549" i="1"/>
  <c r="P1549" i="1" s="1"/>
  <c r="O1550" i="1"/>
  <c r="P1550" i="1" s="1"/>
  <c r="O1551" i="1"/>
  <c r="P1551" i="1" s="1"/>
  <c r="O1552" i="1"/>
  <c r="P1552" i="1" s="1"/>
  <c r="O1553" i="1"/>
  <c r="P1553" i="1" s="1"/>
  <c r="O1554" i="1"/>
  <c r="P1554" i="1" s="1"/>
  <c r="O1555" i="1"/>
  <c r="P1555" i="1" s="1"/>
  <c r="O1556" i="1"/>
  <c r="P1556" i="1" s="1"/>
  <c r="O1557" i="1"/>
  <c r="P1557" i="1" s="1"/>
  <c r="O1558" i="1"/>
  <c r="P1558" i="1" s="1"/>
  <c r="O1559" i="1"/>
  <c r="P1559" i="1" s="1"/>
  <c r="O1560" i="1"/>
  <c r="P1560" i="1" s="1"/>
  <c r="O1561" i="1"/>
  <c r="P1561" i="1" s="1"/>
  <c r="O1562" i="1"/>
  <c r="P1562" i="1" s="1"/>
  <c r="O1563" i="1"/>
  <c r="P1563" i="1" s="1"/>
  <c r="O1564" i="1"/>
  <c r="P1564" i="1" s="1"/>
  <c r="O1565" i="1"/>
  <c r="P1565" i="1" s="1"/>
  <c r="O1566" i="1"/>
  <c r="P1566" i="1" s="1"/>
  <c r="O1567" i="1"/>
  <c r="P1567" i="1" s="1"/>
  <c r="O1568" i="1"/>
  <c r="P1568" i="1" s="1"/>
  <c r="O1569" i="1"/>
  <c r="P1569" i="1" s="1"/>
  <c r="O1570" i="1"/>
  <c r="P1570" i="1" s="1"/>
  <c r="O1571" i="1"/>
  <c r="P1571" i="1" s="1"/>
  <c r="O1572" i="1"/>
  <c r="P1572" i="1" s="1"/>
  <c r="O1573" i="1"/>
  <c r="P1573" i="1" s="1"/>
  <c r="O1574" i="1"/>
  <c r="P1574" i="1" s="1"/>
  <c r="O1575" i="1"/>
  <c r="P1575" i="1" s="1"/>
  <c r="O1576" i="1"/>
  <c r="P1576" i="1" s="1"/>
  <c r="O1577" i="1"/>
  <c r="P1577" i="1" s="1"/>
  <c r="O1578" i="1"/>
  <c r="P1578" i="1" s="1"/>
  <c r="O1579" i="1"/>
  <c r="P1579" i="1" s="1"/>
  <c r="O1580" i="1"/>
  <c r="P1580" i="1" s="1"/>
  <c r="O1581" i="1"/>
  <c r="P1581" i="1" s="1"/>
  <c r="O1582" i="1"/>
  <c r="P1582" i="1" s="1"/>
  <c r="O1583" i="1"/>
  <c r="P1583" i="1" s="1"/>
  <c r="O1584" i="1"/>
  <c r="P1584" i="1" s="1"/>
  <c r="O1585" i="1"/>
  <c r="P1585" i="1" s="1"/>
  <c r="O1586" i="1"/>
  <c r="P1586" i="1" s="1"/>
  <c r="O1587" i="1"/>
  <c r="P1587" i="1" s="1"/>
  <c r="O1588" i="1"/>
  <c r="P1588" i="1" s="1"/>
  <c r="O1589" i="1"/>
  <c r="P1589" i="1" s="1"/>
  <c r="O1590" i="1"/>
  <c r="P1590" i="1" s="1"/>
  <c r="O1591" i="1"/>
  <c r="P1591" i="1" s="1"/>
  <c r="O1592" i="1"/>
  <c r="P1592" i="1" s="1"/>
  <c r="O1593" i="1"/>
  <c r="P1593" i="1" s="1"/>
  <c r="O1594" i="1"/>
  <c r="P1594" i="1" s="1"/>
  <c r="O1595" i="1"/>
  <c r="P1595" i="1" s="1"/>
  <c r="O1596" i="1"/>
  <c r="P1596" i="1" s="1"/>
  <c r="O1597" i="1"/>
  <c r="P1597" i="1" s="1"/>
  <c r="O1598" i="1"/>
  <c r="P1598" i="1" s="1"/>
  <c r="O1599" i="1"/>
  <c r="P1599" i="1" s="1"/>
  <c r="O1600" i="1"/>
  <c r="P1600" i="1" s="1"/>
  <c r="O1601" i="1"/>
  <c r="P1601" i="1" s="1"/>
  <c r="O1602" i="1"/>
  <c r="P1602" i="1" s="1"/>
  <c r="O1603" i="1"/>
  <c r="P1603" i="1" s="1"/>
  <c r="O1604" i="1"/>
  <c r="P1604" i="1" s="1"/>
  <c r="O1605" i="1"/>
  <c r="P1605" i="1" s="1"/>
  <c r="O1606" i="1"/>
  <c r="P1606" i="1" s="1"/>
  <c r="O1607" i="1"/>
  <c r="P1607" i="1" s="1"/>
  <c r="O1608" i="1"/>
  <c r="P1608" i="1" s="1"/>
  <c r="O1609" i="1"/>
  <c r="P1609" i="1" s="1"/>
  <c r="O1610" i="1"/>
  <c r="P1610" i="1" s="1"/>
  <c r="O1611" i="1"/>
  <c r="P1611" i="1" s="1"/>
  <c r="O1612" i="1"/>
  <c r="P1612" i="1" s="1"/>
  <c r="O1613" i="1"/>
  <c r="P1613" i="1" s="1"/>
  <c r="O1614" i="1"/>
  <c r="P1614" i="1" s="1"/>
  <c r="O1615" i="1"/>
  <c r="P1615" i="1" s="1"/>
  <c r="O1616" i="1"/>
  <c r="P1616" i="1" s="1"/>
  <c r="O1617" i="1"/>
  <c r="P1617" i="1" s="1"/>
  <c r="O1618" i="1"/>
  <c r="P1618" i="1" s="1"/>
  <c r="O1619" i="1"/>
  <c r="P1619" i="1" s="1"/>
  <c r="O1620" i="1"/>
  <c r="P1620" i="1" s="1"/>
  <c r="O1621" i="1"/>
  <c r="P1621" i="1" s="1"/>
  <c r="O1622" i="1"/>
  <c r="P1622" i="1" s="1"/>
  <c r="O1623" i="1"/>
  <c r="P1623" i="1" s="1"/>
  <c r="O1624" i="1"/>
  <c r="P1624" i="1" s="1"/>
  <c r="O1625" i="1"/>
  <c r="P1625" i="1" s="1"/>
  <c r="O1626" i="1"/>
  <c r="P1626" i="1" s="1"/>
  <c r="O1627" i="1"/>
  <c r="P1627" i="1" s="1"/>
  <c r="O1628" i="1"/>
  <c r="P1628" i="1" s="1"/>
  <c r="O1629" i="1"/>
  <c r="P1629" i="1" s="1"/>
  <c r="O1630" i="1"/>
  <c r="P1630" i="1" s="1"/>
  <c r="O1631" i="1"/>
  <c r="P1631" i="1" s="1"/>
  <c r="O1632" i="1"/>
  <c r="P1632" i="1" s="1"/>
  <c r="O1633" i="1"/>
  <c r="P1633" i="1" s="1"/>
  <c r="O1634" i="1"/>
  <c r="P1634" i="1" s="1"/>
  <c r="O1635" i="1"/>
  <c r="P1635" i="1" s="1"/>
  <c r="O1636" i="1"/>
  <c r="P1636" i="1" s="1"/>
  <c r="O1637" i="1"/>
  <c r="P1637" i="1" s="1"/>
  <c r="O1638" i="1"/>
  <c r="P1638" i="1" s="1"/>
  <c r="O1639" i="1"/>
  <c r="P1639" i="1" s="1"/>
  <c r="O1640" i="1"/>
  <c r="P1640" i="1" s="1"/>
  <c r="O1641" i="1"/>
  <c r="P1641" i="1" s="1"/>
  <c r="O1642" i="1"/>
  <c r="P1642" i="1" s="1"/>
  <c r="O1643" i="1"/>
  <c r="P1643" i="1" s="1"/>
  <c r="O1644" i="1"/>
  <c r="P1644" i="1" s="1"/>
  <c r="O1645" i="1"/>
  <c r="P1645" i="1" s="1"/>
  <c r="O1646" i="1"/>
  <c r="P1646" i="1" s="1"/>
  <c r="O1647" i="1"/>
  <c r="P1647" i="1" s="1"/>
  <c r="O1648" i="1"/>
  <c r="P1648" i="1" s="1"/>
  <c r="O1649" i="1"/>
  <c r="P1649" i="1" s="1"/>
  <c r="O1650" i="1"/>
  <c r="P1650" i="1" s="1"/>
  <c r="O1651" i="1"/>
  <c r="P1651" i="1" s="1"/>
  <c r="O1652" i="1"/>
  <c r="P1652" i="1" s="1"/>
  <c r="O1653" i="1"/>
  <c r="P1653" i="1" s="1"/>
  <c r="O1654" i="1"/>
  <c r="P1654" i="1" s="1"/>
  <c r="O1655" i="1"/>
  <c r="P1655" i="1" s="1"/>
  <c r="O1656" i="1"/>
  <c r="P1656" i="1" s="1"/>
  <c r="O1657" i="1"/>
  <c r="P1657" i="1" s="1"/>
  <c r="O1658" i="1"/>
  <c r="P1658" i="1" s="1"/>
  <c r="O1659" i="1"/>
  <c r="P1659" i="1" s="1"/>
  <c r="O1660" i="1"/>
  <c r="P1660" i="1" s="1"/>
  <c r="O1661" i="1"/>
  <c r="P1661" i="1" s="1"/>
  <c r="O1662" i="1"/>
  <c r="P1662" i="1" s="1"/>
  <c r="O1663" i="1"/>
  <c r="P1663" i="1" s="1"/>
  <c r="O1664" i="1"/>
  <c r="P1664" i="1" s="1"/>
  <c r="O1665" i="1"/>
  <c r="P1665" i="1" s="1"/>
  <c r="O1666" i="1"/>
  <c r="P1666" i="1" s="1"/>
  <c r="O1667" i="1"/>
  <c r="P1667" i="1" s="1"/>
  <c r="O1668" i="1"/>
  <c r="P1668" i="1" s="1"/>
  <c r="O1669" i="1"/>
  <c r="P1669" i="1" s="1"/>
  <c r="O1670" i="1"/>
  <c r="P1670" i="1" s="1"/>
  <c r="O1671" i="1"/>
  <c r="P1671" i="1" s="1"/>
  <c r="O1672" i="1"/>
  <c r="P1672" i="1" s="1"/>
  <c r="O1673" i="1"/>
  <c r="P1673" i="1" s="1"/>
  <c r="O1674" i="1"/>
  <c r="P1674" i="1" s="1"/>
  <c r="O1675" i="1"/>
  <c r="P1675" i="1" s="1"/>
  <c r="O1676" i="1"/>
  <c r="P1676" i="1" s="1"/>
  <c r="O1677" i="1"/>
  <c r="P1677" i="1" s="1"/>
  <c r="O1678" i="1"/>
  <c r="P1678" i="1" s="1"/>
  <c r="O1679" i="1"/>
  <c r="P1679" i="1" s="1"/>
  <c r="O1680" i="1"/>
  <c r="P1680" i="1" s="1"/>
  <c r="O1681" i="1"/>
  <c r="P1681" i="1" s="1"/>
  <c r="O1682" i="1"/>
  <c r="P1682" i="1" s="1"/>
  <c r="O1683" i="1"/>
  <c r="P1683" i="1" s="1"/>
  <c r="O1684" i="1"/>
  <c r="P1684" i="1" s="1"/>
  <c r="O1685" i="1"/>
  <c r="P1685" i="1" s="1"/>
  <c r="O1686" i="1"/>
  <c r="P1686" i="1" s="1"/>
  <c r="O1687" i="1"/>
  <c r="P1687" i="1" s="1"/>
  <c r="O1688" i="1"/>
  <c r="P1688" i="1" s="1"/>
  <c r="O1689" i="1"/>
  <c r="P1689" i="1" s="1"/>
  <c r="O1690" i="1"/>
  <c r="P1690" i="1" s="1"/>
  <c r="O1691" i="1"/>
  <c r="P1691" i="1" s="1"/>
  <c r="O1692" i="1"/>
  <c r="P1692" i="1" s="1"/>
  <c r="O1693" i="1"/>
  <c r="P1693" i="1" s="1"/>
  <c r="O1694" i="1"/>
  <c r="P1694" i="1" s="1"/>
  <c r="O1695" i="1"/>
  <c r="P1695" i="1" s="1"/>
  <c r="O1696" i="1"/>
  <c r="P1696" i="1" s="1"/>
  <c r="O1697" i="1"/>
  <c r="P1697" i="1" s="1"/>
  <c r="O1698" i="1"/>
  <c r="P1698" i="1" s="1"/>
  <c r="O1699" i="1"/>
  <c r="P1699" i="1" s="1"/>
  <c r="O1700" i="1"/>
  <c r="P1700" i="1" s="1"/>
  <c r="O1701" i="1"/>
  <c r="P1701" i="1" s="1"/>
  <c r="O1702" i="1"/>
  <c r="P1702" i="1" s="1"/>
  <c r="O1703" i="1"/>
  <c r="P1703" i="1" s="1"/>
  <c r="O1704" i="1"/>
  <c r="P1704" i="1" s="1"/>
  <c r="O1705" i="1"/>
  <c r="P1705" i="1" s="1"/>
  <c r="O1706" i="1"/>
  <c r="P1706" i="1" s="1"/>
  <c r="O1707" i="1"/>
  <c r="P1707" i="1" s="1"/>
  <c r="O1708" i="1"/>
  <c r="P1708" i="1" s="1"/>
  <c r="O1709" i="1"/>
  <c r="P1709" i="1" s="1"/>
  <c r="O1710" i="1"/>
  <c r="P1710" i="1" s="1"/>
  <c r="O1711" i="1"/>
  <c r="P1711" i="1" s="1"/>
  <c r="O1712" i="1"/>
  <c r="P1712" i="1" s="1"/>
  <c r="O1713" i="1"/>
  <c r="P1713" i="1" s="1"/>
  <c r="O1714" i="1"/>
  <c r="P1714" i="1" s="1"/>
  <c r="O1715" i="1"/>
  <c r="P1715" i="1" s="1"/>
  <c r="O1716" i="1"/>
  <c r="P1716" i="1" s="1"/>
  <c r="O1717" i="1"/>
  <c r="P1717" i="1" s="1"/>
  <c r="O1718" i="1"/>
  <c r="P1718" i="1" s="1"/>
  <c r="O1719" i="1"/>
  <c r="P1719" i="1" s="1"/>
  <c r="O1720" i="1"/>
  <c r="P1720" i="1" s="1"/>
  <c r="O1721" i="1"/>
  <c r="P1721" i="1" s="1"/>
  <c r="O1722" i="1"/>
  <c r="P1722" i="1" s="1"/>
  <c r="O1723" i="1"/>
  <c r="P1723" i="1" s="1"/>
  <c r="O1724" i="1"/>
  <c r="P1724" i="1" s="1"/>
  <c r="O1725" i="1"/>
  <c r="P1725" i="1" s="1"/>
  <c r="O1726" i="1"/>
  <c r="P1726" i="1" s="1"/>
  <c r="O1727" i="1"/>
  <c r="P1727" i="1" s="1"/>
  <c r="O1728" i="1"/>
  <c r="P1728" i="1" s="1"/>
  <c r="O1729" i="1"/>
  <c r="P1729" i="1" s="1"/>
  <c r="O1730" i="1"/>
  <c r="P1730" i="1" s="1"/>
  <c r="O1731" i="1"/>
  <c r="P1731" i="1" s="1"/>
  <c r="O1732" i="1"/>
  <c r="P1732" i="1" s="1"/>
  <c r="O1733" i="1"/>
  <c r="P1733" i="1" s="1"/>
  <c r="O1734" i="1"/>
  <c r="P1734" i="1" s="1"/>
  <c r="O1735" i="1"/>
  <c r="P1735" i="1" s="1"/>
  <c r="O1736" i="1"/>
  <c r="P1736" i="1" s="1"/>
  <c r="O1737" i="1"/>
  <c r="P1737" i="1" s="1"/>
  <c r="O1738" i="1"/>
  <c r="P1738" i="1" s="1"/>
  <c r="O1739" i="1"/>
  <c r="P1739" i="1" s="1"/>
  <c r="O1740" i="1"/>
  <c r="P1740" i="1" s="1"/>
  <c r="O1741" i="1"/>
  <c r="P1741" i="1" s="1"/>
  <c r="O1742" i="1"/>
  <c r="P1742" i="1" s="1"/>
  <c r="O1743" i="1"/>
  <c r="P1743" i="1" s="1"/>
  <c r="O1744" i="1"/>
  <c r="P1744" i="1" s="1"/>
  <c r="O1745" i="1"/>
  <c r="P1745" i="1" s="1"/>
  <c r="O1746" i="1"/>
  <c r="P1746" i="1" s="1"/>
  <c r="O1747" i="1"/>
  <c r="P1747" i="1" s="1"/>
  <c r="O1748" i="1"/>
  <c r="P1748" i="1" s="1"/>
  <c r="O1749" i="1"/>
  <c r="P1749" i="1" s="1"/>
  <c r="O1750" i="1"/>
  <c r="P1750" i="1" s="1"/>
  <c r="O1751" i="1"/>
  <c r="P1751" i="1" s="1"/>
  <c r="O1752" i="1"/>
  <c r="P1752" i="1" s="1"/>
  <c r="O1753" i="1"/>
  <c r="P1753" i="1" s="1"/>
  <c r="O1754" i="1"/>
  <c r="P1754" i="1" s="1"/>
  <c r="O1755" i="1"/>
  <c r="P1755" i="1" s="1"/>
  <c r="O1756" i="1"/>
  <c r="P1756" i="1" s="1"/>
  <c r="O1757" i="1"/>
  <c r="P1757" i="1" s="1"/>
  <c r="O1758" i="1"/>
  <c r="P1758" i="1" s="1"/>
  <c r="O1759" i="1"/>
  <c r="P1759" i="1" s="1"/>
  <c r="O1760" i="1"/>
  <c r="P1760" i="1" s="1"/>
  <c r="O1761" i="1"/>
  <c r="P1761" i="1" s="1"/>
  <c r="O1762" i="1"/>
  <c r="P1762" i="1" s="1"/>
  <c r="O1763" i="1"/>
  <c r="P1763" i="1" s="1"/>
  <c r="O1764" i="1"/>
  <c r="P1764" i="1" s="1"/>
  <c r="O1765" i="1"/>
  <c r="P1765" i="1" s="1"/>
  <c r="O1766" i="1"/>
  <c r="P1766" i="1" s="1"/>
  <c r="O1767" i="1"/>
  <c r="P1767" i="1" s="1"/>
  <c r="O1768" i="1"/>
  <c r="P1768" i="1" s="1"/>
  <c r="O1769" i="1"/>
  <c r="P1769" i="1" s="1"/>
  <c r="O1770" i="1"/>
  <c r="P1770" i="1" s="1"/>
  <c r="O1771" i="1"/>
  <c r="P1771" i="1" s="1"/>
  <c r="O1772" i="1"/>
  <c r="P1772" i="1" s="1"/>
  <c r="O1773" i="1"/>
  <c r="P1773" i="1" s="1"/>
  <c r="O1774" i="1"/>
  <c r="P1774" i="1" s="1"/>
  <c r="O1775" i="1"/>
  <c r="P1775" i="1" s="1"/>
  <c r="O1776" i="1"/>
  <c r="P1776" i="1" s="1"/>
  <c r="O1777" i="1"/>
  <c r="P1777" i="1" s="1"/>
  <c r="O1778" i="1"/>
  <c r="P1778" i="1" s="1"/>
  <c r="O1779" i="1"/>
  <c r="P1779" i="1" s="1"/>
  <c r="O1780" i="1"/>
  <c r="P1780" i="1" s="1"/>
  <c r="O1781" i="1"/>
  <c r="P1781" i="1" s="1"/>
  <c r="O1782" i="1"/>
  <c r="P1782" i="1" s="1"/>
  <c r="O1783" i="1"/>
  <c r="P1783" i="1" s="1"/>
  <c r="O1784" i="1"/>
  <c r="P1784" i="1" s="1"/>
  <c r="O1785" i="1"/>
  <c r="P1785" i="1" s="1"/>
  <c r="O1786" i="1"/>
  <c r="P1786" i="1" s="1"/>
  <c r="O1787" i="1"/>
  <c r="P1787" i="1" s="1"/>
  <c r="O1788" i="1"/>
  <c r="P1788" i="1" s="1"/>
  <c r="O1789" i="1"/>
  <c r="P1789" i="1" s="1"/>
  <c r="O1790" i="1"/>
  <c r="P1790" i="1" s="1"/>
  <c r="O1791" i="1"/>
  <c r="P1791" i="1" s="1"/>
  <c r="O1792" i="1"/>
  <c r="P1792" i="1" s="1"/>
  <c r="O1793" i="1"/>
  <c r="P1793" i="1" s="1"/>
  <c r="O1794" i="1"/>
  <c r="P1794" i="1" s="1"/>
  <c r="O1795" i="1"/>
  <c r="P1795" i="1" s="1"/>
  <c r="O1796" i="1"/>
  <c r="P1796" i="1" s="1"/>
  <c r="O1797" i="1"/>
  <c r="P1797" i="1" s="1"/>
  <c r="O1798" i="1"/>
  <c r="P1798" i="1" s="1"/>
  <c r="O1799" i="1"/>
  <c r="P1799" i="1" s="1"/>
  <c r="O1800" i="1"/>
  <c r="P1800" i="1" s="1"/>
  <c r="O1801" i="1"/>
  <c r="P1801" i="1" s="1"/>
  <c r="O1802" i="1"/>
  <c r="P1802" i="1" s="1"/>
  <c r="O1803" i="1"/>
  <c r="P1803" i="1" s="1"/>
  <c r="O1804" i="1"/>
  <c r="P1804" i="1" s="1"/>
  <c r="O1805" i="1"/>
  <c r="P1805" i="1" s="1"/>
  <c r="O1806" i="1"/>
  <c r="P1806" i="1" s="1"/>
  <c r="O1807" i="1"/>
  <c r="P1807" i="1" s="1"/>
  <c r="O1808" i="1"/>
  <c r="P1808" i="1" s="1"/>
  <c r="O1809" i="1"/>
  <c r="P1809" i="1" s="1"/>
  <c r="O1810" i="1"/>
  <c r="P1810" i="1" s="1"/>
  <c r="O1811" i="1"/>
  <c r="P1811" i="1" s="1"/>
  <c r="O1812" i="1"/>
  <c r="P1812" i="1" s="1"/>
  <c r="O1813" i="1"/>
  <c r="P1813" i="1" s="1"/>
  <c r="O1814" i="1"/>
  <c r="P1814" i="1" s="1"/>
  <c r="O1815" i="1"/>
  <c r="P1815" i="1" s="1"/>
  <c r="O1816" i="1"/>
  <c r="P1816" i="1" s="1"/>
  <c r="O1817" i="1"/>
  <c r="P1817" i="1" s="1"/>
  <c r="O1818" i="1"/>
  <c r="P1818" i="1" s="1"/>
  <c r="O1819" i="1"/>
  <c r="P1819" i="1" s="1"/>
  <c r="O1820" i="1"/>
  <c r="P1820" i="1" s="1"/>
  <c r="O1821" i="1"/>
  <c r="P1821" i="1" s="1"/>
  <c r="O1822" i="1"/>
  <c r="P1822" i="1" s="1"/>
  <c r="O1823" i="1"/>
  <c r="P1823" i="1" s="1"/>
  <c r="O1824" i="1"/>
  <c r="P1824" i="1" s="1"/>
  <c r="O1825" i="1"/>
  <c r="P1825" i="1" s="1"/>
  <c r="O1826" i="1"/>
  <c r="P1826" i="1" s="1"/>
  <c r="O1827" i="1"/>
  <c r="P1827" i="1" s="1"/>
  <c r="O1828" i="1"/>
  <c r="P1828" i="1" s="1"/>
  <c r="O1829" i="1"/>
  <c r="P1829" i="1" s="1"/>
  <c r="O1830" i="1"/>
  <c r="P1830" i="1" s="1"/>
  <c r="O1831" i="1"/>
  <c r="P1831" i="1" s="1"/>
  <c r="O1832" i="1"/>
  <c r="P1832" i="1" s="1"/>
  <c r="O1833" i="1"/>
  <c r="P1833" i="1" s="1"/>
  <c r="O1834" i="1"/>
  <c r="P1834" i="1" s="1"/>
  <c r="O1835" i="1"/>
  <c r="P1835" i="1" s="1"/>
  <c r="O1836" i="1"/>
  <c r="P1836" i="1" s="1"/>
  <c r="O1837" i="1"/>
  <c r="P1837" i="1" s="1"/>
  <c r="O1838" i="1"/>
  <c r="P1838" i="1" s="1"/>
  <c r="O1839" i="1"/>
  <c r="P1839" i="1" s="1"/>
  <c r="O1840" i="1"/>
  <c r="P1840" i="1" s="1"/>
  <c r="O1841" i="1"/>
  <c r="P1841" i="1" s="1"/>
  <c r="O1842" i="1"/>
  <c r="P1842" i="1" s="1"/>
  <c r="O1843" i="1"/>
  <c r="P1843" i="1" s="1"/>
  <c r="O1844" i="1"/>
  <c r="P1844" i="1" s="1"/>
  <c r="O1845" i="1"/>
  <c r="P1845" i="1" s="1"/>
  <c r="O1846" i="1"/>
  <c r="P1846" i="1" s="1"/>
  <c r="O1847" i="1"/>
  <c r="P1847" i="1" s="1"/>
  <c r="O1848" i="1"/>
  <c r="P1848" i="1" s="1"/>
  <c r="O1849" i="1"/>
  <c r="P1849" i="1" s="1"/>
  <c r="O1850" i="1"/>
  <c r="P1850" i="1" s="1"/>
  <c r="O1851" i="1"/>
  <c r="P1851" i="1" s="1"/>
  <c r="O1852" i="1"/>
  <c r="P1852" i="1" s="1"/>
  <c r="O1853" i="1"/>
  <c r="P1853" i="1" s="1"/>
  <c r="O1854" i="1"/>
  <c r="P1854" i="1" s="1"/>
  <c r="O1855" i="1"/>
  <c r="P1855" i="1" s="1"/>
  <c r="O1856" i="1"/>
  <c r="P1856" i="1" s="1"/>
  <c r="O1857" i="1"/>
  <c r="P1857" i="1" s="1"/>
  <c r="O1858" i="1"/>
  <c r="P1858" i="1" s="1"/>
  <c r="O1859" i="1"/>
  <c r="P1859" i="1" s="1"/>
  <c r="O1860" i="1"/>
  <c r="P1860" i="1" s="1"/>
  <c r="O1861" i="1"/>
  <c r="P1861" i="1" s="1"/>
  <c r="O1862" i="1"/>
  <c r="P1862" i="1" s="1"/>
  <c r="O1863" i="1"/>
  <c r="P1863" i="1" s="1"/>
  <c r="O1864" i="1"/>
  <c r="P1864" i="1" s="1"/>
  <c r="O1865" i="1"/>
  <c r="P1865" i="1" s="1"/>
  <c r="O1866" i="1"/>
  <c r="P1866" i="1" s="1"/>
  <c r="O1867" i="1"/>
  <c r="P1867" i="1" s="1"/>
  <c r="O1868" i="1"/>
  <c r="P1868" i="1" s="1"/>
  <c r="O1869" i="1"/>
  <c r="P1869" i="1" s="1"/>
  <c r="O1870" i="1"/>
  <c r="P1870" i="1" s="1"/>
  <c r="O1871" i="1"/>
  <c r="P1871" i="1" s="1"/>
  <c r="O1872" i="1"/>
  <c r="P1872" i="1" s="1"/>
  <c r="O1873" i="1"/>
  <c r="P1873" i="1" s="1"/>
  <c r="O1874" i="1"/>
  <c r="P1874" i="1" s="1"/>
  <c r="O1875" i="1"/>
  <c r="P1875" i="1" s="1"/>
  <c r="O1876" i="1"/>
  <c r="P1876" i="1" s="1"/>
  <c r="O1877" i="1"/>
  <c r="P1877" i="1" s="1"/>
  <c r="O1878" i="1"/>
  <c r="P1878" i="1" s="1"/>
  <c r="O1879" i="1"/>
  <c r="P1879" i="1" s="1"/>
  <c r="O1880" i="1"/>
  <c r="P1880" i="1" s="1"/>
  <c r="O1881" i="1"/>
  <c r="P1881" i="1" s="1"/>
  <c r="O1882" i="1"/>
  <c r="P1882" i="1" s="1"/>
  <c r="O1883" i="1"/>
  <c r="P1883" i="1" s="1"/>
  <c r="O1884" i="1"/>
  <c r="P1884" i="1" s="1"/>
  <c r="O1885" i="1"/>
  <c r="P1885" i="1" s="1"/>
  <c r="O1886" i="1"/>
  <c r="P1886" i="1" s="1"/>
  <c r="O1887" i="1"/>
  <c r="P1887" i="1" s="1"/>
  <c r="O1888" i="1"/>
  <c r="P1888" i="1" s="1"/>
  <c r="O1889" i="1"/>
  <c r="P1889" i="1" s="1"/>
  <c r="O1890" i="1"/>
  <c r="P1890" i="1" s="1"/>
  <c r="O1891" i="1"/>
  <c r="P1891" i="1" s="1"/>
  <c r="O1892" i="1"/>
  <c r="P1892" i="1" s="1"/>
  <c r="O1893" i="1"/>
  <c r="P1893" i="1" s="1"/>
  <c r="O1894" i="1"/>
  <c r="P1894" i="1" s="1"/>
  <c r="O1895" i="1"/>
  <c r="P1895" i="1" s="1"/>
  <c r="O1896" i="1"/>
  <c r="P1896" i="1" s="1"/>
  <c r="O1897" i="1"/>
  <c r="P1897" i="1" s="1"/>
  <c r="O1898" i="1"/>
  <c r="P1898" i="1" s="1"/>
  <c r="O1899" i="1"/>
  <c r="P1899" i="1" s="1"/>
  <c r="O1900" i="1"/>
  <c r="P1900" i="1" s="1"/>
  <c r="O1901" i="1"/>
  <c r="P1901" i="1" s="1"/>
  <c r="O1902" i="1"/>
  <c r="P1902" i="1" s="1"/>
  <c r="O1903" i="1"/>
  <c r="P1903" i="1" s="1"/>
  <c r="O1904" i="1"/>
  <c r="P1904" i="1" s="1"/>
  <c r="O1905" i="1"/>
  <c r="P1905" i="1" s="1"/>
  <c r="O1906" i="1"/>
  <c r="P1906" i="1" s="1"/>
  <c r="O1907" i="1"/>
  <c r="P1907" i="1" s="1"/>
  <c r="O1908" i="1"/>
  <c r="P1908" i="1" s="1"/>
  <c r="O1909" i="1"/>
  <c r="P1909" i="1" s="1"/>
  <c r="O1910" i="1"/>
  <c r="P1910" i="1" s="1"/>
  <c r="O1911" i="1"/>
  <c r="P1911" i="1" s="1"/>
  <c r="O1912" i="1"/>
  <c r="P1912" i="1" s="1"/>
  <c r="O1913" i="1"/>
  <c r="P1913" i="1" s="1"/>
  <c r="O1914" i="1"/>
  <c r="P1914" i="1" s="1"/>
  <c r="O1915" i="1"/>
  <c r="P1915" i="1" s="1"/>
  <c r="O1916" i="1"/>
  <c r="P1916" i="1" s="1"/>
  <c r="O1917" i="1"/>
  <c r="P1917" i="1" s="1"/>
  <c r="O1918" i="1"/>
  <c r="P1918" i="1" s="1"/>
  <c r="O1919" i="1"/>
  <c r="P1919" i="1" s="1"/>
  <c r="O1920" i="1"/>
  <c r="P1920" i="1" s="1"/>
  <c r="O1921" i="1"/>
  <c r="P1921" i="1" s="1"/>
  <c r="O1922" i="1"/>
  <c r="P1922" i="1" s="1"/>
  <c r="O1923" i="1"/>
  <c r="P1923" i="1" s="1"/>
  <c r="O1924" i="1"/>
  <c r="P1924" i="1" s="1"/>
  <c r="O1925" i="1"/>
  <c r="P1925" i="1" s="1"/>
  <c r="O1926" i="1"/>
  <c r="P1926" i="1" s="1"/>
  <c r="O1927" i="1"/>
  <c r="P1927" i="1" s="1"/>
  <c r="O1928" i="1"/>
  <c r="P1928" i="1" s="1"/>
  <c r="O1929" i="1"/>
  <c r="P1929" i="1" s="1"/>
  <c r="O1930" i="1"/>
  <c r="P1930" i="1" s="1"/>
  <c r="O1931" i="1"/>
  <c r="P1931" i="1" s="1"/>
  <c r="O1932" i="1"/>
  <c r="P1932" i="1" s="1"/>
  <c r="O1933" i="1"/>
  <c r="P1933" i="1" s="1"/>
  <c r="O1934" i="1"/>
  <c r="P1934" i="1" s="1"/>
  <c r="O1935" i="1"/>
  <c r="P1935" i="1" s="1"/>
  <c r="O1936" i="1"/>
  <c r="P1936" i="1" s="1"/>
  <c r="O1937" i="1"/>
  <c r="P1937" i="1" s="1"/>
  <c r="O1938" i="1"/>
  <c r="P1938" i="1" s="1"/>
  <c r="O1939" i="1"/>
  <c r="P1939" i="1" s="1"/>
  <c r="O1940" i="1"/>
  <c r="P1940" i="1" s="1"/>
  <c r="O1941" i="1"/>
  <c r="P1941" i="1" s="1"/>
  <c r="O1942" i="1"/>
  <c r="P1942" i="1" s="1"/>
  <c r="O1943" i="1"/>
  <c r="P1943" i="1" s="1"/>
  <c r="O1944" i="1"/>
  <c r="P1944" i="1" s="1"/>
  <c r="O1945" i="1"/>
  <c r="P1945" i="1" s="1"/>
  <c r="O1946" i="1"/>
  <c r="P1946" i="1" s="1"/>
  <c r="O1947" i="1"/>
  <c r="P1947" i="1" s="1"/>
  <c r="O1948" i="1"/>
  <c r="P1948" i="1" s="1"/>
  <c r="O1949" i="1"/>
  <c r="P1949" i="1" s="1"/>
  <c r="O1950" i="1"/>
  <c r="P1950" i="1" s="1"/>
  <c r="O1951" i="1"/>
  <c r="P1951" i="1" s="1"/>
  <c r="O1952" i="1"/>
  <c r="P1952" i="1" s="1"/>
  <c r="O1953" i="1"/>
  <c r="P1953" i="1" s="1"/>
  <c r="O1954" i="1"/>
  <c r="P1954" i="1" s="1"/>
  <c r="O1955" i="1"/>
  <c r="P1955" i="1" s="1"/>
  <c r="O1956" i="1"/>
  <c r="P1956" i="1" s="1"/>
  <c r="O1957" i="1"/>
  <c r="P1957" i="1" s="1"/>
  <c r="O1958" i="1"/>
  <c r="P1958" i="1" s="1"/>
  <c r="O1959" i="1"/>
  <c r="P1959" i="1" s="1"/>
  <c r="O1960" i="1"/>
  <c r="P1960" i="1" s="1"/>
  <c r="O1961" i="1"/>
  <c r="P1961" i="1" s="1"/>
  <c r="O1962" i="1"/>
  <c r="P1962" i="1" s="1"/>
  <c r="O1963" i="1"/>
  <c r="P1963" i="1" s="1"/>
  <c r="O1964" i="1"/>
  <c r="P1964" i="1" s="1"/>
  <c r="O1965" i="1"/>
  <c r="P1965" i="1" s="1"/>
  <c r="O1966" i="1"/>
  <c r="P1966" i="1" s="1"/>
  <c r="O1967" i="1"/>
  <c r="P1967" i="1" s="1"/>
  <c r="O1968" i="1"/>
  <c r="P1968" i="1" s="1"/>
  <c r="O1969" i="1"/>
  <c r="P1969" i="1" s="1"/>
  <c r="O1970" i="1"/>
  <c r="P1970" i="1" s="1"/>
  <c r="O1971" i="1"/>
  <c r="P1971" i="1" s="1"/>
  <c r="O1972" i="1"/>
  <c r="P1972" i="1" s="1"/>
  <c r="O1973" i="1"/>
  <c r="P1973" i="1" s="1"/>
  <c r="O1974" i="1"/>
  <c r="P1974" i="1" s="1"/>
  <c r="O1975" i="1"/>
  <c r="P1975" i="1" s="1"/>
  <c r="O1976" i="1"/>
  <c r="P1976" i="1" s="1"/>
  <c r="O1977" i="1"/>
  <c r="P1977" i="1" s="1"/>
  <c r="O1978" i="1"/>
  <c r="P1978" i="1" s="1"/>
  <c r="O1979" i="1"/>
  <c r="P1979" i="1" s="1"/>
  <c r="O1980" i="1"/>
  <c r="P1980" i="1" s="1"/>
  <c r="O1981" i="1"/>
  <c r="P1981" i="1" s="1"/>
  <c r="O1982" i="1"/>
  <c r="P1982" i="1" s="1"/>
  <c r="O1983" i="1"/>
  <c r="P1983" i="1" s="1"/>
  <c r="O1984" i="1"/>
  <c r="P1984" i="1" s="1"/>
  <c r="O1985" i="1"/>
  <c r="P1985" i="1" s="1"/>
  <c r="O1986" i="1"/>
  <c r="P1986" i="1" s="1"/>
  <c r="O1987" i="1"/>
  <c r="P1987" i="1" s="1"/>
  <c r="O1988" i="1"/>
  <c r="P1988" i="1" s="1"/>
  <c r="O1989" i="1"/>
  <c r="P1989" i="1" s="1"/>
  <c r="O1990" i="1"/>
  <c r="P1990" i="1" s="1"/>
  <c r="O1991" i="1"/>
  <c r="P1991" i="1" s="1"/>
  <c r="O1992" i="1"/>
  <c r="P1992" i="1" s="1"/>
  <c r="O1993" i="1"/>
  <c r="P1993" i="1" s="1"/>
  <c r="O1994" i="1"/>
  <c r="P1994" i="1" s="1"/>
  <c r="O1995" i="1"/>
  <c r="P1995" i="1" s="1"/>
  <c r="O1996" i="1"/>
  <c r="P1996" i="1" s="1"/>
  <c r="O1997" i="1"/>
  <c r="P1997" i="1" s="1"/>
  <c r="O1998" i="1"/>
  <c r="P1998" i="1" s="1"/>
  <c r="O1999" i="1"/>
  <c r="P1999" i="1" s="1"/>
  <c r="O2000" i="1"/>
  <c r="P2000" i="1" s="1"/>
  <c r="O2001" i="1"/>
  <c r="P2001" i="1" s="1"/>
  <c r="O2002" i="1"/>
  <c r="P2002" i="1" s="1"/>
  <c r="O2003" i="1"/>
  <c r="P2003" i="1" s="1"/>
  <c r="O2004" i="1"/>
  <c r="P2004" i="1" s="1"/>
  <c r="O2005" i="1"/>
  <c r="P2005" i="1" s="1"/>
  <c r="O2006" i="1"/>
  <c r="P2006" i="1" s="1"/>
  <c r="O2007" i="1"/>
  <c r="P2007" i="1" s="1"/>
  <c r="O2008" i="1"/>
  <c r="P2008" i="1" s="1"/>
  <c r="O2009" i="1"/>
  <c r="P2009" i="1" s="1"/>
  <c r="O2010" i="1"/>
  <c r="P2010" i="1" s="1"/>
  <c r="O2011" i="1"/>
  <c r="P2011" i="1" s="1"/>
  <c r="O2012" i="1"/>
  <c r="P2012" i="1" s="1"/>
  <c r="O2013" i="1"/>
  <c r="P2013" i="1" s="1"/>
  <c r="O2014" i="1"/>
  <c r="P2014" i="1" s="1"/>
  <c r="O2015" i="1"/>
  <c r="P2015" i="1" s="1"/>
  <c r="O2016" i="1"/>
  <c r="P2016" i="1" s="1"/>
  <c r="O2017" i="1"/>
  <c r="P2017" i="1" s="1"/>
  <c r="O2018" i="1"/>
  <c r="P2018" i="1" s="1"/>
  <c r="O2019" i="1"/>
  <c r="P2019" i="1" s="1"/>
  <c r="O2020" i="1"/>
  <c r="P2020" i="1" s="1"/>
  <c r="O2021" i="1"/>
  <c r="P2021" i="1" s="1"/>
  <c r="O2022" i="1"/>
  <c r="P2022" i="1" s="1"/>
  <c r="O2023" i="1"/>
  <c r="P2023" i="1" s="1"/>
  <c r="O2024" i="1"/>
  <c r="P2024" i="1" s="1"/>
  <c r="O2025" i="1"/>
  <c r="P2025" i="1" s="1"/>
  <c r="O2026" i="1"/>
  <c r="P2026" i="1" s="1"/>
  <c r="O2027" i="1"/>
  <c r="P2027" i="1" s="1"/>
  <c r="O2028" i="1"/>
  <c r="P2028" i="1" s="1"/>
  <c r="O2029" i="1"/>
  <c r="P2029" i="1" s="1"/>
  <c r="O2030" i="1"/>
  <c r="P2030" i="1" s="1"/>
  <c r="O2031" i="1"/>
  <c r="P2031" i="1" s="1"/>
  <c r="O2032" i="1"/>
  <c r="P2032" i="1" s="1"/>
  <c r="O2033" i="1"/>
  <c r="P2033" i="1" s="1"/>
  <c r="O2034" i="1"/>
  <c r="P2034" i="1" s="1"/>
  <c r="O2035" i="1"/>
  <c r="P2035" i="1" s="1"/>
  <c r="O2036" i="1"/>
  <c r="P2036" i="1" s="1"/>
  <c r="O2037" i="1"/>
  <c r="P2037" i="1" s="1"/>
  <c r="O2038" i="1"/>
  <c r="P2038" i="1" s="1"/>
  <c r="O2039" i="1"/>
  <c r="P2039" i="1" s="1"/>
  <c r="O2040" i="1"/>
  <c r="P2040" i="1" s="1"/>
  <c r="O2041" i="1"/>
  <c r="P2041" i="1" s="1"/>
  <c r="O2042" i="1"/>
  <c r="P2042" i="1" s="1"/>
  <c r="O2043" i="1"/>
  <c r="P2043" i="1" s="1"/>
  <c r="O2044" i="1"/>
  <c r="P2044" i="1" s="1"/>
  <c r="O2045" i="1"/>
  <c r="P2045" i="1" s="1"/>
  <c r="O2046" i="1"/>
  <c r="P2046" i="1" s="1"/>
  <c r="O2047" i="1"/>
  <c r="P2047" i="1" s="1"/>
  <c r="O2048" i="1"/>
  <c r="P2048" i="1" s="1"/>
  <c r="O2049" i="1"/>
  <c r="P2049" i="1" s="1"/>
  <c r="O2050" i="1"/>
  <c r="P2050" i="1" s="1"/>
  <c r="O2051" i="1"/>
  <c r="P2051" i="1" s="1"/>
  <c r="O2052" i="1"/>
  <c r="P2052" i="1" s="1"/>
  <c r="O2053" i="1"/>
  <c r="P2053" i="1" s="1"/>
  <c r="O2054" i="1"/>
  <c r="P2054" i="1" s="1"/>
  <c r="O2055" i="1"/>
  <c r="P2055" i="1" s="1"/>
  <c r="O2056" i="1"/>
  <c r="P2056" i="1" s="1"/>
  <c r="O2057" i="1"/>
  <c r="P2057" i="1" s="1"/>
  <c r="O2058" i="1"/>
  <c r="P2058" i="1" s="1"/>
  <c r="O2059" i="1"/>
  <c r="P2059" i="1" s="1"/>
  <c r="O2060" i="1"/>
  <c r="P2060" i="1" s="1"/>
  <c r="O2061" i="1"/>
  <c r="P2061" i="1" s="1"/>
  <c r="O2062" i="1"/>
  <c r="P2062" i="1" s="1"/>
  <c r="O2063" i="1"/>
  <c r="P2063" i="1" s="1"/>
  <c r="O2064" i="1"/>
  <c r="P2064" i="1" s="1"/>
  <c r="O2065" i="1"/>
  <c r="P2065" i="1" s="1"/>
  <c r="O2066" i="1"/>
  <c r="P2066" i="1" s="1"/>
  <c r="O2067" i="1"/>
  <c r="P2067" i="1" s="1"/>
  <c r="O2068" i="1"/>
  <c r="P2068" i="1" s="1"/>
  <c r="O2069" i="1"/>
  <c r="P2069" i="1" s="1"/>
  <c r="O2070" i="1"/>
  <c r="P2070" i="1" s="1"/>
  <c r="O2071" i="1"/>
  <c r="P2071" i="1" s="1"/>
  <c r="O2072" i="1"/>
  <c r="P2072" i="1" s="1"/>
  <c r="O2073" i="1"/>
  <c r="P2073" i="1" s="1"/>
  <c r="O2074" i="1"/>
  <c r="P2074" i="1" s="1"/>
  <c r="O2075" i="1"/>
  <c r="P2075" i="1" s="1"/>
  <c r="O2076" i="1"/>
  <c r="P2076" i="1" s="1"/>
  <c r="O2077" i="1"/>
  <c r="P2077" i="1" s="1"/>
  <c r="O2078" i="1"/>
  <c r="P2078" i="1" s="1"/>
  <c r="O2079" i="1"/>
  <c r="P2079" i="1" s="1"/>
  <c r="O2080" i="1"/>
  <c r="P2080" i="1" s="1"/>
  <c r="O2081" i="1"/>
  <c r="P2081" i="1" s="1"/>
  <c r="O2082" i="1"/>
  <c r="P2082" i="1" s="1"/>
  <c r="O2083" i="1"/>
  <c r="P2083" i="1" s="1"/>
  <c r="O2084" i="1"/>
  <c r="P2084" i="1" s="1"/>
  <c r="O2085" i="1"/>
  <c r="P2085" i="1" s="1"/>
  <c r="O2086" i="1"/>
  <c r="P2086" i="1" s="1"/>
  <c r="O2087" i="1"/>
  <c r="P2087" i="1" s="1"/>
  <c r="O2088" i="1"/>
  <c r="P2088" i="1" s="1"/>
  <c r="O2089" i="1"/>
  <c r="P2089" i="1" s="1"/>
  <c r="O2090" i="1"/>
  <c r="P2090" i="1" s="1"/>
  <c r="O2091" i="1"/>
  <c r="P2091" i="1" s="1"/>
  <c r="O2092" i="1"/>
  <c r="P2092" i="1" s="1"/>
  <c r="O2093" i="1"/>
  <c r="P2093" i="1" s="1"/>
  <c r="O2094" i="1"/>
  <c r="P2094" i="1" s="1"/>
  <c r="O2095" i="1"/>
  <c r="P2095" i="1" s="1"/>
  <c r="O2096" i="1"/>
  <c r="P2096" i="1" s="1"/>
  <c r="O2097" i="1"/>
  <c r="P2097" i="1" s="1"/>
  <c r="O2098" i="1"/>
  <c r="P2098" i="1" s="1"/>
  <c r="O2099" i="1"/>
  <c r="P2099" i="1" s="1"/>
  <c r="O2100" i="1"/>
  <c r="P2100" i="1" s="1"/>
  <c r="O2101" i="1"/>
  <c r="P2101" i="1" s="1"/>
  <c r="O2102" i="1"/>
  <c r="P2102" i="1" s="1"/>
  <c r="O2103" i="1"/>
  <c r="P2103" i="1" s="1"/>
  <c r="O2104" i="1"/>
  <c r="P2104" i="1" s="1"/>
  <c r="O2105" i="1"/>
  <c r="P2105" i="1" s="1"/>
  <c r="O2106" i="1"/>
  <c r="P2106" i="1" s="1"/>
  <c r="O2107" i="1"/>
  <c r="P2107" i="1" s="1"/>
  <c r="O2108" i="1"/>
  <c r="P2108" i="1" s="1"/>
  <c r="O2109" i="1"/>
  <c r="P2109" i="1" s="1"/>
  <c r="O2110" i="1"/>
  <c r="P2110" i="1" s="1"/>
  <c r="O2111" i="1"/>
  <c r="P2111" i="1" s="1"/>
  <c r="O2112" i="1"/>
  <c r="P2112" i="1" s="1"/>
  <c r="O2113" i="1"/>
  <c r="P2113" i="1" s="1"/>
  <c r="O2114" i="1"/>
  <c r="P2114" i="1" s="1"/>
  <c r="O2115" i="1"/>
  <c r="P2115" i="1" s="1"/>
  <c r="O2116" i="1"/>
  <c r="P2116" i="1" s="1"/>
  <c r="O2117" i="1"/>
  <c r="P2117" i="1" s="1"/>
  <c r="O2118" i="1"/>
  <c r="P2118" i="1" s="1"/>
  <c r="O2119" i="1"/>
  <c r="P2119" i="1" s="1"/>
  <c r="O2120" i="1"/>
  <c r="P2120" i="1" s="1"/>
  <c r="O2121" i="1"/>
  <c r="P2121" i="1" s="1"/>
  <c r="O2122" i="1"/>
  <c r="P2122" i="1" s="1"/>
  <c r="O2123" i="1"/>
  <c r="P2123" i="1" s="1"/>
  <c r="O2124" i="1"/>
  <c r="P2124" i="1" s="1"/>
  <c r="O2125" i="1"/>
  <c r="P2125" i="1" s="1"/>
  <c r="O2126" i="1"/>
  <c r="P2126" i="1" s="1"/>
  <c r="O2127" i="1"/>
  <c r="P2127" i="1" s="1"/>
  <c r="O2128" i="1"/>
  <c r="P2128" i="1" s="1"/>
  <c r="O2129" i="1"/>
  <c r="P2129" i="1" s="1"/>
  <c r="O2130" i="1"/>
  <c r="P2130" i="1" s="1"/>
  <c r="O2131" i="1"/>
  <c r="P2131" i="1" s="1"/>
  <c r="O2132" i="1"/>
  <c r="P2132" i="1" s="1"/>
  <c r="O2133" i="1"/>
  <c r="P2133" i="1" s="1"/>
  <c r="O2134" i="1"/>
  <c r="P2134" i="1" s="1"/>
  <c r="O2135" i="1"/>
  <c r="P2135" i="1" s="1"/>
  <c r="O2136" i="1"/>
  <c r="P2136" i="1" s="1"/>
  <c r="O2137" i="1"/>
  <c r="P2137" i="1" s="1"/>
  <c r="O2138" i="1"/>
  <c r="P2138" i="1" s="1"/>
  <c r="O2139" i="1"/>
  <c r="P2139" i="1" s="1"/>
  <c r="O2140" i="1"/>
  <c r="P2140" i="1" s="1"/>
  <c r="O2141" i="1"/>
  <c r="P2141" i="1" s="1"/>
  <c r="O2142" i="1"/>
  <c r="P2142" i="1" s="1"/>
  <c r="O2143" i="1"/>
  <c r="P2143" i="1" s="1"/>
  <c r="O2144" i="1"/>
  <c r="P2144" i="1" s="1"/>
  <c r="O2145" i="1"/>
  <c r="P2145" i="1" s="1"/>
  <c r="O2146" i="1"/>
  <c r="P2146" i="1" s="1"/>
  <c r="O2147" i="1"/>
  <c r="P2147" i="1" s="1"/>
  <c r="O2148" i="1"/>
  <c r="P2148" i="1" s="1"/>
  <c r="O2149" i="1"/>
  <c r="P2149" i="1" s="1"/>
  <c r="O2150" i="1"/>
  <c r="P2150" i="1" s="1"/>
  <c r="O2151" i="1"/>
  <c r="P2151" i="1" s="1"/>
  <c r="O2152" i="1"/>
  <c r="P2152" i="1" s="1"/>
  <c r="O2153" i="1"/>
  <c r="P2153" i="1" s="1"/>
  <c r="O2154" i="1"/>
  <c r="P2154" i="1" s="1"/>
  <c r="O2155" i="1"/>
  <c r="P2155" i="1" s="1"/>
  <c r="O2156" i="1"/>
  <c r="P2156" i="1" s="1"/>
  <c r="O2157" i="1"/>
  <c r="P2157" i="1" s="1"/>
  <c r="O2158" i="1"/>
  <c r="P2158" i="1" s="1"/>
  <c r="O2159" i="1"/>
  <c r="P2159" i="1" s="1"/>
  <c r="O2160" i="1"/>
  <c r="P2160" i="1" s="1"/>
  <c r="O2161" i="1"/>
  <c r="P2161" i="1" s="1"/>
  <c r="O2162" i="1"/>
  <c r="P2162" i="1" s="1"/>
  <c r="O2163" i="1"/>
  <c r="P2163" i="1" s="1"/>
  <c r="O2164" i="1"/>
  <c r="P2164" i="1" s="1"/>
  <c r="O2165" i="1"/>
  <c r="P2165" i="1" s="1"/>
  <c r="O2166" i="1"/>
  <c r="P2166" i="1" s="1"/>
  <c r="O2167" i="1"/>
  <c r="P2167" i="1" s="1"/>
  <c r="O2168" i="1"/>
  <c r="P2168" i="1" s="1"/>
  <c r="O2169" i="1"/>
  <c r="P2169" i="1" s="1"/>
  <c r="O2170" i="1"/>
  <c r="P2170" i="1" s="1"/>
  <c r="O2171" i="1"/>
  <c r="P2171" i="1" s="1"/>
  <c r="O2172" i="1"/>
  <c r="P2172" i="1" s="1"/>
  <c r="O2173" i="1"/>
  <c r="P2173" i="1" s="1"/>
  <c r="O2174" i="1"/>
  <c r="P2174" i="1" s="1"/>
  <c r="O2175" i="1"/>
  <c r="P2175" i="1" s="1"/>
  <c r="O2176" i="1"/>
  <c r="P2176" i="1" s="1"/>
  <c r="O2177" i="1"/>
  <c r="P2177" i="1" s="1"/>
  <c r="O2178" i="1"/>
  <c r="P2178" i="1" s="1"/>
  <c r="O2179" i="1"/>
  <c r="P2179" i="1" s="1"/>
  <c r="O2180" i="1"/>
  <c r="P2180" i="1" s="1"/>
  <c r="O2181" i="1"/>
  <c r="P2181" i="1" s="1"/>
  <c r="O2182" i="1"/>
  <c r="P2182" i="1" s="1"/>
  <c r="O2183" i="1"/>
  <c r="P2183" i="1" s="1"/>
  <c r="O2184" i="1"/>
  <c r="P2184" i="1" s="1"/>
  <c r="O2185" i="1"/>
  <c r="P2185" i="1" s="1"/>
  <c r="O2186" i="1"/>
  <c r="P2186" i="1" s="1"/>
  <c r="O2187" i="1"/>
  <c r="P2187" i="1" s="1"/>
  <c r="O2188" i="1"/>
  <c r="P2188" i="1" s="1"/>
  <c r="O2189" i="1"/>
  <c r="P2189" i="1" s="1"/>
  <c r="O2190" i="1"/>
  <c r="P2190" i="1" s="1"/>
  <c r="O2191" i="1"/>
  <c r="P2191" i="1" s="1"/>
  <c r="O2192" i="1"/>
  <c r="P2192" i="1" s="1"/>
  <c r="O2193" i="1"/>
  <c r="P2193" i="1" s="1"/>
  <c r="O2194" i="1"/>
  <c r="P2194" i="1" s="1"/>
  <c r="O2195" i="1"/>
  <c r="P2195" i="1" s="1"/>
  <c r="O2196" i="1"/>
  <c r="P2196" i="1" s="1"/>
  <c r="O2197" i="1"/>
  <c r="P2197" i="1" s="1"/>
  <c r="O2198" i="1"/>
  <c r="P2198" i="1" s="1"/>
  <c r="O2199" i="1"/>
  <c r="P2199" i="1" s="1"/>
  <c r="O2200" i="1"/>
  <c r="P2200" i="1" s="1"/>
  <c r="O2201" i="1"/>
  <c r="P2201" i="1" s="1"/>
  <c r="O2202" i="1"/>
  <c r="P2202" i="1" s="1"/>
  <c r="O2203" i="1"/>
  <c r="P2203" i="1" s="1"/>
  <c r="O2204" i="1"/>
  <c r="P2204" i="1" s="1"/>
  <c r="O2205" i="1"/>
  <c r="P2205" i="1" s="1"/>
  <c r="O2206" i="1"/>
  <c r="P2206" i="1" s="1"/>
  <c r="O2207" i="1"/>
  <c r="P2207" i="1" s="1"/>
  <c r="O2208" i="1"/>
  <c r="P2208" i="1" s="1"/>
  <c r="O2209" i="1"/>
  <c r="P2209" i="1" s="1"/>
  <c r="O2210" i="1"/>
  <c r="P2210" i="1" s="1"/>
  <c r="O2211" i="1"/>
  <c r="P2211" i="1" s="1"/>
  <c r="O2212" i="1"/>
  <c r="P2212" i="1" s="1"/>
  <c r="O2213" i="1"/>
  <c r="P2213" i="1" s="1"/>
  <c r="O2214" i="1"/>
  <c r="P2214" i="1" s="1"/>
  <c r="O2215" i="1"/>
  <c r="P2215" i="1" s="1"/>
  <c r="O2216" i="1"/>
  <c r="P2216" i="1" s="1"/>
  <c r="O2217" i="1"/>
  <c r="P2217" i="1" s="1"/>
  <c r="O2218" i="1"/>
  <c r="P2218" i="1" s="1"/>
  <c r="O2219" i="1"/>
  <c r="P2219" i="1" s="1"/>
  <c r="O2220" i="1"/>
  <c r="P2220" i="1" s="1"/>
  <c r="O2221" i="1"/>
  <c r="P2221" i="1" s="1"/>
  <c r="O2222" i="1"/>
  <c r="P2222" i="1" s="1"/>
  <c r="O2223" i="1"/>
  <c r="P2223" i="1" s="1"/>
  <c r="O2224" i="1"/>
  <c r="P2224" i="1" s="1"/>
  <c r="O2225" i="1"/>
  <c r="P2225" i="1" s="1"/>
  <c r="O2226" i="1"/>
  <c r="P2226" i="1" s="1"/>
  <c r="O2227" i="1"/>
  <c r="P2227" i="1" s="1"/>
  <c r="O2228" i="1"/>
  <c r="P2228" i="1" s="1"/>
  <c r="O2229" i="1"/>
  <c r="P2229" i="1" s="1"/>
  <c r="O2230" i="1"/>
  <c r="P2230" i="1" s="1"/>
  <c r="O2231" i="1"/>
  <c r="P2231" i="1" s="1"/>
  <c r="O2232" i="1"/>
  <c r="P2232" i="1" s="1"/>
  <c r="O2233" i="1"/>
  <c r="P2233" i="1" s="1"/>
  <c r="O2234" i="1"/>
  <c r="P2234" i="1" s="1"/>
  <c r="O2235" i="1"/>
  <c r="P2235" i="1" s="1"/>
  <c r="O2236" i="1"/>
  <c r="P2236" i="1" s="1"/>
  <c r="O2237" i="1"/>
  <c r="P2237" i="1" s="1"/>
  <c r="O2238" i="1"/>
  <c r="P2238" i="1" s="1"/>
  <c r="O2239" i="1"/>
  <c r="P2239" i="1" s="1"/>
  <c r="O2240" i="1"/>
  <c r="P2240" i="1" s="1"/>
  <c r="O2241" i="1"/>
  <c r="P2241" i="1" s="1"/>
  <c r="O2242" i="1"/>
  <c r="P2242" i="1" s="1"/>
  <c r="O2243" i="1"/>
  <c r="P2243" i="1" s="1"/>
  <c r="O2244" i="1"/>
  <c r="P2244" i="1" s="1"/>
  <c r="O2245" i="1"/>
  <c r="P2245" i="1" s="1"/>
  <c r="O2246" i="1"/>
  <c r="P2246" i="1" s="1"/>
  <c r="O2247" i="1"/>
  <c r="P2247" i="1" s="1"/>
  <c r="O2248" i="1"/>
  <c r="P2248" i="1" s="1"/>
  <c r="O2249" i="1"/>
  <c r="P2249" i="1" s="1"/>
  <c r="O2250" i="1"/>
  <c r="P2250" i="1" s="1"/>
  <c r="O2251" i="1"/>
  <c r="P2251" i="1" s="1"/>
  <c r="O2252" i="1"/>
  <c r="P2252" i="1" s="1"/>
  <c r="O2253" i="1"/>
  <c r="P2253" i="1" s="1"/>
  <c r="O2254" i="1"/>
  <c r="P2254" i="1" s="1"/>
  <c r="O2255" i="1"/>
  <c r="P2255" i="1" s="1"/>
  <c r="O2256" i="1"/>
  <c r="P2256" i="1" s="1"/>
  <c r="O2257" i="1"/>
  <c r="P2257" i="1" s="1"/>
  <c r="O2258" i="1"/>
  <c r="P2258" i="1" s="1"/>
  <c r="O2259" i="1"/>
  <c r="P2259" i="1" s="1"/>
  <c r="O2260" i="1"/>
  <c r="P2260" i="1" s="1"/>
  <c r="O2261" i="1"/>
  <c r="P2261" i="1" s="1"/>
  <c r="O2262" i="1"/>
  <c r="P2262" i="1" s="1"/>
  <c r="O2263" i="1"/>
  <c r="P2263" i="1" s="1"/>
  <c r="O2264" i="1"/>
  <c r="P2264" i="1" s="1"/>
  <c r="O2265" i="1"/>
  <c r="P2265" i="1" s="1"/>
  <c r="O2266" i="1"/>
  <c r="P2266" i="1" s="1"/>
  <c r="O2267" i="1"/>
  <c r="P2267" i="1" s="1"/>
  <c r="O2268" i="1"/>
  <c r="P2268" i="1" s="1"/>
  <c r="O2269" i="1"/>
  <c r="P2269" i="1" s="1"/>
  <c r="O2270" i="1"/>
  <c r="P2270" i="1" s="1"/>
  <c r="O2271" i="1"/>
  <c r="P2271" i="1" s="1"/>
  <c r="O2272" i="1"/>
  <c r="P2272" i="1" s="1"/>
  <c r="O2273" i="1"/>
  <c r="P2273" i="1" s="1"/>
  <c r="O2274" i="1"/>
  <c r="P2274" i="1" s="1"/>
  <c r="O2275" i="1"/>
  <c r="P2275" i="1" s="1"/>
  <c r="O2276" i="1"/>
  <c r="P2276" i="1" s="1"/>
  <c r="O2277" i="1"/>
  <c r="P2277" i="1" s="1"/>
  <c r="O2278" i="1"/>
  <c r="P2278" i="1" s="1"/>
  <c r="O2279" i="1"/>
  <c r="P2279" i="1" s="1"/>
  <c r="O2280" i="1"/>
  <c r="P2280" i="1" s="1"/>
  <c r="O2281" i="1"/>
  <c r="P2281" i="1" s="1"/>
  <c r="O2282" i="1"/>
  <c r="P2282" i="1" s="1"/>
  <c r="O2283" i="1"/>
  <c r="P2283" i="1" s="1"/>
  <c r="O2284" i="1"/>
  <c r="P2284" i="1" s="1"/>
  <c r="O2285" i="1"/>
  <c r="P2285" i="1" s="1"/>
  <c r="O2286" i="1"/>
  <c r="P2286" i="1" s="1"/>
  <c r="O2287" i="1"/>
  <c r="P2287" i="1" s="1"/>
  <c r="O2288" i="1"/>
  <c r="P2288" i="1" s="1"/>
  <c r="O2289" i="1"/>
  <c r="P2289" i="1" s="1"/>
  <c r="O2290" i="1"/>
  <c r="P2290" i="1" s="1"/>
  <c r="O2291" i="1"/>
  <c r="P2291" i="1" s="1"/>
  <c r="O2292" i="1"/>
  <c r="P2292" i="1" s="1"/>
  <c r="O2293" i="1"/>
  <c r="P2293" i="1" s="1"/>
  <c r="O2294" i="1"/>
  <c r="P2294" i="1" s="1"/>
  <c r="O2295" i="1"/>
  <c r="P2295" i="1" s="1"/>
  <c r="O2296" i="1"/>
  <c r="P2296" i="1" s="1"/>
  <c r="O2297" i="1"/>
  <c r="P2297" i="1" s="1"/>
  <c r="O2298" i="1"/>
  <c r="P2298" i="1" s="1"/>
  <c r="O2299" i="1"/>
  <c r="P2299" i="1" s="1"/>
  <c r="O2300" i="1"/>
  <c r="P2300" i="1" s="1"/>
  <c r="O2301" i="1"/>
  <c r="P2301" i="1" s="1"/>
  <c r="O2302" i="1"/>
  <c r="P2302" i="1" s="1"/>
  <c r="O2303" i="1"/>
  <c r="P2303" i="1" s="1"/>
  <c r="O2304" i="1"/>
  <c r="P2304" i="1" s="1"/>
  <c r="O2305" i="1"/>
  <c r="P2305" i="1" s="1"/>
  <c r="O2306" i="1"/>
  <c r="P2306" i="1" s="1"/>
  <c r="O2307" i="1"/>
  <c r="P2307" i="1" s="1"/>
  <c r="O2308" i="1"/>
  <c r="P2308" i="1" s="1"/>
  <c r="O2309" i="1"/>
  <c r="P2309" i="1" s="1"/>
  <c r="O2310" i="1"/>
  <c r="P2310" i="1" s="1"/>
  <c r="O2311" i="1"/>
  <c r="P2311" i="1" s="1"/>
  <c r="O2312" i="1"/>
  <c r="P2312" i="1" s="1"/>
  <c r="O2313" i="1"/>
  <c r="P2313" i="1" s="1"/>
  <c r="O2314" i="1"/>
  <c r="P2314" i="1" s="1"/>
  <c r="O2315" i="1"/>
  <c r="P2315" i="1" s="1"/>
  <c r="O2316" i="1"/>
  <c r="P2316" i="1" s="1"/>
  <c r="O2317" i="1"/>
  <c r="P2317" i="1" s="1"/>
  <c r="O2318" i="1"/>
  <c r="P2318" i="1" s="1"/>
  <c r="O2319" i="1"/>
  <c r="P2319" i="1" s="1"/>
  <c r="O2320" i="1"/>
  <c r="P2320" i="1" s="1"/>
  <c r="O2321" i="1"/>
  <c r="P2321" i="1" s="1"/>
  <c r="O2322" i="1"/>
  <c r="P2322" i="1" s="1"/>
  <c r="O2323" i="1"/>
  <c r="P2323" i="1" s="1"/>
  <c r="O2324" i="1"/>
  <c r="P2324" i="1" s="1"/>
  <c r="O2325" i="1"/>
  <c r="P2325" i="1" s="1"/>
  <c r="O2326" i="1"/>
  <c r="P2326" i="1" s="1"/>
  <c r="O2327" i="1"/>
  <c r="P2327" i="1" s="1"/>
  <c r="O2328" i="1"/>
  <c r="P2328" i="1" s="1"/>
  <c r="O2329" i="1"/>
  <c r="P2329" i="1" s="1"/>
  <c r="O2330" i="1"/>
  <c r="P2330" i="1" s="1"/>
  <c r="O2331" i="1"/>
  <c r="P2331" i="1" s="1"/>
  <c r="O2332" i="1"/>
  <c r="P2332" i="1" s="1"/>
  <c r="O2333" i="1"/>
  <c r="P2333" i="1" s="1"/>
  <c r="O2334" i="1"/>
  <c r="P2334" i="1" s="1"/>
  <c r="O2335" i="1"/>
  <c r="P2335" i="1" s="1"/>
  <c r="O2336" i="1"/>
  <c r="P2336" i="1" s="1"/>
  <c r="O2337" i="1"/>
  <c r="P2337" i="1" s="1"/>
  <c r="O2338" i="1"/>
  <c r="P2338" i="1" s="1"/>
  <c r="O2339" i="1"/>
  <c r="P2339" i="1" s="1"/>
  <c r="O2340" i="1"/>
  <c r="P2340" i="1" s="1"/>
  <c r="O2341" i="1"/>
  <c r="P2341" i="1" s="1"/>
  <c r="O2342" i="1"/>
  <c r="P2342" i="1" s="1"/>
  <c r="O2343" i="1"/>
  <c r="P2343" i="1" s="1"/>
  <c r="O2344" i="1"/>
  <c r="P2344" i="1" s="1"/>
  <c r="O2345" i="1"/>
  <c r="P2345" i="1" s="1"/>
  <c r="O2346" i="1"/>
  <c r="P2346" i="1" s="1"/>
  <c r="O2347" i="1"/>
  <c r="P2347" i="1" s="1"/>
  <c r="O2348" i="1"/>
  <c r="P2348" i="1" s="1"/>
  <c r="O2349" i="1"/>
  <c r="P2349" i="1" s="1"/>
  <c r="O2350" i="1"/>
  <c r="P2350" i="1" s="1"/>
  <c r="O2351" i="1"/>
  <c r="P2351" i="1" s="1"/>
  <c r="O2352" i="1"/>
  <c r="P2352" i="1" s="1"/>
  <c r="O2353" i="1"/>
  <c r="P2353" i="1" s="1"/>
  <c r="O2354" i="1"/>
  <c r="P2354" i="1" s="1"/>
  <c r="O2355" i="1"/>
  <c r="P2355" i="1" s="1"/>
  <c r="O2356" i="1"/>
  <c r="P2356" i="1" s="1"/>
  <c r="O2357" i="1"/>
  <c r="P2357" i="1" s="1"/>
  <c r="O2358" i="1"/>
  <c r="P2358" i="1" s="1"/>
  <c r="O2359" i="1"/>
  <c r="P2359" i="1" s="1"/>
  <c r="O2360" i="1"/>
  <c r="P2360" i="1" s="1"/>
  <c r="O2361" i="1"/>
  <c r="P2361" i="1" s="1"/>
  <c r="O2362" i="1"/>
  <c r="P2362" i="1" s="1"/>
  <c r="O2363" i="1"/>
  <c r="P2363" i="1" s="1"/>
  <c r="O2364" i="1"/>
  <c r="P2364" i="1" s="1"/>
  <c r="O2365" i="1"/>
  <c r="P2365" i="1" s="1"/>
  <c r="O2366" i="1"/>
  <c r="P2366" i="1" s="1"/>
  <c r="O2367" i="1"/>
  <c r="P2367" i="1" s="1"/>
  <c r="O2368" i="1"/>
  <c r="P2368" i="1" s="1"/>
  <c r="O2369" i="1"/>
  <c r="P2369" i="1" s="1"/>
  <c r="O2370" i="1"/>
  <c r="P2370" i="1" s="1"/>
  <c r="O2371" i="1"/>
  <c r="P2371" i="1" s="1"/>
  <c r="O2372" i="1"/>
  <c r="P2372" i="1" s="1"/>
  <c r="O2373" i="1"/>
  <c r="P2373" i="1" s="1"/>
  <c r="O2374" i="1"/>
  <c r="P2374" i="1" s="1"/>
  <c r="O2375" i="1"/>
  <c r="P2375" i="1" s="1"/>
  <c r="O2376" i="1"/>
  <c r="P2376" i="1" s="1"/>
  <c r="O2377" i="1"/>
  <c r="P2377" i="1" s="1"/>
  <c r="O2378" i="1"/>
  <c r="P2378" i="1" s="1"/>
  <c r="O2379" i="1"/>
  <c r="P2379" i="1" s="1"/>
  <c r="O2380" i="1"/>
  <c r="P2380" i="1" s="1"/>
  <c r="O2381" i="1"/>
  <c r="P2381" i="1" s="1"/>
  <c r="O2382" i="1"/>
  <c r="P2382" i="1" s="1"/>
  <c r="O2383" i="1"/>
  <c r="P2383" i="1" s="1"/>
  <c r="O2384" i="1"/>
  <c r="P2384" i="1" s="1"/>
  <c r="O2385" i="1"/>
  <c r="P2385" i="1" s="1"/>
  <c r="O2386" i="1"/>
  <c r="P2386" i="1" s="1"/>
  <c r="O2387" i="1"/>
  <c r="P2387" i="1" s="1"/>
  <c r="O2388" i="1"/>
  <c r="P2388" i="1" s="1"/>
  <c r="O2389" i="1"/>
  <c r="P2389" i="1" s="1"/>
  <c r="O2390" i="1"/>
  <c r="P2390" i="1" s="1"/>
  <c r="O2391" i="1"/>
  <c r="P2391" i="1" s="1"/>
  <c r="O2392" i="1"/>
  <c r="P2392" i="1" s="1"/>
  <c r="O2393" i="1"/>
  <c r="P2393" i="1" s="1"/>
  <c r="O2394" i="1"/>
  <c r="P2394" i="1" s="1"/>
  <c r="O2395" i="1"/>
  <c r="P2395" i="1" s="1"/>
  <c r="O2396" i="1"/>
  <c r="P2396" i="1" s="1"/>
  <c r="O2397" i="1"/>
  <c r="P2397" i="1" s="1"/>
  <c r="O2398" i="1"/>
  <c r="P2398" i="1" s="1"/>
  <c r="O2399" i="1"/>
  <c r="P2399" i="1" s="1"/>
  <c r="O2400" i="1"/>
  <c r="P2400" i="1" s="1"/>
  <c r="O2401" i="1"/>
  <c r="P2401" i="1" s="1"/>
  <c r="O2402" i="1"/>
  <c r="P2402" i="1" s="1"/>
  <c r="O2403" i="1"/>
  <c r="P2403" i="1" s="1"/>
  <c r="O2404" i="1"/>
  <c r="P2404" i="1" s="1"/>
  <c r="O2405" i="1"/>
  <c r="P2405" i="1" s="1"/>
  <c r="O2406" i="1"/>
  <c r="P2406" i="1" s="1"/>
  <c r="O2407" i="1"/>
  <c r="P2407" i="1" s="1"/>
  <c r="O2408" i="1"/>
  <c r="P2408" i="1" s="1"/>
  <c r="O2409" i="1"/>
  <c r="P2409" i="1" s="1"/>
  <c r="O2410" i="1"/>
  <c r="P2410" i="1" s="1"/>
  <c r="O2411" i="1"/>
  <c r="P2411" i="1" s="1"/>
  <c r="O2412" i="1"/>
  <c r="P2412" i="1" s="1"/>
  <c r="O2413" i="1"/>
  <c r="P2413" i="1" s="1"/>
  <c r="O2414" i="1"/>
  <c r="P2414" i="1" s="1"/>
  <c r="O2415" i="1"/>
  <c r="P2415" i="1" s="1"/>
  <c r="O2416" i="1"/>
  <c r="P2416" i="1" s="1"/>
  <c r="O2417" i="1"/>
  <c r="P2417" i="1" s="1"/>
  <c r="O2418" i="1"/>
  <c r="P2418" i="1" s="1"/>
  <c r="O2419" i="1"/>
  <c r="P2419" i="1" s="1"/>
  <c r="O2420" i="1"/>
  <c r="P2420" i="1" s="1"/>
  <c r="O2421" i="1"/>
  <c r="P2421" i="1" s="1"/>
  <c r="O2422" i="1"/>
  <c r="P2422" i="1" s="1"/>
  <c r="O2423" i="1"/>
  <c r="P2423" i="1" s="1"/>
  <c r="O2424" i="1"/>
  <c r="P2424" i="1" s="1"/>
  <c r="O2425" i="1"/>
  <c r="P2425" i="1" s="1"/>
  <c r="O2426" i="1"/>
  <c r="P2426" i="1" s="1"/>
  <c r="O2427" i="1"/>
  <c r="P2427" i="1" s="1"/>
  <c r="O2428" i="1"/>
  <c r="P2428" i="1" s="1"/>
  <c r="O2429" i="1"/>
  <c r="P2429" i="1" s="1"/>
  <c r="O2430" i="1"/>
  <c r="P2430" i="1" s="1"/>
  <c r="O2431" i="1"/>
  <c r="P2431" i="1" s="1"/>
  <c r="O2432" i="1"/>
  <c r="P2432" i="1" s="1"/>
  <c r="O2433" i="1"/>
  <c r="P2433" i="1" s="1"/>
  <c r="O2434" i="1"/>
  <c r="P2434" i="1" s="1"/>
  <c r="O2435" i="1"/>
  <c r="P2435" i="1" s="1"/>
  <c r="O2436" i="1"/>
  <c r="P2436" i="1" s="1"/>
  <c r="O2437" i="1"/>
  <c r="P2437" i="1" s="1"/>
  <c r="O2438" i="1"/>
  <c r="P2438" i="1" s="1"/>
  <c r="O2439" i="1"/>
  <c r="P2439" i="1" s="1"/>
  <c r="O2440" i="1"/>
  <c r="P2440" i="1" s="1"/>
  <c r="O2441" i="1"/>
  <c r="P2441" i="1" s="1"/>
  <c r="O2442" i="1"/>
  <c r="P2442" i="1" s="1"/>
  <c r="O2443" i="1"/>
  <c r="P2443" i="1" s="1"/>
  <c r="O2444" i="1"/>
  <c r="P2444" i="1" s="1"/>
  <c r="O2445" i="1"/>
  <c r="P2445" i="1" s="1"/>
  <c r="O2446" i="1"/>
  <c r="P2446" i="1" s="1"/>
  <c r="O2447" i="1"/>
  <c r="P2447" i="1" s="1"/>
  <c r="O2448" i="1"/>
  <c r="P2448" i="1" s="1"/>
  <c r="O2449" i="1"/>
  <c r="P2449" i="1" s="1"/>
  <c r="O2450" i="1"/>
  <c r="P2450" i="1" s="1"/>
  <c r="O2451" i="1"/>
  <c r="P2451" i="1" s="1"/>
  <c r="O2452" i="1"/>
  <c r="P2452" i="1" s="1"/>
  <c r="O2453" i="1"/>
  <c r="P2453" i="1" s="1"/>
  <c r="O2454" i="1"/>
  <c r="P2454" i="1" s="1"/>
  <c r="O2455" i="1"/>
  <c r="P2455" i="1" s="1"/>
  <c r="O2456" i="1"/>
  <c r="P2456" i="1" s="1"/>
  <c r="O2457" i="1"/>
  <c r="P2457" i="1" s="1"/>
  <c r="O2458" i="1"/>
  <c r="P2458" i="1" s="1"/>
  <c r="O2459" i="1"/>
  <c r="P2459" i="1" s="1"/>
  <c r="O2460" i="1"/>
  <c r="P2460" i="1" s="1"/>
  <c r="O2461" i="1"/>
  <c r="P2461" i="1" s="1"/>
  <c r="O2462" i="1"/>
  <c r="P2462" i="1" s="1"/>
  <c r="O2463" i="1"/>
  <c r="P2463" i="1" s="1"/>
  <c r="O2464" i="1"/>
  <c r="P2464" i="1" s="1"/>
  <c r="O2465" i="1"/>
  <c r="P2465" i="1" s="1"/>
  <c r="O2466" i="1"/>
  <c r="P2466" i="1" s="1"/>
  <c r="O2467" i="1"/>
  <c r="P2467" i="1" s="1"/>
  <c r="O2468" i="1"/>
  <c r="P2468" i="1" s="1"/>
  <c r="O2469" i="1"/>
  <c r="P2469" i="1" s="1"/>
  <c r="O2470" i="1"/>
  <c r="P2470" i="1" s="1"/>
  <c r="O2471" i="1"/>
  <c r="P2471" i="1" s="1"/>
  <c r="O2472" i="1"/>
  <c r="P2472" i="1" s="1"/>
  <c r="O2473" i="1"/>
  <c r="P2473" i="1" s="1"/>
  <c r="O2474" i="1"/>
  <c r="P2474" i="1" s="1"/>
  <c r="O2475" i="1"/>
  <c r="P2475" i="1" s="1"/>
  <c r="O2476" i="1"/>
  <c r="P2476" i="1" s="1"/>
  <c r="O2477" i="1"/>
  <c r="P2477" i="1" s="1"/>
  <c r="O2478" i="1"/>
  <c r="P2478" i="1" s="1"/>
  <c r="O2479" i="1"/>
  <c r="P2479" i="1" s="1"/>
  <c r="O2480" i="1"/>
  <c r="P2480" i="1" s="1"/>
  <c r="O2481" i="1"/>
  <c r="P2481" i="1" s="1"/>
  <c r="O2482" i="1"/>
  <c r="P2482" i="1" s="1"/>
  <c r="O2483" i="1"/>
  <c r="P2483" i="1" s="1"/>
  <c r="O2484" i="1"/>
  <c r="P2484" i="1" s="1"/>
  <c r="O2485" i="1"/>
  <c r="P2485" i="1" s="1"/>
  <c r="O2486" i="1"/>
  <c r="P2486" i="1" s="1"/>
  <c r="O2487" i="1"/>
  <c r="P2487" i="1" s="1"/>
  <c r="O2488" i="1"/>
  <c r="P2488" i="1" s="1"/>
  <c r="O2489" i="1"/>
  <c r="P2489" i="1" s="1"/>
  <c r="O2490" i="1"/>
  <c r="P2490" i="1" s="1"/>
  <c r="O2491" i="1"/>
  <c r="P2491" i="1" s="1"/>
  <c r="O2492" i="1"/>
  <c r="P2492" i="1" s="1"/>
  <c r="O2493" i="1"/>
  <c r="P2493" i="1" s="1"/>
  <c r="O2494" i="1"/>
  <c r="P2494" i="1" s="1"/>
  <c r="O2495" i="1"/>
  <c r="P2495" i="1" s="1"/>
  <c r="O2496" i="1"/>
  <c r="P2496" i="1" s="1"/>
  <c r="O2497" i="1"/>
  <c r="P2497" i="1" s="1"/>
  <c r="O2498" i="1"/>
  <c r="P2498" i="1" s="1"/>
  <c r="O2499" i="1"/>
  <c r="P2499" i="1" s="1"/>
  <c r="O2500" i="1"/>
  <c r="P2500" i="1" s="1"/>
  <c r="O2501" i="1"/>
  <c r="P2501" i="1" s="1"/>
  <c r="O2502" i="1"/>
  <c r="P2502" i="1" s="1"/>
  <c r="O2503" i="1"/>
  <c r="P2503" i="1" s="1"/>
  <c r="O2504" i="1"/>
  <c r="P2504" i="1" s="1"/>
  <c r="O2505" i="1"/>
  <c r="P2505" i="1" s="1"/>
  <c r="O2506" i="1"/>
  <c r="P2506" i="1" s="1"/>
  <c r="O2507" i="1"/>
  <c r="P2507" i="1" s="1"/>
  <c r="O2508" i="1"/>
  <c r="P2508" i="1" s="1"/>
  <c r="O2509" i="1"/>
  <c r="P2509" i="1" s="1"/>
  <c r="O2510" i="1"/>
  <c r="P2510" i="1" s="1"/>
  <c r="O2511" i="1"/>
  <c r="P2511" i="1" s="1"/>
  <c r="O2512" i="1"/>
  <c r="P2512" i="1" s="1"/>
  <c r="O2513" i="1"/>
  <c r="P2513" i="1" s="1"/>
  <c r="O2514" i="1"/>
  <c r="P2514" i="1" s="1"/>
  <c r="O2515" i="1"/>
  <c r="P2515" i="1" s="1"/>
  <c r="O2516" i="1"/>
  <c r="P2516" i="1" s="1"/>
  <c r="O2517" i="1"/>
  <c r="P2517" i="1" s="1"/>
  <c r="O2518" i="1"/>
  <c r="P2518" i="1" s="1"/>
  <c r="O2519" i="1"/>
  <c r="P2519" i="1" s="1"/>
  <c r="O2520" i="1"/>
  <c r="P2520" i="1" s="1"/>
  <c r="O2521" i="1"/>
  <c r="P2521" i="1" s="1"/>
  <c r="O2522" i="1"/>
  <c r="P2522" i="1" s="1"/>
  <c r="O2523" i="1"/>
  <c r="P2523" i="1" s="1"/>
  <c r="O2524" i="1"/>
  <c r="P2524" i="1" s="1"/>
  <c r="O2525" i="1"/>
  <c r="P2525" i="1" s="1"/>
  <c r="O2526" i="1"/>
  <c r="P2526" i="1" s="1"/>
  <c r="O2527" i="1"/>
  <c r="P2527" i="1" s="1"/>
  <c r="O2528" i="1"/>
  <c r="P2528" i="1" s="1"/>
  <c r="O2529" i="1"/>
  <c r="P2529" i="1" s="1"/>
  <c r="O2530" i="1"/>
  <c r="P2530" i="1" s="1"/>
  <c r="O2531" i="1"/>
  <c r="P2531" i="1" s="1"/>
  <c r="O2532" i="1"/>
  <c r="P2532" i="1" s="1"/>
  <c r="O2533" i="1"/>
  <c r="P2533" i="1" s="1"/>
  <c r="O2534" i="1"/>
  <c r="P2534" i="1" s="1"/>
  <c r="O2535" i="1"/>
  <c r="P2535" i="1" s="1"/>
  <c r="O2536" i="1"/>
  <c r="P2536" i="1" s="1"/>
  <c r="O2537" i="1"/>
  <c r="P2537" i="1" s="1"/>
  <c r="O2538" i="1"/>
  <c r="P2538" i="1" s="1"/>
  <c r="O2539" i="1"/>
  <c r="P2539" i="1" s="1"/>
  <c r="O2540" i="1"/>
  <c r="P2540" i="1" s="1"/>
  <c r="O2541" i="1"/>
  <c r="P2541" i="1" s="1"/>
  <c r="O2542" i="1"/>
  <c r="P2542" i="1" s="1"/>
  <c r="O2543" i="1"/>
  <c r="P2543" i="1" s="1"/>
  <c r="O2544" i="1"/>
  <c r="P2544" i="1" s="1"/>
  <c r="O2545" i="1"/>
  <c r="P2545" i="1" s="1"/>
  <c r="O2546" i="1"/>
  <c r="P2546" i="1" s="1"/>
  <c r="O2547" i="1"/>
  <c r="P2547" i="1" s="1"/>
  <c r="O2548" i="1"/>
  <c r="P2548" i="1" s="1"/>
  <c r="O2549" i="1"/>
  <c r="P2549" i="1" s="1"/>
  <c r="O2550" i="1"/>
  <c r="P2550" i="1" s="1"/>
  <c r="O2551" i="1"/>
  <c r="P2551" i="1" s="1"/>
  <c r="O2552" i="1"/>
  <c r="P2552" i="1" s="1"/>
  <c r="O2553" i="1"/>
  <c r="P2553" i="1" s="1"/>
  <c r="O2554" i="1"/>
  <c r="P2554" i="1" s="1"/>
  <c r="O2555" i="1"/>
  <c r="P2555" i="1" s="1"/>
  <c r="O2556" i="1"/>
  <c r="P2556" i="1" s="1"/>
  <c r="O2557" i="1"/>
  <c r="P2557" i="1" s="1"/>
  <c r="O2558" i="1"/>
  <c r="P2558" i="1" s="1"/>
  <c r="O2559" i="1"/>
  <c r="P2559" i="1" s="1"/>
  <c r="O2560" i="1"/>
  <c r="P2560" i="1" s="1"/>
  <c r="O2561" i="1"/>
  <c r="P2561" i="1" s="1"/>
  <c r="O2562" i="1"/>
  <c r="P2562" i="1" s="1"/>
  <c r="O2563" i="1"/>
  <c r="P2563" i="1" s="1"/>
  <c r="O2564" i="1"/>
  <c r="P2564" i="1" s="1"/>
  <c r="O2565" i="1"/>
  <c r="P2565" i="1" s="1"/>
  <c r="O2566" i="1"/>
  <c r="P2566" i="1" s="1"/>
  <c r="O2567" i="1"/>
  <c r="P2567" i="1" s="1"/>
  <c r="O2568" i="1"/>
  <c r="P2568" i="1" s="1"/>
  <c r="O2569" i="1"/>
  <c r="P2569" i="1" s="1"/>
  <c r="O2570" i="1"/>
  <c r="P2570" i="1" s="1"/>
  <c r="O2571" i="1"/>
  <c r="P2571" i="1" s="1"/>
  <c r="O2572" i="1"/>
  <c r="P2572" i="1" s="1"/>
  <c r="O2573" i="1"/>
  <c r="P2573" i="1" s="1"/>
  <c r="O2574" i="1"/>
  <c r="P2574" i="1" s="1"/>
  <c r="O2575" i="1"/>
  <c r="P2575" i="1" s="1"/>
  <c r="O2576" i="1"/>
  <c r="P2576" i="1" s="1"/>
  <c r="O2577" i="1"/>
  <c r="P2577" i="1" s="1"/>
  <c r="O2578" i="1"/>
  <c r="P2578" i="1" s="1"/>
  <c r="O2579" i="1"/>
  <c r="P2579" i="1" s="1"/>
  <c r="O2580" i="1"/>
  <c r="P2580" i="1" s="1"/>
  <c r="O2581" i="1"/>
  <c r="P2581" i="1" s="1"/>
  <c r="O2582" i="1"/>
  <c r="P2582" i="1" s="1"/>
  <c r="O2583" i="1"/>
  <c r="P2583" i="1" s="1"/>
  <c r="O2584" i="1"/>
  <c r="P2584" i="1" s="1"/>
  <c r="O2585" i="1"/>
  <c r="P2585" i="1" s="1"/>
  <c r="O2586" i="1"/>
  <c r="P2586" i="1" s="1"/>
  <c r="O2587" i="1"/>
  <c r="P2587" i="1" s="1"/>
  <c r="O2588" i="1"/>
  <c r="P2588" i="1" s="1"/>
  <c r="O2589" i="1"/>
  <c r="P2589" i="1" s="1"/>
  <c r="O2590" i="1"/>
  <c r="P2590" i="1" s="1"/>
  <c r="O2591" i="1"/>
  <c r="P2591" i="1" s="1"/>
  <c r="O2592" i="1"/>
  <c r="P2592" i="1" s="1"/>
  <c r="O2593" i="1"/>
  <c r="P2593" i="1" s="1"/>
  <c r="O2594" i="1"/>
  <c r="P2594" i="1" s="1"/>
  <c r="O2595" i="1"/>
  <c r="P2595" i="1" s="1"/>
  <c r="O2596" i="1"/>
  <c r="P2596" i="1" s="1"/>
  <c r="O2597" i="1"/>
  <c r="P2597" i="1" s="1"/>
  <c r="O2598" i="1"/>
  <c r="P2598" i="1" s="1"/>
  <c r="O2599" i="1"/>
  <c r="P2599" i="1" s="1"/>
  <c r="O2600" i="1"/>
  <c r="P2600" i="1" s="1"/>
  <c r="O2601" i="1"/>
  <c r="P2601" i="1" s="1"/>
  <c r="O2602" i="1"/>
  <c r="P2602" i="1" s="1"/>
  <c r="O2603" i="1"/>
  <c r="P2603" i="1" s="1"/>
  <c r="O2604" i="1"/>
  <c r="P2604" i="1" s="1"/>
  <c r="O2605" i="1"/>
  <c r="P2605" i="1" s="1"/>
  <c r="O2606" i="1"/>
  <c r="P2606" i="1" s="1"/>
  <c r="O2607" i="1"/>
  <c r="P2607" i="1" s="1"/>
  <c r="O2608" i="1"/>
  <c r="P2608" i="1" s="1"/>
  <c r="O2609" i="1"/>
  <c r="P2609" i="1" s="1"/>
  <c r="O2610" i="1"/>
  <c r="P2610" i="1" s="1"/>
  <c r="O2611" i="1"/>
  <c r="P2611" i="1" s="1"/>
  <c r="O2612" i="1"/>
  <c r="P2612" i="1" s="1"/>
  <c r="O2613" i="1"/>
  <c r="P2613" i="1" s="1"/>
  <c r="O2614" i="1"/>
  <c r="P2614" i="1" s="1"/>
  <c r="O2615" i="1"/>
  <c r="P2615" i="1" s="1"/>
  <c r="O2616" i="1"/>
  <c r="P2616" i="1" s="1"/>
  <c r="O2617" i="1"/>
  <c r="P2617" i="1" s="1"/>
  <c r="O2618" i="1"/>
  <c r="P2618" i="1" s="1"/>
  <c r="O2619" i="1"/>
  <c r="P2619" i="1" s="1"/>
  <c r="O2620" i="1"/>
  <c r="P2620" i="1" s="1"/>
  <c r="O2621" i="1"/>
  <c r="P2621" i="1" s="1"/>
  <c r="O2622" i="1"/>
  <c r="P2622" i="1" s="1"/>
  <c r="O2623" i="1"/>
  <c r="P2623" i="1" s="1"/>
  <c r="O2624" i="1"/>
  <c r="P2624" i="1" s="1"/>
  <c r="O2625" i="1"/>
  <c r="P2625" i="1" s="1"/>
  <c r="O2626" i="1"/>
  <c r="P2626" i="1" s="1"/>
  <c r="O2627" i="1"/>
  <c r="P2627" i="1" s="1"/>
  <c r="O2628" i="1"/>
  <c r="P2628" i="1" s="1"/>
  <c r="O2629" i="1"/>
  <c r="P2629" i="1" s="1"/>
  <c r="O2630" i="1"/>
  <c r="P2630" i="1" s="1"/>
  <c r="O2631" i="1"/>
  <c r="P2631" i="1" s="1"/>
  <c r="O2632" i="1"/>
  <c r="P2632" i="1" s="1"/>
  <c r="O2633" i="1"/>
  <c r="P2633" i="1" s="1"/>
  <c r="O2634" i="1"/>
  <c r="P2634" i="1" s="1"/>
  <c r="O2635" i="1"/>
  <c r="P2635" i="1" s="1"/>
  <c r="O2636" i="1"/>
  <c r="P2636" i="1" s="1"/>
  <c r="O2637" i="1"/>
  <c r="P2637" i="1" s="1"/>
  <c r="O2638" i="1"/>
  <c r="P2638" i="1" s="1"/>
  <c r="O2639" i="1"/>
  <c r="P2639" i="1" s="1"/>
  <c r="O2640" i="1"/>
  <c r="P2640" i="1" s="1"/>
  <c r="O2641" i="1"/>
  <c r="P2641" i="1" s="1"/>
  <c r="O2642" i="1"/>
  <c r="P2642" i="1" s="1"/>
  <c r="O2643" i="1"/>
  <c r="P2643" i="1" s="1"/>
  <c r="O2644" i="1"/>
  <c r="P2644" i="1" s="1"/>
  <c r="O2645" i="1"/>
  <c r="P2645" i="1" s="1"/>
  <c r="O2646" i="1"/>
  <c r="P2646" i="1" s="1"/>
  <c r="O2647" i="1"/>
  <c r="P2647" i="1" s="1"/>
  <c r="O2648" i="1"/>
  <c r="P2648" i="1" s="1"/>
  <c r="O2649" i="1"/>
  <c r="P2649" i="1" s="1"/>
  <c r="O2650" i="1"/>
  <c r="P2650" i="1" s="1"/>
  <c r="O2651" i="1"/>
  <c r="P2651" i="1" s="1"/>
  <c r="O2652" i="1"/>
  <c r="P2652" i="1" s="1"/>
  <c r="O2653" i="1"/>
  <c r="P2653" i="1" s="1"/>
  <c r="O2654" i="1"/>
  <c r="P2654" i="1" s="1"/>
  <c r="O2655" i="1"/>
  <c r="P2655" i="1" s="1"/>
  <c r="O2656" i="1"/>
  <c r="P2656" i="1" s="1"/>
  <c r="O2657" i="1"/>
  <c r="P2657" i="1" s="1"/>
  <c r="O2658" i="1"/>
  <c r="P2658" i="1" s="1"/>
  <c r="O2659" i="1"/>
  <c r="P2659" i="1" s="1"/>
  <c r="O2660" i="1"/>
  <c r="P2660" i="1" s="1"/>
  <c r="O2661" i="1"/>
  <c r="P2661" i="1" s="1"/>
  <c r="O2662" i="1"/>
  <c r="P2662" i="1" s="1"/>
  <c r="O2663" i="1"/>
  <c r="P2663" i="1" s="1"/>
  <c r="O2664" i="1"/>
  <c r="P2664" i="1" s="1"/>
  <c r="O2665" i="1"/>
  <c r="P2665" i="1" s="1"/>
  <c r="O2666" i="1"/>
  <c r="P2666" i="1" s="1"/>
  <c r="O2667" i="1"/>
  <c r="P2667" i="1" s="1"/>
  <c r="O2668" i="1"/>
  <c r="P2668" i="1" s="1"/>
  <c r="O2669" i="1"/>
  <c r="P2669" i="1" s="1"/>
  <c r="O2670" i="1"/>
  <c r="P2670" i="1" s="1"/>
  <c r="O2671" i="1"/>
  <c r="P2671" i="1" s="1"/>
  <c r="O2672" i="1"/>
  <c r="P2672" i="1" s="1"/>
  <c r="O2673" i="1"/>
  <c r="P2673" i="1" s="1"/>
  <c r="O2674" i="1"/>
  <c r="P2674" i="1" s="1"/>
  <c r="O2675" i="1"/>
  <c r="P2675" i="1" s="1"/>
  <c r="O2676" i="1"/>
  <c r="P2676" i="1" s="1"/>
  <c r="O2677" i="1"/>
  <c r="P2677" i="1" s="1"/>
  <c r="O2678" i="1"/>
  <c r="P2678" i="1" s="1"/>
  <c r="O2679" i="1"/>
  <c r="P2679" i="1" s="1"/>
  <c r="O2680" i="1"/>
  <c r="P2680" i="1" s="1"/>
  <c r="O2681" i="1"/>
  <c r="P2681" i="1" s="1"/>
  <c r="O2682" i="1"/>
  <c r="P2682" i="1" s="1"/>
  <c r="O2683" i="1"/>
  <c r="P2683" i="1" s="1"/>
  <c r="O2684" i="1"/>
  <c r="P2684" i="1" s="1"/>
  <c r="O2685" i="1"/>
  <c r="P2685" i="1" s="1"/>
  <c r="O2686" i="1"/>
  <c r="P2686" i="1" s="1"/>
  <c r="O2687" i="1"/>
  <c r="P2687" i="1" s="1"/>
  <c r="O2688" i="1"/>
  <c r="P2688" i="1" s="1"/>
  <c r="O2689" i="1"/>
  <c r="P2689" i="1" s="1"/>
  <c r="O2690" i="1"/>
  <c r="P2690" i="1" s="1"/>
  <c r="O2691" i="1"/>
  <c r="P2691" i="1" s="1"/>
  <c r="O2692" i="1"/>
  <c r="P2692" i="1" s="1"/>
  <c r="O2693" i="1"/>
  <c r="P2693" i="1" s="1"/>
  <c r="O2694" i="1"/>
  <c r="P2694" i="1" s="1"/>
  <c r="O2695" i="1"/>
  <c r="P2695" i="1" s="1"/>
  <c r="O2696" i="1"/>
  <c r="P2696" i="1" s="1"/>
  <c r="O2697" i="1"/>
  <c r="P2697" i="1" s="1"/>
  <c r="O2698" i="1"/>
  <c r="P2698" i="1" s="1"/>
  <c r="O2699" i="1"/>
  <c r="P2699" i="1" s="1"/>
  <c r="O2700" i="1"/>
  <c r="P2700" i="1" s="1"/>
  <c r="O2701" i="1"/>
  <c r="P2701" i="1" s="1"/>
  <c r="O2702" i="1"/>
  <c r="P2702" i="1" s="1"/>
  <c r="O2703" i="1"/>
  <c r="P2703" i="1" s="1"/>
  <c r="O2704" i="1"/>
  <c r="P2704" i="1" s="1"/>
  <c r="O2705" i="1"/>
  <c r="P2705" i="1" s="1"/>
  <c r="O2706" i="1"/>
  <c r="P2706" i="1" s="1"/>
  <c r="O2707" i="1"/>
  <c r="P2707" i="1" s="1"/>
  <c r="O2708" i="1"/>
  <c r="P2708" i="1" s="1"/>
  <c r="O2709" i="1"/>
  <c r="P2709" i="1" s="1"/>
  <c r="O2710" i="1"/>
  <c r="P2710" i="1" s="1"/>
  <c r="O2711" i="1"/>
  <c r="P2711" i="1" s="1"/>
  <c r="O2712" i="1"/>
  <c r="P2712" i="1" s="1"/>
  <c r="O2713" i="1"/>
  <c r="P2713" i="1" s="1"/>
  <c r="O2714" i="1"/>
  <c r="P2714" i="1" s="1"/>
  <c r="O2715" i="1"/>
  <c r="P2715" i="1" s="1"/>
  <c r="O2716" i="1"/>
  <c r="P2716" i="1" s="1"/>
  <c r="O2717" i="1"/>
  <c r="P2717" i="1" s="1"/>
  <c r="O2718" i="1"/>
  <c r="P2718" i="1" s="1"/>
  <c r="O2719" i="1"/>
  <c r="P2719" i="1" s="1"/>
  <c r="O2720" i="1"/>
  <c r="P2720" i="1" s="1"/>
  <c r="O2721" i="1"/>
  <c r="P2721" i="1" s="1"/>
  <c r="O2722" i="1"/>
  <c r="P2722" i="1" s="1"/>
  <c r="O2723" i="1"/>
  <c r="P2723" i="1" s="1"/>
  <c r="O2724" i="1"/>
  <c r="P2724" i="1" s="1"/>
  <c r="O2725" i="1"/>
  <c r="P2725" i="1" s="1"/>
  <c r="O2726" i="1"/>
  <c r="P2726" i="1" s="1"/>
  <c r="O2727" i="1"/>
  <c r="P2727" i="1" s="1"/>
  <c r="O2728" i="1"/>
  <c r="P2728" i="1" s="1"/>
  <c r="O2729" i="1"/>
  <c r="P2729" i="1" s="1"/>
  <c r="O2730" i="1"/>
  <c r="P2730" i="1" s="1"/>
  <c r="O2731" i="1"/>
  <c r="P2731" i="1" s="1"/>
  <c r="O2732" i="1"/>
  <c r="P2732" i="1" s="1"/>
  <c r="O2733" i="1"/>
  <c r="P2733" i="1" s="1"/>
  <c r="O2734" i="1"/>
  <c r="P2734" i="1" s="1"/>
  <c r="O2735" i="1"/>
  <c r="P2735" i="1" s="1"/>
  <c r="O2736" i="1"/>
  <c r="P2736" i="1" s="1"/>
  <c r="O2737" i="1"/>
  <c r="P2737" i="1" s="1"/>
  <c r="O2738" i="1"/>
  <c r="P2738" i="1" s="1"/>
  <c r="O2739" i="1"/>
  <c r="P2739" i="1" s="1"/>
  <c r="O2740" i="1"/>
  <c r="P2740" i="1" s="1"/>
  <c r="O2741" i="1"/>
  <c r="P2741" i="1" s="1"/>
  <c r="O2742" i="1"/>
  <c r="P2742" i="1" s="1"/>
  <c r="O2743" i="1"/>
  <c r="P2743" i="1" s="1"/>
  <c r="O2744" i="1"/>
  <c r="P2744" i="1" s="1"/>
  <c r="O2745" i="1"/>
  <c r="P2745" i="1" s="1"/>
  <c r="O2746" i="1"/>
  <c r="P2746" i="1" s="1"/>
  <c r="O2747" i="1"/>
  <c r="P2747" i="1" s="1"/>
  <c r="O2748" i="1"/>
  <c r="P2748" i="1" s="1"/>
  <c r="O2749" i="1"/>
  <c r="P2749" i="1" s="1"/>
  <c r="O2750" i="1"/>
  <c r="P2750" i="1" s="1"/>
  <c r="O2751" i="1"/>
  <c r="P2751" i="1" s="1"/>
  <c r="O2752" i="1"/>
  <c r="P2752" i="1" s="1"/>
  <c r="O2753" i="1"/>
  <c r="P2753" i="1" s="1"/>
  <c r="O2754" i="1"/>
  <c r="P2754" i="1" s="1"/>
  <c r="O2755" i="1"/>
  <c r="P2755" i="1" s="1"/>
  <c r="O2756" i="1"/>
  <c r="P2756" i="1" s="1"/>
  <c r="O2757" i="1"/>
  <c r="P2757" i="1" s="1"/>
  <c r="O2758" i="1"/>
  <c r="P2758" i="1" s="1"/>
  <c r="O2759" i="1"/>
  <c r="P2759" i="1" s="1"/>
  <c r="O2760" i="1"/>
  <c r="P2760" i="1" s="1"/>
  <c r="O2761" i="1"/>
  <c r="P2761" i="1" s="1"/>
  <c r="O2762" i="1"/>
  <c r="P2762" i="1" s="1"/>
  <c r="O2763" i="1"/>
  <c r="P2763" i="1" s="1"/>
  <c r="O2764" i="1"/>
  <c r="P2764" i="1" s="1"/>
  <c r="O2765" i="1"/>
  <c r="P2765" i="1" s="1"/>
  <c r="O2766" i="1"/>
  <c r="P2766" i="1" s="1"/>
  <c r="O2767" i="1"/>
  <c r="P2767" i="1" s="1"/>
  <c r="O2768" i="1"/>
  <c r="P2768" i="1" s="1"/>
  <c r="O2769" i="1"/>
  <c r="P2769" i="1" s="1"/>
  <c r="O2770" i="1"/>
  <c r="P2770" i="1" s="1"/>
  <c r="O2771" i="1"/>
  <c r="P2771" i="1" s="1"/>
  <c r="O2772" i="1"/>
  <c r="P2772" i="1" s="1"/>
  <c r="O2773" i="1"/>
  <c r="P2773" i="1" s="1"/>
  <c r="O2774" i="1"/>
  <c r="P2774" i="1" s="1"/>
  <c r="O2775" i="1"/>
  <c r="P2775" i="1" s="1"/>
  <c r="O2776" i="1"/>
  <c r="P2776" i="1" s="1"/>
  <c r="O2777" i="1"/>
  <c r="P2777" i="1" s="1"/>
  <c r="O2778" i="1"/>
  <c r="P2778" i="1" s="1"/>
  <c r="O2779" i="1"/>
  <c r="P2779" i="1" s="1"/>
  <c r="O2780" i="1"/>
  <c r="P2780" i="1" s="1"/>
  <c r="O2781" i="1"/>
  <c r="P2781" i="1" s="1"/>
  <c r="O2782" i="1"/>
  <c r="P2782" i="1" s="1"/>
  <c r="O2783" i="1"/>
  <c r="P2783" i="1" s="1"/>
  <c r="O2784" i="1"/>
  <c r="P2784" i="1" s="1"/>
  <c r="O2785" i="1"/>
  <c r="P2785" i="1" s="1"/>
  <c r="O2786" i="1"/>
  <c r="P2786" i="1" s="1"/>
  <c r="O2787" i="1"/>
  <c r="P2787" i="1" s="1"/>
  <c r="O2788" i="1"/>
  <c r="P2788" i="1" s="1"/>
  <c r="O2789" i="1"/>
  <c r="P2789" i="1" s="1"/>
  <c r="O2790" i="1"/>
  <c r="P2790" i="1" s="1"/>
  <c r="O2791" i="1"/>
  <c r="P2791" i="1" s="1"/>
  <c r="O2792" i="1"/>
  <c r="P2792" i="1" s="1"/>
  <c r="O2793" i="1"/>
  <c r="P2793" i="1" s="1"/>
  <c r="O2794" i="1"/>
  <c r="P2794" i="1" s="1"/>
  <c r="O2795" i="1"/>
  <c r="P2795" i="1" s="1"/>
  <c r="O2796" i="1"/>
  <c r="P2796" i="1" s="1"/>
  <c r="O2797" i="1"/>
  <c r="P2797" i="1" s="1"/>
  <c r="O2798" i="1"/>
  <c r="P2798" i="1" s="1"/>
  <c r="O2799" i="1"/>
  <c r="P2799" i="1" s="1"/>
  <c r="O2800" i="1"/>
  <c r="P2800" i="1" s="1"/>
  <c r="O2801" i="1"/>
  <c r="P2801" i="1" s="1"/>
  <c r="O2802" i="1"/>
  <c r="P2802" i="1" s="1"/>
  <c r="O2803" i="1"/>
  <c r="P2803" i="1" s="1"/>
  <c r="O2804" i="1"/>
  <c r="P2804" i="1" s="1"/>
  <c r="O2805" i="1"/>
  <c r="P2805" i="1" s="1"/>
  <c r="O2806" i="1"/>
  <c r="P2806" i="1" s="1"/>
  <c r="O2807" i="1"/>
  <c r="P2807" i="1" s="1"/>
  <c r="O2808" i="1"/>
  <c r="P2808" i="1" s="1"/>
  <c r="O2809" i="1"/>
  <c r="P2809" i="1" s="1"/>
  <c r="O2810" i="1"/>
  <c r="P2810" i="1" s="1"/>
  <c r="O2811" i="1"/>
  <c r="P2811" i="1" s="1"/>
  <c r="O2812" i="1"/>
  <c r="P2812" i="1" s="1"/>
  <c r="O2813" i="1"/>
  <c r="P2813" i="1" s="1"/>
  <c r="O2814" i="1"/>
  <c r="P2814" i="1" s="1"/>
  <c r="O2815" i="1"/>
  <c r="P2815" i="1" s="1"/>
  <c r="O2816" i="1"/>
  <c r="P2816" i="1" s="1"/>
  <c r="O2817" i="1"/>
  <c r="P2817" i="1" s="1"/>
  <c r="O2818" i="1"/>
  <c r="P2818" i="1" s="1"/>
  <c r="O2819" i="1"/>
  <c r="P2819" i="1" s="1"/>
  <c r="O2820" i="1"/>
  <c r="P2820" i="1" s="1"/>
  <c r="O2821" i="1"/>
  <c r="P2821" i="1" s="1"/>
  <c r="O2822" i="1"/>
  <c r="P2822" i="1" s="1"/>
  <c r="O2823" i="1"/>
  <c r="P2823" i="1" s="1"/>
  <c r="O2824" i="1"/>
  <c r="P2824" i="1" s="1"/>
  <c r="O2825" i="1"/>
  <c r="P2825" i="1" s="1"/>
  <c r="O2826" i="1"/>
  <c r="P2826" i="1" s="1"/>
  <c r="O2827" i="1"/>
  <c r="P2827" i="1" s="1"/>
  <c r="O2828" i="1"/>
  <c r="P2828" i="1" s="1"/>
  <c r="O2829" i="1"/>
  <c r="P2829" i="1" s="1"/>
  <c r="O2830" i="1"/>
  <c r="P2830" i="1" s="1"/>
  <c r="O2831" i="1"/>
  <c r="P2831" i="1" s="1"/>
  <c r="O2832" i="1"/>
  <c r="P2832" i="1" s="1"/>
  <c r="O2833" i="1"/>
  <c r="P2833" i="1" s="1"/>
  <c r="O2834" i="1"/>
  <c r="P2834" i="1" s="1"/>
  <c r="O2835" i="1"/>
  <c r="P2835" i="1" s="1"/>
  <c r="O2836" i="1"/>
  <c r="P2836" i="1" s="1"/>
  <c r="O2837" i="1"/>
  <c r="P2837" i="1" s="1"/>
  <c r="O2838" i="1"/>
  <c r="P2838" i="1" s="1"/>
  <c r="O2839" i="1"/>
  <c r="P2839" i="1" s="1"/>
  <c r="O2840" i="1"/>
  <c r="P2840" i="1" s="1"/>
  <c r="O2841" i="1"/>
  <c r="P2841" i="1" s="1"/>
  <c r="O2842" i="1"/>
  <c r="P2842" i="1" s="1"/>
  <c r="O2843" i="1"/>
  <c r="P2843" i="1" s="1"/>
  <c r="O2844" i="1"/>
  <c r="P2844" i="1" s="1"/>
  <c r="O2845" i="1"/>
  <c r="P2845" i="1" s="1"/>
  <c r="O2846" i="1"/>
  <c r="P2846" i="1" s="1"/>
  <c r="O2847" i="1"/>
  <c r="P2847" i="1" s="1"/>
  <c r="O2848" i="1"/>
  <c r="P2848" i="1" s="1"/>
  <c r="O2849" i="1"/>
  <c r="P2849" i="1" s="1"/>
  <c r="O2850" i="1"/>
  <c r="P2850" i="1" s="1"/>
  <c r="O2851" i="1"/>
  <c r="P2851" i="1" s="1"/>
  <c r="O2852" i="1"/>
  <c r="P2852" i="1" s="1"/>
  <c r="O2853" i="1"/>
  <c r="P2853" i="1" s="1"/>
  <c r="O2854" i="1"/>
  <c r="P2854" i="1" s="1"/>
  <c r="O2855" i="1"/>
  <c r="P2855" i="1" s="1"/>
  <c r="O2856" i="1"/>
  <c r="P2856" i="1" s="1"/>
  <c r="O2857" i="1"/>
  <c r="P2857" i="1" s="1"/>
  <c r="O2858" i="1"/>
  <c r="P2858" i="1" s="1"/>
  <c r="O2859" i="1"/>
  <c r="P2859" i="1" s="1"/>
  <c r="O2860" i="1"/>
  <c r="P2860" i="1" s="1"/>
  <c r="O2861" i="1"/>
  <c r="P2861" i="1" s="1"/>
  <c r="O2862" i="1"/>
  <c r="P2862" i="1" s="1"/>
  <c r="O2863" i="1"/>
  <c r="P2863" i="1" s="1"/>
  <c r="O2864" i="1"/>
  <c r="P2864" i="1" s="1"/>
  <c r="O2865" i="1"/>
  <c r="P2865" i="1" s="1"/>
  <c r="O2866" i="1"/>
  <c r="P2866" i="1" s="1"/>
  <c r="O2867" i="1"/>
  <c r="P2867" i="1" s="1"/>
  <c r="O2868" i="1"/>
  <c r="P2868" i="1" s="1"/>
  <c r="O2869" i="1"/>
  <c r="P2869" i="1" s="1"/>
  <c r="O2870" i="1"/>
  <c r="P2870" i="1" s="1"/>
  <c r="O2871" i="1"/>
  <c r="P2871" i="1" s="1"/>
  <c r="O2872" i="1"/>
  <c r="P2872" i="1" s="1"/>
  <c r="O2873" i="1"/>
  <c r="P2873" i="1" s="1"/>
  <c r="O2874" i="1"/>
  <c r="P2874" i="1" s="1"/>
  <c r="O2875" i="1"/>
  <c r="P2875" i="1" s="1"/>
  <c r="O2876" i="1"/>
  <c r="P2876" i="1" s="1"/>
  <c r="O2877" i="1"/>
  <c r="P2877" i="1" s="1"/>
  <c r="O2878" i="1"/>
  <c r="P2878" i="1" s="1"/>
  <c r="O2879" i="1"/>
  <c r="P2879" i="1" s="1"/>
  <c r="O2880" i="1"/>
  <c r="P2880" i="1" s="1"/>
  <c r="O2881" i="1"/>
  <c r="P2881" i="1" s="1"/>
  <c r="O2882" i="1"/>
  <c r="P2882" i="1" s="1"/>
  <c r="O2883" i="1"/>
  <c r="P2883" i="1" s="1"/>
  <c r="O2884" i="1"/>
  <c r="P2884" i="1" s="1"/>
  <c r="O2885" i="1"/>
  <c r="P2885" i="1" s="1"/>
  <c r="O2886" i="1"/>
  <c r="P2886" i="1" s="1"/>
  <c r="O2887" i="1"/>
  <c r="P2887" i="1" s="1"/>
  <c r="O2888" i="1"/>
  <c r="P2888" i="1" s="1"/>
  <c r="O2889" i="1"/>
  <c r="P2889" i="1" s="1"/>
  <c r="O2890" i="1"/>
  <c r="P2890" i="1" s="1"/>
  <c r="O2891" i="1"/>
  <c r="P2891" i="1" s="1"/>
  <c r="O2892" i="1"/>
  <c r="P2892" i="1" s="1"/>
  <c r="O2893" i="1"/>
  <c r="P2893" i="1" s="1"/>
  <c r="O2894" i="1"/>
  <c r="P2894" i="1" s="1"/>
  <c r="O2895" i="1"/>
  <c r="P2895" i="1" s="1"/>
  <c r="O2896" i="1"/>
  <c r="P2896" i="1" s="1"/>
  <c r="O2897" i="1"/>
  <c r="P2897" i="1" s="1"/>
  <c r="O2898" i="1"/>
  <c r="P2898" i="1" s="1"/>
  <c r="O2899" i="1"/>
  <c r="P2899" i="1" s="1"/>
  <c r="O2900" i="1"/>
  <c r="P2900" i="1" s="1"/>
  <c r="O2901" i="1"/>
  <c r="P2901" i="1" s="1"/>
  <c r="O2902" i="1"/>
  <c r="P2902" i="1" s="1"/>
  <c r="O2903" i="1"/>
  <c r="P2903" i="1" s="1"/>
  <c r="O2904" i="1"/>
  <c r="P2904" i="1" s="1"/>
  <c r="O2905" i="1"/>
  <c r="P2905" i="1" s="1"/>
  <c r="O2906" i="1"/>
  <c r="P2906" i="1" s="1"/>
  <c r="O2907" i="1"/>
  <c r="P2907" i="1" s="1"/>
  <c r="O2908" i="1"/>
  <c r="P2908" i="1" s="1"/>
  <c r="O2909" i="1"/>
  <c r="P2909" i="1" s="1"/>
  <c r="O2910" i="1"/>
  <c r="P2910" i="1" s="1"/>
  <c r="O2911" i="1"/>
  <c r="P2911" i="1" s="1"/>
  <c r="O2912" i="1"/>
  <c r="P2912" i="1" s="1"/>
  <c r="O2913" i="1"/>
  <c r="P2913" i="1" s="1"/>
  <c r="O2914" i="1"/>
  <c r="P2914" i="1" s="1"/>
  <c r="O2915" i="1"/>
  <c r="P2915" i="1" s="1"/>
  <c r="O2916" i="1"/>
  <c r="P2916" i="1" s="1"/>
  <c r="O2917" i="1"/>
  <c r="P2917" i="1" s="1"/>
  <c r="O2918" i="1"/>
  <c r="P2918" i="1" s="1"/>
  <c r="O2919" i="1"/>
  <c r="P2919" i="1" s="1"/>
  <c r="O2920" i="1"/>
  <c r="P2920" i="1" s="1"/>
  <c r="O2921" i="1"/>
  <c r="P2921" i="1" s="1"/>
  <c r="O2922" i="1"/>
  <c r="P2922" i="1" s="1"/>
  <c r="O2923" i="1"/>
  <c r="P2923" i="1" s="1"/>
  <c r="O2924" i="1"/>
  <c r="P2924" i="1" s="1"/>
  <c r="O2925" i="1"/>
  <c r="P2925" i="1" s="1"/>
  <c r="O2926" i="1"/>
  <c r="P2926" i="1" s="1"/>
  <c r="O2927" i="1"/>
  <c r="P2927" i="1" s="1"/>
  <c r="O2928" i="1"/>
  <c r="P2928" i="1" s="1"/>
  <c r="O2929" i="1"/>
  <c r="P2929" i="1" s="1"/>
  <c r="O2930" i="1"/>
  <c r="P2930" i="1" s="1"/>
  <c r="O2931" i="1"/>
  <c r="P2931" i="1" s="1"/>
  <c r="O2932" i="1"/>
  <c r="P2932" i="1" s="1"/>
  <c r="O2933" i="1"/>
  <c r="P2933" i="1" s="1"/>
  <c r="O2934" i="1"/>
  <c r="P2934" i="1" s="1"/>
  <c r="O2935" i="1"/>
  <c r="P2935" i="1" s="1"/>
  <c r="O2936" i="1"/>
  <c r="P2936" i="1" s="1"/>
  <c r="O2937" i="1"/>
  <c r="P2937" i="1" s="1"/>
  <c r="O2938" i="1"/>
  <c r="P2938" i="1" s="1"/>
  <c r="O2939" i="1"/>
  <c r="P2939" i="1" s="1"/>
  <c r="O2940" i="1"/>
  <c r="P2940" i="1" s="1"/>
  <c r="O2941" i="1"/>
  <c r="P2941" i="1" s="1"/>
  <c r="O2942" i="1"/>
  <c r="P2942" i="1" s="1"/>
  <c r="O2943" i="1"/>
  <c r="P2943" i="1" s="1"/>
  <c r="O2944" i="1"/>
  <c r="P2944" i="1" s="1"/>
  <c r="O2945" i="1"/>
  <c r="P2945" i="1" s="1"/>
  <c r="O2946" i="1"/>
  <c r="P2946" i="1" s="1"/>
  <c r="O2947" i="1"/>
  <c r="P2947" i="1" s="1"/>
  <c r="O2948" i="1"/>
  <c r="P2948" i="1" s="1"/>
  <c r="O2949" i="1"/>
  <c r="P2949" i="1" s="1"/>
  <c r="O2950" i="1"/>
  <c r="P2950" i="1" s="1"/>
  <c r="O2951" i="1"/>
  <c r="P2951" i="1" s="1"/>
  <c r="O2952" i="1"/>
  <c r="P2952" i="1" s="1"/>
  <c r="O2953" i="1"/>
  <c r="P2953" i="1" s="1"/>
  <c r="O2954" i="1"/>
  <c r="P2954" i="1" s="1"/>
  <c r="O2955" i="1"/>
  <c r="P2955" i="1" s="1"/>
  <c r="O2956" i="1"/>
  <c r="P2956" i="1" s="1"/>
  <c r="O2957" i="1"/>
  <c r="P2957" i="1" s="1"/>
  <c r="O2958" i="1"/>
  <c r="P2958" i="1" s="1"/>
  <c r="O2959" i="1"/>
  <c r="P2959" i="1" s="1"/>
  <c r="O2960" i="1"/>
  <c r="P2960" i="1" s="1"/>
  <c r="O2961" i="1"/>
  <c r="P2961" i="1" s="1"/>
  <c r="O2962" i="1"/>
  <c r="P2962" i="1" s="1"/>
  <c r="O2963" i="1"/>
  <c r="P2963" i="1" s="1"/>
  <c r="O2964" i="1"/>
  <c r="P2964" i="1" s="1"/>
  <c r="O2965" i="1"/>
  <c r="P2965" i="1" s="1"/>
  <c r="O2966" i="1"/>
  <c r="P2966" i="1" s="1"/>
  <c r="O2967" i="1"/>
  <c r="P2967" i="1" s="1"/>
  <c r="O2968" i="1"/>
  <c r="P2968" i="1" s="1"/>
  <c r="O2969" i="1"/>
  <c r="P2969" i="1" s="1"/>
  <c r="O2970" i="1"/>
  <c r="P2970" i="1" s="1"/>
  <c r="O2971" i="1"/>
  <c r="P2971" i="1" s="1"/>
  <c r="O2972" i="1"/>
  <c r="P2972" i="1" s="1"/>
  <c r="O2973" i="1"/>
  <c r="P2973" i="1" s="1"/>
  <c r="O2974" i="1"/>
  <c r="P2974" i="1" s="1"/>
  <c r="O2975" i="1"/>
  <c r="P2975" i="1" s="1"/>
  <c r="O2976" i="1"/>
  <c r="P2976" i="1" s="1"/>
  <c r="O2977" i="1"/>
  <c r="P2977" i="1" s="1"/>
  <c r="O2978" i="1"/>
  <c r="P2978" i="1" s="1"/>
  <c r="O2979" i="1"/>
  <c r="P2979" i="1" s="1"/>
  <c r="O2980" i="1"/>
  <c r="P2980" i="1" s="1"/>
  <c r="O2981" i="1"/>
  <c r="P2981" i="1" s="1"/>
  <c r="O2982" i="1"/>
  <c r="P2982" i="1" s="1"/>
  <c r="O2983" i="1"/>
  <c r="P2983" i="1" s="1"/>
  <c r="O2984" i="1"/>
  <c r="P2984" i="1" s="1"/>
  <c r="O2985" i="1"/>
  <c r="P2985" i="1" s="1"/>
  <c r="O2986" i="1"/>
  <c r="P2986" i="1" s="1"/>
  <c r="O2987" i="1"/>
  <c r="P2987" i="1" s="1"/>
  <c r="O2988" i="1"/>
  <c r="P2988" i="1" s="1"/>
  <c r="O2989" i="1"/>
  <c r="P2989" i="1" s="1"/>
  <c r="O2990" i="1"/>
  <c r="P2990" i="1" s="1"/>
  <c r="O2991" i="1"/>
  <c r="P2991" i="1" s="1"/>
  <c r="O2992" i="1"/>
  <c r="P2992" i="1" s="1"/>
  <c r="O2993" i="1"/>
  <c r="P2993" i="1" s="1"/>
  <c r="O2994" i="1"/>
  <c r="P2994" i="1" s="1"/>
  <c r="O2995" i="1"/>
  <c r="P2995" i="1" s="1"/>
  <c r="O2996" i="1"/>
  <c r="P2996" i="1" s="1"/>
  <c r="O2997" i="1"/>
  <c r="P2997" i="1" s="1"/>
  <c r="O2998" i="1"/>
  <c r="P2998" i="1" s="1"/>
  <c r="O2999" i="1"/>
  <c r="P2999" i="1" s="1"/>
  <c r="O3000" i="1"/>
  <c r="P3000" i="1" s="1"/>
  <c r="O3001" i="1"/>
  <c r="P3001" i="1" s="1"/>
  <c r="O3002" i="1"/>
  <c r="P3002" i="1" s="1"/>
  <c r="O3003" i="1"/>
  <c r="P3003" i="1" s="1"/>
  <c r="O3004" i="1"/>
  <c r="P3004" i="1" s="1"/>
  <c r="O3005" i="1"/>
  <c r="P3005" i="1" s="1"/>
  <c r="O3006" i="1"/>
  <c r="P3006" i="1" s="1"/>
  <c r="O3007" i="1"/>
  <c r="P3007" i="1" s="1"/>
  <c r="O3008" i="1"/>
  <c r="P3008" i="1" s="1"/>
  <c r="O3009" i="1"/>
  <c r="P3009" i="1" s="1"/>
  <c r="O3010" i="1"/>
  <c r="P3010" i="1" s="1"/>
  <c r="O3011" i="1"/>
  <c r="P3011" i="1" s="1"/>
  <c r="O3012" i="1"/>
  <c r="P3012" i="1" s="1"/>
  <c r="O3013" i="1"/>
  <c r="P3013" i="1" s="1"/>
  <c r="O3014" i="1"/>
  <c r="P3014" i="1" s="1"/>
  <c r="O3015" i="1"/>
  <c r="P3015" i="1" s="1"/>
  <c r="O3016" i="1"/>
  <c r="P3016" i="1" s="1"/>
  <c r="O3017" i="1"/>
  <c r="P3017" i="1" s="1"/>
  <c r="O3018" i="1"/>
  <c r="P3018" i="1" s="1"/>
  <c r="O3019" i="1"/>
  <c r="P3019" i="1" s="1"/>
  <c r="O3020" i="1"/>
  <c r="P3020" i="1" s="1"/>
  <c r="O3021" i="1"/>
  <c r="P3021" i="1" s="1"/>
  <c r="O3022" i="1"/>
  <c r="P3022" i="1" s="1"/>
  <c r="O3023" i="1"/>
  <c r="P3023" i="1" s="1"/>
  <c r="O3024" i="1"/>
  <c r="P3024" i="1" s="1"/>
  <c r="O3025" i="1"/>
  <c r="P3025" i="1" s="1"/>
  <c r="O3026" i="1"/>
  <c r="P3026" i="1" s="1"/>
  <c r="O3027" i="1"/>
  <c r="P3027" i="1" s="1"/>
  <c r="O3028" i="1"/>
  <c r="P3028" i="1" s="1"/>
  <c r="O3029" i="1"/>
  <c r="P3029" i="1" s="1"/>
  <c r="O3030" i="1"/>
  <c r="P3030" i="1" s="1"/>
  <c r="O3031" i="1"/>
  <c r="P3031" i="1" s="1"/>
  <c r="O3032" i="1"/>
  <c r="P3032" i="1" s="1"/>
  <c r="O3033" i="1"/>
  <c r="P3033" i="1" s="1"/>
  <c r="O3034" i="1"/>
  <c r="P3034" i="1" s="1"/>
  <c r="O3035" i="1"/>
  <c r="P3035" i="1" s="1"/>
  <c r="O3036" i="1"/>
  <c r="P3036" i="1" s="1"/>
  <c r="O3037" i="1"/>
  <c r="P3037" i="1" s="1"/>
  <c r="O3038" i="1"/>
  <c r="P3038" i="1" s="1"/>
  <c r="O3039" i="1"/>
  <c r="P3039" i="1" s="1"/>
  <c r="O3040" i="1"/>
  <c r="P3040" i="1" s="1"/>
  <c r="O3041" i="1"/>
  <c r="P3041" i="1" s="1"/>
  <c r="O3042" i="1"/>
  <c r="P3042" i="1" s="1"/>
  <c r="O3043" i="1"/>
  <c r="P3043" i="1" s="1"/>
  <c r="O3044" i="1"/>
  <c r="P3044" i="1" s="1"/>
  <c r="O3045" i="1"/>
  <c r="P3045" i="1" s="1"/>
  <c r="O3046" i="1"/>
  <c r="P3046" i="1" s="1"/>
  <c r="O3047" i="1"/>
  <c r="P3047" i="1" s="1"/>
  <c r="O3048" i="1"/>
  <c r="P3048" i="1" s="1"/>
  <c r="O3049" i="1"/>
  <c r="P3049" i="1" s="1"/>
  <c r="O3050" i="1"/>
  <c r="P3050" i="1" s="1"/>
  <c r="O3051" i="1"/>
  <c r="P3051" i="1" s="1"/>
  <c r="O3052" i="1"/>
  <c r="P3052" i="1" s="1"/>
  <c r="O3053" i="1"/>
  <c r="P3053" i="1" s="1"/>
  <c r="O3054" i="1"/>
  <c r="P3054" i="1" s="1"/>
  <c r="O3055" i="1"/>
  <c r="P3055" i="1" s="1"/>
  <c r="O3056" i="1"/>
  <c r="P3056" i="1" s="1"/>
  <c r="O3057" i="1"/>
  <c r="P3057" i="1" s="1"/>
  <c r="O3058" i="1"/>
  <c r="P3058" i="1" s="1"/>
  <c r="O3059" i="1"/>
  <c r="P3059" i="1" s="1"/>
  <c r="O3060" i="1"/>
  <c r="P3060" i="1" s="1"/>
  <c r="O3061" i="1"/>
  <c r="P3061" i="1" s="1"/>
  <c r="O3062" i="1"/>
  <c r="P3062" i="1" s="1"/>
  <c r="O3063" i="1"/>
  <c r="P3063" i="1" s="1"/>
  <c r="O3064" i="1"/>
  <c r="P3064" i="1" s="1"/>
  <c r="O3065" i="1"/>
  <c r="P3065" i="1" s="1"/>
  <c r="O3066" i="1"/>
  <c r="P3066" i="1" s="1"/>
  <c r="O3067" i="1"/>
  <c r="P3067" i="1" s="1"/>
  <c r="O3068" i="1"/>
  <c r="P3068" i="1" s="1"/>
  <c r="O3069" i="1"/>
  <c r="P3069" i="1" s="1"/>
  <c r="O3070" i="1"/>
  <c r="P3070" i="1" s="1"/>
  <c r="O3071" i="1"/>
  <c r="P3071" i="1" s="1"/>
  <c r="O3072" i="1"/>
  <c r="P3072" i="1" s="1"/>
  <c r="O3073" i="1"/>
  <c r="P3073" i="1" s="1"/>
  <c r="O3074" i="1"/>
  <c r="P3074" i="1" s="1"/>
  <c r="O3075" i="1"/>
  <c r="P3075" i="1" s="1"/>
  <c r="O3076" i="1"/>
  <c r="P3076" i="1" s="1"/>
  <c r="O3077" i="1"/>
  <c r="P3077" i="1" s="1"/>
  <c r="O3078" i="1"/>
  <c r="P3078" i="1" s="1"/>
  <c r="O3079" i="1"/>
  <c r="P3079" i="1" s="1"/>
  <c r="O3080" i="1"/>
  <c r="P3080" i="1" s="1"/>
  <c r="O3081" i="1"/>
  <c r="P3081" i="1" s="1"/>
  <c r="O3082" i="1"/>
  <c r="P3082" i="1" s="1"/>
  <c r="O3083" i="1"/>
  <c r="P3083" i="1" s="1"/>
  <c r="O3084" i="1"/>
  <c r="P3084" i="1" s="1"/>
  <c r="O3085" i="1"/>
  <c r="P3085" i="1" s="1"/>
  <c r="O3086" i="1"/>
  <c r="P3086" i="1" s="1"/>
  <c r="O3087" i="1"/>
  <c r="P3087" i="1" s="1"/>
  <c r="O3088" i="1"/>
  <c r="P3088" i="1" s="1"/>
  <c r="O3089" i="1"/>
  <c r="P3089" i="1" s="1"/>
  <c r="O3090" i="1"/>
  <c r="P3090" i="1" s="1"/>
  <c r="O3091" i="1"/>
  <c r="P3091" i="1" s="1"/>
  <c r="O3092" i="1"/>
  <c r="P3092" i="1" s="1"/>
  <c r="O3093" i="1"/>
  <c r="P3093" i="1" s="1"/>
  <c r="O3094" i="1"/>
  <c r="P3094" i="1" s="1"/>
  <c r="O3095" i="1"/>
  <c r="P3095" i="1" s="1"/>
  <c r="O3096" i="1"/>
  <c r="P3096" i="1" s="1"/>
  <c r="O3097" i="1"/>
  <c r="P3097" i="1" s="1"/>
  <c r="O3098" i="1"/>
  <c r="P3098" i="1" s="1"/>
  <c r="O3099" i="1"/>
  <c r="P3099" i="1" s="1"/>
  <c r="O3100" i="1"/>
  <c r="P3100" i="1" s="1"/>
  <c r="O3101" i="1"/>
  <c r="P3101" i="1" s="1"/>
  <c r="O3102" i="1"/>
  <c r="P3102" i="1" s="1"/>
  <c r="O3103" i="1"/>
  <c r="P3103" i="1" s="1"/>
  <c r="O3104" i="1"/>
  <c r="P3104" i="1" s="1"/>
  <c r="O3105" i="1"/>
  <c r="P3105" i="1" s="1"/>
  <c r="O3106" i="1"/>
  <c r="P3106" i="1" s="1"/>
  <c r="O3107" i="1"/>
  <c r="P3107" i="1" s="1"/>
  <c r="O3108" i="1"/>
  <c r="P3108" i="1" s="1"/>
  <c r="O3109" i="1"/>
  <c r="P3109" i="1" s="1"/>
  <c r="O3110" i="1"/>
  <c r="P3110" i="1" s="1"/>
  <c r="O3111" i="1"/>
  <c r="P3111" i="1" s="1"/>
  <c r="O3112" i="1"/>
  <c r="P3112" i="1" s="1"/>
  <c r="O3113" i="1"/>
  <c r="P3113" i="1" s="1"/>
  <c r="O3114" i="1"/>
  <c r="P3114" i="1" s="1"/>
  <c r="O3115" i="1"/>
  <c r="P3115" i="1" s="1"/>
  <c r="O3116" i="1"/>
  <c r="P3116" i="1" s="1"/>
  <c r="O3117" i="1"/>
  <c r="P3117" i="1" s="1"/>
  <c r="O3118" i="1"/>
  <c r="P3118" i="1" s="1"/>
  <c r="O3119" i="1"/>
  <c r="P3119" i="1" s="1"/>
  <c r="O3120" i="1"/>
  <c r="P3120" i="1" s="1"/>
  <c r="O3121" i="1"/>
  <c r="P3121" i="1" s="1"/>
  <c r="O3122" i="1"/>
  <c r="P3122" i="1" s="1"/>
  <c r="O3123" i="1"/>
  <c r="P3123" i="1" s="1"/>
  <c r="O3124" i="1"/>
  <c r="P3124" i="1" s="1"/>
  <c r="O3125" i="1"/>
  <c r="P3125" i="1" s="1"/>
  <c r="O3126" i="1"/>
  <c r="P3126" i="1" s="1"/>
  <c r="O3127" i="1"/>
  <c r="P3127" i="1" s="1"/>
  <c r="O3128" i="1"/>
  <c r="P3128" i="1" s="1"/>
  <c r="O3129" i="1"/>
  <c r="P3129" i="1" s="1"/>
  <c r="O3130" i="1"/>
  <c r="P3130" i="1" s="1"/>
  <c r="O3131" i="1"/>
  <c r="P3131" i="1" s="1"/>
  <c r="O3132" i="1"/>
  <c r="P3132" i="1" s="1"/>
  <c r="O3133" i="1"/>
  <c r="P3133" i="1" s="1"/>
  <c r="O3134" i="1"/>
  <c r="P3134" i="1" s="1"/>
  <c r="O3135" i="1"/>
  <c r="P3135" i="1" s="1"/>
  <c r="O3136" i="1"/>
  <c r="P3136" i="1" s="1"/>
  <c r="O3137" i="1"/>
  <c r="P3137" i="1" s="1"/>
  <c r="O3138" i="1"/>
  <c r="P3138" i="1" s="1"/>
  <c r="O3139" i="1"/>
  <c r="P3139" i="1" s="1"/>
  <c r="O3140" i="1"/>
  <c r="P3140" i="1" s="1"/>
  <c r="O3141" i="1"/>
  <c r="P3141" i="1" s="1"/>
  <c r="O3142" i="1"/>
  <c r="P3142" i="1" s="1"/>
  <c r="O3143" i="1"/>
  <c r="P3143" i="1" s="1"/>
  <c r="O3144" i="1"/>
  <c r="P3144" i="1" s="1"/>
  <c r="O3145" i="1"/>
  <c r="P3145" i="1" s="1"/>
  <c r="O3146" i="1"/>
  <c r="P3146" i="1" s="1"/>
  <c r="O3147" i="1"/>
  <c r="P3147" i="1" s="1"/>
  <c r="O3148" i="1"/>
  <c r="P3148" i="1" s="1"/>
  <c r="O3149" i="1"/>
  <c r="P3149" i="1" s="1"/>
  <c r="O3150" i="1"/>
  <c r="P3150" i="1" s="1"/>
  <c r="O3151" i="1"/>
  <c r="P3151" i="1" s="1"/>
  <c r="O3152" i="1"/>
  <c r="P3152" i="1" s="1"/>
  <c r="O3153" i="1"/>
  <c r="P3153" i="1" s="1"/>
  <c r="O3154" i="1"/>
  <c r="P3154" i="1" s="1"/>
  <c r="O3155" i="1"/>
  <c r="P3155" i="1" s="1"/>
  <c r="O3156" i="1"/>
  <c r="P3156" i="1" s="1"/>
  <c r="O3157" i="1"/>
  <c r="P3157" i="1" s="1"/>
  <c r="O3158" i="1"/>
  <c r="P3158" i="1" s="1"/>
  <c r="O3159" i="1"/>
  <c r="P3159" i="1" s="1"/>
  <c r="O3160" i="1"/>
  <c r="P3160" i="1" s="1"/>
  <c r="O3161" i="1"/>
  <c r="P3161" i="1" s="1"/>
  <c r="O3162" i="1"/>
  <c r="P3162" i="1" s="1"/>
  <c r="O3163" i="1"/>
  <c r="P3163" i="1" s="1"/>
  <c r="O3164" i="1"/>
  <c r="P3164" i="1" s="1"/>
  <c r="O3165" i="1"/>
  <c r="P3165" i="1" s="1"/>
  <c r="O3166" i="1"/>
  <c r="P3166" i="1" s="1"/>
  <c r="O3167" i="1"/>
  <c r="P3167" i="1" s="1"/>
  <c r="O3168" i="1"/>
  <c r="P3168" i="1" s="1"/>
  <c r="O3169" i="1"/>
  <c r="P3169" i="1" s="1"/>
  <c r="O3170" i="1"/>
  <c r="P3170" i="1" s="1"/>
  <c r="O3171" i="1"/>
  <c r="P3171" i="1" s="1"/>
  <c r="O3172" i="1"/>
  <c r="P3172" i="1" s="1"/>
  <c r="O3173" i="1"/>
  <c r="P3173" i="1" s="1"/>
  <c r="O3174" i="1"/>
  <c r="P3174" i="1" s="1"/>
  <c r="O3175" i="1"/>
  <c r="P3175" i="1" s="1"/>
  <c r="O3176" i="1"/>
  <c r="P3176" i="1" s="1"/>
  <c r="O3177" i="1"/>
  <c r="P3177" i="1" s="1"/>
  <c r="O3178" i="1"/>
  <c r="P3178" i="1" s="1"/>
  <c r="O3179" i="1"/>
  <c r="P3179" i="1" s="1"/>
  <c r="O3180" i="1"/>
  <c r="P3180" i="1" s="1"/>
  <c r="O3181" i="1"/>
  <c r="P3181" i="1" s="1"/>
  <c r="O3182" i="1"/>
  <c r="P3182" i="1" s="1"/>
  <c r="O3183" i="1"/>
  <c r="P3183" i="1" s="1"/>
  <c r="O3184" i="1"/>
  <c r="P3184" i="1" s="1"/>
  <c r="O3185" i="1"/>
  <c r="P3185" i="1" s="1"/>
  <c r="O3186" i="1"/>
  <c r="P3186" i="1" s="1"/>
  <c r="O3187" i="1"/>
  <c r="P3187" i="1" s="1"/>
  <c r="O3188" i="1"/>
  <c r="P3188" i="1" s="1"/>
  <c r="O3189" i="1"/>
  <c r="P3189" i="1" s="1"/>
  <c r="O3190" i="1"/>
  <c r="P3190" i="1" s="1"/>
  <c r="O3191" i="1"/>
  <c r="P3191" i="1" s="1"/>
  <c r="O3192" i="1"/>
  <c r="P3192" i="1" s="1"/>
  <c r="O3193" i="1"/>
  <c r="P3193" i="1" s="1"/>
  <c r="O3194" i="1"/>
  <c r="P3194" i="1" s="1"/>
  <c r="O3195" i="1"/>
  <c r="P3195" i="1" s="1"/>
  <c r="O3196" i="1"/>
  <c r="P3196" i="1" s="1"/>
  <c r="O3197" i="1"/>
  <c r="P3197" i="1" s="1"/>
  <c r="O3198" i="1"/>
  <c r="P3198" i="1" s="1"/>
  <c r="O3199" i="1"/>
  <c r="P3199" i="1" s="1"/>
  <c r="O3200" i="1"/>
  <c r="P3200" i="1" s="1"/>
  <c r="O3201" i="1"/>
  <c r="P3201" i="1" s="1"/>
  <c r="O3202" i="1"/>
  <c r="P3202" i="1" s="1"/>
  <c r="O3203" i="1"/>
  <c r="P3203" i="1" s="1"/>
  <c r="O3204" i="1"/>
  <c r="P3204" i="1" s="1"/>
  <c r="O3205" i="1"/>
  <c r="P3205" i="1" s="1"/>
  <c r="O3206" i="1"/>
  <c r="P3206" i="1" s="1"/>
  <c r="O3207" i="1"/>
  <c r="P3207" i="1" s="1"/>
  <c r="O3208" i="1"/>
  <c r="P3208" i="1" s="1"/>
  <c r="O3209" i="1"/>
  <c r="P3209" i="1" s="1"/>
  <c r="O3210" i="1"/>
  <c r="P3210" i="1" s="1"/>
  <c r="O3211" i="1"/>
  <c r="P3211" i="1" s="1"/>
  <c r="O3212" i="1"/>
  <c r="P3212" i="1" s="1"/>
  <c r="O3213" i="1"/>
  <c r="P3213" i="1" s="1"/>
  <c r="O3214" i="1"/>
  <c r="P3214" i="1" s="1"/>
  <c r="O3215" i="1"/>
  <c r="P3215" i="1" s="1"/>
  <c r="O3216" i="1"/>
  <c r="P3216" i="1" s="1"/>
  <c r="O3217" i="1"/>
  <c r="P3217" i="1" s="1"/>
  <c r="O3218" i="1"/>
  <c r="P3218" i="1" s="1"/>
  <c r="O3219" i="1"/>
  <c r="P3219" i="1" s="1"/>
  <c r="O3220" i="1"/>
  <c r="P3220" i="1" s="1"/>
  <c r="O3221" i="1"/>
  <c r="P3221" i="1" s="1"/>
  <c r="O3222" i="1"/>
  <c r="P3222" i="1" s="1"/>
  <c r="O3223" i="1"/>
  <c r="P3223" i="1" s="1"/>
  <c r="O3224" i="1"/>
  <c r="P3224" i="1" s="1"/>
  <c r="O3225" i="1"/>
  <c r="P3225" i="1" s="1"/>
  <c r="O3226" i="1"/>
  <c r="P3226" i="1" s="1"/>
  <c r="O3227" i="1"/>
  <c r="P3227" i="1" s="1"/>
  <c r="O3228" i="1"/>
  <c r="P3228" i="1" s="1"/>
  <c r="O3229" i="1"/>
  <c r="P3229" i="1" s="1"/>
  <c r="O3230" i="1"/>
  <c r="P3230" i="1" s="1"/>
  <c r="O3231" i="1"/>
  <c r="P3231" i="1" s="1"/>
  <c r="O3232" i="1"/>
  <c r="P3232" i="1" s="1"/>
  <c r="O3233" i="1"/>
  <c r="P3233" i="1" s="1"/>
  <c r="O3234" i="1"/>
  <c r="P3234" i="1" s="1"/>
  <c r="O3235" i="1"/>
  <c r="P3235" i="1" s="1"/>
  <c r="O3236" i="1"/>
  <c r="P3236" i="1" s="1"/>
  <c r="O3237" i="1"/>
  <c r="P3237" i="1" s="1"/>
  <c r="O3238" i="1"/>
  <c r="P3238" i="1" s="1"/>
  <c r="O3239" i="1"/>
  <c r="P3239" i="1" s="1"/>
  <c r="O3240" i="1"/>
  <c r="P3240" i="1" s="1"/>
  <c r="O3241" i="1"/>
  <c r="P3241" i="1" s="1"/>
  <c r="O3242" i="1"/>
  <c r="P3242" i="1" s="1"/>
  <c r="O3243" i="1"/>
  <c r="P3243" i="1" s="1"/>
  <c r="O3244" i="1"/>
  <c r="P3244" i="1" s="1"/>
  <c r="O3245" i="1"/>
  <c r="P3245" i="1" s="1"/>
  <c r="O3246" i="1"/>
  <c r="P3246" i="1" s="1"/>
  <c r="O3247" i="1"/>
  <c r="P3247" i="1" s="1"/>
  <c r="O3248" i="1"/>
  <c r="P3248" i="1" s="1"/>
  <c r="O3249" i="1"/>
  <c r="P3249" i="1" s="1"/>
  <c r="O3250" i="1"/>
  <c r="P3250" i="1" s="1"/>
  <c r="O3251" i="1"/>
  <c r="P3251" i="1" s="1"/>
  <c r="O3252" i="1"/>
  <c r="P3252" i="1" s="1"/>
  <c r="O3253" i="1"/>
  <c r="P3253" i="1" s="1"/>
  <c r="O3254" i="1"/>
  <c r="P3254" i="1" s="1"/>
  <c r="O3255" i="1"/>
  <c r="P3255" i="1" s="1"/>
  <c r="O3256" i="1"/>
  <c r="P3256" i="1" s="1"/>
  <c r="O3257" i="1"/>
  <c r="P3257" i="1" s="1"/>
  <c r="O3258" i="1"/>
  <c r="P3258" i="1" s="1"/>
  <c r="O3259" i="1"/>
  <c r="P3259" i="1" s="1"/>
  <c r="O3260" i="1"/>
  <c r="P3260" i="1" s="1"/>
  <c r="O3261" i="1"/>
  <c r="P3261" i="1" s="1"/>
  <c r="O3262" i="1"/>
  <c r="P3262" i="1" s="1"/>
  <c r="O3263" i="1"/>
  <c r="P3263" i="1" s="1"/>
  <c r="O3264" i="1"/>
  <c r="P3264" i="1" s="1"/>
  <c r="O3265" i="1"/>
  <c r="P3265" i="1" s="1"/>
  <c r="O3266" i="1"/>
  <c r="P3266" i="1" s="1"/>
  <c r="O3267" i="1"/>
  <c r="P3267" i="1" s="1"/>
  <c r="O3268" i="1"/>
  <c r="P3268" i="1" s="1"/>
  <c r="O3269" i="1"/>
  <c r="P3269" i="1" s="1"/>
  <c r="O3270" i="1"/>
  <c r="P3270" i="1" s="1"/>
  <c r="O3271" i="1"/>
  <c r="P3271" i="1" s="1"/>
  <c r="O3272" i="1"/>
  <c r="P3272" i="1" s="1"/>
  <c r="O3273" i="1"/>
  <c r="P3273" i="1" s="1"/>
  <c r="O3274" i="1"/>
  <c r="P3274" i="1" s="1"/>
  <c r="O3275" i="1"/>
  <c r="P3275" i="1" s="1"/>
  <c r="O3276" i="1"/>
  <c r="P3276" i="1" s="1"/>
  <c r="O3277" i="1"/>
  <c r="P3277" i="1" s="1"/>
  <c r="O3278" i="1"/>
  <c r="P3278" i="1" s="1"/>
  <c r="O3279" i="1"/>
  <c r="P3279" i="1" s="1"/>
  <c r="O3280" i="1"/>
  <c r="P3280" i="1" s="1"/>
  <c r="O3281" i="1"/>
  <c r="P3281" i="1" s="1"/>
  <c r="O3282" i="1"/>
  <c r="P3282" i="1" s="1"/>
  <c r="O3283" i="1"/>
  <c r="P3283" i="1" s="1"/>
  <c r="O3284" i="1"/>
  <c r="P3284" i="1" s="1"/>
  <c r="O3285" i="1"/>
  <c r="P3285" i="1" s="1"/>
  <c r="O3286" i="1"/>
  <c r="P3286" i="1" s="1"/>
  <c r="O3287" i="1"/>
  <c r="P3287" i="1" s="1"/>
  <c r="O3288" i="1"/>
  <c r="P3288" i="1" s="1"/>
  <c r="O3289" i="1"/>
  <c r="P3289" i="1" s="1"/>
  <c r="O3290" i="1"/>
  <c r="P3290" i="1" s="1"/>
  <c r="O3291" i="1"/>
  <c r="P3291" i="1" s="1"/>
  <c r="O3292" i="1"/>
  <c r="P3292" i="1" s="1"/>
  <c r="O3293" i="1"/>
  <c r="P3293" i="1" s="1"/>
  <c r="O3294" i="1"/>
  <c r="P3294" i="1" s="1"/>
  <c r="O3295" i="1"/>
  <c r="P3295" i="1" s="1"/>
  <c r="O3296" i="1"/>
  <c r="P3296" i="1" s="1"/>
  <c r="O3297" i="1"/>
  <c r="P3297" i="1" s="1"/>
  <c r="O3298" i="1"/>
  <c r="P3298" i="1" s="1"/>
  <c r="O3299" i="1"/>
  <c r="P3299" i="1" s="1"/>
  <c r="O3300" i="1"/>
  <c r="P3300" i="1" s="1"/>
  <c r="O3301" i="1"/>
  <c r="P3301" i="1" s="1"/>
  <c r="O3302" i="1"/>
  <c r="P3302" i="1" s="1"/>
  <c r="O3303" i="1"/>
  <c r="P3303" i="1" s="1"/>
  <c r="O3304" i="1"/>
  <c r="P3304" i="1" s="1"/>
  <c r="O3305" i="1"/>
  <c r="P3305" i="1" s="1"/>
  <c r="O3306" i="1"/>
  <c r="P3306" i="1" s="1"/>
  <c r="O3307" i="1"/>
  <c r="P3307" i="1" s="1"/>
  <c r="O3308" i="1"/>
  <c r="P3308" i="1" s="1"/>
  <c r="O3309" i="1"/>
  <c r="P3309" i="1" s="1"/>
  <c r="O3310" i="1"/>
  <c r="P3310" i="1" s="1"/>
  <c r="O3311" i="1"/>
  <c r="P3311" i="1" s="1"/>
  <c r="O3312" i="1"/>
  <c r="P3312" i="1" s="1"/>
  <c r="O3313" i="1"/>
  <c r="P3313" i="1" s="1"/>
  <c r="O3314" i="1"/>
  <c r="P3314" i="1" s="1"/>
  <c r="O3315" i="1"/>
  <c r="P3315" i="1" s="1"/>
  <c r="O3316" i="1"/>
  <c r="P3316" i="1" s="1"/>
  <c r="O3317" i="1"/>
  <c r="P3317" i="1" s="1"/>
  <c r="O3318" i="1"/>
  <c r="P3318" i="1" s="1"/>
  <c r="O3319" i="1"/>
  <c r="P3319" i="1" s="1"/>
  <c r="O3320" i="1"/>
  <c r="P3320" i="1" s="1"/>
  <c r="O3321" i="1"/>
  <c r="P3321" i="1" s="1"/>
  <c r="O3322" i="1"/>
  <c r="P3322" i="1" s="1"/>
  <c r="O3323" i="1"/>
  <c r="P3323" i="1" s="1"/>
  <c r="O3324" i="1"/>
  <c r="P3324" i="1" s="1"/>
  <c r="O3325" i="1"/>
  <c r="P3325" i="1" s="1"/>
  <c r="O3326" i="1"/>
  <c r="P3326" i="1" s="1"/>
  <c r="O3327" i="1"/>
  <c r="P3327" i="1" s="1"/>
  <c r="O3328" i="1"/>
  <c r="P3328" i="1" s="1"/>
  <c r="O3329" i="1"/>
  <c r="P3329" i="1" s="1"/>
  <c r="O3330" i="1"/>
  <c r="P3330" i="1" s="1"/>
  <c r="O3331" i="1"/>
  <c r="P3331" i="1" s="1"/>
  <c r="O3332" i="1"/>
  <c r="P3332" i="1" s="1"/>
  <c r="O3333" i="1"/>
  <c r="P3333" i="1" s="1"/>
  <c r="O3334" i="1"/>
  <c r="P3334" i="1" s="1"/>
  <c r="O3335" i="1"/>
  <c r="P3335" i="1" s="1"/>
  <c r="O3336" i="1"/>
  <c r="P3336" i="1" s="1"/>
  <c r="O3337" i="1"/>
  <c r="P3337" i="1" s="1"/>
  <c r="O3338" i="1"/>
  <c r="P3338" i="1" s="1"/>
  <c r="O3339" i="1"/>
  <c r="P3339" i="1" s="1"/>
  <c r="O3340" i="1"/>
  <c r="P3340" i="1" s="1"/>
  <c r="O3341" i="1"/>
  <c r="P3341" i="1" s="1"/>
  <c r="O3342" i="1"/>
  <c r="P3342" i="1" s="1"/>
  <c r="O3343" i="1"/>
  <c r="P3343" i="1" s="1"/>
  <c r="O3344" i="1"/>
  <c r="P3344" i="1" s="1"/>
  <c r="O3345" i="1"/>
  <c r="P3345" i="1" s="1"/>
  <c r="O3346" i="1"/>
  <c r="P3346" i="1" s="1"/>
  <c r="O3347" i="1"/>
  <c r="P3347" i="1" s="1"/>
  <c r="O3348" i="1"/>
  <c r="P3348" i="1" s="1"/>
  <c r="O3349" i="1"/>
  <c r="P3349" i="1" s="1"/>
  <c r="O3350" i="1"/>
  <c r="P3350" i="1" s="1"/>
  <c r="O3351" i="1"/>
  <c r="P3351" i="1" s="1"/>
  <c r="O3352" i="1"/>
  <c r="P3352" i="1" s="1"/>
  <c r="O3353" i="1"/>
  <c r="P3353" i="1" s="1"/>
  <c r="O3354" i="1"/>
  <c r="P3354" i="1" s="1"/>
  <c r="O3355" i="1"/>
  <c r="P3355" i="1" s="1"/>
  <c r="O3356" i="1"/>
  <c r="P3356" i="1" s="1"/>
  <c r="O3357" i="1"/>
  <c r="P3357" i="1" s="1"/>
  <c r="O3358" i="1"/>
  <c r="P3358" i="1" s="1"/>
  <c r="O3359" i="1"/>
  <c r="P3359" i="1" s="1"/>
  <c r="O3360" i="1"/>
  <c r="P3360" i="1" s="1"/>
  <c r="O3361" i="1"/>
  <c r="P3361" i="1" s="1"/>
  <c r="O3362" i="1"/>
  <c r="P3362" i="1" s="1"/>
  <c r="O3363" i="1"/>
  <c r="P3363" i="1" s="1"/>
  <c r="O3364" i="1"/>
  <c r="P3364" i="1" s="1"/>
  <c r="O3365" i="1"/>
  <c r="P3365" i="1" s="1"/>
  <c r="O3366" i="1"/>
  <c r="P3366" i="1" s="1"/>
  <c r="O3367" i="1"/>
  <c r="P3367" i="1" s="1"/>
  <c r="O3368" i="1"/>
  <c r="P3368" i="1" s="1"/>
  <c r="O3369" i="1"/>
  <c r="P3369" i="1" s="1"/>
  <c r="O3370" i="1"/>
  <c r="P3370" i="1" s="1"/>
  <c r="O3371" i="1"/>
  <c r="P3371" i="1" s="1"/>
  <c r="O3372" i="1"/>
  <c r="P3372" i="1" s="1"/>
  <c r="O3373" i="1"/>
  <c r="P3373" i="1" s="1"/>
  <c r="O3374" i="1"/>
  <c r="P3374" i="1" s="1"/>
  <c r="O3375" i="1"/>
  <c r="P3375" i="1" s="1"/>
  <c r="O3376" i="1"/>
  <c r="P3376" i="1" s="1"/>
  <c r="O3377" i="1"/>
  <c r="P3377" i="1" s="1"/>
  <c r="O3378" i="1"/>
  <c r="P3378" i="1" s="1"/>
  <c r="O3379" i="1"/>
  <c r="P3379" i="1" s="1"/>
  <c r="O3380" i="1"/>
  <c r="P3380" i="1" s="1"/>
  <c r="O3381" i="1"/>
  <c r="P3381" i="1" s="1"/>
  <c r="O3382" i="1"/>
  <c r="P3382" i="1" s="1"/>
  <c r="O3383" i="1"/>
  <c r="P3383" i="1" s="1"/>
  <c r="O3384" i="1"/>
  <c r="P3384" i="1" s="1"/>
  <c r="O3385" i="1"/>
  <c r="P3385" i="1" s="1"/>
  <c r="O3386" i="1"/>
  <c r="P3386" i="1" s="1"/>
  <c r="O3387" i="1"/>
  <c r="P3387" i="1" s="1"/>
  <c r="O3388" i="1"/>
  <c r="P3388" i="1" s="1"/>
  <c r="O3389" i="1"/>
  <c r="P3389" i="1" s="1"/>
  <c r="O3390" i="1"/>
  <c r="P3390" i="1" s="1"/>
  <c r="O3391" i="1"/>
  <c r="P3391" i="1" s="1"/>
  <c r="O3392" i="1"/>
  <c r="P3392" i="1" s="1"/>
  <c r="O3393" i="1"/>
  <c r="P3393" i="1" s="1"/>
  <c r="O3394" i="1"/>
  <c r="P3394" i="1" s="1"/>
  <c r="O3395" i="1"/>
  <c r="P3395" i="1" s="1"/>
  <c r="O3396" i="1"/>
  <c r="P3396" i="1" s="1"/>
  <c r="O3397" i="1"/>
  <c r="P3397" i="1" s="1"/>
  <c r="O3398" i="1"/>
  <c r="P3398" i="1" s="1"/>
  <c r="O3399" i="1"/>
  <c r="P3399" i="1" s="1"/>
  <c r="O3400" i="1"/>
  <c r="P3400" i="1" s="1"/>
  <c r="O3401" i="1"/>
  <c r="P3401" i="1" s="1"/>
  <c r="O3402" i="1"/>
  <c r="P3402" i="1" s="1"/>
  <c r="O3403" i="1"/>
  <c r="P3403" i="1" s="1"/>
  <c r="O3404" i="1"/>
  <c r="P3404" i="1" s="1"/>
  <c r="O3405" i="1"/>
  <c r="P3405" i="1" s="1"/>
  <c r="O3406" i="1"/>
  <c r="P3406" i="1" s="1"/>
  <c r="O3407" i="1"/>
  <c r="P3407" i="1" s="1"/>
  <c r="O3408" i="1"/>
  <c r="P3408" i="1" s="1"/>
  <c r="O3409" i="1"/>
  <c r="P3409" i="1" s="1"/>
  <c r="O3410" i="1"/>
  <c r="P3410" i="1" s="1"/>
  <c r="O3411" i="1"/>
  <c r="P3411" i="1" s="1"/>
  <c r="O3412" i="1"/>
  <c r="P3412" i="1" s="1"/>
  <c r="O3413" i="1"/>
  <c r="P3413" i="1" s="1"/>
  <c r="O3414" i="1"/>
  <c r="P3414" i="1" s="1"/>
  <c r="O3415" i="1"/>
  <c r="P3415" i="1" s="1"/>
  <c r="O3416" i="1"/>
  <c r="P3416" i="1" s="1"/>
  <c r="O3417" i="1"/>
  <c r="P3417" i="1" s="1"/>
  <c r="O3418" i="1"/>
  <c r="P3418" i="1" s="1"/>
  <c r="O3419" i="1"/>
  <c r="P3419" i="1" s="1"/>
  <c r="O3420" i="1"/>
  <c r="P3420" i="1" s="1"/>
  <c r="O3421" i="1"/>
  <c r="P3421" i="1" s="1"/>
  <c r="O3422" i="1"/>
  <c r="P3422" i="1" s="1"/>
  <c r="O3423" i="1"/>
  <c r="P3423" i="1" s="1"/>
  <c r="O3424" i="1"/>
  <c r="P3424" i="1" s="1"/>
  <c r="O3425" i="1"/>
  <c r="P3425" i="1" s="1"/>
  <c r="O3426" i="1"/>
  <c r="P3426" i="1" s="1"/>
  <c r="O3427" i="1"/>
  <c r="P3427" i="1" s="1"/>
  <c r="O3428" i="1"/>
  <c r="P3428" i="1" s="1"/>
  <c r="O3429" i="1"/>
  <c r="P3429" i="1" s="1"/>
  <c r="O3430" i="1"/>
  <c r="P3430" i="1" s="1"/>
  <c r="O3431" i="1"/>
  <c r="P3431" i="1" s="1"/>
  <c r="O3432" i="1"/>
  <c r="P3432" i="1" s="1"/>
  <c r="O3433" i="1"/>
  <c r="P3433" i="1" s="1"/>
  <c r="O3434" i="1"/>
  <c r="P3434" i="1" s="1"/>
  <c r="O3435" i="1"/>
  <c r="P3435" i="1" s="1"/>
  <c r="O3436" i="1"/>
  <c r="P3436" i="1" s="1"/>
  <c r="O3437" i="1"/>
  <c r="P3437" i="1" s="1"/>
  <c r="O3438" i="1"/>
  <c r="P3438" i="1" s="1"/>
  <c r="O3439" i="1"/>
  <c r="P3439" i="1" s="1"/>
  <c r="O3440" i="1"/>
  <c r="P3440" i="1" s="1"/>
  <c r="O3441" i="1"/>
  <c r="P3441" i="1" s="1"/>
  <c r="O3442" i="1"/>
  <c r="P3442" i="1" s="1"/>
  <c r="O3443" i="1"/>
  <c r="P3443" i="1" s="1"/>
  <c r="O3444" i="1"/>
  <c r="P3444" i="1" s="1"/>
  <c r="O3445" i="1"/>
  <c r="P3445" i="1" s="1"/>
  <c r="O3446" i="1"/>
  <c r="P3446" i="1" s="1"/>
  <c r="O3447" i="1"/>
  <c r="P3447" i="1" s="1"/>
  <c r="O3448" i="1"/>
  <c r="P3448" i="1" s="1"/>
  <c r="O3449" i="1"/>
  <c r="P3449" i="1" s="1"/>
  <c r="O3450" i="1"/>
  <c r="P3450" i="1" s="1"/>
  <c r="O3451" i="1"/>
  <c r="P3451" i="1" s="1"/>
  <c r="O3452" i="1"/>
  <c r="P3452" i="1" s="1"/>
  <c r="O3453" i="1"/>
  <c r="P3453" i="1" s="1"/>
  <c r="O3454" i="1"/>
  <c r="P3454" i="1" s="1"/>
  <c r="O3455" i="1"/>
  <c r="P3455" i="1" s="1"/>
  <c r="O3456" i="1"/>
  <c r="P3456" i="1" s="1"/>
  <c r="O3457" i="1"/>
  <c r="P3457" i="1" s="1"/>
  <c r="O3458" i="1"/>
  <c r="P3458" i="1" s="1"/>
  <c r="O3459" i="1"/>
  <c r="P3459" i="1" s="1"/>
  <c r="O3460" i="1"/>
  <c r="P3460" i="1" s="1"/>
  <c r="O3461" i="1"/>
  <c r="P3461" i="1" s="1"/>
  <c r="O3462" i="1"/>
  <c r="P3462" i="1" s="1"/>
  <c r="O3463" i="1"/>
  <c r="P3463" i="1" s="1"/>
  <c r="O3464" i="1"/>
  <c r="P3464" i="1" s="1"/>
  <c r="O3465" i="1"/>
  <c r="P3465" i="1" s="1"/>
  <c r="O3466" i="1"/>
  <c r="P3466" i="1" s="1"/>
  <c r="O3467" i="1"/>
  <c r="P3467" i="1" s="1"/>
  <c r="O3468" i="1"/>
  <c r="P3468" i="1" s="1"/>
  <c r="O3469" i="1"/>
  <c r="P3469" i="1" s="1"/>
  <c r="O3470" i="1"/>
  <c r="P3470" i="1" s="1"/>
  <c r="O3471" i="1"/>
  <c r="P3471" i="1" s="1"/>
  <c r="O3472" i="1"/>
  <c r="P3472" i="1" s="1"/>
  <c r="O3473" i="1"/>
  <c r="P3473" i="1" s="1"/>
  <c r="O3474" i="1"/>
  <c r="P3474" i="1" s="1"/>
  <c r="O3475" i="1"/>
  <c r="P3475" i="1" s="1"/>
  <c r="O3476" i="1"/>
  <c r="P3476" i="1" s="1"/>
  <c r="O3477" i="1"/>
  <c r="P3477" i="1" s="1"/>
  <c r="O3478" i="1"/>
  <c r="P3478" i="1" s="1"/>
  <c r="O3479" i="1"/>
  <c r="P3479" i="1" s="1"/>
  <c r="O3480" i="1"/>
  <c r="P3480" i="1" s="1"/>
  <c r="O3481" i="1"/>
  <c r="P3481" i="1" s="1"/>
  <c r="O3482" i="1"/>
  <c r="P3482" i="1" s="1"/>
  <c r="O3483" i="1"/>
  <c r="P3483" i="1" s="1"/>
  <c r="O3484" i="1"/>
  <c r="P3484" i="1" s="1"/>
  <c r="O3485" i="1"/>
  <c r="P3485" i="1" s="1"/>
  <c r="O3486" i="1"/>
  <c r="P3486" i="1" s="1"/>
  <c r="O3487" i="1"/>
  <c r="P3487" i="1" s="1"/>
  <c r="O3488" i="1"/>
  <c r="P3488" i="1" s="1"/>
  <c r="O3489" i="1"/>
  <c r="P3489" i="1" s="1"/>
  <c r="O3490" i="1"/>
  <c r="P3490" i="1" s="1"/>
  <c r="O3491" i="1"/>
  <c r="P3491" i="1" s="1"/>
  <c r="O3492" i="1"/>
  <c r="P3492" i="1" s="1"/>
  <c r="O3493" i="1"/>
  <c r="P3493" i="1" s="1"/>
  <c r="O3494" i="1"/>
  <c r="P3494" i="1" s="1"/>
  <c r="O3495" i="1"/>
  <c r="P3495" i="1" s="1"/>
  <c r="O3496" i="1"/>
  <c r="P3496" i="1" s="1"/>
  <c r="O3497" i="1"/>
  <c r="P3497" i="1" s="1"/>
  <c r="O3498" i="1"/>
  <c r="P3498" i="1" s="1"/>
  <c r="O3499" i="1"/>
  <c r="P3499" i="1" s="1"/>
  <c r="O3500" i="1"/>
  <c r="P3500" i="1" s="1"/>
  <c r="O3501" i="1"/>
  <c r="P3501" i="1" s="1"/>
  <c r="O3502" i="1"/>
  <c r="P3502" i="1" s="1"/>
  <c r="O3503" i="1"/>
  <c r="P3503" i="1" s="1"/>
  <c r="O3504" i="1"/>
  <c r="P3504" i="1" s="1"/>
  <c r="O3505" i="1"/>
  <c r="P3505" i="1" s="1"/>
  <c r="O3506" i="1"/>
  <c r="P3506" i="1" s="1"/>
  <c r="O3507" i="1"/>
  <c r="P3507" i="1" s="1"/>
  <c r="O3508" i="1"/>
  <c r="P3508" i="1" s="1"/>
  <c r="O3509" i="1"/>
  <c r="P3509" i="1" s="1"/>
  <c r="O3510" i="1"/>
  <c r="P3510" i="1" s="1"/>
  <c r="O3511" i="1"/>
  <c r="P3511" i="1" s="1"/>
  <c r="O3512" i="1"/>
  <c r="P3512" i="1" s="1"/>
  <c r="O3513" i="1"/>
  <c r="P3513" i="1" s="1"/>
  <c r="O3514" i="1"/>
  <c r="P3514" i="1" s="1"/>
  <c r="O3515" i="1"/>
  <c r="P3515" i="1" s="1"/>
  <c r="O3516" i="1"/>
  <c r="P3516" i="1" s="1"/>
  <c r="O3517" i="1"/>
  <c r="P3517" i="1" s="1"/>
  <c r="O3518" i="1"/>
  <c r="P3518" i="1" s="1"/>
  <c r="O3519" i="1"/>
  <c r="P3519" i="1" s="1"/>
  <c r="O3520" i="1"/>
  <c r="P3520" i="1" s="1"/>
  <c r="O3521" i="1"/>
  <c r="P3521" i="1" s="1"/>
  <c r="O3522" i="1"/>
  <c r="P3522" i="1" s="1"/>
  <c r="O3523" i="1"/>
  <c r="P3523" i="1" s="1"/>
  <c r="O3524" i="1"/>
  <c r="P3524" i="1" s="1"/>
  <c r="O3525" i="1"/>
  <c r="P3525" i="1" s="1"/>
  <c r="O3526" i="1"/>
  <c r="P3526" i="1" s="1"/>
  <c r="O3527" i="1"/>
  <c r="P3527" i="1" s="1"/>
  <c r="O3528" i="1"/>
  <c r="P3528" i="1" s="1"/>
  <c r="O3529" i="1"/>
  <c r="P3529" i="1" s="1"/>
  <c r="O3530" i="1"/>
  <c r="P3530" i="1" s="1"/>
  <c r="O3531" i="1"/>
  <c r="P3531" i="1" s="1"/>
  <c r="O3532" i="1"/>
  <c r="P3532" i="1" s="1"/>
  <c r="O3533" i="1"/>
  <c r="P3533" i="1" s="1"/>
  <c r="O3534" i="1"/>
  <c r="P3534" i="1" s="1"/>
  <c r="O3535" i="1"/>
  <c r="P3535" i="1" s="1"/>
  <c r="O3536" i="1"/>
  <c r="P3536" i="1" s="1"/>
  <c r="O3537" i="1"/>
  <c r="P3537" i="1" s="1"/>
  <c r="O3538" i="1"/>
  <c r="P3538" i="1" s="1"/>
  <c r="O3539" i="1"/>
  <c r="P3539" i="1" s="1"/>
  <c r="O3540" i="1"/>
  <c r="P3540" i="1" s="1"/>
  <c r="O3541" i="1"/>
  <c r="P3541" i="1" s="1"/>
  <c r="O3542" i="1"/>
  <c r="P3542" i="1" s="1"/>
  <c r="O3543" i="1"/>
  <c r="P3543" i="1" s="1"/>
  <c r="O3544" i="1"/>
  <c r="P3544" i="1" s="1"/>
  <c r="O3545" i="1"/>
  <c r="P3545" i="1" s="1"/>
  <c r="O3546" i="1"/>
  <c r="P3546" i="1" s="1"/>
  <c r="O3547" i="1"/>
  <c r="P3547" i="1" s="1"/>
  <c r="O3548" i="1"/>
  <c r="P3548" i="1" s="1"/>
  <c r="O3549" i="1"/>
  <c r="P3549" i="1" s="1"/>
  <c r="O3550" i="1"/>
  <c r="P3550" i="1" s="1"/>
  <c r="O3551" i="1"/>
  <c r="P3551" i="1" s="1"/>
  <c r="O3552" i="1"/>
  <c r="P3552" i="1" s="1"/>
  <c r="O3553" i="1"/>
  <c r="P3553" i="1" s="1"/>
  <c r="O3554" i="1"/>
  <c r="P3554" i="1" s="1"/>
  <c r="O3555" i="1"/>
  <c r="P3555" i="1" s="1"/>
  <c r="O3556" i="1"/>
  <c r="P3556" i="1" s="1"/>
  <c r="O3557" i="1"/>
  <c r="P3557" i="1" s="1"/>
  <c r="O3558" i="1"/>
  <c r="P3558" i="1" s="1"/>
  <c r="O3559" i="1"/>
  <c r="P3559" i="1" s="1"/>
  <c r="O3560" i="1"/>
  <c r="P3560" i="1" s="1"/>
  <c r="O3561" i="1"/>
  <c r="P3561" i="1" s="1"/>
  <c r="O3562" i="1"/>
  <c r="P3562" i="1" s="1"/>
  <c r="O3563" i="1"/>
  <c r="P3563" i="1" s="1"/>
  <c r="O3564" i="1"/>
  <c r="P3564" i="1" s="1"/>
  <c r="O3565" i="1"/>
  <c r="P3565" i="1" s="1"/>
  <c r="O3566" i="1"/>
  <c r="P3566" i="1" s="1"/>
  <c r="O3567" i="1"/>
  <c r="P3567" i="1" s="1"/>
  <c r="O3568" i="1"/>
  <c r="P3568" i="1" s="1"/>
  <c r="O3569" i="1"/>
  <c r="P3569" i="1" s="1"/>
  <c r="O3570" i="1"/>
  <c r="P3570" i="1" s="1"/>
  <c r="O3571" i="1"/>
  <c r="P3571" i="1" s="1"/>
  <c r="O3572" i="1"/>
  <c r="P3572" i="1" s="1"/>
  <c r="O3573" i="1"/>
  <c r="P3573" i="1" s="1"/>
  <c r="O3574" i="1"/>
  <c r="P3574" i="1" s="1"/>
  <c r="O3575" i="1"/>
  <c r="P3575" i="1" s="1"/>
  <c r="O3576" i="1"/>
  <c r="P3576" i="1" s="1"/>
  <c r="O3577" i="1"/>
  <c r="P3577" i="1" s="1"/>
  <c r="O3578" i="1"/>
  <c r="P3578" i="1" s="1"/>
  <c r="O3579" i="1"/>
  <c r="P3579" i="1" s="1"/>
  <c r="O3580" i="1"/>
  <c r="P3580" i="1" s="1"/>
  <c r="O3581" i="1"/>
  <c r="P3581" i="1" s="1"/>
  <c r="O3582" i="1"/>
  <c r="P3582" i="1" s="1"/>
  <c r="O3583" i="1"/>
  <c r="P3583" i="1" s="1"/>
  <c r="O3584" i="1"/>
  <c r="P3584" i="1" s="1"/>
  <c r="O3585" i="1"/>
  <c r="P3585" i="1" s="1"/>
  <c r="O3586" i="1"/>
  <c r="P3586" i="1" s="1"/>
  <c r="O3587" i="1"/>
  <c r="P3587" i="1" s="1"/>
  <c r="O3588" i="1"/>
  <c r="P3588" i="1" s="1"/>
  <c r="O3589" i="1"/>
  <c r="P3589" i="1" s="1"/>
  <c r="O3590" i="1"/>
  <c r="P3590" i="1" s="1"/>
  <c r="O3591" i="1"/>
  <c r="P3591" i="1" s="1"/>
  <c r="O3592" i="1"/>
  <c r="P3592" i="1" s="1"/>
  <c r="O3593" i="1"/>
  <c r="P3593" i="1" s="1"/>
  <c r="O3594" i="1"/>
  <c r="P3594" i="1" s="1"/>
  <c r="O3595" i="1"/>
  <c r="P3595" i="1" s="1"/>
  <c r="O3596" i="1"/>
  <c r="P3596" i="1" s="1"/>
  <c r="O3597" i="1"/>
  <c r="P3597" i="1" s="1"/>
  <c r="O3598" i="1"/>
  <c r="P3598" i="1" s="1"/>
  <c r="O3599" i="1"/>
  <c r="P3599" i="1" s="1"/>
  <c r="O3600" i="1"/>
  <c r="P3600" i="1" s="1"/>
  <c r="O3601" i="1"/>
  <c r="P3601" i="1" s="1"/>
  <c r="O3602" i="1"/>
  <c r="P3602" i="1" s="1"/>
  <c r="O3603" i="1"/>
  <c r="P3603" i="1" s="1"/>
  <c r="O3604" i="1"/>
  <c r="P3604" i="1" s="1"/>
  <c r="O3605" i="1"/>
  <c r="P3605" i="1" s="1"/>
  <c r="O3606" i="1"/>
  <c r="P3606" i="1" s="1"/>
  <c r="O3607" i="1"/>
  <c r="P3607" i="1" s="1"/>
  <c r="O3608" i="1"/>
  <c r="P3608" i="1" s="1"/>
  <c r="O3609" i="1"/>
  <c r="P3609" i="1" s="1"/>
  <c r="O3610" i="1"/>
  <c r="P3610" i="1" s="1"/>
  <c r="O3611" i="1"/>
  <c r="P3611" i="1" s="1"/>
  <c r="O3612" i="1"/>
  <c r="P3612" i="1" s="1"/>
  <c r="O3613" i="1"/>
  <c r="P3613" i="1" s="1"/>
  <c r="O3614" i="1"/>
  <c r="P3614" i="1" s="1"/>
  <c r="O3615" i="1"/>
  <c r="P3615" i="1" s="1"/>
  <c r="O3616" i="1"/>
  <c r="P3616" i="1" s="1"/>
  <c r="O3617" i="1"/>
  <c r="P3617" i="1" s="1"/>
  <c r="O3618" i="1"/>
  <c r="P3618" i="1" s="1"/>
  <c r="O3619" i="1"/>
  <c r="P3619" i="1" s="1"/>
  <c r="O3620" i="1"/>
  <c r="P3620" i="1" s="1"/>
  <c r="O3621" i="1"/>
  <c r="P3621" i="1" s="1"/>
  <c r="O3622" i="1"/>
  <c r="P3622" i="1" s="1"/>
  <c r="O3623" i="1"/>
  <c r="P3623" i="1" s="1"/>
  <c r="O3624" i="1"/>
  <c r="P3624" i="1" s="1"/>
  <c r="O3625" i="1"/>
  <c r="P3625" i="1" s="1"/>
  <c r="O3626" i="1"/>
  <c r="P3626" i="1" s="1"/>
  <c r="O3627" i="1"/>
  <c r="P3627" i="1" s="1"/>
  <c r="O3628" i="1"/>
  <c r="P3628" i="1" s="1"/>
  <c r="O3629" i="1"/>
  <c r="P3629" i="1" s="1"/>
  <c r="O3630" i="1"/>
  <c r="P3630" i="1" s="1"/>
  <c r="O3631" i="1"/>
  <c r="P3631" i="1" s="1"/>
  <c r="O3632" i="1"/>
  <c r="P3632" i="1" s="1"/>
  <c r="O3633" i="1"/>
  <c r="P3633" i="1" s="1"/>
  <c r="O3634" i="1"/>
  <c r="P3634" i="1" s="1"/>
  <c r="O3635" i="1"/>
  <c r="P3635" i="1" s="1"/>
  <c r="O3636" i="1"/>
  <c r="P3636" i="1" s="1"/>
  <c r="O3637" i="1"/>
  <c r="P3637" i="1" s="1"/>
  <c r="O3638" i="1"/>
  <c r="P3638" i="1" s="1"/>
  <c r="O3639" i="1"/>
  <c r="P3639" i="1" s="1"/>
  <c r="O3640" i="1"/>
  <c r="P3640" i="1" s="1"/>
  <c r="O3641" i="1"/>
  <c r="P3641" i="1" s="1"/>
  <c r="O3642" i="1"/>
  <c r="P3642" i="1" s="1"/>
  <c r="O3643" i="1"/>
  <c r="P3643" i="1" s="1"/>
  <c r="O3644" i="1"/>
  <c r="P3644" i="1" s="1"/>
  <c r="O3645" i="1"/>
  <c r="P3645" i="1" s="1"/>
  <c r="O3646" i="1"/>
  <c r="P3646" i="1" s="1"/>
  <c r="O3647" i="1"/>
  <c r="P3647" i="1" s="1"/>
  <c r="O3648" i="1"/>
  <c r="P3648" i="1" s="1"/>
  <c r="O3649" i="1"/>
  <c r="P3649" i="1" s="1"/>
  <c r="O3650" i="1"/>
  <c r="P3650" i="1" s="1"/>
  <c r="O3651" i="1"/>
  <c r="P3651" i="1" s="1"/>
  <c r="O3652" i="1"/>
  <c r="P3652" i="1" s="1"/>
  <c r="O3653" i="1"/>
  <c r="P3653" i="1" s="1"/>
  <c r="O3654" i="1"/>
  <c r="P3654" i="1" s="1"/>
  <c r="O3655" i="1"/>
  <c r="P3655" i="1" s="1"/>
  <c r="O3656" i="1"/>
  <c r="P3656" i="1" s="1"/>
  <c r="O3657" i="1"/>
  <c r="P3657" i="1" s="1"/>
  <c r="O3658" i="1"/>
  <c r="P3658" i="1" s="1"/>
  <c r="O3659" i="1"/>
  <c r="P3659" i="1" s="1"/>
  <c r="O3660" i="1"/>
  <c r="P3660" i="1" s="1"/>
  <c r="O3661" i="1"/>
  <c r="P3661" i="1" s="1"/>
  <c r="O3662" i="1"/>
  <c r="P3662" i="1" s="1"/>
  <c r="O3663" i="1"/>
  <c r="P3663" i="1" s="1"/>
  <c r="O3664" i="1"/>
  <c r="P3664" i="1" s="1"/>
  <c r="O3665" i="1"/>
  <c r="P3665" i="1" s="1"/>
  <c r="O3666" i="1"/>
  <c r="P3666" i="1" s="1"/>
  <c r="O3667" i="1"/>
  <c r="P3667" i="1" s="1"/>
  <c r="O3668" i="1"/>
  <c r="P3668" i="1" s="1"/>
  <c r="O3669" i="1"/>
  <c r="P3669" i="1" s="1"/>
  <c r="O3670" i="1"/>
  <c r="P3670" i="1" s="1"/>
  <c r="O3671" i="1"/>
  <c r="P3671" i="1" s="1"/>
  <c r="O3672" i="1"/>
  <c r="P3672" i="1" s="1"/>
  <c r="O3673" i="1"/>
  <c r="P3673" i="1" s="1"/>
  <c r="O3674" i="1"/>
  <c r="P3674" i="1" s="1"/>
  <c r="O3675" i="1"/>
  <c r="P3675" i="1" s="1"/>
  <c r="O3676" i="1"/>
  <c r="P3676" i="1" s="1"/>
  <c r="O3677" i="1"/>
  <c r="P3677" i="1" s="1"/>
  <c r="O3678" i="1"/>
  <c r="P3678" i="1" s="1"/>
  <c r="O3679" i="1"/>
  <c r="P3679" i="1" s="1"/>
  <c r="O3680" i="1"/>
  <c r="P3680" i="1" s="1"/>
  <c r="O3681" i="1"/>
  <c r="P3681" i="1" s="1"/>
  <c r="O3682" i="1"/>
  <c r="P3682" i="1" s="1"/>
  <c r="O3683" i="1"/>
  <c r="P3683" i="1" s="1"/>
  <c r="O3684" i="1"/>
  <c r="P3684" i="1" s="1"/>
  <c r="O3685" i="1"/>
  <c r="P3685" i="1" s="1"/>
  <c r="O3686" i="1"/>
  <c r="P3686" i="1" s="1"/>
  <c r="O3687" i="1"/>
  <c r="P3687" i="1" s="1"/>
  <c r="O3688" i="1"/>
  <c r="P3688" i="1" s="1"/>
  <c r="O3689" i="1"/>
  <c r="P3689" i="1" s="1"/>
  <c r="O3690" i="1"/>
  <c r="P3690" i="1" s="1"/>
  <c r="O3691" i="1"/>
  <c r="P3691" i="1" s="1"/>
  <c r="O3692" i="1"/>
  <c r="P3692" i="1" s="1"/>
  <c r="O3693" i="1"/>
  <c r="P3693" i="1" s="1"/>
  <c r="O3694" i="1"/>
  <c r="P3694" i="1" s="1"/>
  <c r="O3695" i="1"/>
  <c r="P3695" i="1" s="1"/>
  <c r="O3696" i="1"/>
  <c r="P3696" i="1" s="1"/>
  <c r="O3697" i="1"/>
  <c r="P3697" i="1" s="1"/>
  <c r="O3698" i="1"/>
  <c r="P3698" i="1" s="1"/>
  <c r="O3699" i="1"/>
  <c r="P3699" i="1" s="1"/>
  <c r="O3700" i="1"/>
  <c r="P3700" i="1" s="1"/>
  <c r="O3701" i="1"/>
  <c r="P3701" i="1" s="1"/>
  <c r="O3702" i="1"/>
  <c r="P3702" i="1" s="1"/>
  <c r="O3703" i="1"/>
  <c r="P3703" i="1" s="1"/>
  <c r="O3704" i="1"/>
  <c r="P3704" i="1" s="1"/>
  <c r="O3705" i="1"/>
  <c r="P3705" i="1" s="1"/>
  <c r="O3706" i="1"/>
  <c r="P3706" i="1" s="1"/>
  <c r="O3707" i="1"/>
  <c r="P3707" i="1" s="1"/>
  <c r="O3708" i="1"/>
  <c r="P3708" i="1" s="1"/>
  <c r="O3709" i="1"/>
  <c r="P3709" i="1" s="1"/>
  <c r="O3710" i="1"/>
  <c r="P3710" i="1" s="1"/>
  <c r="O3711" i="1"/>
  <c r="P3711" i="1" s="1"/>
  <c r="O3712" i="1"/>
  <c r="P3712" i="1" s="1"/>
  <c r="O3713" i="1"/>
  <c r="P3713" i="1" s="1"/>
  <c r="O3714" i="1"/>
  <c r="P3714" i="1" s="1"/>
  <c r="O3715" i="1"/>
  <c r="P3715" i="1" s="1"/>
  <c r="O3716" i="1"/>
  <c r="P3716" i="1" s="1"/>
  <c r="O3717" i="1"/>
  <c r="P3717" i="1" s="1"/>
  <c r="O3718" i="1"/>
  <c r="P3718" i="1" s="1"/>
  <c r="O3719" i="1"/>
  <c r="P3719" i="1" s="1"/>
  <c r="O3720" i="1"/>
  <c r="P3720" i="1" s="1"/>
  <c r="O3721" i="1"/>
  <c r="P3721" i="1" s="1"/>
  <c r="O3722" i="1"/>
  <c r="P3722" i="1" s="1"/>
  <c r="O3723" i="1"/>
  <c r="P3723" i="1" s="1"/>
  <c r="O3724" i="1"/>
  <c r="P3724" i="1" s="1"/>
  <c r="O3725" i="1"/>
  <c r="P3725" i="1" s="1"/>
  <c r="O3726" i="1"/>
  <c r="P3726" i="1" s="1"/>
  <c r="O3727" i="1"/>
  <c r="P3727" i="1" s="1"/>
  <c r="O3728" i="1"/>
  <c r="P3728" i="1" s="1"/>
  <c r="O3729" i="1"/>
  <c r="P3729" i="1" s="1"/>
  <c r="O3730" i="1"/>
  <c r="P3730" i="1" s="1"/>
  <c r="O3731" i="1"/>
  <c r="P3731" i="1" s="1"/>
  <c r="O3732" i="1"/>
  <c r="P3732" i="1" s="1"/>
  <c r="O3733" i="1"/>
  <c r="P3733" i="1" s="1"/>
  <c r="O3734" i="1"/>
  <c r="P3734" i="1" s="1"/>
  <c r="O3735" i="1"/>
  <c r="P3735" i="1" s="1"/>
  <c r="O3736" i="1"/>
  <c r="P3736" i="1" s="1"/>
  <c r="O3737" i="1"/>
  <c r="P3737" i="1" s="1"/>
  <c r="O3738" i="1"/>
  <c r="P3738" i="1" s="1"/>
  <c r="O3739" i="1"/>
  <c r="P3739" i="1" s="1"/>
  <c r="O3740" i="1"/>
  <c r="P3740" i="1" s="1"/>
  <c r="O3741" i="1"/>
  <c r="P3741" i="1" s="1"/>
  <c r="O3742" i="1"/>
  <c r="P3742" i="1" s="1"/>
  <c r="O3743" i="1"/>
  <c r="P3743" i="1" s="1"/>
  <c r="O3744" i="1"/>
  <c r="P3744" i="1" s="1"/>
  <c r="O3745" i="1"/>
  <c r="P3745" i="1" s="1"/>
  <c r="O3746" i="1"/>
  <c r="P3746" i="1" s="1"/>
  <c r="O3747" i="1"/>
  <c r="P3747" i="1" s="1"/>
  <c r="O3748" i="1"/>
  <c r="P3748" i="1" s="1"/>
  <c r="O3749" i="1"/>
  <c r="P3749" i="1" s="1"/>
  <c r="O3750" i="1"/>
  <c r="P3750" i="1" s="1"/>
  <c r="O3751" i="1"/>
  <c r="P3751" i="1" s="1"/>
  <c r="O3752" i="1"/>
  <c r="P3752" i="1" s="1"/>
  <c r="O3753" i="1"/>
  <c r="P3753" i="1" s="1"/>
  <c r="O3754" i="1"/>
  <c r="P3754" i="1" s="1"/>
  <c r="O3755" i="1"/>
  <c r="P3755" i="1" s="1"/>
  <c r="O3756" i="1"/>
  <c r="P3756" i="1" s="1"/>
  <c r="O3757" i="1"/>
  <c r="P3757" i="1" s="1"/>
  <c r="O3758" i="1"/>
  <c r="P3758" i="1" s="1"/>
  <c r="O3759" i="1"/>
  <c r="P3759" i="1" s="1"/>
  <c r="O3760" i="1"/>
  <c r="P3760" i="1" s="1"/>
  <c r="O3761" i="1"/>
  <c r="P3761" i="1" s="1"/>
  <c r="O3762" i="1"/>
  <c r="P3762" i="1" s="1"/>
  <c r="O3763" i="1"/>
  <c r="P3763" i="1" s="1"/>
  <c r="O3764" i="1"/>
  <c r="P3764" i="1" s="1"/>
  <c r="O3765" i="1"/>
  <c r="P3765" i="1" s="1"/>
  <c r="O3766" i="1"/>
  <c r="P3766" i="1" s="1"/>
  <c r="O3767" i="1"/>
  <c r="P3767" i="1" s="1"/>
  <c r="O3768" i="1"/>
  <c r="P3768" i="1" s="1"/>
  <c r="O3769" i="1"/>
  <c r="P3769" i="1" s="1"/>
  <c r="O3770" i="1"/>
  <c r="P3770" i="1" s="1"/>
  <c r="O3771" i="1"/>
  <c r="P3771" i="1" s="1"/>
  <c r="O3772" i="1"/>
  <c r="P3772" i="1" s="1"/>
  <c r="O3773" i="1"/>
  <c r="P3773" i="1" s="1"/>
  <c r="O3774" i="1"/>
  <c r="P3774" i="1" s="1"/>
  <c r="O3775" i="1"/>
  <c r="P3775" i="1" s="1"/>
  <c r="O3776" i="1"/>
  <c r="P3776" i="1" s="1"/>
  <c r="O3777" i="1"/>
  <c r="P3777" i="1" s="1"/>
  <c r="O3778" i="1"/>
  <c r="P3778" i="1" s="1"/>
  <c r="O3779" i="1"/>
  <c r="P3779" i="1" s="1"/>
  <c r="O3780" i="1"/>
  <c r="P3780" i="1" s="1"/>
  <c r="O3781" i="1"/>
  <c r="P3781" i="1" s="1"/>
  <c r="O3782" i="1"/>
  <c r="P3782" i="1" s="1"/>
  <c r="O3783" i="1"/>
  <c r="P3783" i="1" s="1"/>
  <c r="O3784" i="1"/>
  <c r="P3784" i="1" s="1"/>
  <c r="O3785" i="1"/>
  <c r="P3785" i="1" s="1"/>
  <c r="O3786" i="1"/>
  <c r="P3786" i="1" s="1"/>
  <c r="O3787" i="1"/>
  <c r="P3787" i="1" s="1"/>
  <c r="O3788" i="1"/>
  <c r="P3788" i="1" s="1"/>
  <c r="O3789" i="1"/>
  <c r="P3789" i="1" s="1"/>
  <c r="O3790" i="1"/>
  <c r="P3790" i="1" s="1"/>
  <c r="O3791" i="1"/>
  <c r="P3791" i="1" s="1"/>
  <c r="O3792" i="1"/>
  <c r="P3792" i="1" s="1"/>
  <c r="O3793" i="1"/>
  <c r="P3793" i="1" s="1"/>
  <c r="O3794" i="1"/>
  <c r="P3794" i="1" s="1"/>
  <c r="O3795" i="1"/>
  <c r="P3795" i="1" s="1"/>
  <c r="O3796" i="1"/>
  <c r="P3796" i="1" s="1"/>
  <c r="O3797" i="1"/>
  <c r="P3797" i="1" s="1"/>
  <c r="O3798" i="1"/>
  <c r="P3798" i="1" s="1"/>
  <c r="O3799" i="1"/>
  <c r="P3799" i="1" s="1"/>
  <c r="O3800" i="1"/>
  <c r="P3800" i="1" s="1"/>
  <c r="O3801" i="1"/>
  <c r="P3801" i="1" s="1"/>
  <c r="O3802" i="1"/>
  <c r="P3802" i="1" s="1"/>
  <c r="O3803" i="1"/>
  <c r="P3803" i="1" s="1"/>
  <c r="O3804" i="1"/>
  <c r="P3804" i="1" s="1"/>
  <c r="O3805" i="1"/>
  <c r="P3805" i="1" s="1"/>
  <c r="O3806" i="1"/>
  <c r="P3806" i="1" s="1"/>
  <c r="O3807" i="1"/>
  <c r="P3807" i="1" s="1"/>
  <c r="O3808" i="1"/>
  <c r="P3808" i="1" s="1"/>
  <c r="O3809" i="1"/>
  <c r="P3809" i="1" s="1"/>
  <c r="O3810" i="1"/>
  <c r="P3810" i="1" s="1"/>
  <c r="O3811" i="1"/>
  <c r="P3811" i="1" s="1"/>
  <c r="O3812" i="1"/>
  <c r="P3812" i="1" s="1"/>
  <c r="O3813" i="1"/>
  <c r="P3813" i="1" s="1"/>
  <c r="O3814" i="1"/>
  <c r="P3814" i="1" s="1"/>
  <c r="O3815" i="1"/>
  <c r="P3815" i="1" s="1"/>
  <c r="O3816" i="1"/>
  <c r="P3816" i="1" s="1"/>
  <c r="O3817" i="1"/>
  <c r="P3817" i="1" s="1"/>
  <c r="O3818" i="1"/>
  <c r="P3818" i="1" s="1"/>
  <c r="O3819" i="1"/>
  <c r="P3819" i="1" s="1"/>
  <c r="O3820" i="1"/>
  <c r="P3820" i="1" s="1"/>
  <c r="O3821" i="1"/>
  <c r="P3821" i="1" s="1"/>
  <c r="O3822" i="1"/>
  <c r="P3822" i="1" s="1"/>
  <c r="O3823" i="1"/>
  <c r="P3823" i="1" s="1"/>
  <c r="O3824" i="1"/>
  <c r="P3824" i="1" s="1"/>
  <c r="O3825" i="1"/>
  <c r="P3825" i="1" s="1"/>
  <c r="O3826" i="1"/>
  <c r="P3826" i="1" s="1"/>
  <c r="O3827" i="1"/>
  <c r="P3827" i="1" s="1"/>
  <c r="O3828" i="1"/>
  <c r="P3828" i="1" s="1"/>
  <c r="O3829" i="1"/>
  <c r="P3829" i="1" s="1"/>
  <c r="O3830" i="1"/>
  <c r="P3830" i="1" s="1"/>
  <c r="O3831" i="1"/>
  <c r="P3831" i="1" s="1"/>
  <c r="O3832" i="1"/>
  <c r="P3832" i="1" s="1"/>
  <c r="O3833" i="1"/>
  <c r="P3833" i="1" s="1"/>
  <c r="O3834" i="1"/>
  <c r="P3834" i="1" s="1"/>
  <c r="O3835" i="1"/>
  <c r="P3835" i="1" s="1"/>
  <c r="O3836" i="1"/>
  <c r="P3836" i="1" s="1"/>
  <c r="O3837" i="1"/>
  <c r="P3837" i="1" s="1"/>
  <c r="O3838" i="1"/>
  <c r="P3838" i="1" s="1"/>
  <c r="O3839" i="1"/>
  <c r="P3839" i="1" s="1"/>
  <c r="O3840" i="1"/>
  <c r="P3840" i="1" s="1"/>
  <c r="O3841" i="1"/>
  <c r="P3841" i="1" s="1"/>
  <c r="O3842" i="1"/>
  <c r="P3842" i="1" s="1"/>
  <c r="O3843" i="1"/>
  <c r="P3843" i="1" s="1"/>
  <c r="O3844" i="1"/>
  <c r="P3844" i="1" s="1"/>
  <c r="O3845" i="1"/>
  <c r="P3845" i="1" s="1"/>
  <c r="O3846" i="1"/>
  <c r="P3846" i="1" s="1"/>
  <c r="O3847" i="1"/>
  <c r="P3847" i="1" s="1"/>
  <c r="O3848" i="1"/>
  <c r="P3848" i="1" s="1"/>
  <c r="O3849" i="1"/>
  <c r="P3849" i="1" s="1"/>
  <c r="O3850" i="1"/>
  <c r="P3850" i="1" s="1"/>
  <c r="O3851" i="1"/>
  <c r="P3851" i="1" s="1"/>
  <c r="O3852" i="1"/>
  <c r="P3852" i="1" s="1"/>
  <c r="O3853" i="1"/>
  <c r="P3853" i="1" s="1"/>
  <c r="O3854" i="1"/>
  <c r="P3854" i="1" s="1"/>
  <c r="O3855" i="1"/>
  <c r="P3855" i="1" s="1"/>
  <c r="O3856" i="1"/>
  <c r="P3856" i="1" s="1"/>
  <c r="O3857" i="1"/>
  <c r="P3857" i="1" s="1"/>
  <c r="O3858" i="1"/>
  <c r="P3858" i="1" s="1"/>
  <c r="O3859" i="1"/>
  <c r="P3859" i="1" s="1"/>
  <c r="O3860" i="1"/>
  <c r="P3860" i="1" s="1"/>
  <c r="O3861" i="1"/>
  <c r="P3861" i="1" s="1"/>
  <c r="O3862" i="1"/>
  <c r="P3862" i="1" s="1"/>
  <c r="O3863" i="1"/>
  <c r="P3863" i="1" s="1"/>
  <c r="O3864" i="1"/>
  <c r="P3864" i="1" s="1"/>
  <c r="O3865" i="1"/>
  <c r="P3865" i="1" s="1"/>
  <c r="O3866" i="1"/>
  <c r="P3866" i="1" s="1"/>
  <c r="O3867" i="1"/>
  <c r="P3867" i="1" s="1"/>
  <c r="O3868" i="1"/>
  <c r="P3868" i="1" s="1"/>
  <c r="O3869" i="1"/>
  <c r="P3869" i="1" s="1"/>
  <c r="O3870" i="1"/>
  <c r="P3870" i="1" s="1"/>
  <c r="O3871" i="1"/>
  <c r="P3871" i="1" s="1"/>
  <c r="O3872" i="1"/>
  <c r="P3872" i="1" s="1"/>
  <c r="O3873" i="1"/>
  <c r="P3873" i="1" s="1"/>
  <c r="O3874" i="1"/>
  <c r="P3874" i="1" s="1"/>
  <c r="O3875" i="1"/>
  <c r="P3875" i="1" s="1"/>
  <c r="O3876" i="1"/>
  <c r="P3876" i="1" s="1"/>
  <c r="O3877" i="1"/>
  <c r="P3877" i="1" s="1"/>
  <c r="O3878" i="1"/>
  <c r="P3878" i="1" s="1"/>
  <c r="O3879" i="1"/>
  <c r="P3879" i="1" s="1"/>
  <c r="O3880" i="1"/>
  <c r="P3880" i="1" s="1"/>
  <c r="O3881" i="1"/>
  <c r="P3881" i="1" s="1"/>
  <c r="O3882" i="1"/>
  <c r="P3882" i="1" s="1"/>
  <c r="O3883" i="1"/>
  <c r="P3883" i="1" s="1"/>
  <c r="O3884" i="1"/>
  <c r="P3884" i="1" s="1"/>
  <c r="O3885" i="1"/>
  <c r="P3885" i="1" s="1"/>
  <c r="O3886" i="1"/>
  <c r="P3886" i="1" s="1"/>
  <c r="O3887" i="1"/>
  <c r="P3887" i="1" s="1"/>
  <c r="O3888" i="1"/>
  <c r="P3888" i="1" s="1"/>
  <c r="O3889" i="1"/>
  <c r="P3889" i="1" s="1"/>
  <c r="O3890" i="1"/>
  <c r="P3890" i="1" s="1"/>
  <c r="O3891" i="1"/>
  <c r="P3891" i="1" s="1"/>
  <c r="O3892" i="1"/>
  <c r="P3892" i="1" s="1"/>
  <c r="O3893" i="1"/>
  <c r="P3893" i="1" s="1"/>
  <c r="O3894" i="1"/>
  <c r="P3894" i="1" s="1"/>
  <c r="O3895" i="1"/>
  <c r="P3895" i="1" s="1"/>
  <c r="O3896" i="1"/>
  <c r="P3896" i="1" s="1"/>
  <c r="O3897" i="1"/>
  <c r="P3897" i="1" s="1"/>
  <c r="O3898" i="1"/>
  <c r="P3898" i="1" s="1"/>
  <c r="O3899" i="1"/>
  <c r="P3899" i="1" s="1"/>
  <c r="O3900" i="1"/>
  <c r="P3900" i="1" s="1"/>
  <c r="O3901" i="1"/>
  <c r="P3901" i="1" s="1"/>
  <c r="O3902" i="1"/>
  <c r="P3902" i="1" s="1"/>
  <c r="O3903" i="1"/>
  <c r="P3903" i="1" s="1"/>
  <c r="O3904" i="1"/>
  <c r="P3904" i="1" s="1"/>
  <c r="O3905" i="1"/>
  <c r="P3905" i="1" s="1"/>
  <c r="O3906" i="1"/>
  <c r="P3906" i="1" s="1"/>
  <c r="O3907" i="1"/>
  <c r="P3907" i="1" s="1"/>
  <c r="O3908" i="1"/>
  <c r="P3908" i="1" s="1"/>
  <c r="O3909" i="1"/>
  <c r="P3909" i="1" s="1"/>
  <c r="O3910" i="1"/>
  <c r="P3910" i="1" s="1"/>
  <c r="O3911" i="1"/>
  <c r="P3911" i="1" s="1"/>
  <c r="O3912" i="1"/>
  <c r="P3912" i="1" s="1"/>
  <c r="O3913" i="1"/>
  <c r="P3913" i="1" s="1"/>
  <c r="O3914" i="1"/>
  <c r="P3914" i="1" s="1"/>
  <c r="O3915" i="1"/>
  <c r="P3915" i="1" s="1"/>
  <c r="O3916" i="1"/>
  <c r="P3916" i="1" s="1"/>
  <c r="O3917" i="1"/>
  <c r="P3917" i="1" s="1"/>
  <c r="O3918" i="1"/>
  <c r="P3918" i="1" s="1"/>
  <c r="O3919" i="1"/>
  <c r="P3919" i="1" s="1"/>
  <c r="O3920" i="1"/>
  <c r="P3920" i="1" s="1"/>
  <c r="O3921" i="1"/>
  <c r="P3921" i="1" s="1"/>
  <c r="O3922" i="1"/>
  <c r="P3922" i="1" s="1"/>
  <c r="O3923" i="1"/>
  <c r="P3923" i="1" s="1"/>
  <c r="O3924" i="1"/>
  <c r="P3924" i="1" s="1"/>
  <c r="O3925" i="1"/>
  <c r="P3925" i="1" s="1"/>
  <c r="O3926" i="1"/>
  <c r="P3926" i="1" s="1"/>
  <c r="O3927" i="1"/>
  <c r="P3927" i="1" s="1"/>
  <c r="O3928" i="1"/>
  <c r="P3928" i="1" s="1"/>
  <c r="O3929" i="1"/>
  <c r="P3929" i="1" s="1"/>
  <c r="O3930" i="1"/>
  <c r="P3930" i="1" s="1"/>
  <c r="O3931" i="1"/>
  <c r="P3931" i="1" s="1"/>
  <c r="O3932" i="1"/>
  <c r="P3932" i="1" s="1"/>
  <c r="O3933" i="1"/>
  <c r="P3933" i="1" s="1"/>
  <c r="O3934" i="1"/>
  <c r="P3934" i="1" s="1"/>
  <c r="O3935" i="1"/>
  <c r="P3935" i="1" s="1"/>
  <c r="O3936" i="1"/>
  <c r="P3936" i="1" s="1"/>
  <c r="O3937" i="1"/>
  <c r="P3937" i="1" s="1"/>
  <c r="O3938" i="1"/>
  <c r="P3938" i="1" s="1"/>
  <c r="O3939" i="1"/>
  <c r="P3939" i="1" s="1"/>
  <c r="O3940" i="1"/>
  <c r="P3940" i="1" s="1"/>
  <c r="O3941" i="1"/>
  <c r="P3941" i="1" s="1"/>
  <c r="O3942" i="1"/>
  <c r="P3942" i="1" s="1"/>
  <c r="O3943" i="1"/>
  <c r="P3943" i="1" s="1"/>
  <c r="O3944" i="1"/>
  <c r="P3944" i="1" s="1"/>
  <c r="O3945" i="1"/>
  <c r="P3945" i="1" s="1"/>
  <c r="O3946" i="1"/>
  <c r="P3946" i="1" s="1"/>
  <c r="O3947" i="1"/>
  <c r="P3947" i="1" s="1"/>
  <c r="O3948" i="1"/>
  <c r="P3948" i="1" s="1"/>
  <c r="O3949" i="1"/>
  <c r="P3949" i="1" s="1"/>
  <c r="O3950" i="1"/>
  <c r="P3950" i="1" s="1"/>
  <c r="O3951" i="1"/>
  <c r="P3951" i="1" s="1"/>
  <c r="O3952" i="1"/>
  <c r="P3952" i="1" s="1"/>
  <c r="O3953" i="1"/>
  <c r="P3953" i="1" s="1"/>
  <c r="O3954" i="1"/>
  <c r="P3954" i="1" s="1"/>
  <c r="O3955" i="1"/>
  <c r="P3955" i="1" s="1"/>
  <c r="O3956" i="1"/>
  <c r="P3956" i="1" s="1"/>
  <c r="O3957" i="1"/>
  <c r="P3957" i="1" s="1"/>
  <c r="O3958" i="1"/>
  <c r="P3958" i="1" s="1"/>
  <c r="O3959" i="1"/>
  <c r="P3959" i="1" s="1"/>
  <c r="O3960" i="1"/>
  <c r="P3960" i="1" s="1"/>
  <c r="O3961" i="1"/>
  <c r="P3961" i="1" s="1"/>
  <c r="O3962" i="1"/>
  <c r="P3962" i="1" s="1"/>
  <c r="O3963" i="1"/>
  <c r="P3963" i="1" s="1"/>
  <c r="O3964" i="1"/>
  <c r="P3964" i="1" s="1"/>
  <c r="O3965" i="1"/>
  <c r="P3965" i="1" s="1"/>
  <c r="O3966" i="1"/>
  <c r="P3966" i="1" s="1"/>
  <c r="O3967" i="1"/>
  <c r="P3967" i="1" s="1"/>
  <c r="O3968" i="1"/>
  <c r="P3968" i="1" s="1"/>
  <c r="O3969" i="1"/>
  <c r="P3969" i="1" s="1"/>
  <c r="O3970" i="1"/>
  <c r="P3970" i="1" s="1"/>
  <c r="O3971" i="1"/>
  <c r="P3971" i="1" s="1"/>
  <c r="O3972" i="1"/>
  <c r="P3972" i="1" s="1"/>
  <c r="O3973" i="1"/>
  <c r="P3973" i="1" s="1"/>
  <c r="O3974" i="1"/>
  <c r="P3974" i="1" s="1"/>
  <c r="O3975" i="1"/>
  <c r="P3975" i="1" s="1"/>
  <c r="O3976" i="1"/>
  <c r="P3976" i="1" s="1"/>
  <c r="O3977" i="1"/>
  <c r="P3977" i="1" s="1"/>
  <c r="O3978" i="1"/>
  <c r="P3978" i="1" s="1"/>
  <c r="O3979" i="1"/>
  <c r="P3979" i="1" s="1"/>
  <c r="O3980" i="1"/>
  <c r="P3980" i="1" s="1"/>
  <c r="O3981" i="1"/>
  <c r="P3981" i="1" s="1"/>
  <c r="O3982" i="1"/>
  <c r="P3982" i="1" s="1"/>
  <c r="O3983" i="1"/>
  <c r="P3983" i="1" s="1"/>
  <c r="O3984" i="1"/>
  <c r="P3984" i="1" s="1"/>
  <c r="O3985" i="1"/>
  <c r="P3985" i="1" s="1"/>
  <c r="O3986" i="1"/>
  <c r="P3986" i="1" s="1"/>
  <c r="O3987" i="1"/>
  <c r="P3987" i="1" s="1"/>
  <c r="O3988" i="1"/>
  <c r="P3988" i="1" s="1"/>
  <c r="O3989" i="1"/>
  <c r="P3989" i="1" s="1"/>
  <c r="O3990" i="1"/>
  <c r="P3990" i="1" s="1"/>
  <c r="O3991" i="1"/>
  <c r="P3991" i="1" s="1"/>
  <c r="O3992" i="1"/>
  <c r="P3992" i="1" s="1"/>
  <c r="O3993" i="1"/>
  <c r="P3993" i="1" s="1"/>
  <c r="O3994" i="1"/>
  <c r="P3994" i="1" s="1"/>
  <c r="O3995" i="1"/>
  <c r="P3995" i="1" s="1"/>
  <c r="O3996" i="1"/>
  <c r="P3996" i="1" s="1"/>
  <c r="O3997" i="1"/>
  <c r="P3997" i="1" s="1"/>
  <c r="O3998" i="1"/>
  <c r="P3998" i="1" s="1"/>
  <c r="O3999" i="1"/>
  <c r="P3999" i="1" s="1"/>
  <c r="O4000" i="1"/>
  <c r="P4000" i="1" s="1"/>
  <c r="O4001" i="1"/>
  <c r="P4001" i="1" s="1"/>
  <c r="O4002" i="1"/>
  <c r="P4002" i="1" s="1"/>
  <c r="O4003" i="1"/>
  <c r="P4003" i="1" s="1"/>
  <c r="O4004" i="1"/>
  <c r="P4004" i="1" s="1"/>
  <c r="O4005" i="1"/>
  <c r="P4005" i="1" s="1"/>
  <c r="O4006" i="1"/>
  <c r="P4006" i="1" s="1"/>
  <c r="O4007" i="1"/>
  <c r="P4007" i="1" s="1"/>
  <c r="O4008" i="1"/>
  <c r="P4008" i="1" s="1"/>
  <c r="O4009" i="1"/>
  <c r="P4009" i="1" s="1"/>
  <c r="O4010" i="1"/>
  <c r="P4010" i="1" s="1"/>
  <c r="O4011" i="1"/>
  <c r="P4011" i="1" s="1"/>
  <c r="O4012" i="1"/>
  <c r="P4012" i="1" s="1"/>
  <c r="O4013" i="1"/>
  <c r="P4013" i="1" s="1"/>
  <c r="O4014" i="1"/>
  <c r="P4014" i="1" s="1"/>
  <c r="O4015" i="1"/>
  <c r="P4015" i="1" s="1"/>
  <c r="O4016" i="1"/>
  <c r="P4016" i="1" s="1"/>
  <c r="O4017" i="1"/>
  <c r="P4017" i="1" s="1"/>
  <c r="O4018" i="1"/>
  <c r="P4018" i="1" s="1"/>
  <c r="O4019" i="1"/>
  <c r="P4019" i="1" s="1"/>
  <c r="O4020" i="1"/>
  <c r="P4020" i="1" s="1"/>
  <c r="O4021" i="1"/>
  <c r="P4021" i="1" s="1"/>
  <c r="O4022" i="1"/>
  <c r="P4022" i="1" s="1"/>
  <c r="O4023" i="1"/>
  <c r="P4023" i="1" s="1"/>
  <c r="O4024" i="1"/>
  <c r="P4024" i="1" s="1"/>
  <c r="O4025" i="1"/>
  <c r="P4025" i="1" s="1"/>
  <c r="O4026" i="1"/>
  <c r="P4026" i="1" s="1"/>
  <c r="O4027" i="1"/>
  <c r="P4027" i="1" s="1"/>
  <c r="O4028" i="1"/>
  <c r="P4028" i="1" s="1"/>
  <c r="O4029" i="1"/>
  <c r="P4029" i="1" s="1"/>
  <c r="O4030" i="1"/>
  <c r="P4030" i="1" s="1"/>
  <c r="O4031" i="1"/>
  <c r="P4031" i="1" s="1"/>
  <c r="O4032" i="1"/>
  <c r="P4032" i="1" s="1"/>
  <c r="O4033" i="1"/>
  <c r="P4033" i="1" s="1"/>
  <c r="O4034" i="1"/>
  <c r="P4034" i="1" s="1"/>
  <c r="O4035" i="1"/>
  <c r="P4035" i="1" s="1"/>
  <c r="O4036" i="1"/>
  <c r="P4036" i="1" s="1"/>
  <c r="O4037" i="1"/>
  <c r="P4037" i="1" s="1"/>
  <c r="O4038" i="1"/>
  <c r="P4038" i="1" s="1"/>
  <c r="O4039" i="1"/>
  <c r="P4039" i="1" s="1"/>
  <c r="O4040" i="1"/>
  <c r="P4040" i="1" s="1"/>
  <c r="O4041" i="1"/>
  <c r="P4041" i="1" s="1"/>
  <c r="O4042" i="1"/>
  <c r="P4042" i="1" s="1"/>
  <c r="O4043" i="1"/>
  <c r="P4043" i="1" s="1"/>
  <c r="O4044" i="1"/>
  <c r="P4044" i="1" s="1"/>
  <c r="O4045" i="1"/>
  <c r="P4045" i="1" s="1"/>
  <c r="O4046" i="1"/>
  <c r="P4046" i="1" s="1"/>
  <c r="O4047" i="1"/>
  <c r="P4047" i="1" s="1"/>
  <c r="O4048" i="1"/>
  <c r="P4048" i="1" s="1"/>
  <c r="O4049" i="1"/>
  <c r="P4049" i="1" s="1"/>
  <c r="O4050" i="1"/>
  <c r="P4050" i="1" s="1"/>
  <c r="O4051" i="1"/>
  <c r="P4051" i="1" s="1"/>
  <c r="O4052" i="1"/>
  <c r="P4052" i="1" s="1"/>
  <c r="O4053" i="1"/>
  <c r="P4053" i="1" s="1"/>
  <c r="O4054" i="1"/>
  <c r="P4054" i="1" s="1"/>
  <c r="O4055" i="1"/>
  <c r="P4055" i="1" s="1"/>
  <c r="O4056" i="1"/>
  <c r="P4056" i="1" s="1"/>
  <c r="O4057" i="1"/>
  <c r="P4057" i="1" s="1"/>
  <c r="O4058" i="1"/>
  <c r="P4058" i="1" s="1"/>
  <c r="O4059" i="1"/>
  <c r="P4059" i="1" s="1"/>
  <c r="O4060" i="1"/>
  <c r="P4060" i="1" s="1"/>
  <c r="O4061" i="1"/>
  <c r="P4061" i="1" s="1"/>
  <c r="O4062" i="1"/>
  <c r="P4062" i="1" s="1"/>
  <c r="O4063" i="1"/>
  <c r="P4063" i="1" s="1"/>
  <c r="O4064" i="1"/>
  <c r="P4064" i="1" s="1"/>
  <c r="O4065" i="1"/>
  <c r="P4065" i="1" s="1"/>
  <c r="O4066" i="1"/>
  <c r="P4066" i="1" s="1"/>
  <c r="O4067" i="1"/>
  <c r="P4067" i="1" s="1"/>
  <c r="O4068" i="1"/>
  <c r="P4068" i="1" s="1"/>
  <c r="O4069" i="1"/>
  <c r="P4069" i="1" s="1"/>
  <c r="O4070" i="1"/>
  <c r="P4070" i="1" s="1"/>
  <c r="O4071" i="1"/>
  <c r="P4071" i="1" s="1"/>
  <c r="O4072" i="1"/>
  <c r="P4072" i="1" s="1"/>
  <c r="O4073" i="1"/>
  <c r="P4073" i="1" s="1"/>
  <c r="O4074" i="1"/>
  <c r="P4074" i="1" s="1"/>
  <c r="O4075" i="1"/>
  <c r="P4075" i="1" s="1"/>
  <c r="O4076" i="1"/>
  <c r="P4076" i="1" s="1"/>
  <c r="O4077" i="1"/>
  <c r="P4077" i="1" s="1"/>
  <c r="O4078" i="1"/>
  <c r="P4078" i="1" s="1"/>
  <c r="O4079" i="1"/>
  <c r="P4079" i="1" s="1"/>
  <c r="O4080" i="1"/>
  <c r="P4080" i="1" s="1"/>
  <c r="O4081" i="1"/>
  <c r="P4081" i="1" s="1"/>
  <c r="O4082" i="1"/>
  <c r="P4082" i="1" s="1"/>
  <c r="O4083" i="1"/>
  <c r="P4083" i="1" s="1"/>
  <c r="O4084" i="1"/>
  <c r="P4084" i="1" s="1"/>
  <c r="O4085" i="1"/>
  <c r="P4085" i="1" s="1"/>
  <c r="O4086" i="1"/>
  <c r="P4086" i="1" s="1"/>
  <c r="O4087" i="1"/>
  <c r="P4087" i="1" s="1"/>
  <c r="O4088" i="1"/>
  <c r="P4088" i="1" s="1"/>
  <c r="O4089" i="1"/>
  <c r="P4089" i="1" s="1"/>
  <c r="O4090" i="1"/>
  <c r="P4090" i="1" s="1"/>
  <c r="O4091" i="1"/>
  <c r="P4091" i="1" s="1"/>
  <c r="O4092" i="1"/>
  <c r="P4092" i="1" s="1"/>
  <c r="O4093" i="1"/>
  <c r="P4093" i="1" s="1"/>
  <c r="O4094" i="1"/>
  <c r="P4094" i="1" s="1"/>
  <c r="O4095" i="1"/>
  <c r="P4095" i="1" s="1"/>
  <c r="O4096" i="1"/>
  <c r="P4096" i="1" s="1"/>
  <c r="O4097" i="1"/>
  <c r="P4097" i="1" s="1"/>
  <c r="O4098" i="1"/>
  <c r="P4098" i="1" s="1"/>
  <c r="O4099" i="1"/>
  <c r="P4099" i="1" s="1"/>
  <c r="O4100" i="1"/>
  <c r="P4100" i="1" s="1"/>
  <c r="O4101" i="1"/>
  <c r="P4101" i="1" s="1"/>
  <c r="O4102" i="1"/>
  <c r="P4102" i="1" s="1"/>
  <c r="O4103" i="1"/>
  <c r="P4103" i="1" s="1"/>
  <c r="O4104" i="1"/>
  <c r="P4104" i="1" s="1"/>
  <c r="O4105" i="1"/>
  <c r="P4105" i="1" s="1"/>
  <c r="O4106" i="1"/>
  <c r="P4106" i="1" s="1"/>
  <c r="O4107" i="1"/>
  <c r="P4107" i="1" s="1"/>
  <c r="O4108" i="1"/>
  <c r="P4108" i="1" s="1"/>
  <c r="O4109" i="1"/>
  <c r="P4109" i="1" s="1"/>
  <c r="O4110" i="1"/>
  <c r="P4110" i="1" s="1"/>
  <c r="O4111" i="1"/>
  <c r="P4111" i="1" s="1"/>
  <c r="O4112" i="1"/>
  <c r="P4112" i="1" s="1"/>
  <c r="O4113" i="1"/>
  <c r="P4113" i="1" s="1"/>
  <c r="O4114" i="1"/>
  <c r="P4114" i="1" s="1"/>
  <c r="O4115" i="1"/>
  <c r="P4115" i="1" s="1"/>
  <c r="O4116" i="1"/>
  <c r="P4116" i="1" s="1"/>
  <c r="O4117" i="1"/>
  <c r="P4117" i="1" s="1"/>
  <c r="O4118" i="1"/>
  <c r="P4118" i="1" s="1"/>
  <c r="O4119" i="1"/>
  <c r="P4119" i="1" s="1"/>
  <c r="O4120" i="1"/>
  <c r="P4120" i="1" s="1"/>
  <c r="O4121" i="1"/>
  <c r="P4121" i="1" s="1"/>
  <c r="O4122" i="1"/>
  <c r="P4122" i="1" s="1"/>
  <c r="O4123" i="1"/>
  <c r="P4123" i="1" s="1"/>
  <c r="O4124" i="1"/>
  <c r="P4124" i="1" s="1"/>
  <c r="O4125" i="1"/>
  <c r="P4125" i="1" s="1"/>
  <c r="O4126" i="1"/>
  <c r="P4126" i="1" s="1"/>
  <c r="O4127" i="1"/>
  <c r="P4127" i="1" s="1"/>
  <c r="O4128" i="1"/>
  <c r="P4128" i="1" s="1"/>
  <c r="O4129" i="1"/>
  <c r="P4129" i="1" s="1"/>
  <c r="O4130" i="1"/>
  <c r="P4130" i="1" s="1"/>
  <c r="O4131" i="1"/>
  <c r="P4131" i="1" s="1"/>
  <c r="O4132" i="1"/>
  <c r="P4132" i="1" s="1"/>
  <c r="O4133" i="1"/>
  <c r="P4133" i="1" s="1"/>
  <c r="O4134" i="1"/>
  <c r="P4134" i="1" s="1"/>
  <c r="O4135" i="1"/>
  <c r="P4135" i="1" s="1"/>
  <c r="O4136" i="1"/>
  <c r="P4136" i="1" s="1"/>
  <c r="O4137" i="1"/>
  <c r="P4137" i="1" s="1"/>
  <c r="O4138" i="1"/>
  <c r="P4138" i="1" s="1"/>
  <c r="O4139" i="1"/>
  <c r="P4139" i="1" s="1"/>
  <c r="O4140" i="1"/>
  <c r="P4140" i="1" s="1"/>
  <c r="O4141" i="1"/>
  <c r="P4141" i="1" s="1"/>
  <c r="O4142" i="1"/>
  <c r="P4142" i="1" s="1"/>
  <c r="O4143" i="1"/>
  <c r="P4143" i="1" s="1"/>
  <c r="O4144" i="1"/>
  <c r="P4144" i="1" s="1"/>
  <c r="O4145" i="1"/>
  <c r="P4145" i="1" s="1"/>
  <c r="O4146" i="1"/>
  <c r="P4146" i="1" s="1"/>
  <c r="O4147" i="1"/>
  <c r="P4147" i="1" s="1"/>
  <c r="O4148" i="1"/>
  <c r="P4148" i="1" s="1"/>
  <c r="O4149" i="1"/>
  <c r="P4149" i="1" s="1"/>
  <c r="O4150" i="1"/>
  <c r="P4150" i="1" s="1"/>
  <c r="O4151" i="1"/>
  <c r="P4151" i="1" s="1"/>
  <c r="O4152" i="1"/>
  <c r="P4152" i="1" s="1"/>
  <c r="O4153" i="1"/>
  <c r="P4153" i="1" s="1"/>
  <c r="O4154" i="1"/>
  <c r="P4154" i="1" s="1"/>
  <c r="O4155" i="1"/>
  <c r="P4155" i="1" s="1"/>
  <c r="O4156" i="1"/>
  <c r="P4156" i="1" s="1"/>
  <c r="O4157" i="1"/>
  <c r="P4157" i="1" s="1"/>
  <c r="O4158" i="1"/>
  <c r="P4158" i="1" s="1"/>
  <c r="O4159" i="1"/>
  <c r="P4159" i="1" s="1"/>
  <c r="O4160" i="1"/>
  <c r="P4160" i="1" s="1"/>
  <c r="O4161" i="1"/>
  <c r="P4161" i="1" s="1"/>
  <c r="O4162" i="1"/>
  <c r="P4162" i="1" s="1"/>
  <c r="O4163" i="1"/>
  <c r="P4163" i="1" s="1"/>
  <c r="O4164" i="1"/>
  <c r="P4164" i="1" s="1"/>
  <c r="O4165" i="1"/>
  <c r="P4165" i="1" s="1"/>
  <c r="O4166" i="1"/>
  <c r="P4166" i="1" s="1"/>
  <c r="O4167" i="1"/>
  <c r="P4167" i="1" s="1"/>
  <c r="O4168" i="1"/>
  <c r="P4168" i="1" s="1"/>
  <c r="O4169" i="1"/>
  <c r="P4169" i="1" s="1"/>
  <c r="O4170" i="1"/>
  <c r="P4170" i="1" s="1"/>
  <c r="O4171" i="1"/>
  <c r="P4171" i="1" s="1"/>
  <c r="O4172" i="1"/>
  <c r="P4172" i="1" s="1"/>
  <c r="O4173" i="1"/>
  <c r="P4173" i="1" s="1"/>
  <c r="O4174" i="1"/>
  <c r="P4174" i="1" s="1"/>
  <c r="O4175" i="1"/>
  <c r="P4175" i="1" s="1"/>
  <c r="O4176" i="1"/>
  <c r="P4176" i="1" s="1"/>
  <c r="O4177" i="1"/>
  <c r="P4177" i="1" s="1"/>
  <c r="O4178" i="1"/>
  <c r="P4178" i="1" s="1"/>
  <c r="O4179" i="1"/>
  <c r="P4179" i="1" s="1"/>
  <c r="O4180" i="1"/>
  <c r="P4180" i="1" s="1"/>
  <c r="O4181" i="1"/>
  <c r="P4181" i="1" s="1"/>
  <c r="O4182" i="1"/>
  <c r="P4182" i="1" s="1"/>
  <c r="O4183" i="1"/>
  <c r="P4183" i="1" s="1"/>
  <c r="O4184" i="1"/>
  <c r="P4184" i="1" s="1"/>
  <c r="O4185" i="1"/>
  <c r="P4185" i="1" s="1"/>
  <c r="O4186" i="1"/>
  <c r="P4186" i="1" s="1"/>
  <c r="O4187" i="1"/>
  <c r="P4187" i="1" s="1"/>
  <c r="O4188" i="1"/>
  <c r="P4188" i="1" s="1"/>
  <c r="O4189" i="1"/>
  <c r="P4189" i="1" s="1"/>
  <c r="O4190" i="1"/>
  <c r="P4190" i="1" s="1"/>
  <c r="O4191" i="1"/>
  <c r="P4191" i="1" s="1"/>
  <c r="O4192" i="1"/>
  <c r="P4192" i="1" s="1"/>
  <c r="O4193" i="1"/>
  <c r="P4193" i="1" s="1"/>
  <c r="O4194" i="1"/>
  <c r="P4194" i="1" s="1"/>
  <c r="O4195" i="1"/>
  <c r="P4195" i="1" s="1"/>
  <c r="O4196" i="1"/>
  <c r="P4196" i="1" s="1"/>
  <c r="O4197" i="1"/>
  <c r="P4197" i="1" s="1"/>
  <c r="O4198" i="1"/>
  <c r="P4198" i="1" s="1"/>
  <c r="O4199" i="1"/>
  <c r="P4199" i="1" s="1"/>
  <c r="O4200" i="1"/>
  <c r="P4200" i="1" s="1"/>
  <c r="O4201" i="1"/>
  <c r="P4201" i="1" s="1"/>
  <c r="O4202" i="1"/>
  <c r="P4202" i="1" s="1"/>
  <c r="O4203" i="1"/>
  <c r="P4203" i="1" s="1"/>
  <c r="O4204" i="1"/>
  <c r="P4204" i="1" s="1"/>
  <c r="O4205" i="1"/>
  <c r="P4205" i="1" s="1"/>
  <c r="O4206" i="1"/>
  <c r="P4206" i="1" s="1"/>
  <c r="O4207" i="1"/>
  <c r="P4207" i="1" s="1"/>
  <c r="O4208" i="1"/>
  <c r="P4208" i="1" s="1"/>
  <c r="O4209" i="1"/>
  <c r="P4209" i="1" s="1"/>
  <c r="O4210" i="1"/>
  <c r="P4210" i="1" s="1"/>
  <c r="O4211" i="1"/>
  <c r="P4211" i="1" s="1"/>
  <c r="O4212" i="1"/>
  <c r="P4212" i="1" s="1"/>
  <c r="O4213" i="1"/>
  <c r="P4213" i="1" s="1"/>
  <c r="O4214" i="1"/>
  <c r="P4214" i="1" s="1"/>
  <c r="O4215" i="1"/>
  <c r="P4215" i="1" s="1"/>
  <c r="O4216" i="1"/>
  <c r="P4216" i="1" s="1"/>
  <c r="O4217" i="1"/>
  <c r="P4217" i="1" s="1"/>
  <c r="O4218" i="1"/>
  <c r="P4218" i="1" s="1"/>
  <c r="O4219" i="1"/>
  <c r="P4219" i="1" s="1"/>
  <c r="O4220" i="1"/>
  <c r="P4220" i="1" s="1"/>
  <c r="O4221" i="1"/>
  <c r="P4221" i="1" s="1"/>
  <c r="O4222" i="1"/>
  <c r="P4222" i="1" s="1"/>
  <c r="O4223" i="1"/>
  <c r="P4223" i="1" s="1"/>
  <c r="O4224" i="1"/>
  <c r="P4224" i="1" s="1"/>
  <c r="O4225" i="1"/>
  <c r="P4225" i="1" s="1"/>
  <c r="O4226" i="1"/>
  <c r="P4226" i="1" s="1"/>
  <c r="O4227" i="1"/>
  <c r="P4227" i="1" s="1"/>
  <c r="O4228" i="1"/>
  <c r="P4228" i="1" s="1"/>
  <c r="O4229" i="1"/>
  <c r="P4229" i="1" s="1"/>
  <c r="O4230" i="1"/>
  <c r="P4230" i="1" s="1"/>
  <c r="O4231" i="1"/>
  <c r="P4231" i="1" s="1"/>
  <c r="O4232" i="1"/>
  <c r="P4232" i="1" s="1"/>
  <c r="O4233" i="1"/>
  <c r="P4233" i="1" s="1"/>
  <c r="O4234" i="1"/>
  <c r="P4234" i="1" s="1"/>
  <c r="O4235" i="1"/>
  <c r="P4235" i="1" s="1"/>
  <c r="O4236" i="1"/>
  <c r="P4236" i="1" s="1"/>
  <c r="O4237" i="1"/>
  <c r="P4237" i="1" s="1"/>
  <c r="O4238" i="1"/>
  <c r="P4238" i="1" s="1"/>
  <c r="O4239" i="1"/>
  <c r="P4239" i="1" s="1"/>
  <c r="O4240" i="1"/>
  <c r="P4240" i="1" s="1"/>
  <c r="O4241" i="1"/>
  <c r="P4241" i="1" s="1"/>
  <c r="O4242" i="1"/>
  <c r="P4242" i="1" s="1"/>
  <c r="O4243" i="1"/>
  <c r="P4243" i="1" s="1"/>
  <c r="O4244" i="1"/>
  <c r="P4244" i="1" s="1"/>
  <c r="O4245" i="1"/>
  <c r="P4245" i="1" s="1"/>
  <c r="O4246" i="1"/>
  <c r="P4246" i="1" s="1"/>
  <c r="O4247" i="1"/>
  <c r="P4247" i="1" s="1"/>
  <c r="O4248" i="1"/>
  <c r="P4248" i="1" s="1"/>
  <c r="O4249" i="1"/>
  <c r="P4249" i="1" s="1"/>
  <c r="O4250" i="1"/>
  <c r="P4250" i="1" s="1"/>
  <c r="O4251" i="1"/>
  <c r="P4251" i="1" s="1"/>
  <c r="O4252" i="1"/>
  <c r="P4252" i="1" s="1"/>
  <c r="O4253" i="1"/>
  <c r="P4253" i="1" s="1"/>
  <c r="O4254" i="1"/>
  <c r="P4254" i="1" s="1"/>
  <c r="O4255" i="1"/>
  <c r="P4255" i="1" s="1"/>
  <c r="O4256" i="1"/>
  <c r="P4256" i="1" s="1"/>
  <c r="O4257" i="1"/>
  <c r="P4257" i="1" s="1"/>
  <c r="O4258" i="1"/>
  <c r="P4258" i="1" s="1"/>
  <c r="O4259" i="1"/>
  <c r="P4259" i="1" s="1"/>
  <c r="O4260" i="1"/>
  <c r="P4260" i="1" s="1"/>
  <c r="O4261" i="1"/>
  <c r="P4261" i="1" s="1"/>
  <c r="O4262" i="1"/>
  <c r="P4262" i="1" s="1"/>
  <c r="O4263" i="1"/>
  <c r="P4263" i="1" s="1"/>
  <c r="O4264" i="1"/>
  <c r="P4264" i="1" s="1"/>
  <c r="O4265" i="1"/>
  <c r="P4265" i="1" s="1"/>
  <c r="O4266" i="1"/>
  <c r="P4266" i="1" s="1"/>
  <c r="O4267" i="1"/>
  <c r="P4267" i="1" s="1"/>
  <c r="O4268" i="1"/>
  <c r="P4268" i="1" s="1"/>
  <c r="O4269" i="1"/>
  <c r="P4269" i="1" s="1"/>
  <c r="O4270" i="1"/>
  <c r="P4270" i="1" s="1"/>
  <c r="O4271" i="1"/>
  <c r="P4271" i="1" s="1"/>
  <c r="O4272" i="1"/>
  <c r="P4272" i="1" s="1"/>
  <c r="O4273" i="1"/>
  <c r="P4273" i="1" s="1"/>
  <c r="O4274" i="1"/>
  <c r="P4274" i="1" s="1"/>
  <c r="O4275" i="1"/>
  <c r="P4275" i="1" s="1"/>
  <c r="O4276" i="1"/>
  <c r="P4276" i="1" s="1"/>
  <c r="O4277" i="1"/>
  <c r="P4277" i="1" s="1"/>
  <c r="O4278" i="1"/>
  <c r="P4278" i="1" s="1"/>
  <c r="O4279" i="1"/>
  <c r="P4279" i="1" s="1"/>
  <c r="O4280" i="1"/>
  <c r="P4280" i="1" s="1"/>
  <c r="O4281" i="1"/>
  <c r="P4281" i="1" s="1"/>
  <c r="O4282" i="1"/>
  <c r="P4282" i="1" s="1"/>
  <c r="O4283" i="1"/>
  <c r="P4283" i="1" s="1"/>
  <c r="O4284" i="1"/>
  <c r="P4284" i="1" s="1"/>
  <c r="O4285" i="1"/>
  <c r="P4285" i="1" s="1"/>
  <c r="O4286" i="1"/>
  <c r="P4286" i="1" s="1"/>
  <c r="O4287" i="1"/>
  <c r="P4287" i="1" s="1"/>
  <c r="O4288" i="1"/>
  <c r="P4288" i="1" s="1"/>
  <c r="O4289" i="1"/>
  <c r="P4289" i="1" s="1"/>
  <c r="O4290" i="1"/>
  <c r="P4290" i="1" s="1"/>
  <c r="O4291" i="1"/>
  <c r="P4291" i="1" s="1"/>
  <c r="O4292" i="1"/>
  <c r="P4292" i="1" s="1"/>
  <c r="O4293" i="1"/>
  <c r="P4293" i="1" s="1"/>
  <c r="O4294" i="1"/>
  <c r="P4294" i="1" s="1"/>
  <c r="O4295" i="1"/>
  <c r="P4295" i="1" s="1"/>
  <c r="O4296" i="1"/>
  <c r="P4296" i="1" s="1"/>
  <c r="O4297" i="1"/>
  <c r="P4297" i="1" s="1"/>
  <c r="O4298" i="1"/>
  <c r="P4298" i="1" s="1"/>
  <c r="O4299" i="1"/>
  <c r="P4299" i="1" s="1"/>
  <c r="O4300" i="1"/>
  <c r="P4300" i="1" s="1"/>
  <c r="O4301" i="1"/>
  <c r="P4301" i="1" s="1"/>
  <c r="O4302" i="1"/>
  <c r="P4302" i="1" s="1"/>
  <c r="O4303" i="1"/>
  <c r="P4303" i="1" s="1"/>
  <c r="O4304" i="1"/>
  <c r="P4304" i="1" s="1"/>
  <c r="O4305" i="1"/>
  <c r="P4305" i="1" s="1"/>
  <c r="O4306" i="1"/>
  <c r="P4306" i="1" s="1"/>
  <c r="O4307" i="1"/>
  <c r="P4307" i="1" s="1"/>
  <c r="O4308" i="1"/>
  <c r="P4308" i="1" s="1"/>
  <c r="O4309" i="1"/>
  <c r="P4309" i="1" s="1"/>
  <c r="O4310" i="1"/>
  <c r="P4310" i="1" s="1"/>
  <c r="O4311" i="1"/>
  <c r="P4311" i="1" s="1"/>
  <c r="O4312" i="1"/>
  <c r="P4312" i="1" s="1"/>
  <c r="O4313" i="1"/>
  <c r="P4313" i="1" s="1"/>
  <c r="O4314" i="1"/>
  <c r="P4314" i="1" s="1"/>
  <c r="O4315" i="1"/>
  <c r="P4315" i="1" s="1"/>
  <c r="O4316" i="1"/>
  <c r="P4316" i="1" s="1"/>
  <c r="O4317" i="1"/>
  <c r="P4317" i="1" s="1"/>
  <c r="O4318" i="1"/>
  <c r="P4318" i="1" s="1"/>
  <c r="O4319" i="1"/>
  <c r="P4319" i="1" s="1"/>
  <c r="O4320" i="1"/>
  <c r="P4320" i="1" s="1"/>
  <c r="O4321" i="1"/>
  <c r="P4321" i="1" s="1"/>
  <c r="O4322" i="1"/>
  <c r="P4322" i="1" s="1"/>
  <c r="O4323" i="1"/>
  <c r="P4323" i="1" s="1"/>
  <c r="O4324" i="1"/>
  <c r="P4324" i="1" s="1"/>
  <c r="O4325" i="1"/>
  <c r="P4325" i="1" s="1"/>
  <c r="O4326" i="1"/>
  <c r="P4326" i="1" s="1"/>
  <c r="O4327" i="1"/>
  <c r="P4327" i="1" s="1"/>
  <c r="O4328" i="1"/>
  <c r="P4328" i="1" s="1"/>
  <c r="O4329" i="1"/>
  <c r="P4329" i="1" s="1"/>
  <c r="O4330" i="1"/>
  <c r="P4330" i="1" s="1"/>
  <c r="O4331" i="1"/>
  <c r="P4331" i="1" s="1"/>
  <c r="O4332" i="1"/>
  <c r="P4332" i="1" s="1"/>
  <c r="O4333" i="1"/>
  <c r="P4333" i="1" s="1"/>
  <c r="O4334" i="1"/>
  <c r="P4334" i="1" s="1"/>
  <c r="O4335" i="1"/>
  <c r="P4335" i="1" s="1"/>
  <c r="O4336" i="1"/>
  <c r="P4336" i="1" s="1"/>
  <c r="O4337" i="1"/>
  <c r="P4337" i="1" s="1"/>
  <c r="O4338" i="1"/>
  <c r="P4338" i="1" s="1"/>
  <c r="O4339" i="1"/>
  <c r="P4339" i="1" s="1"/>
  <c r="O4340" i="1"/>
  <c r="P4340" i="1" s="1"/>
  <c r="O4341" i="1"/>
  <c r="P4341" i="1" s="1"/>
  <c r="O4342" i="1"/>
  <c r="P4342" i="1" s="1"/>
  <c r="O4343" i="1"/>
  <c r="P4343" i="1" s="1"/>
  <c r="O4344" i="1"/>
  <c r="P4344" i="1" s="1"/>
  <c r="O4345" i="1"/>
  <c r="P4345" i="1" s="1"/>
  <c r="O4346" i="1"/>
  <c r="P4346" i="1" s="1"/>
  <c r="O4347" i="1"/>
  <c r="P4347" i="1" s="1"/>
  <c r="O4348" i="1"/>
  <c r="P4348" i="1" s="1"/>
  <c r="O4349" i="1"/>
  <c r="P4349" i="1" s="1"/>
  <c r="O4350" i="1"/>
  <c r="P4350" i="1" s="1"/>
  <c r="O4351" i="1"/>
  <c r="P4351" i="1" s="1"/>
  <c r="O4352" i="1"/>
  <c r="P4352" i="1" s="1"/>
  <c r="O4353" i="1"/>
  <c r="P4353" i="1" s="1"/>
  <c r="O4354" i="1"/>
  <c r="P4354" i="1" s="1"/>
  <c r="O4355" i="1"/>
  <c r="P4355" i="1" s="1"/>
  <c r="O4356" i="1"/>
  <c r="P4356" i="1" s="1"/>
  <c r="O4357" i="1"/>
  <c r="P4357" i="1" s="1"/>
  <c r="O4358" i="1"/>
  <c r="P4358" i="1" s="1"/>
  <c r="O4359" i="1"/>
  <c r="P4359" i="1" s="1"/>
  <c r="O4360" i="1"/>
  <c r="P4360" i="1" s="1"/>
  <c r="O4361" i="1"/>
  <c r="P4361" i="1" s="1"/>
  <c r="O4362" i="1"/>
  <c r="P4362" i="1" s="1"/>
  <c r="O4363" i="1"/>
  <c r="P4363" i="1" s="1"/>
  <c r="O4364" i="1"/>
  <c r="P4364" i="1" s="1"/>
  <c r="O4365" i="1"/>
  <c r="P4365" i="1" s="1"/>
  <c r="O4366" i="1"/>
  <c r="P4366" i="1" s="1"/>
  <c r="O4367" i="1"/>
  <c r="P4367" i="1" s="1"/>
  <c r="O4368" i="1"/>
  <c r="P4368" i="1" s="1"/>
  <c r="O4369" i="1"/>
  <c r="P4369" i="1" s="1"/>
  <c r="O4370" i="1"/>
  <c r="P4370" i="1" s="1"/>
  <c r="O4371" i="1"/>
  <c r="P4371" i="1" s="1"/>
  <c r="O4372" i="1"/>
  <c r="P4372" i="1" s="1"/>
  <c r="O4373" i="1"/>
  <c r="P4373" i="1" s="1"/>
  <c r="O4374" i="1"/>
  <c r="P4374" i="1" s="1"/>
  <c r="O4375" i="1"/>
  <c r="P4375" i="1" s="1"/>
  <c r="O4376" i="1"/>
  <c r="P4376" i="1" s="1"/>
  <c r="O4377" i="1"/>
  <c r="P4377" i="1" s="1"/>
  <c r="O4378" i="1"/>
  <c r="P4378" i="1" s="1"/>
  <c r="O4379" i="1"/>
  <c r="P4379" i="1" s="1"/>
  <c r="O4380" i="1"/>
  <c r="P4380" i="1" s="1"/>
  <c r="O4381" i="1"/>
  <c r="P4381" i="1" s="1"/>
  <c r="O4382" i="1"/>
  <c r="P4382" i="1" s="1"/>
  <c r="O4383" i="1"/>
  <c r="P4383" i="1" s="1"/>
  <c r="O4384" i="1"/>
  <c r="P4384" i="1" s="1"/>
  <c r="O4385" i="1"/>
  <c r="P4385" i="1" s="1"/>
  <c r="O4386" i="1"/>
  <c r="P4386" i="1" s="1"/>
  <c r="O4387" i="1"/>
  <c r="P4387" i="1" s="1"/>
  <c r="O4388" i="1"/>
  <c r="P4388" i="1" s="1"/>
  <c r="O4389" i="1"/>
  <c r="P4389" i="1" s="1"/>
  <c r="O4390" i="1"/>
  <c r="P4390" i="1" s="1"/>
  <c r="O4391" i="1"/>
  <c r="P4391" i="1" s="1"/>
  <c r="O4392" i="1"/>
  <c r="P4392" i="1" s="1"/>
  <c r="O4393" i="1"/>
  <c r="P4393" i="1" s="1"/>
  <c r="O4394" i="1"/>
  <c r="P4394" i="1" s="1"/>
  <c r="O4395" i="1"/>
  <c r="P4395" i="1" s="1"/>
  <c r="O4396" i="1"/>
  <c r="P4396" i="1" s="1"/>
  <c r="O4397" i="1"/>
  <c r="P4397" i="1" s="1"/>
  <c r="O4398" i="1"/>
  <c r="P4398" i="1" s="1"/>
  <c r="O4399" i="1"/>
  <c r="P4399" i="1" s="1"/>
  <c r="O4400" i="1"/>
  <c r="P4400" i="1" s="1"/>
  <c r="O4401" i="1"/>
  <c r="P4401" i="1" s="1"/>
  <c r="O4402" i="1"/>
  <c r="P4402" i="1" s="1"/>
  <c r="O4403" i="1"/>
  <c r="P4403" i="1" s="1"/>
  <c r="O4404" i="1"/>
  <c r="P4404" i="1" s="1"/>
  <c r="O4405" i="1"/>
  <c r="P4405" i="1" s="1"/>
  <c r="O4406" i="1"/>
  <c r="P4406" i="1" s="1"/>
  <c r="O4407" i="1"/>
  <c r="P4407" i="1" s="1"/>
  <c r="O4408" i="1"/>
  <c r="P4408" i="1" s="1"/>
  <c r="O4409" i="1"/>
  <c r="P4409" i="1" s="1"/>
  <c r="O4410" i="1"/>
  <c r="P4410" i="1" s="1"/>
  <c r="O4411" i="1"/>
  <c r="P4411" i="1" s="1"/>
  <c r="O4412" i="1"/>
  <c r="P4412" i="1" s="1"/>
  <c r="O4413" i="1"/>
  <c r="P4413" i="1" s="1"/>
  <c r="O4414" i="1"/>
  <c r="P4414" i="1" s="1"/>
  <c r="O4415" i="1"/>
  <c r="P4415" i="1" s="1"/>
  <c r="O4416" i="1"/>
  <c r="P4416" i="1" s="1"/>
  <c r="O4417" i="1"/>
  <c r="P4417" i="1" s="1"/>
  <c r="O4418" i="1"/>
  <c r="P4418" i="1" s="1"/>
  <c r="O4419" i="1"/>
  <c r="P4419" i="1" s="1"/>
  <c r="O4420" i="1"/>
  <c r="P4420" i="1" s="1"/>
  <c r="O4421" i="1"/>
  <c r="P4421" i="1" s="1"/>
  <c r="O4422" i="1"/>
  <c r="P4422" i="1" s="1"/>
  <c r="O4423" i="1"/>
  <c r="P4423" i="1" s="1"/>
  <c r="O4424" i="1"/>
  <c r="P4424" i="1" s="1"/>
  <c r="O4425" i="1"/>
  <c r="P4425" i="1" s="1"/>
  <c r="O4426" i="1"/>
  <c r="P4426" i="1" s="1"/>
  <c r="O4427" i="1"/>
  <c r="P4427" i="1" s="1"/>
  <c r="O4428" i="1"/>
  <c r="P4428" i="1" s="1"/>
  <c r="O4429" i="1"/>
  <c r="P4429" i="1" s="1"/>
  <c r="O4430" i="1"/>
  <c r="P4430" i="1" s="1"/>
  <c r="O4431" i="1"/>
  <c r="P4431" i="1" s="1"/>
  <c r="O4432" i="1"/>
  <c r="P4432" i="1" s="1"/>
  <c r="O4433" i="1"/>
  <c r="P4433" i="1" s="1"/>
  <c r="O4434" i="1"/>
  <c r="P4434" i="1" s="1"/>
  <c r="O4435" i="1"/>
  <c r="P4435" i="1" s="1"/>
  <c r="O4436" i="1"/>
  <c r="P4436" i="1" s="1"/>
  <c r="O4437" i="1"/>
  <c r="P4437" i="1" s="1"/>
  <c r="O4438" i="1"/>
  <c r="P4438" i="1" s="1"/>
  <c r="O4439" i="1"/>
  <c r="P4439" i="1" s="1"/>
  <c r="O4440" i="1"/>
  <c r="P4440" i="1" s="1"/>
  <c r="O4441" i="1"/>
  <c r="P4441" i="1" s="1"/>
  <c r="O4442" i="1"/>
  <c r="P4442" i="1" s="1"/>
  <c r="O4443" i="1"/>
  <c r="P4443" i="1" s="1"/>
  <c r="O4444" i="1"/>
  <c r="P4444" i="1" s="1"/>
  <c r="O4445" i="1"/>
  <c r="P4445" i="1" s="1"/>
  <c r="O4446" i="1"/>
  <c r="P4446" i="1" s="1"/>
  <c r="O4447" i="1"/>
  <c r="P4447" i="1" s="1"/>
  <c r="O4448" i="1"/>
  <c r="P4448" i="1" s="1"/>
  <c r="O4449" i="1"/>
  <c r="P4449" i="1" s="1"/>
  <c r="O4450" i="1"/>
  <c r="P4450" i="1" s="1"/>
  <c r="O4451" i="1"/>
  <c r="P4451" i="1" s="1"/>
  <c r="O4452" i="1"/>
  <c r="P4452" i="1" s="1"/>
  <c r="O4453" i="1"/>
  <c r="P4453" i="1" s="1"/>
  <c r="O4454" i="1"/>
  <c r="P4454" i="1" s="1"/>
  <c r="O4455" i="1"/>
  <c r="P4455" i="1" s="1"/>
  <c r="O4456" i="1"/>
  <c r="P4456" i="1" s="1"/>
  <c r="O4457" i="1"/>
  <c r="P4457" i="1" s="1"/>
  <c r="O4458" i="1"/>
  <c r="P4458" i="1" s="1"/>
  <c r="O4459" i="1"/>
  <c r="P4459" i="1" s="1"/>
  <c r="O4460" i="1"/>
  <c r="P4460" i="1" s="1"/>
  <c r="O4461" i="1"/>
  <c r="P4461" i="1" s="1"/>
  <c r="O4462" i="1"/>
  <c r="P4462" i="1" s="1"/>
  <c r="O4463" i="1"/>
  <c r="P4463" i="1" s="1"/>
  <c r="O4464" i="1"/>
  <c r="P4464" i="1" s="1"/>
  <c r="O4465" i="1"/>
  <c r="P4465" i="1" s="1"/>
  <c r="O4466" i="1"/>
  <c r="P4466" i="1" s="1"/>
  <c r="O4467" i="1"/>
  <c r="P4467" i="1" s="1"/>
  <c r="O4468" i="1"/>
  <c r="P4468" i="1" s="1"/>
  <c r="O4469" i="1"/>
  <c r="P4469" i="1" s="1"/>
  <c r="O4470" i="1"/>
  <c r="P4470" i="1" s="1"/>
  <c r="O4471" i="1"/>
  <c r="P4471" i="1" s="1"/>
  <c r="O4472" i="1"/>
  <c r="P4472" i="1" s="1"/>
  <c r="O4473" i="1"/>
  <c r="P4473" i="1" s="1"/>
  <c r="O4474" i="1"/>
  <c r="P4474" i="1" s="1"/>
  <c r="O4475" i="1"/>
  <c r="P4475" i="1" s="1"/>
  <c r="O4476" i="1"/>
  <c r="P4476" i="1" s="1"/>
  <c r="O4477" i="1"/>
  <c r="P4477" i="1" s="1"/>
  <c r="O4478" i="1"/>
  <c r="P4478" i="1" s="1"/>
  <c r="O4479" i="1"/>
  <c r="P4479" i="1" s="1"/>
  <c r="O4480" i="1"/>
  <c r="P4480" i="1" s="1"/>
  <c r="O4481" i="1"/>
  <c r="P4481" i="1" s="1"/>
  <c r="O4482" i="1"/>
  <c r="P4482" i="1" s="1"/>
  <c r="O4483" i="1"/>
  <c r="P4483" i="1" s="1"/>
  <c r="O4484" i="1"/>
  <c r="P4484" i="1" s="1"/>
  <c r="O4485" i="1"/>
  <c r="P4485" i="1" s="1"/>
  <c r="O4486" i="1"/>
  <c r="P4486" i="1" s="1"/>
  <c r="O4487" i="1"/>
  <c r="P4487" i="1" s="1"/>
  <c r="O4488" i="1"/>
  <c r="P4488" i="1" s="1"/>
  <c r="O4489" i="1"/>
  <c r="P4489" i="1" s="1"/>
  <c r="O4490" i="1"/>
  <c r="P4490" i="1" s="1"/>
  <c r="O4491" i="1"/>
  <c r="P4491" i="1" s="1"/>
  <c r="O4492" i="1"/>
  <c r="P4492" i="1" s="1"/>
  <c r="O4493" i="1"/>
  <c r="P4493" i="1" s="1"/>
  <c r="O4494" i="1"/>
  <c r="P4494" i="1" s="1"/>
  <c r="O4495" i="1"/>
  <c r="P4495" i="1" s="1"/>
  <c r="O4496" i="1"/>
  <c r="P4496" i="1" s="1"/>
  <c r="O4497" i="1"/>
  <c r="P4497" i="1" s="1"/>
  <c r="O4498" i="1"/>
  <c r="P4498" i="1" s="1"/>
  <c r="O4499" i="1"/>
  <c r="P4499" i="1" s="1"/>
  <c r="O4500" i="1"/>
  <c r="P4500" i="1" s="1"/>
  <c r="O4501" i="1"/>
  <c r="P4501" i="1" s="1"/>
  <c r="O4502" i="1"/>
  <c r="P4502" i="1" s="1"/>
  <c r="O4503" i="1"/>
  <c r="P4503" i="1" s="1"/>
  <c r="O4504" i="1"/>
  <c r="P4504" i="1" s="1"/>
  <c r="O4505" i="1"/>
  <c r="P4505" i="1" s="1"/>
  <c r="O4506" i="1"/>
  <c r="P4506" i="1" s="1"/>
  <c r="O4507" i="1"/>
  <c r="P4507" i="1" s="1"/>
  <c r="O4508" i="1"/>
  <c r="P4508" i="1" s="1"/>
  <c r="O4509" i="1"/>
  <c r="P4509" i="1" s="1"/>
  <c r="O4510" i="1"/>
  <c r="P4510" i="1" s="1"/>
  <c r="O4511" i="1"/>
  <c r="P4511" i="1" s="1"/>
  <c r="O4512" i="1"/>
  <c r="P4512" i="1" s="1"/>
  <c r="O4513" i="1"/>
  <c r="P4513" i="1" s="1"/>
  <c r="O4514" i="1"/>
  <c r="P4514" i="1" s="1"/>
  <c r="O4515" i="1"/>
  <c r="P4515" i="1" s="1"/>
  <c r="O4516" i="1"/>
  <c r="P4516" i="1" s="1"/>
  <c r="O4517" i="1"/>
  <c r="P4517" i="1" s="1"/>
  <c r="O4518" i="1"/>
  <c r="P4518" i="1" s="1"/>
  <c r="O4519" i="1"/>
  <c r="P4519" i="1" s="1"/>
  <c r="O4520" i="1"/>
  <c r="P4520" i="1" s="1"/>
  <c r="O4521" i="1"/>
  <c r="P4521" i="1" s="1"/>
  <c r="O4522" i="1"/>
  <c r="P4522" i="1" s="1"/>
  <c r="O4523" i="1"/>
  <c r="P4523" i="1" s="1"/>
  <c r="O4524" i="1"/>
  <c r="P4524" i="1" s="1"/>
  <c r="O4525" i="1"/>
  <c r="P4525" i="1" s="1"/>
  <c r="O4526" i="1"/>
  <c r="P4526" i="1" s="1"/>
  <c r="O4527" i="1"/>
  <c r="P4527" i="1" s="1"/>
  <c r="O4528" i="1"/>
  <c r="P4528" i="1" s="1"/>
  <c r="O4529" i="1"/>
  <c r="P4529" i="1" s="1"/>
  <c r="O4530" i="1"/>
  <c r="P4530" i="1" s="1"/>
  <c r="O4531" i="1"/>
  <c r="P4531" i="1" s="1"/>
  <c r="O4532" i="1"/>
  <c r="P4532" i="1" s="1"/>
  <c r="O4533" i="1"/>
  <c r="P4533" i="1" s="1"/>
  <c r="O4534" i="1"/>
  <c r="P4534" i="1" s="1"/>
  <c r="O4535" i="1"/>
  <c r="P4535" i="1" s="1"/>
  <c r="O4536" i="1"/>
  <c r="P4536" i="1" s="1"/>
  <c r="O4537" i="1"/>
  <c r="P4537" i="1" s="1"/>
  <c r="O4538" i="1"/>
  <c r="P4538" i="1" s="1"/>
  <c r="O4539" i="1"/>
  <c r="P4539" i="1" s="1"/>
  <c r="O4540" i="1"/>
  <c r="P4540" i="1" s="1"/>
  <c r="O4541" i="1"/>
  <c r="P4541" i="1" s="1"/>
  <c r="O4542" i="1"/>
  <c r="P4542" i="1" s="1"/>
  <c r="O4543" i="1"/>
  <c r="P4543" i="1" s="1"/>
  <c r="O4544" i="1"/>
  <c r="P4544" i="1" s="1"/>
  <c r="O4545" i="1"/>
  <c r="P4545" i="1" s="1"/>
  <c r="O4546" i="1"/>
  <c r="P4546" i="1" s="1"/>
  <c r="O4547" i="1"/>
  <c r="P4547" i="1" s="1"/>
  <c r="O4548" i="1"/>
  <c r="P4548" i="1" s="1"/>
  <c r="O4549" i="1"/>
  <c r="P4549" i="1" s="1"/>
  <c r="O4550" i="1"/>
  <c r="P4550" i="1" s="1"/>
  <c r="O4551" i="1"/>
  <c r="P4551" i="1" s="1"/>
  <c r="O4552" i="1"/>
  <c r="P4552" i="1" s="1"/>
  <c r="O4553" i="1"/>
  <c r="P4553" i="1" s="1"/>
  <c r="O4554" i="1"/>
  <c r="P4554" i="1" s="1"/>
  <c r="O4555" i="1"/>
  <c r="P4555" i="1" s="1"/>
  <c r="O4556" i="1"/>
  <c r="P4556" i="1" s="1"/>
  <c r="O4557" i="1"/>
  <c r="P4557" i="1" s="1"/>
  <c r="O4558" i="1"/>
  <c r="P4558" i="1" s="1"/>
  <c r="O4559" i="1"/>
  <c r="P4559" i="1" s="1"/>
  <c r="O4560" i="1"/>
  <c r="P4560" i="1" s="1"/>
  <c r="O4561" i="1"/>
  <c r="P4561" i="1" s="1"/>
  <c r="O4562" i="1"/>
  <c r="P4562" i="1" s="1"/>
  <c r="O4563" i="1"/>
  <c r="P4563" i="1" s="1"/>
  <c r="O4564" i="1"/>
  <c r="P4564" i="1" s="1"/>
  <c r="O4565" i="1"/>
  <c r="P4565" i="1" s="1"/>
  <c r="O4566" i="1"/>
  <c r="P4566" i="1" s="1"/>
  <c r="O4567" i="1"/>
  <c r="P4567" i="1" s="1"/>
  <c r="O4568" i="1"/>
  <c r="P4568" i="1" s="1"/>
  <c r="O4569" i="1"/>
  <c r="P4569" i="1" s="1"/>
  <c r="O4570" i="1"/>
  <c r="P4570" i="1" s="1"/>
  <c r="O4571" i="1"/>
  <c r="P4571" i="1" s="1"/>
  <c r="O4572" i="1"/>
  <c r="P4572" i="1" s="1"/>
  <c r="O4573" i="1"/>
  <c r="P4573" i="1" s="1"/>
  <c r="O4574" i="1"/>
  <c r="P4574" i="1" s="1"/>
  <c r="O4575" i="1"/>
  <c r="P4575" i="1" s="1"/>
  <c r="O4576" i="1"/>
  <c r="P4576" i="1" s="1"/>
  <c r="O4577" i="1"/>
  <c r="P4577" i="1" s="1"/>
  <c r="O4578" i="1"/>
  <c r="P4578" i="1" s="1"/>
  <c r="O4579" i="1"/>
  <c r="P4579" i="1" s="1"/>
  <c r="O4580" i="1"/>
  <c r="P4580" i="1" s="1"/>
  <c r="O4581" i="1"/>
  <c r="P4581" i="1" s="1"/>
  <c r="O4582" i="1"/>
  <c r="P4582" i="1" s="1"/>
  <c r="O4583" i="1"/>
  <c r="P4583" i="1" s="1"/>
  <c r="O4584" i="1"/>
  <c r="P4584" i="1" s="1"/>
  <c r="O4585" i="1"/>
  <c r="P4585" i="1" s="1"/>
  <c r="O4586" i="1"/>
  <c r="P4586" i="1" s="1"/>
  <c r="O4587" i="1"/>
  <c r="P4587" i="1" s="1"/>
  <c r="O4588" i="1"/>
  <c r="P4588" i="1" s="1"/>
  <c r="O4589" i="1"/>
  <c r="P4589" i="1" s="1"/>
  <c r="O4590" i="1"/>
  <c r="P4590" i="1" s="1"/>
  <c r="O4591" i="1"/>
  <c r="P4591" i="1" s="1"/>
  <c r="O4592" i="1"/>
  <c r="P4592" i="1" s="1"/>
  <c r="O4593" i="1"/>
  <c r="P4593" i="1" s="1"/>
  <c r="O4594" i="1"/>
  <c r="P4594" i="1" s="1"/>
  <c r="O4595" i="1"/>
  <c r="P4595" i="1" s="1"/>
  <c r="O4596" i="1"/>
  <c r="P4596" i="1" s="1"/>
  <c r="O4597" i="1"/>
  <c r="P4597" i="1" s="1"/>
  <c r="O4598" i="1"/>
  <c r="P4598" i="1" s="1"/>
  <c r="O4599" i="1"/>
  <c r="P4599" i="1" s="1"/>
  <c r="O4600" i="1"/>
  <c r="P4600" i="1" s="1"/>
  <c r="O4601" i="1"/>
  <c r="P4601" i="1" s="1"/>
  <c r="O4602" i="1"/>
  <c r="P4602" i="1" s="1"/>
  <c r="O4603" i="1"/>
  <c r="P4603" i="1" s="1"/>
  <c r="O4604" i="1"/>
  <c r="P4604" i="1" s="1"/>
  <c r="O4605" i="1"/>
  <c r="P4605" i="1" s="1"/>
  <c r="O4606" i="1"/>
  <c r="P4606" i="1" s="1"/>
  <c r="O4607" i="1"/>
  <c r="P4607" i="1" s="1"/>
  <c r="O4608" i="1"/>
  <c r="P4608" i="1" s="1"/>
  <c r="O4609" i="1"/>
  <c r="P4609" i="1" s="1"/>
  <c r="O4610" i="1"/>
  <c r="P4610" i="1" s="1"/>
  <c r="O4611" i="1"/>
  <c r="P4611" i="1" s="1"/>
  <c r="O4612" i="1"/>
  <c r="P4612" i="1" s="1"/>
  <c r="O4613" i="1"/>
  <c r="P4613" i="1" s="1"/>
  <c r="O4614" i="1"/>
  <c r="P4614" i="1" s="1"/>
  <c r="O4615" i="1"/>
  <c r="P4615" i="1" s="1"/>
  <c r="O4616" i="1"/>
  <c r="P4616" i="1" s="1"/>
  <c r="O4617" i="1"/>
  <c r="P4617" i="1" s="1"/>
  <c r="O4618" i="1"/>
  <c r="P4618" i="1" s="1"/>
  <c r="O4619" i="1"/>
  <c r="P4619" i="1" s="1"/>
  <c r="O4620" i="1"/>
  <c r="P4620" i="1" s="1"/>
  <c r="O4621" i="1"/>
  <c r="P4621" i="1" s="1"/>
  <c r="O4622" i="1"/>
  <c r="P4622" i="1" s="1"/>
  <c r="O4623" i="1"/>
  <c r="P4623" i="1" s="1"/>
  <c r="O4624" i="1"/>
  <c r="P4624" i="1" s="1"/>
  <c r="O4625" i="1"/>
  <c r="P4625" i="1" s="1"/>
  <c r="O4626" i="1"/>
  <c r="P4626" i="1" s="1"/>
  <c r="O4627" i="1"/>
  <c r="P4627" i="1" s="1"/>
  <c r="O4628" i="1"/>
  <c r="P4628" i="1" s="1"/>
  <c r="O4629" i="1"/>
  <c r="P4629" i="1" s="1"/>
  <c r="O4630" i="1"/>
  <c r="P4630" i="1" s="1"/>
  <c r="O4631" i="1"/>
  <c r="P4631" i="1" s="1"/>
  <c r="O4632" i="1"/>
  <c r="P4632" i="1" s="1"/>
  <c r="O4633" i="1"/>
  <c r="P4633" i="1" s="1"/>
  <c r="O4634" i="1"/>
  <c r="P4634" i="1" s="1"/>
  <c r="O4635" i="1"/>
  <c r="P4635" i="1" s="1"/>
  <c r="O4636" i="1"/>
  <c r="P4636" i="1" s="1"/>
  <c r="O4637" i="1"/>
  <c r="P4637" i="1" s="1"/>
  <c r="O4638" i="1"/>
  <c r="P4638" i="1" s="1"/>
  <c r="O4639" i="1"/>
  <c r="P4639" i="1" s="1"/>
  <c r="O4640" i="1"/>
  <c r="P4640" i="1" s="1"/>
  <c r="O4641" i="1"/>
  <c r="P4641" i="1" s="1"/>
  <c r="O4642" i="1"/>
  <c r="P4642" i="1" s="1"/>
  <c r="O4643" i="1"/>
  <c r="P4643" i="1" s="1"/>
  <c r="O4644" i="1"/>
  <c r="P4644" i="1" s="1"/>
  <c r="O4645" i="1"/>
  <c r="P4645" i="1" s="1"/>
  <c r="O4646" i="1"/>
  <c r="P4646" i="1" s="1"/>
  <c r="O4647" i="1"/>
  <c r="P4647" i="1" s="1"/>
  <c r="O4648" i="1"/>
  <c r="P4648" i="1" s="1"/>
  <c r="O4649" i="1"/>
  <c r="P4649" i="1" s="1"/>
  <c r="O4650" i="1"/>
  <c r="P4650" i="1" s="1"/>
  <c r="O4651" i="1"/>
  <c r="P4651" i="1" s="1"/>
  <c r="O4652" i="1"/>
  <c r="P4652" i="1" s="1"/>
  <c r="O4653" i="1"/>
  <c r="P4653" i="1" s="1"/>
  <c r="O4654" i="1"/>
  <c r="P4654" i="1" s="1"/>
  <c r="O4655" i="1"/>
  <c r="P4655" i="1" s="1"/>
  <c r="O4656" i="1"/>
  <c r="P4656" i="1" s="1"/>
  <c r="O4657" i="1"/>
  <c r="P4657" i="1" s="1"/>
  <c r="O4658" i="1"/>
  <c r="P4658" i="1" s="1"/>
  <c r="O4659" i="1"/>
  <c r="P4659" i="1" s="1"/>
  <c r="O4660" i="1"/>
  <c r="P4660" i="1" s="1"/>
  <c r="O4661" i="1"/>
  <c r="P4661" i="1" s="1"/>
  <c r="O4662" i="1"/>
  <c r="P4662" i="1" s="1"/>
  <c r="O4663" i="1"/>
  <c r="P4663" i="1" s="1"/>
  <c r="O4664" i="1"/>
  <c r="P4664" i="1" s="1"/>
  <c r="O4665" i="1"/>
  <c r="P4665" i="1" s="1"/>
  <c r="O4666" i="1"/>
  <c r="P4666" i="1" s="1"/>
  <c r="O4667" i="1"/>
  <c r="P4667" i="1" s="1"/>
  <c r="O4668" i="1"/>
  <c r="P4668" i="1" s="1"/>
  <c r="O4669" i="1"/>
  <c r="P4669" i="1" s="1"/>
  <c r="O4670" i="1"/>
  <c r="P4670" i="1" s="1"/>
  <c r="O4671" i="1"/>
  <c r="P4671" i="1" s="1"/>
  <c r="O4672" i="1"/>
  <c r="P4672" i="1" s="1"/>
  <c r="O4673" i="1"/>
  <c r="P4673" i="1" s="1"/>
  <c r="O4674" i="1"/>
  <c r="P4674" i="1" s="1"/>
  <c r="O4675" i="1"/>
  <c r="P4675" i="1" s="1"/>
  <c r="O4676" i="1"/>
  <c r="P4676" i="1" s="1"/>
  <c r="O4677" i="1"/>
  <c r="P4677" i="1" s="1"/>
  <c r="O4678" i="1"/>
  <c r="P4678" i="1" s="1"/>
  <c r="O4679" i="1"/>
  <c r="P4679" i="1" s="1"/>
  <c r="O4680" i="1"/>
  <c r="P4680" i="1" s="1"/>
  <c r="O4681" i="1"/>
  <c r="P4681" i="1" s="1"/>
  <c r="O4682" i="1"/>
  <c r="P4682" i="1" s="1"/>
  <c r="O4683" i="1"/>
  <c r="P4683" i="1" s="1"/>
  <c r="O4684" i="1"/>
  <c r="P4684" i="1" s="1"/>
  <c r="O4685" i="1"/>
  <c r="P4685" i="1" s="1"/>
  <c r="O4686" i="1"/>
  <c r="P4686" i="1" s="1"/>
  <c r="O4687" i="1"/>
  <c r="P4687" i="1" s="1"/>
  <c r="O4688" i="1"/>
  <c r="P4688" i="1" s="1"/>
  <c r="O4689" i="1"/>
  <c r="P4689" i="1" s="1"/>
  <c r="O4690" i="1"/>
  <c r="P4690" i="1" s="1"/>
  <c r="O4691" i="1"/>
  <c r="P4691" i="1" s="1"/>
  <c r="O4692" i="1"/>
  <c r="P4692" i="1" s="1"/>
  <c r="O4693" i="1"/>
  <c r="P4693" i="1" s="1"/>
  <c r="O4694" i="1"/>
  <c r="P4694" i="1" s="1"/>
  <c r="O4695" i="1"/>
  <c r="P4695" i="1" s="1"/>
  <c r="O4696" i="1"/>
  <c r="P4696" i="1" s="1"/>
  <c r="O4697" i="1"/>
  <c r="P4697" i="1" s="1"/>
  <c r="O4698" i="1"/>
  <c r="P4698" i="1" s="1"/>
  <c r="O4699" i="1"/>
  <c r="P4699" i="1" s="1"/>
  <c r="O4700" i="1"/>
  <c r="P4700" i="1" s="1"/>
  <c r="O4701" i="1"/>
  <c r="P4701" i="1" s="1"/>
  <c r="O4702" i="1"/>
  <c r="P4702" i="1" s="1"/>
  <c r="O4703" i="1"/>
  <c r="P4703" i="1" s="1"/>
  <c r="O4704" i="1"/>
  <c r="P4704" i="1" s="1"/>
  <c r="O4705" i="1"/>
  <c r="P4705" i="1" s="1"/>
  <c r="O4706" i="1"/>
  <c r="P4706" i="1" s="1"/>
  <c r="O4707" i="1"/>
  <c r="P4707" i="1" s="1"/>
  <c r="O4708" i="1"/>
  <c r="P4708" i="1" s="1"/>
  <c r="O4709" i="1"/>
  <c r="P4709" i="1" s="1"/>
  <c r="O4710" i="1"/>
  <c r="P4710" i="1" s="1"/>
  <c r="O4711" i="1"/>
  <c r="P4711" i="1" s="1"/>
  <c r="O4712" i="1"/>
  <c r="P4712" i="1" s="1"/>
  <c r="O4713" i="1"/>
  <c r="P4713" i="1" s="1"/>
  <c r="O4714" i="1"/>
  <c r="P4714" i="1" s="1"/>
  <c r="O4715" i="1"/>
  <c r="P4715" i="1" s="1"/>
  <c r="O4716" i="1"/>
  <c r="P4716" i="1" s="1"/>
  <c r="O4717" i="1"/>
  <c r="P4717" i="1" s="1"/>
  <c r="O4718" i="1"/>
  <c r="P4718" i="1" s="1"/>
  <c r="O4719" i="1"/>
  <c r="P4719" i="1" s="1"/>
  <c r="O4720" i="1"/>
  <c r="P4720" i="1" s="1"/>
  <c r="O4721" i="1"/>
  <c r="P4721" i="1" s="1"/>
  <c r="O4722" i="1"/>
  <c r="P4722" i="1" s="1"/>
  <c r="O4723" i="1"/>
  <c r="P4723" i="1" s="1"/>
  <c r="O4724" i="1"/>
  <c r="P4724" i="1" s="1"/>
  <c r="O4725" i="1"/>
  <c r="P4725" i="1" s="1"/>
  <c r="O4726" i="1"/>
  <c r="P4726" i="1" s="1"/>
  <c r="O4727" i="1"/>
  <c r="P4727" i="1" s="1"/>
  <c r="O4728" i="1"/>
  <c r="P4728" i="1" s="1"/>
  <c r="O4729" i="1"/>
  <c r="P4729" i="1" s="1"/>
  <c r="O4730" i="1"/>
  <c r="P4730" i="1" s="1"/>
  <c r="O4731" i="1"/>
  <c r="P4731" i="1" s="1"/>
  <c r="O4732" i="1"/>
  <c r="P4732" i="1" s="1"/>
  <c r="O4733" i="1"/>
  <c r="P4733" i="1" s="1"/>
  <c r="O4734" i="1"/>
  <c r="P4734" i="1" s="1"/>
  <c r="O4735" i="1"/>
  <c r="P4735" i="1" s="1"/>
  <c r="O4736" i="1"/>
  <c r="P4736" i="1" s="1"/>
  <c r="O4737" i="1"/>
  <c r="P4737" i="1" s="1"/>
  <c r="O4738" i="1"/>
  <c r="P4738" i="1" s="1"/>
  <c r="O4739" i="1"/>
  <c r="P4739" i="1" s="1"/>
  <c r="O4740" i="1"/>
  <c r="P4740" i="1" s="1"/>
  <c r="O4741" i="1"/>
  <c r="P4741" i="1" s="1"/>
  <c r="O4742" i="1"/>
  <c r="P4742" i="1" s="1"/>
  <c r="O4743" i="1"/>
  <c r="P4743" i="1" s="1"/>
  <c r="O4744" i="1"/>
  <c r="P4744" i="1" s="1"/>
  <c r="O4745" i="1"/>
  <c r="P4745" i="1" s="1"/>
  <c r="O4746" i="1"/>
  <c r="P4746" i="1" s="1"/>
  <c r="O4747" i="1"/>
  <c r="P4747" i="1" s="1"/>
  <c r="O4748" i="1"/>
  <c r="P4748" i="1" s="1"/>
  <c r="O4749" i="1"/>
  <c r="P4749" i="1" s="1"/>
  <c r="O4750" i="1"/>
  <c r="P4750" i="1" s="1"/>
  <c r="O4751" i="1"/>
  <c r="P4751" i="1" s="1"/>
  <c r="O4752" i="1"/>
  <c r="P4752" i="1" s="1"/>
  <c r="O4753" i="1"/>
  <c r="P4753" i="1" s="1"/>
  <c r="O4754" i="1"/>
  <c r="P4754" i="1" s="1"/>
  <c r="O4755" i="1"/>
  <c r="P4755" i="1" s="1"/>
  <c r="O4756" i="1"/>
  <c r="P4756" i="1" s="1"/>
  <c r="O4757" i="1"/>
  <c r="P4757" i="1" s="1"/>
  <c r="O4758" i="1"/>
  <c r="P4758" i="1" s="1"/>
  <c r="O4759" i="1"/>
  <c r="P4759" i="1" s="1"/>
  <c r="O4760" i="1"/>
  <c r="P4760" i="1" s="1"/>
  <c r="O4761" i="1"/>
  <c r="P4761" i="1" s="1"/>
  <c r="O4762" i="1"/>
  <c r="P4762" i="1" s="1"/>
  <c r="O4763" i="1"/>
  <c r="P4763" i="1" s="1"/>
  <c r="O4764" i="1"/>
  <c r="P4764" i="1" s="1"/>
  <c r="O4765" i="1"/>
  <c r="P4765" i="1" s="1"/>
  <c r="O4766" i="1"/>
  <c r="P4766" i="1" s="1"/>
  <c r="O4767" i="1"/>
  <c r="P4767" i="1" s="1"/>
  <c r="O4768" i="1"/>
  <c r="P4768" i="1" s="1"/>
  <c r="O4769" i="1"/>
  <c r="P4769" i="1" s="1"/>
  <c r="O4770" i="1"/>
  <c r="P4770" i="1" s="1"/>
  <c r="O4771" i="1"/>
  <c r="P4771" i="1" s="1"/>
  <c r="O4772" i="1"/>
  <c r="P4772" i="1" s="1"/>
  <c r="O4773" i="1"/>
  <c r="P4773" i="1" s="1"/>
  <c r="O4774" i="1"/>
  <c r="P4774" i="1" s="1"/>
  <c r="O4775" i="1"/>
  <c r="P4775" i="1" s="1"/>
  <c r="O4776" i="1"/>
  <c r="P4776" i="1" s="1"/>
  <c r="O4777" i="1"/>
  <c r="P4777" i="1" s="1"/>
  <c r="O4778" i="1"/>
  <c r="P4778" i="1" s="1"/>
  <c r="O4779" i="1"/>
  <c r="P4779" i="1" s="1"/>
  <c r="O4780" i="1"/>
  <c r="P4780" i="1" s="1"/>
  <c r="O4781" i="1"/>
  <c r="P4781" i="1" s="1"/>
  <c r="O4782" i="1"/>
  <c r="P4782" i="1" s="1"/>
  <c r="O4783" i="1"/>
  <c r="P4783" i="1" s="1"/>
  <c r="O4784" i="1"/>
  <c r="P4784" i="1" s="1"/>
  <c r="O4785" i="1"/>
  <c r="P4785" i="1" s="1"/>
  <c r="O4786" i="1"/>
  <c r="P4786" i="1" s="1"/>
  <c r="O4787" i="1"/>
  <c r="P4787" i="1" s="1"/>
  <c r="O4788" i="1"/>
  <c r="P4788" i="1" s="1"/>
  <c r="O4789" i="1"/>
  <c r="P4789" i="1" s="1"/>
  <c r="O4790" i="1"/>
  <c r="P4790" i="1" s="1"/>
  <c r="O4791" i="1"/>
  <c r="P4791" i="1" s="1"/>
  <c r="O4792" i="1"/>
  <c r="P4792" i="1" s="1"/>
  <c r="O4793" i="1"/>
  <c r="P4793" i="1" s="1"/>
  <c r="O4794" i="1"/>
  <c r="P4794" i="1" s="1"/>
  <c r="O4795" i="1"/>
  <c r="P4795" i="1" s="1"/>
  <c r="O4796" i="1"/>
  <c r="P4796" i="1" s="1"/>
  <c r="O4797" i="1"/>
  <c r="P4797" i="1" s="1"/>
  <c r="O4798" i="1"/>
  <c r="P4798" i="1" s="1"/>
  <c r="O4799" i="1"/>
  <c r="P4799" i="1" s="1"/>
  <c r="O4800" i="1"/>
  <c r="P4800" i="1" s="1"/>
  <c r="O4801" i="1"/>
  <c r="P4801" i="1" s="1"/>
  <c r="O4802" i="1"/>
  <c r="P4802" i="1" s="1"/>
  <c r="O4803" i="1"/>
  <c r="P4803" i="1" s="1"/>
  <c r="O4804" i="1"/>
  <c r="P4804" i="1" s="1"/>
  <c r="O4805" i="1"/>
  <c r="P4805" i="1" s="1"/>
  <c r="O4806" i="1"/>
  <c r="P4806" i="1" s="1"/>
  <c r="O4807" i="1"/>
  <c r="P4807" i="1" s="1"/>
  <c r="O4808" i="1"/>
  <c r="P4808" i="1" s="1"/>
  <c r="O4809" i="1"/>
  <c r="P4809" i="1" s="1"/>
  <c r="O4810" i="1"/>
  <c r="P4810" i="1" s="1"/>
  <c r="O4811" i="1"/>
  <c r="P4811" i="1" s="1"/>
  <c r="O4812" i="1"/>
  <c r="P4812" i="1" s="1"/>
  <c r="O4813" i="1"/>
  <c r="P4813" i="1" s="1"/>
  <c r="O4814" i="1"/>
  <c r="P4814" i="1" s="1"/>
  <c r="O4815" i="1"/>
  <c r="P4815" i="1" s="1"/>
  <c r="O4816" i="1"/>
  <c r="P4816" i="1" s="1"/>
  <c r="O4817" i="1"/>
  <c r="P4817" i="1" s="1"/>
  <c r="O4818" i="1"/>
  <c r="P4818" i="1" s="1"/>
  <c r="O4819" i="1"/>
  <c r="P4819" i="1" s="1"/>
  <c r="O4820" i="1"/>
  <c r="P4820" i="1" s="1"/>
  <c r="O4821" i="1"/>
  <c r="P4821" i="1" s="1"/>
  <c r="O4822" i="1"/>
  <c r="P4822" i="1" s="1"/>
  <c r="O4823" i="1"/>
  <c r="P4823" i="1" s="1"/>
  <c r="O4824" i="1"/>
  <c r="P4824" i="1" s="1"/>
  <c r="O4825" i="1"/>
  <c r="P4825" i="1" s="1"/>
  <c r="O4826" i="1"/>
  <c r="P4826" i="1" s="1"/>
  <c r="O4827" i="1"/>
  <c r="P4827" i="1" s="1"/>
  <c r="O4828" i="1"/>
  <c r="P4828" i="1" s="1"/>
  <c r="O4829" i="1"/>
  <c r="P4829" i="1" s="1"/>
  <c r="O4830" i="1"/>
  <c r="P4830" i="1" s="1"/>
  <c r="O4831" i="1"/>
  <c r="P4831" i="1" s="1"/>
  <c r="O4832" i="1"/>
  <c r="P4832" i="1" s="1"/>
  <c r="O4833" i="1"/>
  <c r="P4833" i="1" s="1"/>
  <c r="O4834" i="1"/>
  <c r="P4834" i="1" s="1"/>
  <c r="O4835" i="1"/>
  <c r="P4835" i="1" s="1"/>
  <c r="O4836" i="1"/>
  <c r="P4836" i="1" s="1"/>
  <c r="O4837" i="1"/>
  <c r="P4837" i="1" s="1"/>
  <c r="O4838" i="1"/>
  <c r="P4838" i="1" s="1"/>
  <c r="O4839" i="1"/>
  <c r="P4839" i="1" s="1"/>
  <c r="O4840" i="1"/>
  <c r="P4840" i="1" s="1"/>
  <c r="O4841" i="1"/>
  <c r="P4841" i="1" s="1"/>
  <c r="O4842" i="1"/>
  <c r="P4842" i="1" s="1"/>
  <c r="O4843" i="1"/>
  <c r="P4843" i="1" s="1"/>
  <c r="O4844" i="1"/>
  <c r="P4844" i="1" s="1"/>
  <c r="O4845" i="1"/>
  <c r="P4845" i="1" s="1"/>
  <c r="O4846" i="1"/>
  <c r="P4846" i="1" s="1"/>
  <c r="O4847" i="1"/>
  <c r="P4847" i="1" s="1"/>
  <c r="O4848" i="1"/>
  <c r="P4848" i="1" s="1"/>
  <c r="O4849" i="1"/>
  <c r="P4849" i="1" s="1"/>
  <c r="O4850" i="1"/>
  <c r="P4850" i="1" s="1"/>
  <c r="O4851" i="1"/>
  <c r="P4851" i="1" s="1"/>
  <c r="O4852" i="1"/>
  <c r="P4852" i="1" s="1"/>
  <c r="O4853" i="1"/>
  <c r="P4853" i="1" s="1"/>
  <c r="O4854" i="1"/>
  <c r="P4854" i="1" s="1"/>
  <c r="O4855" i="1"/>
  <c r="P4855" i="1" s="1"/>
  <c r="O4856" i="1"/>
  <c r="P4856" i="1" s="1"/>
  <c r="O4857" i="1"/>
  <c r="P4857" i="1" s="1"/>
  <c r="O4858" i="1"/>
  <c r="P4858" i="1" s="1"/>
  <c r="O4859" i="1"/>
  <c r="P4859" i="1" s="1"/>
  <c r="O4860" i="1"/>
  <c r="P4860" i="1" s="1"/>
  <c r="O4861" i="1"/>
  <c r="P4861" i="1" s="1"/>
  <c r="O4862" i="1"/>
  <c r="P4862" i="1" s="1"/>
  <c r="O4863" i="1"/>
  <c r="P4863" i="1" s="1"/>
  <c r="O4864" i="1"/>
  <c r="P4864" i="1" s="1"/>
  <c r="O4865" i="1"/>
  <c r="P4865" i="1" s="1"/>
  <c r="O4866" i="1"/>
  <c r="P4866" i="1" s="1"/>
  <c r="O4867" i="1"/>
  <c r="P4867" i="1" s="1"/>
  <c r="O4868" i="1"/>
  <c r="P4868" i="1" s="1"/>
  <c r="O4869" i="1"/>
  <c r="P4869" i="1" s="1"/>
  <c r="O4870" i="1"/>
  <c r="P4870" i="1" s="1"/>
  <c r="O4871" i="1"/>
  <c r="P4871" i="1" s="1"/>
  <c r="O4872" i="1"/>
  <c r="P4872" i="1" s="1"/>
  <c r="O4873" i="1"/>
  <c r="P4873" i="1" s="1"/>
  <c r="O4874" i="1"/>
  <c r="P4874" i="1" s="1"/>
  <c r="O4875" i="1"/>
  <c r="P4875" i="1" s="1"/>
  <c r="O4876" i="1"/>
  <c r="P4876" i="1" s="1"/>
  <c r="O4877" i="1"/>
  <c r="P4877" i="1" s="1"/>
  <c r="O4878" i="1"/>
  <c r="P4878" i="1" s="1"/>
  <c r="O4879" i="1"/>
  <c r="P4879" i="1" s="1"/>
  <c r="O4880" i="1"/>
  <c r="P4880" i="1" s="1"/>
  <c r="O4881" i="1"/>
  <c r="P4881" i="1" s="1"/>
  <c r="O4882" i="1"/>
  <c r="P4882" i="1" s="1"/>
  <c r="O4883" i="1"/>
  <c r="P4883" i="1" s="1"/>
  <c r="O4884" i="1"/>
  <c r="P4884" i="1" s="1"/>
  <c r="O4885" i="1"/>
  <c r="P4885" i="1" s="1"/>
  <c r="O4886" i="1"/>
  <c r="P4886" i="1" s="1"/>
  <c r="O4887" i="1"/>
  <c r="P4887" i="1" s="1"/>
  <c r="O4888" i="1"/>
  <c r="P4888" i="1" s="1"/>
  <c r="O4889" i="1"/>
  <c r="P4889" i="1" s="1"/>
  <c r="O4890" i="1"/>
  <c r="P4890" i="1" s="1"/>
  <c r="O4891" i="1"/>
  <c r="P4891" i="1" s="1"/>
  <c r="O4892" i="1"/>
  <c r="P4892" i="1" s="1"/>
  <c r="O4893" i="1"/>
  <c r="P4893" i="1" s="1"/>
  <c r="O4894" i="1"/>
  <c r="P4894" i="1" s="1"/>
  <c r="O4895" i="1"/>
  <c r="P4895" i="1" s="1"/>
  <c r="O4896" i="1"/>
  <c r="P4896" i="1" s="1"/>
  <c r="O4897" i="1"/>
  <c r="P4897" i="1" s="1"/>
  <c r="O4898" i="1"/>
  <c r="P4898" i="1" s="1"/>
  <c r="O4899" i="1"/>
  <c r="P4899" i="1" s="1"/>
  <c r="O4900" i="1"/>
  <c r="P4900" i="1" s="1"/>
  <c r="O4901" i="1"/>
  <c r="P4901" i="1" s="1"/>
  <c r="O4902" i="1"/>
  <c r="P4902" i="1" s="1"/>
  <c r="O4903" i="1"/>
  <c r="P4903" i="1" s="1"/>
  <c r="O4904" i="1"/>
  <c r="P4904" i="1" s="1"/>
  <c r="O4905" i="1"/>
  <c r="P4905" i="1" s="1"/>
  <c r="O4906" i="1"/>
  <c r="P4906" i="1" s="1"/>
  <c r="O4907" i="1"/>
  <c r="P4907" i="1" s="1"/>
  <c r="O4908" i="1"/>
  <c r="P4908" i="1" s="1"/>
  <c r="O4909" i="1"/>
  <c r="P4909" i="1" s="1"/>
  <c r="O4910" i="1"/>
  <c r="P4910" i="1" s="1"/>
  <c r="O4911" i="1"/>
  <c r="P4911" i="1" s="1"/>
  <c r="O4912" i="1"/>
  <c r="P4912" i="1" s="1"/>
  <c r="O4913" i="1"/>
  <c r="P4913" i="1" s="1"/>
  <c r="O4914" i="1"/>
  <c r="P4914" i="1" s="1"/>
  <c r="O4915" i="1"/>
  <c r="P4915" i="1" s="1"/>
  <c r="O4916" i="1"/>
  <c r="P4916" i="1" s="1"/>
  <c r="O4917" i="1"/>
  <c r="P4917" i="1" s="1"/>
  <c r="O4918" i="1"/>
  <c r="P4918" i="1" s="1"/>
  <c r="O4919" i="1"/>
  <c r="P4919" i="1" s="1"/>
  <c r="O4920" i="1"/>
  <c r="P4920" i="1" s="1"/>
  <c r="O4921" i="1"/>
  <c r="P4921" i="1" s="1"/>
  <c r="O4922" i="1"/>
  <c r="P4922" i="1" s="1"/>
  <c r="O4923" i="1"/>
  <c r="P4923" i="1" s="1"/>
  <c r="O4924" i="1"/>
  <c r="P4924" i="1" s="1"/>
  <c r="O4925" i="1"/>
  <c r="P4925" i="1" s="1"/>
  <c r="O4926" i="1"/>
  <c r="P4926" i="1" s="1"/>
  <c r="O4927" i="1"/>
  <c r="P4927" i="1" s="1"/>
  <c r="O4928" i="1"/>
  <c r="P4928" i="1" s="1"/>
  <c r="O4929" i="1"/>
  <c r="P4929" i="1" s="1"/>
  <c r="O4930" i="1"/>
  <c r="P4930" i="1" s="1"/>
  <c r="O4931" i="1"/>
  <c r="P4931" i="1" s="1"/>
  <c r="O4932" i="1"/>
  <c r="P4932" i="1" s="1"/>
  <c r="O4933" i="1"/>
  <c r="P4933" i="1" s="1"/>
  <c r="O4934" i="1"/>
  <c r="P4934" i="1" s="1"/>
  <c r="O4935" i="1"/>
  <c r="P4935" i="1" s="1"/>
  <c r="O4936" i="1"/>
  <c r="P4936" i="1" s="1"/>
  <c r="O4937" i="1"/>
  <c r="P4937" i="1" s="1"/>
  <c r="O4938" i="1"/>
  <c r="P4938" i="1" s="1"/>
  <c r="O4939" i="1"/>
  <c r="P4939" i="1" s="1"/>
  <c r="O4940" i="1"/>
  <c r="P4940" i="1" s="1"/>
  <c r="O4941" i="1"/>
  <c r="P4941" i="1" s="1"/>
  <c r="O4942" i="1"/>
  <c r="P4942" i="1" s="1"/>
  <c r="O4943" i="1"/>
  <c r="P4943" i="1" s="1"/>
  <c r="O4944" i="1"/>
  <c r="P4944" i="1" s="1"/>
  <c r="O4945" i="1"/>
  <c r="P4945" i="1" s="1"/>
  <c r="O4946" i="1"/>
  <c r="P4946" i="1" s="1"/>
  <c r="O4947" i="1"/>
  <c r="P4947" i="1" s="1"/>
  <c r="O4948" i="1"/>
  <c r="P4948" i="1" s="1"/>
  <c r="O4949" i="1"/>
  <c r="P4949" i="1" s="1"/>
  <c r="O4950" i="1"/>
  <c r="P4950" i="1" s="1"/>
  <c r="O4951" i="1"/>
  <c r="P4951" i="1" s="1"/>
  <c r="O4952" i="1"/>
  <c r="P4952" i="1" s="1"/>
  <c r="O4953" i="1"/>
  <c r="P4953" i="1" s="1"/>
  <c r="O4954" i="1"/>
  <c r="P4954" i="1" s="1"/>
  <c r="O4955" i="1"/>
  <c r="P4955" i="1" s="1"/>
  <c r="O4956" i="1"/>
  <c r="P4956" i="1" s="1"/>
  <c r="O4957" i="1"/>
  <c r="P4957" i="1" s="1"/>
  <c r="O4958" i="1"/>
  <c r="P4958" i="1" s="1"/>
  <c r="O4959" i="1"/>
  <c r="P4959" i="1" s="1"/>
  <c r="O4960" i="1"/>
  <c r="P4960" i="1" s="1"/>
  <c r="O4961" i="1"/>
  <c r="P4961" i="1" s="1"/>
  <c r="O4962" i="1"/>
  <c r="P4962" i="1" s="1"/>
  <c r="O4963" i="1"/>
  <c r="P4963" i="1" s="1"/>
  <c r="O4964" i="1"/>
  <c r="P4964" i="1" s="1"/>
  <c r="O4965" i="1"/>
  <c r="P4965" i="1" s="1"/>
  <c r="O4966" i="1"/>
  <c r="P4966" i="1" s="1"/>
  <c r="O4967" i="1"/>
  <c r="P4967" i="1" s="1"/>
  <c r="O4968" i="1"/>
  <c r="P4968" i="1" s="1"/>
  <c r="O4969" i="1"/>
  <c r="P4969" i="1" s="1"/>
  <c r="O4970" i="1"/>
  <c r="P4970" i="1" s="1"/>
  <c r="O4971" i="1"/>
  <c r="P4971" i="1" s="1"/>
  <c r="O4972" i="1"/>
  <c r="P4972" i="1" s="1"/>
  <c r="O4973" i="1"/>
  <c r="P4973" i="1" s="1"/>
  <c r="O4974" i="1"/>
  <c r="P4974" i="1" s="1"/>
  <c r="O4975" i="1"/>
  <c r="P4975" i="1" s="1"/>
  <c r="O4976" i="1"/>
  <c r="P4976" i="1" s="1"/>
  <c r="O4977" i="1"/>
  <c r="P4977" i="1" s="1"/>
  <c r="O4978" i="1"/>
  <c r="P4978" i="1" s="1"/>
  <c r="O4979" i="1"/>
  <c r="P4979" i="1" s="1"/>
  <c r="O4980" i="1"/>
  <c r="P4980" i="1" s="1"/>
  <c r="O4981" i="1"/>
  <c r="P4981" i="1" s="1"/>
  <c r="O4982" i="1"/>
  <c r="P4982" i="1" s="1"/>
  <c r="O4983" i="1"/>
  <c r="P4983" i="1" s="1"/>
  <c r="O4984" i="1"/>
  <c r="P4984" i="1" s="1"/>
  <c r="O4985" i="1"/>
  <c r="P4985" i="1" s="1"/>
  <c r="O4986" i="1"/>
  <c r="P4986" i="1" s="1"/>
  <c r="O4987" i="1"/>
  <c r="P4987" i="1" s="1"/>
  <c r="O4988" i="1"/>
  <c r="P4988" i="1" s="1"/>
  <c r="O4989" i="1"/>
  <c r="P4989" i="1" s="1"/>
  <c r="O4990" i="1"/>
  <c r="P4990" i="1" s="1"/>
  <c r="O4991" i="1"/>
  <c r="P4991" i="1" s="1"/>
  <c r="O4992" i="1"/>
  <c r="P4992" i="1" s="1"/>
  <c r="O4993" i="1"/>
  <c r="P4993" i="1" s="1"/>
  <c r="O4994" i="1"/>
  <c r="P4994" i="1" s="1"/>
  <c r="O4995" i="1"/>
  <c r="P4995" i="1" s="1"/>
  <c r="O4996" i="1"/>
  <c r="P4996" i="1" s="1"/>
  <c r="O4997" i="1"/>
  <c r="P4997" i="1" s="1"/>
  <c r="O4998" i="1"/>
  <c r="P4998" i="1" s="1"/>
  <c r="O4999" i="1"/>
  <c r="P4999" i="1" s="1"/>
  <c r="O5000" i="1"/>
  <c r="P5000" i="1" s="1"/>
  <c r="O5001" i="1"/>
  <c r="P5001" i="1" s="1"/>
  <c r="O2" i="1"/>
  <c r="P2" i="1" s="1"/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" i="1"/>
  <c r="B4" i="1"/>
  <c r="Q3347" i="1" l="1"/>
  <c r="Q4959" i="1"/>
  <c r="Q4911" i="1"/>
  <c r="Q4863" i="1"/>
  <c r="R4863" i="1" s="1"/>
  <c r="Q4811" i="1"/>
  <c r="Q4767" i="1"/>
  <c r="Q4719" i="1"/>
  <c r="Q4671" i="1"/>
  <c r="R4671" i="1" s="1"/>
  <c r="Q4623" i="1"/>
  <c r="Q4567" i="1"/>
  <c r="Q4527" i="1"/>
  <c r="Q4479" i="1"/>
  <c r="Q4423" i="1"/>
  <c r="Q4375" i="1"/>
  <c r="Q4335" i="1"/>
  <c r="Q4287" i="1"/>
  <c r="R4287" i="1" s="1"/>
  <c r="Q4239" i="1"/>
  <c r="Q4183" i="1"/>
  <c r="Q4135" i="1"/>
  <c r="Q4087" i="1"/>
  <c r="R4087" i="1" s="1"/>
  <c r="Q4035" i="1"/>
  <c r="Q3983" i="1"/>
  <c r="Q3935" i="1"/>
  <c r="Q3879" i="1"/>
  <c r="R3879" i="1" s="1"/>
  <c r="Q3831" i="1"/>
  <c r="Q3783" i="1"/>
  <c r="Q3735" i="1"/>
  <c r="Q3687" i="1"/>
  <c r="R3687" i="1" s="1"/>
  <c r="Q3355" i="1"/>
  <c r="Q4955" i="1"/>
  <c r="Q4907" i="1"/>
  <c r="Q4859" i="1"/>
  <c r="R4859" i="1" s="1"/>
  <c r="Q4807" i="1"/>
  <c r="Q4759" i="1"/>
  <c r="Q4715" i="1"/>
  <c r="Q4663" i="1"/>
  <c r="R4663" i="1" s="1"/>
  <c r="Q4615" i="1"/>
  <c r="Q4575" i="1"/>
  <c r="Q4519" i="1"/>
  <c r="Q4471" i="1"/>
  <c r="R4471" i="1" s="1"/>
  <c r="Q4427" i="1"/>
  <c r="Q4383" i="1"/>
  <c r="Q4331" i="1"/>
  <c r="Q4279" i="1"/>
  <c r="R4279" i="1" s="1"/>
  <c r="Q4231" i="1"/>
  <c r="Q4191" i="1"/>
  <c r="Q4139" i="1"/>
  <c r="Q4095" i="1"/>
  <c r="R4095" i="1" s="1"/>
  <c r="Q4047" i="1"/>
  <c r="Q3999" i="1"/>
  <c r="Q3955" i="1"/>
  <c r="Q3903" i="1"/>
  <c r="R3903" i="1" s="1"/>
  <c r="Q3863" i="1"/>
  <c r="Q3811" i="1"/>
  <c r="Q3763" i="1"/>
  <c r="Q3715" i="1"/>
  <c r="R3715" i="1" s="1"/>
  <c r="Q3675" i="1"/>
  <c r="Q3639" i="1"/>
  <c r="Q3615" i="1"/>
  <c r="Q3599" i="1"/>
  <c r="Q3579" i="1"/>
  <c r="Q3547" i="1"/>
  <c r="Q3515" i="1"/>
  <c r="Q3483" i="1"/>
  <c r="R3483" i="1" s="1"/>
  <c r="Q3451" i="1"/>
  <c r="Q4987" i="1"/>
  <c r="Q4939" i="1"/>
  <c r="Q4895" i="1"/>
  <c r="R4895" i="1" s="1"/>
  <c r="Q4843" i="1"/>
  <c r="Q4803" i="1"/>
  <c r="Q4751" i="1"/>
  <c r="Q4699" i="1"/>
  <c r="R4699" i="1" s="1"/>
  <c r="Q4651" i="1"/>
  <c r="Q4607" i="1"/>
  <c r="Q4559" i="1"/>
  <c r="Q4511" i="1"/>
  <c r="R4511" i="1" s="1"/>
  <c r="Q4463" i="1"/>
  <c r="Q4419" i="1"/>
  <c r="Q4367" i="1"/>
  <c r="Q4319" i="1"/>
  <c r="R4319" i="1" s="1"/>
  <c r="Q4271" i="1"/>
  <c r="Q4227" i="1"/>
  <c r="Q4175" i="1"/>
  <c r="Q4131" i="1"/>
  <c r="R4131" i="1" s="1"/>
  <c r="Q4083" i="1"/>
  <c r="Q4031" i="1"/>
  <c r="Q3987" i="1"/>
  <c r="Q3939" i="1"/>
  <c r="R3939" i="1" s="1"/>
  <c r="Q3899" i="1"/>
  <c r="Q3847" i="1"/>
  <c r="Q3803" i="1"/>
  <c r="Q3755" i="1"/>
  <c r="R3755" i="1" s="1"/>
  <c r="Q3707" i="1"/>
  <c r="Q3651" i="1"/>
  <c r="Q3575" i="1"/>
  <c r="Q3543" i="1"/>
  <c r="R3543" i="1" s="1"/>
  <c r="Q3511" i="1"/>
  <c r="Q3479" i="1"/>
  <c r="Q3447" i="1"/>
  <c r="Q3427" i="1"/>
  <c r="R3427" i="1" s="1"/>
  <c r="Q3411" i="1"/>
  <c r="Q3395" i="1"/>
  <c r="Q3379" i="1"/>
  <c r="Q3363" i="1"/>
  <c r="R3363" i="1" s="1"/>
  <c r="Q3291" i="1"/>
  <c r="Q3227" i="1"/>
  <c r="Q3163" i="1"/>
  <c r="Q2935" i="1"/>
  <c r="R2935" i="1" s="1"/>
  <c r="Q3311" i="1"/>
  <c r="Q3251" i="1"/>
  <c r="Q3187" i="1"/>
  <c r="Q3119" i="1"/>
  <c r="R3119" i="1" s="1"/>
  <c r="Q3067" i="1"/>
  <c r="Q3015" i="1"/>
  <c r="Q2971" i="1"/>
  <c r="Q2919" i="1"/>
  <c r="R2919" i="1" s="1"/>
  <c r="Q2867" i="1"/>
  <c r="Q2819" i="1"/>
  <c r="Q2775" i="1"/>
  <c r="Q2727" i="1"/>
  <c r="R2727" i="1" s="1"/>
  <c r="Q2683" i="1"/>
  <c r="Q2639" i="1"/>
  <c r="Q2591" i="1"/>
  <c r="Q2535" i="1"/>
  <c r="R2535" i="1" s="1"/>
  <c r="Q2487" i="1"/>
  <c r="Q2443" i="1"/>
  <c r="Q2391" i="1"/>
  <c r="Q2339" i="1"/>
  <c r="R2339" i="1" s="1"/>
  <c r="Q2299" i="1"/>
  <c r="Q2247" i="1"/>
  <c r="Q2203" i="1"/>
  <c r="Q2151" i="1"/>
  <c r="R2151" i="1" s="1"/>
  <c r="Q2099" i="1"/>
  <c r="Q2055" i="1"/>
  <c r="Q2007" i="1"/>
  <c r="Q1963" i="1"/>
  <c r="R1963" i="1" s="1"/>
  <c r="Q1915" i="1"/>
  <c r="Q1871" i="1"/>
  <c r="Q2" i="1"/>
  <c r="Q4986" i="1"/>
  <c r="R4986" i="1" s="1"/>
  <c r="Q4970" i="1"/>
  <c r="Q4954" i="1"/>
  <c r="Q4938" i="1"/>
  <c r="Q4922" i="1"/>
  <c r="R4922" i="1" s="1"/>
  <c r="Q4906" i="1"/>
  <c r="Q4890" i="1"/>
  <c r="Q4874" i="1"/>
  <c r="Q4858" i="1"/>
  <c r="R4858" i="1" s="1"/>
  <c r="Q4842" i="1"/>
  <c r="Q4826" i="1"/>
  <c r="Q4810" i="1"/>
  <c r="Q4794" i="1"/>
  <c r="R4794" i="1" s="1"/>
  <c r="Q4778" i="1"/>
  <c r="Q4762" i="1"/>
  <c r="Q4746" i="1"/>
  <c r="Q4730" i="1"/>
  <c r="R4730" i="1" s="1"/>
  <c r="Q4714" i="1"/>
  <c r="Q4698" i="1"/>
  <c r="Q4682" i="1"/>
  <c r="Q4666" i="1"/>
  <c r="R4666" i="1" s="1"/>
  <c r="Q4650" i="1"/>
  <c r="Q4634" i="1"/>
  <c r="Q4618" i="1"/>
  <c r="Q4602" i="1"/>
  <c r="R4602" i="1" s="1"/>
  <c r="Q4586" i="1"/>
  <c r="Q4570" i="1"/>
  <c r="Q4554" i="1"/>
  <c r="Q4538" i="1"/>
  <c r="R4538" i="1" s="1"/>
  <c r="Q4522" i="1"/>
  <c r="Q4506" i="1"/>
  <c r="Q4490" i="1"/>
  <c r="Q4474" i="1"/>
  <c r="R4474" i="1" s="1"/>
  <c r="Q4458" i="1"/>
  <c r="Q4442" i="1"/>
  <c r="Q4426" i="1"/>
  <c r="Q4410" i="1"/>
  <c r="R4410" i="1" s="1"/>
  <c r="Q4394" i="1"/>
  <c r="Q4378" i="1"/>
  <c r="Q4362" i="1"/>
  <c r="Q4346" i="1"/>
  <c r="R4346" i="1" s="1"/>
  <c r="Q4330" i="1"/>
  <c r="Q4314" i="1"/>
  <c r="Q4298" i="1"/>
  <c r="Q4282" i="1"/>
  <c r="R4282" i="1" s="1"/>
  <c r="Q4266" i="1"/>
  <c r="Q4250" i="1"/>
  <c r="Q4234" i="1"/>
  <c r="Q4218" i="1"/>
  <c r="R4218" i="1" s="1"/>
  <c r="Q4202" i="1"/>
  <c r="Q4186" i="1"/>
  <c r="Q4170" i="1"/>
  <c r="Q4154" i="1"/>
  <c r="R4154" i="1" s="1"/>
  <c r="Q4138" i="1"/>
  <c r="Q3323" i="1"/>
  <c r="Q3263" i="1"/>
  <c r="Q3199" i="1"/>
  <c r="R3199" i="1" s="1"/>
  <c r="Q3139" i="1"/>
  <c r="Q3083" i="1"/>
  <c r="Q3035" i="1"/>
  <c r="Q2979" i="1"/>
  <c r="R2979" i="1" s="1"/>
  <c r="Q2927" i="1"/>
  <c r="Q2879" i="1"/>
  <c r="Q2835" i="1"/>
  <c r="Q2783" i="1"/>
  <c r="R2783" i="1" s="1"/>
  <c r="Q2743" i="1"/>
  <c r="Q2691" i="1"/>
  <c r="Q2647" i="1"/>
  <c r="Q2599" i="1"/>
  <c r="R2599" i="1" s="1"/>
  <c r="Q2551" i="1"/>
  <c r="Q2499" i="1"/>
  <c r="Q2455" i="1"/>
  <c r="Q2407" i="1"/>
  <c r="R2407" i="1" s="1"/>
  <c r="Q2359" i="1"/>
  <c r="Q2303" i="1"/>
  <c r="Q2255" i="1"/>
  <c r="Q2211" i="1"/>
  <c r="R2211" i="1" s="1"/>
  <c r="Q2163" i="1"/>
  <c r="Q2115" i="1"/>
  <c r="Q2067" i="1"/>
  <c r="Q2015" i="1"/>
  <c r="R2015" i="1" s="1"/>
  <c r="Q1967" i="1"/>
  <c r="Q1923" i="1"/>
  <c r="Q1875" i="1"/>
  <c r="Q5001" i="1"/>
  <c r="R5001" i="1" s="1"/>
  <c r="Q4985" i="1"/>
  <c r="Q4969" i="1"/>
  <c r="Q4953" i="1"/>
  <c r="Q4937" i="1"/>
  <c r="R4937" i="1" s="1"/>
  <c r="Q4921" i="1"/>
  <c r="Q4905" i="1"/>
  <c r="Q4889" i="1"/>
  <c r="Q4873" i="1"/>
  <c r="R4873" i="1" s="1"/>
  <c r="Q4857" i="1"/>
  <c r="Q4841" i="1"/>
  <c r="Q4825" i="1"/>
  <c r="Q4809" i="1"/>
  <c r="R4809" i="1" s="1"/>
  <c r="Q4793" i="1"/>
  <c r="Q4777" i="1"/>
  <c r="Q4761" i="1"/>
  <c r="Q4745" i="1"/>
  <c r="R4745" i="1" s="1"/>
  <c r="Q4729" i="1"/>
  <c r="Q4713" i="1"/>
  <c r="Q4697" i="1"/>
  <c r="Q4681" i="1"/>
  <c r="R4681" i="1" s="1"/>
  <c r="Q4665" i="1"/>
  <c r="Q4649" i="1"/>
  <c r="Q4633" i="1"/>
  <c r="Q4617" i="1"/>
  <c r="R4617" i="1" s="1"/>
  <c r="Q4601" i="1"/>
  <c r="Q4585" i="1"/>
  <c r="Q4569" i="1"/>
  <c r="Q4553" i="1"/>
  <c r="R4553" i="1" s="1"/>
  <c r="Q4537" i="1"/>
  <c r="Q4521" i="1"/>
  <c r="Q4505" i="1"/>
  <c r="Q4489" i="1"/>
  <c r="R4489" i="1" s="1"/>
  <c r="Q4473" i="1"/>
  <c r="Q4457" i="1"/>
  <c r="Q4441" i="1"/>
  <c r="Q4425" i="1"/>
  <c r="R4425" i="1" s="1"/>
  <c r="Q4409" i="1"/>
  <c r="Q4393" i="1"/>
  <c r="Q4377" i="1"/>
  <c r="Q4361" i="1"/>
  <c r="R4361" i="1" s="1"/>
  <c r="Q4345" i="1"/>
  <c r="Q4329" i="1"/>
  <c r="Q4313" i="1"/>
  <c r="Q4297" i="1"/>
  <c r="R4297" i="1" s="1"/>
  <c r="Q4281" i="1"/>
  <c r="Q4265" i="1"/>
  <c r="Q4249" i="1"/>
  <c r="Q4233" i="1"/>
  <c r="R4233" i="1" s="1"/>
  <c r="Q4217" i="1"/>
  <c r="Q4201" i="1"/>
  <c r="Q4185" i="1"/>
  <c r="Q4169" i="1"/>
  <c r="R4169" i="1" s="1"/>
  <c r="Q4153" i="1"/>
  <c r="Q4137" i="1"/>
  <c r="Q3319" i="1"/>
  <c r="Q3259" i="1"/>
  <c r="R3259" i="1" s="1"/>
  <c r="Q3191" i="1"/>
  <c r="Q3131" i="1"/>
  <c r="Q3075" i="1"/>
  <c r="Q3027" i="1"/>
  <c r="R3027" i="1" s="1"/>
  <c r="Q2987" i="1"/>
  <c r="Q2939" i="1"/>
  <c r="Q2887" i="1"/>
  <c r="Q2839" i="1"/>
  <c r="R2839" i="1" s="1"/>
  <c r="Q2791" i="1"/>
  <c r="Q2735" i="1"/>
  <c r="Q2687" i="1"/>
  <c r="Q2631" i="1"/>
  <c r="R2631" i="1" s="1"/>
  <c r="Q2583" i="1"/>
  <c r="Q2543" i="1"/>
  <c r="Q2495" i="1"/>
  <c r="Q2447" i="1"/>
  <c r="R2447" i="1" s="1"/>
  <c r="Q2399" i="1"/>
  <c r="Q2351" i="1"/>
  <c r="Q2311" i="1"/>
  <c r="Q2259" i="1"/>
  <c r="R2259" i="1" s="1"/>
  <c r="Q2207" i="1"/>
  <c r="Q2159" i="1"/>
  <c r="Q2119" i="1"/>
  <c r="Q2071" i="1"/>
  <c r="R2071" i="1" s="1"/>
  <c r="Q2023" i="1"/>
  <c r="Q1971" i="1"/>
  <c r="Q1919" i="1"/>
  <c r="Q1843" i="1"/>
  <c r="R1843" i="1" s="1"/>
  <c r="Q4988" i="1"/>
  <c r="Q4972" i="1"/>
  <c r="Q4956" i="1"/>
  <c r="Q4940" i="1"/>
  <c r="R4940" i="1" s="1"/>
  <c r="Q4924" i="1"/>
  <c r="Q4908" i="1"/>
  <c r="Q4892" i="1"/>
  <c r="Q4876" i="1"/>
  <c r="R4876" i="1" s="1"/>
  <c r="Q4860" i="1"/>
  <c r="Q4844" i="1"/>
  <c r="Q4828" i="1"/>
  <c r="Q4812" i="1"/>
  <c r="R4812" i="1" s="1"/>
  <c r="Q4796" i="1"/>
  <c r="Q4780" i="1"/>
  <c r="Q4764" i="1"/>
  <c r="Q4748" i="1"/>
  <c r="R4748" i="1" s="1"/>
  <c r="Q4732" i="1"/>
  <c r="Q4995" i="1"/>
  <c r="Q4947" i="1"/>
  <c r="Q4899" i="1"/>
  <c r="R4899" i="1" s="1"/>
  <c r="Q4851" i="1"/>
  <c r="Q4799" i="1"/>
  <c r="Q4755" i="1"/>
  <c r="Q4707" i="1"/>
  <c r="R4707" i="1" s="1"/>
  <c r="Q4659" i="1"/>
  <c r="Q4611" i="1"/>
  <c r="Q4555" i="1"/>
  <c r="Q4515" i="1"/>
  <c r="R4515" i="1" s="1"/>
  <c r="Q4467" i="1"/>
  <c r="Q4411" i="1"/>
  <c r="Q4363" i="1"/>
  <c r="Q4323" i="1"/>
  <c r="R4323" i="1" s="1"/>
  <c r="Q4275" i="1"/>
  <c r="Q4223" i="1"/>
  <c r="Q4171" i="1"/>
  <c r="Q4123" i="1"/>
  <c r="R4123" i="1" s="1"/>
  <c r="Q4075" i="1"/>
  <c r="Q4019" i="1"/>
  <c r="Q3971" i="1"/>
  <c r="Q3923" i="1"/>
  <c r="R3923" i="1" s="1"/>
  <c r="Q3867" i="1"/>
  <c r="Q3819" i="1"/>
  <c r="Q3771" i="1"/>
  <c r="Q3723" i="1"/>
  <c r="R3723" i="1" s="1"/>
  <c r="Q3679" i="1"/>
  <c r="Q4991" i="1"/>
  <c r="Q4943" i="1"/>
  <c r="Q4891" i="1"/>
  <c r="R4891" i="1" s="1"/>
  <c r="Q4847" i="1"/>
  <c r="Q4795" i="1"/>
  <c r="Q4747" i="1"/>
  <c r="Q4703" i="1"/>
  <c r="R4703" i="1" s="1"/>
  <c r="Q4655" i="1"/>
  <c r="Q4603" i="1"/>
  <c r="Q4563" i="1"/>
  <c r="Q4507" i="1"/>
  <c r="R4507" i="1" s="1"/>
  <c r="Q4459" i="1"/>
  <c r="Q4415" i="1"/>
  <c r="Q4371" i="1"/>
  <c r="Q4315" i="1"/>
  <c r="R4315" i="1" s="1"/>
  <c r="Q4267" i="1"/>
  <c r="Q4219" i="1"/>
  <c r="Q4179" i="1"/>
  <c r="Q4127" i="1"/>
  <c r="R4127" i="1" s="1"/>
  <c r="Q4079" i="1"/>
  <c r="Q4039" i="1"/>
  <c r="Q3991" i="1"/>
  <c r="Q3943" i="1"/>
  <c r="R3943" i="1" s="1"/>
  <c r="Q3891" i="1"/>
  <c r="Q3851" i="1"/>
  <c r="Q3799" i="1"/>
  <c r="Q3751" i="1"/>
  <c r="R3751" i="1" s="1"/>
  <c r="Q3703" i="1"/>
  <c r="Q3663" i="1"/>
  <c r="Q3635" i="1"/>
  <c r="Q3611" i="1"/>
  <c r="R3611" i="1" s="1"/>
  <c r="Q3595" i="1"/>
  <c r="Q3571" i="1"/>
  <c r="Q3539" i="1"/>
  <c r="Q3507" i="1"/>
  <c r="R3507" i="1" s="1"/>
  <c r="Q3475" i="1"/>
  <c r="Q3431" i="1"/>
  <c r="Q4975" i="1"/>
  <c r="Q4927" i="1"/>
  <c r="R4927" i="1" s="1"/>
  <c r="Q4883" i="1"/>
  <c r="Q4835" i="1"/>
  <c r="Q4791" i="1"/>
  <c r="Q4739" i="1"/>
  <c r="R4739" i="1" s="1"/>
  <c r="Q4687" i="1"/>
  <c r="Q4639" i="1"/>
  <c r="Q4599" i="1"/>
  <c r="Q4547" i="1"/>
  <c r="R4547" i="1" s="1"/>
  <c r="Q4495" i="1"/>
  <c r="Q4451" i="1"/>
  <c r="Q4407" i="1"/>
  <c r="Q4355" i="1"/>
  <c r="R4355" i="1" s="1"/>
  <c r="Q4307" i="1"/>
  <c r="Q4259" i="1"/>
  <c r="Q4215" i="1"/>
  <c r="Q4163" i="1"/>
  <c r="R4163" i="1" s="1"/>
  <c r="Q4115" i="1"/>
  <c r="Q4067" i="1"/>
  <c r="Q4023" i="1"/>
  <c r="Q3975" i="1"/>
  <c r="R3975" i="1" s="1"/>
  <c r="Q3931" i="1"/>
  <c r="Q3887" i="1"/>
  <c r="Q3835" i="1"/>
  <c r="Q3791" i="1"/>
  <c r="R3791" i="1" s="1"/>
  <c r="Q3743" i="1"/>
  <c r="Q3695" i="1"/>
  <c r="Q3643" i="1"/>
  <c r="Q3567" i="1"/>
  <c r="R3567" i="1" s="1"/>
  <c r="Q3535" i="1"/>
  <c r="Q3503" i="1"/>
  <c r="Q3471" i="1"/>
  <c r="Q3443" i="1"/>
  <c r="R3443" i="1" s="1"/>
  <c r="Q3423" i="1"/>
  <c r="Q3407" i="1"/>
  <c r="Q3391" i="1"/>
  <c r="Q3375" i="1"/>
  <c r="R3375" i="1" s="1"/>
  <c r="Q3351" i="1"/>
  <c r="Q3275" i="1"/>
  <c r="Q3211" i="1"/>
  <c r="Q3143" i="1"/>
  <c r="R3143" i="1" s="1"/>
  <c r="Q1839" i="1"/>
  <c r="Q3299" i="1"/>
  <c r="Q3235" i="1"/>
  <c r="Q3167" i="1"/>
  <c r="R3167" i="1" s="1"/>
  <c r="Q3107" i="1"/>
  <c r="Q3055" i="1"/>
  <c r="Q3003" i="1"/>
  <c r="Q2959" i="1"/>
  <c r="R2959" i="1" s="1"/>
  <c r="Q2907" i="1"/>
  <c r="Q2855" i="1"/>
  <c r="Q2807" i="1"/>
  <c r="Q2763" i="1"/>
  <c r="R2763" i="1" s="1"/>
  <c r="Q2715" i="1"/>
  <c r="Q2671" i="1"/>
  <c r="Q2627" i="1"/>
  <c r="Q2575" i="1"/>
  <c r="R2575" i="1" s="1"/>
  <c r="Q2523" i="1"/>
  <c r="Q2479" i="1"/>
  <c r="Q2431" i="1"/>
  <c r="Q2379" i="1"/>
  <c r="R2379" i="1" s="1"/>
  <c r="Q2331" i="1"/>
  <c r="Q2287" i="1"/>
  <c r="Q2235" i="1"/>
  <c r="Q2191" i="1"/>
  <c r="R2191" i="1" s="1"/>
  <c r="Q2135" i="1"/>
  <c r="Q2087" i="1"/>
  <c r="Q2043" i="1"/>
  <c r="Q1999" i="1"/>
  <c r="R1999" i="1" s="1"/>
  <c r="Q1951" i="1"/>
  <c r="Q1903" i="1"/>
  <c r="Q1863" i="1"/>
  <c r="Q4998" i="1"/>
  <c r="R4998" i="1" s="1"/>
  <c r="Q4982" i="1"/>
  <c r="Q4966" i="1"/>
  <c r="Q4950" i="1"/>
  <c r="Q4934" i="1"/>
  <c r="R4934" i="1" s="1"/>
  <c r="Q4918" i="1"/>
  <c r="Q4902" i="1"/>
  <c r="Q4886" i="1"/>
  <c r="Q4870" i="1"/>
  <c r="R4870" i="1" s="1"/>
  <c r="Q4854" i="1"/>
  <c r="Q4838" i="1"/>
  <c r="Q4822" i="1"/>
  <c r="Q4806" i="1"/>
  <c r="R4806" i="1" s="1"/>
  <c r="Q4790" i="1"/>
  <c r="Q4774" i="1"/>
  <c r="Q4758" i="1"/>
  <c r="Q4742" i="1"/>
  <c r="R4742" i="1" s="1"/>
  <c r="Q4726" i="1"/>
  <c r="Q4710" i="1"/>
  <c r="Q4694" i="1"/>
  <c r="Q4678" i="1"/>
  <c r="R4678" i="1" s="1"/>
  <c r="Q4662" i="1"/>
  <c r="Q4646" i="1"/>
  <c r="Q4630" i="1"/>
  <c r="Q4614" i="1"/>
  <c r="R4614" i="1" s="1"/>
  <c r="Q4598" i="1"/>
  <c r="Q4582" i="1"/>
  <c r="Q4566" i="1"/>
  <c r="Q4550" i="1"/>
  <c r="R4550" i="1" s="1"/>
  <c r="Q4534" i="1"/>
  <c r="Q4518" i="1"/>
  <c r="Q4502" i="1"/>
  <c r="Q4486" i="1"/>
  <c r="R4486" i="1" s="1"/>
  <c r="Q4470" i="1"/>
  <c r="Q4454" i="1"/>
  <c r="Q4438" i="1"/>
  <c r="Q4422" i="1"/>
  <c r="R4422" i="1" s="1"/>
  <c r="Q4406" i="1"/>
  <c r="Q4390" i="1"/>
  <c r="Q4374" i="1"/>
  <c r="Q4358" i="1"/>
  <c r="Q4342" i="1"/>
  <c r="Q4326" i="1"/>
  <c r="Q4310" i="1"/>
  <c r="Q4294" i="1"/>
  <c r="R4294" i="1" s="1"/>
  <c r="Q4278" i="1"/>
  <c r="Q4262" i="1"/>
  <c r="Q4246" i="1"/>
  <c r="Q4230" i="1"/>
  <c r="R4230" i="1" s="1"/>
  <c r="Q4214" i="1"/>
  <c r="Q4198" i="1"/>
  <c r="Q4182" i="1"/>
  <c r="Q4166" i="1"/>
  <c r="R4166" i="1" s="1"/>
  <c r="Q4150" i="1"/>
  <c r="Q4134" i="1"/>
  <c r="Q3307" i="1"/>
  <c r="Q3247" i="1"/>
  <c r="R3247" i="1" s="1"/>
  <c r="Q3183" i="1"/>
  <c r="Q3123" i="1"/>
  <c r="Q3071" i="1"/>
  <c r="Q3019" i="1"/>
  <c r="R3019" i="1" s="1"/>
  <c r="Q2967" i="1"/>
  <c r="Q2915" i="1"/>
  <c r="Q2871" i="1"/>
  <c r="Q2823" i="1"/>
  <c r="R2823" i="1" s="1"/>
  <c r="Q2771" i="1"/>
  <c r="Q2731" i="1"/>
  <c r="Q2679" i="1"/>
  <c r="Q2635" i="1"/>
  <c r="R2635" i="1" s="1"/>
  <c r="Q2587" i="1"/>
  <c r="Q2539" i="1"/>
  <c r="Q2491" i="1"/>
  <c r="Q2439" i="1"/>
  <c r="R2439" i="1" s="1"/>
  <c r="Q2395" i="1"/>
  <c r="Q2343" i="1"/>
  <c r="Q2291" i="1"/>
  <c r="Q2251" i="1"/>
  <c r="R2251" i="1" s="1"/>
  <c r="Q2199" i="1"/>
  <c r="Q2155" i="1"/>
  <c r="Q2103" i="1"/>
  <c r="Q2051" i="1"/>
  <c r="R2051" i="1" s="1"/>
  <c r="Q2003" i="1"/>
  <c r="Q1955" i="1"/>
  <c r="Q1911" i="1"/>
  <c r="Q1867" i="1"/>
  <c r="R1867" i="1" s="1"/>
  <c r="Q4997" i="1"/>
  <c r="Q4981" i="1"/>
  <c r="Q4965" i="1"/>
  <c r="Q4949" i="1"/>
  <c r="R4949" i="1" s="1"/>
  <c r="Q4933" i="1"/>
  <c r="Q4917" i="1"/>
  <c r="Q4901" i="1"/>
  <c r="Q4885" i="1"/>
  <c r="R4885" i="1" s="1"/>
  <c r="Q4869" i="1"/>
  <c r="Q4853" i="1"/>
  <c r="Q4837" i="1"/>
  <c r="Q4821" i="1"/>
  <c r="R4821" i="1" s="1"/>
  <c r="Q4805" i="1"/>
  <c r="Q4789" i="1"/>
  <c r="Q4773" i="1"/>
  <c r="Q4757" i="1"/>
  <c r="R4757" i="1" s="1"/>
  <c r="Q4741" i="1"/>
  <c r="Q4725" i="1"/>
  <c r="Q4709" i="1"/>
  <c r="Q4693" i="1"/>
  <c r="R4693" i="1" s="1"/>
  <c r="Q4677" i="1"/>
  <c r="Q4661" i="1"/>
  <c r="Q4645" i="1"/>
  <c r="Q4629" i="1"/>
  <c r="R4629" i="1" s="1"/>
  <c r="Q4613" i="1"/>
  <c r="Q4597" i="1"/>
  <c r="Q4581" i="1"/>
  <c r="Q4565" i="1"/>
  <c r="R4565" i="1" s="1"/>
  <c r="Q4549" i="1"/>
  <c r="Q4533" i="1"/>
  <c r="Q4517" i="1"/>
  <c r="Q4501" i="1"/>
  <c r="R4501" i="1" s="1"/>
  <c r="Q4485" i="1"/>
  <c r="Q4469" i="1"/>
  <c r="Q4453" i="1"/>
  <c r="Q4437" i="1"/>
  <c r="R4437" i="1" s="1"/>
  <c r="Q4421" i="1"/>
  <c r="Q4405" i="1"/>
  <c r="Q4389" i="1"/>
  <c r="Q4373" i="1"/>
  <c r="R4373" i="1" s="1"/>
  <c r="Q4357" i="1"/>
  <c r="Q4341" i="1"/>
  <c r="Q4325" i="1"/>
  <c r="Q4309" i="1"/>
  <c r="R4309" i="1" s="1"/>
  <c r="Q4293" i="1"/>
  <c r="Q4277" i="1"/>
  <c r="Q4261" i="1"/>
  <c r="Q4245" i="1"/>
  <c r="R4245" i="1" s="1"/>
  <c r="Q4229" i="1"/>
  <c r="Q4213" i="1"/>
  <c r="Q4197" i="1"/>
  <c r="Q4181" i="1"/>
  <c r="R4181" i="1" s="1"/>
  <c r="Q4165" i="1"/>
  <c r="Q4149" i="1"/>
  <c r="Q4133" i="1"/>
  <c r="Q3303" i="1"/>
  <c r="R3303" i="1" s="1"/>
  <c r="Q3239" i="1"/>
  <c r="Q3179" i="1"/>
  <c r="Q3115" i="1"/>
  <c r="Q3063" i="1"/>
  <c r="R3063" i="1" s="1"/>
  <c r="Q3023" i="1"/>
  <c r="Q2975" i="1"/>
  <c r="Q2923" i="1"/>
  <c r="Q2875" i="1"/>
  <c r="R2875" i="1" s="1"/>
  <c r="Q2827" i="1"/>
  <c r="Q2779" i="1"/>
  <c r="Q2723" i="1"/>
  <c r="Q2675" i="1"/>
  <c r="R2675" i="1" s="1"/>
  <c r="Q2619" i="1"/>
  <c r="Q2579" i="1"/>
  <c r="Q2531" i="1"/>
  <c r="Q2483" i="1"/>
  <c r="R2483" i="1" s="1"/>
  <c r="Q2435" i="1"/>
  <c r="Q2387" i="1"/>
  <c r="Q2347" i="1"/>
  <c r="Q2295" i="1"/>
  <c r="R2295" i="1" s="1"/>
  <c r="Q2243" i="1"/>
  <c r="Q2195" i="1"/>
  <c r="Q2147" i="1"/>
  <c r="Q2107" i="1"/>
  <c r="R2107" i="1" s="1"/>
  <c r="Q2059" i="1"/>
  <c r="Q2011" i="1"/>
  <c r="Q1959" i="1"/>
  <c r="Q1907" i="1"/>
  <c r="R1907" i="1" s="1"/>
  <c r="Q5000" i="1"/>
  <c r="Q4984" i="1"/>
  <c r="Q4968" i="1"/>
  <c r="Q4952" i="1"/>
  <c r="R4952" i="1" s="1"/>
  <c r="Q4936" i="1"/>
  <c r="Q4920" i="1"/>
  <c r="Q4904" i="1"/>
  <c r="Q4888" i="1"/>
  <c r="R4888" i="1" s="1"/>
  <c r="Q4872" i="1"/>
  <c r="Q4856" i="1"/>
  <c r="Q4840" i="1"/>
  <c r="Q4824" i="1"/>
  <c r="R4824" i="1" s="1"/>
  <c r="Q4808" i="1"/>
  <c r="Q4792" i="1"/>
  <c r="Q4776" i="1"/>
  <c r="Q4760" i="1"/>
  <c r="R4760" i="1" s="1"/>
  <c r="Q4744" i="1"/>
  <c r="Q4728" i="1"/>
  <c r="Q4712" i="1"/>
  <c r="Q4696" i="1"/>
  <c r="R4696" i="1" s="1"/>
  <c r="Q4680" i="1"/>
  <c r="Q4664" i="1"/>
  <c r="Q4648" i="1"/>
  <c r="Q4632" i="1"/>
  <c r="R4632" i="1" s="1"/>
  <c r="Q4616" i="1"/>
  <c r="Q4600" i="1"/>
  <c r="Q4584" i="1"/>
  <c r="Q4568" i="1"/>
  <c r="R4568" i="1" s="1"/>
  <c r="Q4552" i="1"/>
  <c r="Q4536" i="1"/>
  <c r="Q4520" i="1"/>
  <c r="Q4504" i="1"/>
  <c r="R4504" i="1" s="1"/>
  <c r="Q4488" i="1"/>
  <c r="Q4472" i="1"/>
  <c r="Q4983" i="1"/>
  <c r="Q4935" i="1"/>
  <c r="Q4887" i="1"/>
  <c r="Q4839" i="1"/>
  <c r="Q4787" i="1"/>
  <c r="Q4743" i="1"/>
  <c r="R4743" i="1" s="1"/>
  <c r="Q4695" i="1"/>
  <c r="Q4647" i="1"/>
  <c r="Q4595" i="1"/>
  <c r="Q4543" i="1"/>
  <c r="R4543" i="1" s="1"/>
  <c r="Q4503" i="1"/>
  <c r="Q4455" i="1"/>
  <c r="Q4399" i="1"/>
  <c r="Q4359" i="1"/>
  <c r="R4359" i="1" s="1"/>
  <c r="Q4311" i="1"/>
  <c r="Q4263" i="1"/>
  <c r="Q4207" i="1"/>
  <c r="Q4159" i="1"/>
  <c r="R4159" i="1" s="1"/>
  <c r="Q4111" i="1"/>
  <c r="Q4063" i="1"/>
  <c r="Q4007" i="1"/>
  <c r="Q3959" i="1"/>
  <c r="R3959" i="1" s="1"/>
  <c r="Q3911" i="1"/>
  <c r="Q3855" i="1"/>
  <c r="Q3807" i="1"/>
  <c r="Q3759" i="1"/>
  <c r="R3759" i="1" s="1"/>
  <c r="Q3711" i="1"/>
  <c r="Q3667" i="1"/>
  <c r="Q4979" i="1"/>
  <c r="Q4931" i="1"/>
  <c r="R4931" i="1" s="1"/>
  <c r="Q4879" i="1"/>
  <c r="Q4831" i="1"/>
  <c r="Q4783" i="1"/>
  <c r="Q4735" i="1"/>
  <c r="R4735" i="1" s="1"/>
  <c r="Q4691" i="1"/>
  <c r="Q4643" i="1"/>
  <c r="Q4591" i="1"/>
  <c r="Q4551" i="1"/>
  <c r="R4551" i="1" s="1"/>
  <c r="Q4499" i="1"/>
  <c r="Q4447" i="1"/>
  <c r="Q4403" i="1"/>
  <c r="Q4351" i="1"/>
  <c r="R4351" i="1" s="1"/>
  <c r="Q4303" i="1"/>
  <c r="Q4255" i="1"/>
  <c r="Q4211" i="1"/>
  <c r="Q4167" i="1"/>
  <c r="R4167" i="1" s="1"/>
  <c r="Q4119" i="1"/>
  <c r="Q4071" i="1"/>
  <c r="Q4027" i="1"/>
  <c r="Q3979" i="1"/>
  <c r="R3979" i="1" s="1"/>
  <c r="Q3927" i="1"/>
  <c r="Q3883" i="1"/>
  <c r="Q3839" i="1"/>
  <c r="Q3787" i="1"/>
  <c r="R3787" i="1" s="1"/>
  <c r="Q3739" i="1"/>
  <c r="Q3691" i="1"/>
  <c r="Q3655" i="1"/>
  <c r="Q3623" i="1"/>
  <c r="R3623" i="1" s="1"/>
  <c r="Q3607" i="1"/>
  <c r="Q3591" i="1"/>
  <c r="Q3563" i="1"/>
  <c r="Q3531" i="1"/>
  <c r="R3531" i="1" s="1"/>
  <c r="Q3499" i="1"/>
  <c r="Q3467" i="1"/>
  <c r="Q3359" i="1"/>
  <c r="Q4963" i="1"/>
  <c r="R4963" i="1" s="1"/>
  <c r="Q4915" i="1"/>
  <c r="Q4871" i="1"/>
  <c r="Q4823" i="1"/>
  <c r="Q4779" i="1"/>
  <c r="R4779" i="1" s="1"/>
  <c r="Q4727" i="1"/>
  <c r="Q4679" i="1"/>
  <c r="Q4631" i="1"/>
  <c r="Q4587" i="1"/>
  <c r="R4587" i="1" s="1"/>
  <c r="Q4531" i="1"/>
  <c r="Q4483" i="1"/>
  <c r="Q4439" i="1"/>
  <c r="Q4391" i="1"/>
  <c r="R4391" i="1" s="1"/>
  <c r="Q4343" i="1"/>
  <c r="Q4295" i="1"/>
  <c r="Q4247" i="1"/>
  <c r="Q4199" i="1"/>
  <c r="R4199" i="1" s="1"/>
  <c r="Q4155" i="1"/>
  <c r="Q4103" i="1"/>
  <c r="Q4055" i="1"/>
  <c r="Q4011" i="1"/>
  <c r="R4011" i="1" s="1"/>
  <c r="Q3967" i="1"/>
  <c r="Q3919" i="1"/>
  <c r="Q3875" i="1"/>
  <c r="Q3823" i="1"/>
  <c r="R3823" i="1" s="1"/>
  <c r="Q3779" i="1"/>
  <c r="Q3731" i="1"/>
  <c r="Q3671" i="1"/>
  <c r="Q3627" i="1"/>
  <c r="R3627" i="1" s="1"/>
  <c r="Q3559" i="1"/>
  <c r="Q3527" i="1"/>
  <c r="Q3495" i="1"/>
  <c r="Q3463" i="1"/>
  <c r="R3463" i="1" s="1"/>
  <c r="Q3439" i="1"/>
  <c r="Q3419" i="1"/>
  <c r="Q3403" i="1"/>
  <c r="Q3387" i="1"/>
  <c r="R3387" i="1" s="1"/>
  <c r="Q3371" i="1"/>
  <c r="Q3331" i="1"/>
  <c r="Q3255" i="1"/>
  <c r="Q3195" i="1"/>
  <c r="R3195" i="1" s="1"/>
  <c r="Q3127" i="1"/>
  <c r="Q3339" i="1"/>
  <c r="Q3283" i="1"/>
  <c r="Q3219" i="1"/>
  <c r="R3219" i="1" s="1"/>
  <c r="Q3151" i="1"/>
  <c r="Q3099" i="1"/>
  <c r="Q3043" i="1"/>
  <c r="Q2991" i="1"/>
  <c r="R2991" i="1" s="1"/>
  <c r="Q2947" i="1"/>
  <c r="Q2895" i="1"/>
  <c r="Q2843" i="1"/>
  <c r="Q2799" i="1"/>
  <c r="R2799" i="1" s="1"/>
  <c r="Q4971" i="1"/>
  <c r="Q4923" i="1"/>
  <c r="Q4875" i="1"/>
  <c r="Q4827" i="1"/>
  <c r="R4827" i="1" s="1"/>
  <c r="Q4775" i="1"/>
  <c r="Q4731" i="1"/>
  <c r="Q4683" i="1"/>
  <c r="Q4635" i="1"/>
  <c r="R4635" i="1" s="1"/>
  <c r="Q4579" i="1"/>
  <c r="Q4535" i="1"/>
  <c r="Q4491" i="1"/>
  <c r="Q4443" i="1"/>
  <c r="R4443" i="1" s="1"/>
  <c r="Q4387" i="1"/>
  <c r="Q4347" i="1"/>
  <c r="Q4299" i="1"/>
  <c r="Q4251" i="1"/>
  <c r="R4251" i="1" s="1"/>
  <c r="Q4195" i="1"/>
  <c r="Q4147" i="1"/>
  <c r="Q4099" i="1"/>
  <c r="Q4051" i="1"/>
  <c r="R4051" i="1" s="1"/>
  <c r="Q3995" i="1"/>
  <c r="Q3947" i="1"/>
  <c r="Q3895" i="1"/>
  <c r="Q3843" i="1"/>
  <c r="R3843" i="1" s="1"/>
  <c r="Q3795" i="1"/>
  <c r="Q3747" i="1"/>
  <c r="Q3699" i="1"/>
  <c r="Q3631" i="1"/>
  <c r="R3631" i="1" s="1"/>
  <c r="Q4967" i="1"/>
  <c r="Q4919" i="1"/>
  <c r="Q4867" i="1"/>
  <c r="Q4819" i="1"/>
  <c r="R4819" i="1" s="1"/>
  <c r="Q4771" i="1"/>
  <c r="Q4723" i="1"/>
  <c r="Q4675" i="1"/>
  <c r="Q4627" i="1"/>
  <c r="R4627" i="1" s="1"/>
  <c r="Q4583" i="1"/>
  <c r="Q4539" i="1"/>
  <c r="Q4487" i="1"/>
  <c r="Q4435" i="1"/>
  <c r="R4435" i="1" s="1"/>
  <c r="Q4395" i="1"/>
  <c r="Q4339" i="1"/>
  <c r="Q4291" i="1"/>
  <c r="Q4243" i="1"/>
  <c r="R4243" i="1" s="1"/>
  <c r="Q4203" i="1"/>
  <c r="Q4151" i="1"/>
  <c r="Q4107" i="1"/>
  <c r="Q4059" i="1"/>
  <c r="R4059" i="1" s="1"/>
  <c r="Q4015" i="1"/>
  <c r="Q3963" i="1"/>
  <c r="Q3915" i="1"/>
  <c r="Q3871" i="1"/>
  <c r="R3871" i="1" s="1"/>
  <c r="Q3827" i="1"/>
  <c r="Q3775" i="1"/>
  <c r="Q3727" i="1"/>
  <c r="Q3683" i="1"/>
  <c r="R3683" i="1" s="1"/>
  <c r="Q3647" i="1"/>
  <c r="Q3619" i="1"/>
  <c r="Q3603" i="1"/>
  <c r="Q3583" i="1"/>
  <c r="R3583" i="1" s="1"/>
  <c r="Q3555" i="1"/>
  <c r="Q3523" i="1"/>
  <c r="Q3491" i="1"/>
  <c r="Q3459" i="1"/>
  <c r="R3459" i="1" s="1"/>
  <c r="Q4999" i="1"/>
  <c r="Q4951" i="1"/>
  <c r="Q4903" i="1"/>
  <c r="Q4855" i="1"/>
  <c r="R4855" i="1" s="1"/>
  <c r="Q4815" i="1"/>
  <c r="Q4763" i="1"/>
  <c r="Q4711" i="1"/>
  <c r="Q4667" i="1"/>
  <c r="R4667" i="1" s="1"/>
  <c r="Q4619" i="1"/>
  <c r="Q4571" i="1"/>
  <c r="Q4523" i="1"/>
  <c r="Q4475" i="1"/>
  <c r="R4475" i="1" s="1"/>
  <c r="Q4431" i="1"/>
  <c r="Q4379" i="1"/>
  <c r="Q4327" i="1"/>
  <c r="Q4283" i="1"/>
  <c r="R4283" i="1" s="1"/>
  <c r="Q4235" i="1"/>
  <c r="Q4187" i="1"/>
  <c r="Q4143" i="1"/>
  <c r="Q4091" i="1"/>
  <c r="R4091" i="1" s="1"/>
  <c r="Q4043" i="1"/>
  <c r="Q4003" i="1"/>
  <c r="Q3951" i="1"/>
  <c r="Q3907" i="1"/>
  <c r="R3907" i="1" s="1"/>
  <c r="Q3859" i="1"/>
  <c r="Q3815" i="1"/>
  <c r="Q3767" i="1"/>
  <c r="Q3719" i="1"/>
  <c r="R3719" i="1" s="1"/>
  <c r="Q3659" i="1"/>
  <c r="Q3587" i="1"/>
  <c r="Q3551" i="1"/>
  <c r="Q3519" i="1"/>
  <c r="R3519" i="1" s="1"/>
  <c r="Q3487" i="1"/>
  <c r="Q3455" i="1"/>
  <c r="Q3435" i="1"/>
  <c r="Q3415" i="1"/>
  <c r="R3415" i="1" s="1"/>
  <c r="Q3399" i="1"/>
  <c r="Q3383" i="1"/>
  <c r="Q3367" i="1"/>
  <c r="Q3315" i="1"/>
  <c r="R3315" i="1" s="1"/>
  <c r="Q3243" i="1"/>
  <c r="Q3175" i="1"/>
  <c r="Q3091" i="1"/>
  <c r="Q3327" i="1"/>
  <c r="R3327" i="1" s="1"/>
  <c r="Q3267" i="1"/>
  <c r="Q3203" i="1"/>
  <c r="Q2983" i="1"/>
  <c r="Q2787" i="1"/>
  <c r="R2787" i="1" s="1"/>
  <c r="Q2695" i="1"/>
  <c r="Q2603" i="1"/>
  <c r="Q2503" i="1"/>
  <c r="Q2403" i="1"/>
  <c r="R2403" i="1" s="1"/>
  <c r="Q2307" i="1"/>
  <c r="Q2215" i="1"/>
  <c r="Q2111" i="1"/>
  <c r="Q2019" i="1"/>
  <c r="R2019" i="1" s="1"/>
  <c r="Q1927" i="1"/>
  <c r="Q1851" i="1"/>
  <c r="Q4974" i="1"/>
  <c r="Q4942" i="1"/>
  <c r="R4942" i="1" s="1"/>
  <c r="Q4910" i="1"/>
  <c r="Q4878" i="1"/>
  <c r="Q4846" i="1"/>
  <c r="Q4814" i="1"/>
  <c r="R4814" i="1" s="1"/>
  <c r="Q4782" i="1"/>
  <c r="Q4750" i="1"/>
  <c r="Q4718" i="1"/>
  <c r="Q4686" i="1"/>
  <c r="R4686" i="1" s="1"/>
  <c r="Q4654" i="1"/>
  <c r="Q4622" i="1"/>
  <c r="Q4590" i="1"/>
  <c r="Q4558" i="1"/>
  <c r="R4558" i="1" s="1"/>
  <c r="Q4526" i="1"/>
  <c r="Q4494" i="1"/>
  <c r="Q4462" i="1"/>
  <c r="Q4430" i="1"/>
  <c r="R4430" i="1" s="1"/>
  <c r="Q4398" i="1"/>
  <c r="Q4366" i="1"/>
  <c r="Q4334" i="1"/>
  <c r="Q4302" i="1"/>
  <c r="R4302" i="1" s="1"/>
  <c r="Q4270" i="1"/>
  <c r="Q4238" i="1"/>
  <c r="Q4206" i="1"/>
  <c r="Q4174" i="1"/>
  <c r="R4174" i="1" s="1"/>
  <c r="Q4142" i="1"/>
  <c r="Q3279" i="1"/>
  <c r="Q3155" i="1"/>
  <c r="Q3047" i="1"/>
  <c r="R3047" i="1" s="1"/>
  <c r="Q2943" i="1"/>
  <c r="Q2847" i="1"/>
  <c r="Q2747" i="1"/>
  <c r="Q2655" i="1"/>
  <c r="R2655" i="1" s="1"/>
  <c r="Q2559" i="1"/>
  <c r="Q2463" i="1"/>
  <c r="Q2371" i="1"/>
  <c r="Q2267" i="1"/>
  <c r="R2267" i="1" s="1"/>
  <c r="Q2175" i="1"/>
  <c r="Q2083" i="1"/>
  <c r="Q1979" i="1"/>
  <c r="Q1887" i="1"/>
  <c r="Q4989" i="1"/>
  <c r="Q4957" i="1"/>
  <c r="Q4925" i="1"/>
  <c r="Q4893" i="1"/>
  <c r="R4893" i="1" s="1"/>
  <c r="Q4861" i="1"/>
  <c r="Q4829" i="1"/>
  <c r="Q4797" i="1"/>
  <c r="Q4765" i="1"/>
  <c r="R4765" i="1" s="1"/>
  <c r="Q4733" i="1"/>
  <c r="Q4701" i="1"/>
  <c r="Q4669" i="1"/>
  <c r="Q4637" i="1"/>
  <c r="R4637" i="1" s="1"/>
  <c r="Q4605" i="1"/>
  <c r="Q4573" i="1"/>
  <c r="Q4541" i="1"/>
  <c r="Q4509" i="1"/>
  <c r="R4509" i="1" s="1"/>
  <c r="Q4477" i="1"/>
  <c r="Q4445" i="1"/>
  <c r="Q4413" i="1"/>
  <c r="Q4381" i="1"/>
  <c r="R4381" i="1" s="1"/>
  <c r="Q4349" i="1"/>
  <c r="Q4317" i="1"/>
  <c r="Q4285" i="1"/>
  <c r="Q4253" i="1"/>
  <c r="R4253" i="1" s="1"/>
  <c r="Q4221" i="1"/>
  <c r="Q4189" i="1"/>
  <c r="Q4157" i="1"/>
  <c r="Q3335" i="1"/>
  <c r="R3335" i="1" s="1"/>
  <c r="Q3207" i="1"/>
  <c r="Q3087" i="1"/>
  <c r="Q2999" i="1"/>
  <c r="Q2899" i="1"/>
  <c r="R2899" i="1" s="1"/>
  <c r="Q2803" i="1"/>
  <c r="Q2699" i="1"/>
  <c r="Q2595" i="1"/>
  <c r="Q2507" i="1"/>
  <c r="R2507" i="1" s="1"/>
  <c r="Q2411" i="1"/>
  <c r="Q2323" i="1"/>
  <c r="Q2219" i="1"/>
  <c r="Q2131" i="1"/>
  <c r="R2131" i="1" s="1"/>
  <c r="Q2035" i="1"/>
  <c r="Q1931" i="1"/>
  <c r="Q4992" i="1"/>
  <c r="Q4960" i="1"/>
  <c r="R4960" i="1" s="1"/>
  <c r="Q4928" i="1"/>
  <c r="Q4896" i="1"/>
  <c r="Q4864" i="1"/>
  <c r="Q4832" i="1"/>
  <c r="R4832" i="1" s="1"/>
  <c r="Q4800" i="1"/>
  <c r="Q4768" i="1"/>
  <c r="Q4736" i="1"/>
  <c r="Q4708" i="1"/>
  <c r="R4708" i="1" s="1"/>
  <c r="Q4688" i="1"/>
  <c r="Q4668" i="1"/>
  <c r="Q4644" i="1"/>
  <c r="Q4624" i="1"/>
  <c r="R4624" i="1" s="1"/>
  <c r="Q4604" i="1"/>
  <c r="Q4580" i="1"/>
  <c r="Q4560" i="1"/>
  <c r="Q4540" i="1"/>
  <c r="R4540" i="1" s="1"/>
  <c r="Q4516" i="1"/>
  <c r="Q4496" i="1"/>
  <c r="Q4476" i="1"/>
  <c r="Q4456" i="1"/>
  <c r="R4456" i="1" s="1"/>
  <c r="Q4440" i="1"/>
  <c r="Q4424" i="1"/>
  <c r="Q4408" i="1"/>
  <c r="Q4392" i="1"/>
  <c r="R4392" i="1" s="1"/>
  <c r="Q4376" i="1"/>
  <c r="Q4360" i="1"/>
  <c r="Q4344" i="1"/>
  <c r="Q4328" i="1"/>
  <c r="R4328" i="1" s="1"/>
  <c r="Q4312" i="1"/>
  <c r="Q4296" i="1"/>
  <c r="Q4280" i="1"/>
  <c r="Q4264" i="1"/>
  <c r="R4264" i="1" s="1"/>
  <c r="Q4248" i="1"/>
  <c r="Q4232" i="1"/>
  <c r="Q4216" i="1"/>
  <c r="Q4200" i="1"/>
  <c r="R4200" i="1" s="1"/>
  <c r="Q4184" i="1"/>
  <c r="Q4168" i="1"/>
  <c r="Q4152" i="1"/>
  <c r="Q4136" i="1"/>
  <c r="R4136" i="1" s="1"/>
  <c r="Q1827" i="1"/>
  <c r="Q1811" i="1"/>
  <c r="Q1795" i="1"/>
  <c r="Q1779" i="1"/>
  <c r="Q1763" i="1"/>
  <c r="Q1747" i="1"/>
  <c r="Q1731" i="1"/>
  <c r="Q1715" i="1"/>
  <c r="R1715" i="1" s="1"/>
  <c r="Q1699" i="1"/>
  <c r="Q1683" i="1"/>
  <c r="Q1667" i="1"/>
  <c r="Q1651" i="1"/>
  <c r="Q1635" i="1"/>
  <c r="Q1619" i="1"/>
  <c r="Q1603" i="1"/>
  <c r="Q1587" i="1"/>
  <c r="R1587" i="1" s="1"/>
  <c r="Q1571" i="1"/>
  <c r="Q1555" i="1"/>
  <c r="Q1539" i="1"/>
  <c r="Q1523" i="1"/>
  <c r="R1523" i="1" s="1"/>
  <c r="Q1507" i="1"/>
  <c r="Q1491" i="1"/>
  <c r="Q1475" i="1"/>
  <c r="Q1459" i="1"/>
  <c r="R1459" i="1" s="1"/>
  <c r="Q1443" i="1"/>
  <c r="Q1427" i="1"/>
  <c r="Q1411" i="1"/>
  <c r="Q1395" i="1"/>
  <c r="R1395" i="1" s="1"/>
  <c r="Q1379" i="1"/>
  <c r="Q1363" i="1"/>
  <c r="Q1347" i="1"/>
  <c r="Q3135" i="1"/>
  <c r="R3135" i="1" s="1"/>
  <c r="Q2931" i="1"/>
  <c r="Q2751" i="1"/>
  <c r="Q2659" i="1"/>
  <c r="Q2563" i="1"/>
  <c r="R2563" i="1" s="1"/>
  <c r="Q2467" i="1"/>
  <c r="Q2367" i="1"/>
  <c r="Q2275" i="1"/>
  <c r="Q2179" i="1"/>
  <c r="R2179" i="1" s="1"/>
  <c r="Q2075" i="1"/>
  <c r="Q1987" i="1"/>
  <c r="Q1891" i="1"/>
  <c r="Q4994" i="1"/>
  <c r="R4994" i="1" s="1"/>
  <c r="Q4962" i="1"/>
  <c r="Q4930" i="1"/>
  <c r="Q4898" i="1"/>
  <c r="Q4866" i="1"/>
  <c r="R4866" i="1" s="1"/>
  <c r="Q4834" i="1"/>
  <c r="Q4802" i="1"/>
  <c r="Q4770" i="1"/>
  <c r="Q4738" i="1"/>
  <c r="R4738" i="1" s="1"/>
  <c r="Q4706" i="1"/>
  <c r="Q4674" i="1"/>
  <c r="Q4642" i="1"/>
  <c r="Q4610" i="1"/>
  <c r="R4610" i="1" s="1"/>
  <c r="Q4578" i="1"/>
  <c r="Q4546" i="1"/>
  <c r="Q4514" i="1"/>
  <c r="Q4482" i="1"/>
  <c r="R4482" i="1" s="1"/>
  <c r="Q4450" i="1"/>
  <c r="Q4418" i="1"/>
  <c r="Q4386" i="1"/>
  <c r="Q4354" i="1"/>
  <c r="R4354" i="1" s="1"/>
  <c r="Q4322" i="1"/>
  <c r="Q4290" i="1"/>
  <c r="Q4258" i="1"/>
  <c r="Q4226" i="1"/>
  <c r="R4226" i="1" s="1"/>
  <c r="Q4194" i="1"/>
  <c r="Q4162" i="1"/>
  <c r="Q4130" i="1"/>
  <c r="Q3231" i="1"/>
  <c r="R3231" i="1" s="1"/>
  <c r="Q3111" i="1"/>
  <c r="Q3007" i="1"/>
  <c r="Q2903" i="1"/>
  <c r="Q2811" i="1"/>
  <c r="R2811" i="1" s="1"/>
  <c r="Q2719" i="1"/>
  <c r="Q2623" i="1"/>
  <c r="Q2527" i="1"/>
  <c r="Q2427" i="1"/>
  <c r="R2427" i="1" s="1"/>
  <c r="Q2327" i="1"/>
  <c r="Q2239" i="1"/>
  <c r="Q2139" i="1"/>
  <c r="Q2039" i="1"/>
  <c r="R2039" i="1" s="1"/>
  <c r="Q1947" i="1"/>
  <c r="Q1859" i="1"/>
  <c r="Q4977" i="1"/>
  <c r="Q4945" i="1"/>
  <c r="R4945" i="1" s="1"/>
  <c r="Q4913" i="1"/>
  <c r="Q4881" i="1"/>
  <c r="Q4849" i="1"/>
  <c r="Q4817" i="1"/>
  <c r="R4817" i="1" s="1"/>
  <c r="Q4785" i="1"/>
  <c r="Q4753" i="1"/>
  <c r="Q4721" i="1"/>
  <c r="Q4689" i="1"/>
  <c r="R4689" i="1" s="1"/>
  <c r="Q4657" i="1"/>
  <c r="Q4625" i="1"/>
  <c r="Q4593" i="1"/>
  <c r="Q4561" i="1"/>
  <c r="R4561" i="1" s="1"/>
  <c r="Q4529" i="1"/>
  <c r="Q4497" i="1"/>
  <c r="Q4465" i="1"/>
  <c r="Q4433" i="1"/>
  <c r="R4433" i="1" s="1"/>
  <c r="Q4401" i="1"/>
  <c r="Q4369" i="1"/>
  <c r="Q4337" i="1"/>
  <c r="Q4305" i="1"/>
  <c r="R4305" i="1" s="1"/>
  <c r="Q4273" i="1"/>
  <c r="Q4241" i="1"/>
  <c r="Q4209" i="1"/>
  <c r="Q4177" i="1"/>
  <c r="R4177" i="1" s="1"/>
  <c r="Q4145" i="1"/>
  <c r="Q3287" i="1"/>
  <c r="Q3159" i="1"/>
  <c r="Q3051" i="1"/>
  <c r="R3051" i="1" s="1"/>
  <c r="Q2963" i="1"/>
  <c r="Q2863" i="1"/>
  <c r="Q2767" i="1"/>
  <c r="Q2663" i="1"/>
  <c r="R2663" i="1" s="1"/>
  <c r="Q2567" i="1"/>
  <c r="Q2471" i="1"/>
  <c r="Q2375" i="1"/>
  <c r="Q2283" i="1"/>
  <c r="R2283" i="1" s="1"/>
  <c r="Q2183" i="1"/>
  <c r="Q2095" i="1"/>
  <c r="Q1995" i="1"/>
  <c r="Q1895" i="1"/>
  <c r="R1895" i="1" s="1"/>
  <c r="Q4980" i="1"/>
  <c r="Q4948" i="1"/>
  <c r="Q4916" i="1"/>
  <c r="Q4884" i="1"/>
  <c r="R4884" i="1" s="1"/>
  <c r="Q4852" i="1"/>
  <c r="Q4820" i="1"/>
  <c r="Q4788" i="1"/>
  <c r="Q4756" i="1"/>
  <c r="R4756" i="1" s="1"/>
  <c r="Q4724" i="1"/>
  <c r="Q4704" i="1"/>
  <c r="Q4684" i="1"/>
  <c r="Q4660" i="1"/>
  <c r="R4660" i="1" s="1"/>
  <c r="Q4640" i="1"/>
  <c r="Q4620" i="1"/>
  <c r="Q4596" i="1"/>
  <c r="Q4576" i="1"/>
  <c r="R4576" i="1" s="1"/>
  <c r="Q4556" i="1"/>
  <c r="Q4532" i="1"/>
  <c r="Q4512" i="1"/>
  <c r="Q4492" i="1"/>
  <c r="R4492" i="1" s="1"/>
  <c r="Q4468" i="1"/>
  <c r="Q4452" i="1"/>
  <c r="Q4436" i="1"/>
  <c r="Q4420" i="1"/>
  <c r="R4420" i="1" s="1"/>
  <c r="Q4404" i="1"/>
  <c r="Q4388" i="1"/>
  <c r="Q4372" i="1"/>
  <c r="Q4356" i="1"/>
  <c r="R4356" i="1" s="1"/>
  <c r="Q4340" i="1"/>
  <c r="Q4324" i="1"/>
  <c r="Q4308" i="1"/>
  <c r="Q4292" i="1"/>
  <c r="R4292" i="1" s="1"/>
  <c r="Q4276" i="1"/>
  <c r="Q4260" i="1"/>
  <c r="Q4244" i="1"/>
  <c r="Q4228" i="1"/>
  <c r="R4228" i="1" s="1"/>
  <c r="Q4212" i="1"/>
  <c r="Q4196" i="1"/>
  <c r="Q4180" i="1"/>
  <c r="Q4164" i="1"/>
  <c r="R4164" i="1" s="1"/>
  <c r="Q4148" i="1"/>
  <c r="Q4132" i="1"/>
  <c r="Q1823" i="1"/>
  <c r="Q1807" i="1"/>
  <c r="R1807" i="1" s="1"/>
  <c r="Q1791" i="1"/>
  <c r="Q1775" i="1"/>
  <c r="Q1759" i="1"/>
  <c r="Q1743" i="1"/>
  <c r="R1743" i="1" s="1"/>
  <c r="Q1727" i="1"/>
  <c r="Q1711" i="1"/>
  <c r="Q1695" i="1"/>
  <c r="Q1679" i="1"/>
  <c r="R1679" i="1" s="1"/>
  <c r="Q1663" i="1"/>
  <c r="Q1647" i="1"/>
  <c r="Q1631" i="1"/>
  <c r="Q1615" i="1"/>
  <c r="R1615" i="1" s="1"/>
  <c r="Q1599" i="1"/>
  <c r="Q1583" i="1"/>
  <c r="Q1567" i="1"/>
  <c r="Q1551" i="1"/>
  <c r="R1551" i="1" s="1"/>
  <c r="Q1535" i="1"/>
  <c r="Q1519" i="1"/>
  <c r="Q1503" i="1"/>
  <c r="Q1487" i="1"/>
  <c r="Q1471" i="1"/>
  <c r="Q1455" i="1"/>
  <c r="Q1439" i="1"/>
  <c r="Q1423" i="1"/>
  <c r="R1423" i="1" s="1"/>
  <c r="Q1407" i="1"/>
  <c r="Q1391" i="1"/>
  <c r="Q1375" i="1"/>
  <c r="Q1359" i="1"/>
  <c r="R1359" i="1" s="1"/>
  <c r="Q1343" i="1"/>
  <c r="Q1327" i="1"/>
  <c r="Q1311" i="1"/>
  <c r="Q1295" i="1"/>
  <c r="R1295" i="1" s="1"/>
  <c r="Q1279" i="1"/>
  <c r="Q1263" i="1"/>
  <c r="Q1247" i="1"/>
  <c r="Q1231" i="1"/>
  <c r="R1231" i="1" s="1"/>
  <c r="Q1215" i="1"/>
  <c r="Q1199" i="1"/>
  <c r="Q1183" i="1"/>
  <c r="Q1167" i="1"/>
  <c r="R1167" i="1" s="1"/>
  <c r="Q4122" i="1"/>
  <c r="Q4106" i="1"/>
  <c r="Q4090" i="1"/>
  <c r="Q4074" i="1"/>
  <c r="R4074" i="1" s="1"/>
  <c r="Q4058" i="1"/>
  <c r="Q4042" i="1"/>
  <c r="Q4026" i="1"/>
  <c r="Q4010" i="1"/>
  <c r="R4010" i="1" s="1"/>
  <c r="Q3994" i="1"/>
  <c r="Q3978" i="1"/>
  <c r="Q3962" i="1"/>
  <c r="Q3946" i="1"/>
  <c r="R3946" i="1" s="1"/>
  <c r="Q3930" i="1"/>
  <c r="Q3914" i="1"/>
  <c r="Q3898" i="1"/>
  <c r="Q3882" i="1"/>
  <c r="R3882" i="1" s="1"/>
  <c r="Q3866" i="1"/>
  <c r="Q3850" i="1"/>
  <c r="Q3834" i="1"/>
  <c r="Q3818" i="1"/>
  <c r="R3818" i="1" s="1"/>
  <c r="Q3802" i="1"/>
  <c r="Q3786" i="1"/>
  <c r="Q3770" i="1"/>
  <c r="Q3754" i="1"/>
  <c r="R3754" i="1" s="1"/>
  <c r="Q3738" i="1"/>
  <c r="Q3722" i="1"/>
  <c r="Q3706" i="1"/>
  <c r="Q3690" i="1"/>
  <c r="R3690" i="1" s="1"/>
  <c r="Q3674" i="1"/>
  <c r="Q3658" i="1"/>
  <c r="Q3642" i="1"/>
  <c r="Q3626" i="1"/>
  <c r="R3626" i="1" s="1"/>
  <c r="Q3610" i="1"/>
  <c r="Q3594" i="1"/>
  <c r="Q3578" i="1"/>
  <c r="Q3562" i="1"/>
  <c r="R3562" i="1" s="1"/>
  <c r="Q3546" i="1"/>
  <c r="Q3530" i="1"/>
  <c r="Q3514" i="1"/>
  <c r="Q3498" i="1"/>
  <c r="R3498" i="1" s="1"/>
  <c r="Q3482" i="1"/>
  <c r="Q3466" i="1"/>
  <c r="Q3450" i="1"/>
  <c r="Q3434" i="1"/>
  <c r="R3434" i="1" s="1"/>
  <c r="Q3418" i="1"/>
  <c r="Q3402" i="1"/>
  <c r="Q3386" i="1"/>
  <c r="Q3370" i="1"/>
  <c r="R3370" i="1" s="1"/>
  <c r="Q4117" i="1"/>
  <c r="Q4101" i="1"/>
  <c r="Q4085" i="1"/>
  <c r="Q4069" i="1"/>
  <c r="R4069" i="1" s="1"/>
  <c r="Q4053" i="1"/>
  <c r="Q4037" i="1"/>
  <c r="Q4021" i="1"/>
  <c r="Q4005" i="1"/>
  <c r="R4005" i="1" s="1"/>
  <c r="Q3989" i="1"/>
  <c r="Q3973" i="1"/>
  <c r="Q3957" i="1"/>
  <c r="Q3941" i="1"/>
  <c r="R3941" i="1" s="1"/>
  <c r="Q3925" i="1"/>
  <c r="Q3909" i="1"/>
  <c r="Q3893" i="1"/>
  <c r="Q3877" i="1"/>
  <c r="R3877" i="1" s="1"/>
  <c r="Q3861" i="1"/>
  <c r="Q3845" i="1"/>
  <c r="Q3829" i="1"/>
  <c r="Q3813" i="1"/>
  <c r="R3813" i="1" s="1"/>
  <c r="Q3797" i="1"/>
  <c r="Q3781" i="1"/>
  <c r="Q3765" i="1"/>
  <c r="Q3749" i="1"/>
  <c r="R3749" i="1" s="1"/>
  <c r="Q3733" i="1"/>
  <c r="Q3717" i="1"/>
  <c r="Q3701" i="1"/>
  <c r="Q3685" i="1"/>
  <c r="R3685" i="1" s="1"/>
  <c r="Q3669" i="1"/>
  <c r="Q3653" i="1"/>
  <c r="Q3637" i="1"/>
  <c r="Q3621" i="1"/>
  <c r="R3621" i="1" s="1"/>
  <c r="Q3605" i="1"/>
  <c r="Q3589" i="1"/>
  <c r="Q3573" i="1"/>
  <c r="Q3557" i="1"/>
  <c r="R3557" i="1" s="1"/>
  <c r="Q3541" i="1"/>
  <c r="Q3525" i="1"/>
  <c r="Q3509" i="1"/>
  <c r="Q3493" i="1"/>
  <c r="R3493" i="1" s="1"/>
  <c r="Q3477" i="1"/>
  <c r="Q3461" i="1"/>
  <c r="Q3445" i="1"/>
  <c r="Q3429" i="1"/>
  <c r="R3429" i="1" s="1"/>
  <c r="Q3413" i="1"/>
  <c r="Q3397" i="1"/>
  <c r="Q3381" i="1"/>
  <c r="Q3365" i="1"/>
  <c r="R3365" i="1" s="1"/>
  <c r="Q3349" i="1"/>
  <c r="Q3333" i="1"/>
  <c r="Q3317" i="1"/>
  <c r="Q3301" i="1"/>
  <c r="R3301" i="1" s="1"/>
  <c r="Q3285" i="1"/>
  <c r="Q3269" i="1"/>
  <c r="Q4128" i="1"/>
  <c r="Q4112" i="1"/>
  <c r="R4112" i="1" s="1"/>
  <c r="Q4096" i="1"/>
  <c r="Q4080" i="1"/>
  <c r="Q4064" i="1"/>
  <c r="Q4048" i="1"/>
  <c r="R4048" i="1" s="1"/>
  <c r="Q4032" i="1"/>
  <c r="Q4016" i="1"/>
  <c r="Q4000" i="1"/>
  <c r="Q3984" i="1"/>
  <c r="R3984" i="1" s="1"/>
  <c r="Q3968" i="1"/>
  <c r="Q3952" i="1"/>
  <c r="Q3936" i="1"/>
  <c r="Q3920" i="1"/>
  <c r="R3920" i="1" s="1"/>
  <c r="Q3904" i="1"/>
  <c r="Q3888" i="1"/>
  <c r="Q3872" i="1"/>
  <c r="Q3856" i="1"/>
  <c r="R3856" i="1" s="1"/>
  <c r="Q3840" i="1"/>
  <c r="Q3824" i="1"/>
  <c r="Q3808" i="1"/>
  <c r="Q3792" i="1"/>
  <c r="R3792" i="1" s="1"/>
  <c r="Q3776" i="1"/>
  <c r="Q3760" i="1"/>
  <c r="Q3744" i="1"/>
  <c r="Q3728" i="1"/>
  <c r="R3728" i="1" s="1"/>
  <c r="Q3712" i="1"/>
  <c r="Q3696" i="1"/>
  <c r="Q3680" i="1"/>
  <c r="Q3664" i="1"/>
  <c r="R3664" i="1" s="1"/>
  <c r="Q3648" i="1"/>
  <c r="Q3632" i="1"/>
  <c r="Q3616" i="1"/>
  <c r="Q3600" i="1"/>
  <c r="R3600" i="1" s="1"/>
  <c r="Q3584" i="1"/>
  <c r="Q3568" i="1"/>
  <c r="Q3552" i="1"/>
  <c r="Q3536" i="1"/>
  <c r="R3536" i="1" s="1"/>
  <c r="Q3520" i="1"/>
  <c r="Q3504" i="1"/>
  <c r="Q3488" i="1"/>
  <c r="Q3472" i="1"/>
  <c r="R3472" i="1" s="1"/>
  <c r="Q3456" i="1"/>
  <c r="Q3440" i="1"/>
  <c r="Q3424" i="1"/>
  <c r="Q3408" i="1"/>
  <c r="Q3392" i="1"/>
  <c r="Q3376" i="1"/>
  <c r="Q1151" i="1"/>
  <c r="Q1135" i="1"/>
  <c r="R1135" i="1" s="1"/>
  <c r="Q1119" i="1"/>
  <c r="Q1103" i="1"/>
  <c r="Q1087" i="1"/>
  <c r="Q1071" i="1"/>
  <c r="R1071" i="1" s="1"/>
  <c r="Q1055" i="1"/>
  <c r="Q1039" i="1"/>
  <c r="Q1023" i="1"/>
  <c r="Q1007" i="1"/>
  <c r="R1007" i="1" s="1"/>
  <c r="Q991" i="1"/>
  <c r="Q975" i="1"/>
  <c r="Q959" i="1"/>
  <c r="Q943" i="1"/>
  <c r="R943" i="1" s="1"/>
  <c r="Q927" i="1"/>
  <c r="Q911" i="1"/>
  <c r="Q895" i="1"/>
  <c r="Q879" i="1"/>
  <c r="R879" i="1" s="1"/>
  <c r="Q863" i="1"/>
  <c r="Q847" i="1"/>
  <c r="Q831" i="1"/>
  <c r="Q815" i="1"/>
  <c r="R815" i="1" s="1"/>
  <c r="Q799" i="1"/>
  <c r="Q783" i="1"/>
  <c r="Q767" i="1"/>
  <c r="Q751" i="1"/>
  <c r="R751" i="1" s="1"/>
  <c r="Q735" i="1"/>
  <c r="Q719" i="1"/>
  <c r="Q703" i="1"/>
  <c r="Q687" i="1"/>
  <c r="Q671" i="1"/>
  <c r="Q655" i="1"/>
  <c r="Q639" i="1"/>
  <c r="Q623" i="1"/>
  <c r="R623" i="1" s="1"/>
  <c r="Q607" i="1"/>
  <c r="Q3358" i="1"/>
  <c r="Q3342" i="1"/>
  <c r="Q3326" i="1"/>
  <c r="R3326" i="1" s="1"/>
  <c r="Q3310" i="1"/>
  <c r="Q3294" i="1"/>
  <c r="Q3278" i="1"/>
  <c r="Q3262" i="1"/>
  <c r="R3262" i="1" s="1"/>
  <c r="Q3246" i="1"/>
  <c r="Q3230" i="1"/>
  <c r="Q3214" i="1"/>
  <c r="Q3198" i="1"/>
  <c r="R3198" i="1" s="1"/>
  <c r="Q3182" i="1"/>
  <c r="Q3166" i="1"/>
  <c r="Q3150" i="1"/>
  <c r="Q3134" i="1"/>
  <c r="R3134" i="1" s="1"/>
  <c r="Q3118" i="1"/>
  <c r="Q3102" i="1"/>
  <c r="Q3086" i="1"/>
  <c r="Q3070" i="1"/>
  <c r="R3070" i="1" s="1"/>
  <c r="Q3054" i="1"/>
  <c r="Q3038" i="1"/>
  <c r="Q3022" i="1"/>
  <c r="Q3006" i="1"/>
  <c r="R3006" i="1" s="1"/>
  <c r="Q2990" i="1"/>
  <c r="Q2974" i="1"/>
  <c r="Q2958" i="1"/>
  <c r="Q2942" i="1"/>
  <c r="R2942" i="1" s="1"/>
  <c r="Q2926" i="1"/>
  <c r="Q2910" i="1"/>
  <c r="Q2894" i="1"/>
  <c r="Q2878" i="1"/>
  <c r="R2878" i="1" s="1"/>
  <c r="Q2862" i="1"/>
  <c r="Q2846" i="1"/>
  <c r="Q2830" i="1"/>
  <c r="Q2814" i="1"/>
  <c r="R2814" i="1" s="1"/>
  <c r="Q2798" i="1"/>
  <c r="Q2782" i="1"/>
  <c r="Q2766" i="1"/>
  <c r="Q3253" i="1"/>
  <c r="R3253" i="1" s="1"/>
  <c r="Q3237" i="1"/>
  <c r="Q3221" i="1"/>
  <c r="Q3205" i="1"/>
  <c r="Q3189" i="1"/>
  <c r="R3189" i="1" s="1"/>
  <c r="Q3173" i="1"/>
  <c r="Q3157" i="1"/>
  <c r="Q3141" i="1"/>
  <c r="Q3125" i="1"/>
  <c r="R3125" i="1" s="1"/>
  <c r="Q3109" i="1"/>
  <c r="Q3093" i="1"/>
  <c r="Q3077" i="1"/>
  <c r="Q3061" i="1"/>
  <c r="R3061" i="1" s="1"/>
  <c r="Q3045" i="1"/>
  <c r="Q3029" i="1"/>
  <c r="Q3013" i="1"/>
  <c r="Q2997" i="1"/>
  <c r="R2997" i="1" s="1"/>
  <c r="Q2981" i="1"/>
  <c r="Q2965" i="1"/>
  <c r="Q2949" i="1"/>
  <c r="Q2933" i="1"/>
  <c r="R2933" i="1" s="1"/>
  <c r="Q2917" i="1"/>
  <c r="Q2901" i="1"/>
  <c r="Q2885" i="1"/>
  <c r="Q2869" i="1"/>
  <c r="R2869" i="1" s="1"/>
  <c r="Q2853" i="1"/>
  <c r="Q2837" i="1"/>
  <c r="Q2821" i="1"/>
  <c r="Q2805" i="1"/>
  <c r="R2805" i="1" s="1"/>
  <c r="Q2789" i="1"/>
  <c r="Q2773" i="1"/>
  <c r="Q2757" i="1"/>
  <c r="Q2741" i="1"/>
  <c r="R2741" i="1" s="1"/>
  <c r="Q2725" i="1"/>
  <c r="Q2709" i="1"/>
  <c r="Q2693" i="1"/>
  <c r="Q2677" i="1"/>
  <c r="R2677" i="1" s="1"/>
  <c r="Q2661" i="1"/>
  <c r="Q2645" i="1"/>
  <c r="Q2629" i="1"/>
  <c r="Q2613" i="1"/>
  <c r="R2613" i="1" s="1"/>
  <c r="Q2597" i="1"/>
  <c r="Q2581" i="1"/>
  <c r="Q2565" i="1"/>
  <c r="Q2549" i="1"/>
  <c r="R2549" i="1" s="1"/>
  <c r="Q2533" i="1"/>
  <c r="Q2517" i="1"/>
  <c r="Q2501" i="1"/>
  <c r="Q2485" i="1"/>
  <c r="R2485" i="1" s="1"/>
  <c r="Q3356" i="1"/>
  <c r="Q3340" i="1"/>
  <c r="Q3324" i="1"/>
  <c r="Q3308" i="1"/>
  <c r="R3308" i="1" s="1"/>
  <c r="Q3292" i="1"/>
  <c r="Q3276" i="1"/>
  <c r="Q3260" i="1"/>
  <c r="Q3244" i="1"/>
  <c r="R3244" i="1" s="1"/>
  <c r="Q3228" i="1"/>
  <c r="Q3212" i="1"/>
  <c r="Q3196" i="1"/>
  <c r="Q3180" i="1"/>
  <c r="R3180" i="1" s="1"/>
  <c r="Q3164" i="1"/>
  <c r="Q3148" i="1"/>
  <c r="Q3132" i="1"/>
  <c r="Q3116" i="1"/>
  <c r="R3116" i="1" s="1"/>
  <c r="Q3100" i="1"/>
  <c r="Q3084" i="1"/>
  <c r="Q3068" i="1"/>
  <c r="Q3052" i="1"/>
  <c r="R3052" i="1" s="1"/>
  <c r="Q3036" i="1"/>
  <c r="Q3020" i="1"/>
  <c r="Q3004" i="1"/>
  <c r="Q2988" i="1"/>
  <c r="R2988" i="1" s="1"/>
  <c r="Q2972" i="1"/>
  <c r="Q2956" i="1"/>
  <c r="Q2940" i="1"/>
  <c r="Q2924" i="1"/>
  <c r="R2924" i="1" s="1"/>
  <c r="Q2908" i="1"/>
  <c r="Q2892" i="1"/>
  <c r="Q2876" i="1"/>
  <c r="Q2860" i="1"/>
  <c r="R2860" i="1" s="1"/>
  <c r="Q2844" i="1"/>
  <c r="Q2828" i="1"/>
  <c r="Q2812" i="1"/>
  <c r="Q2796" i="1"/>
  <c r="R2796" i="1" s="1"/>
  <c r="Q2780" i="1"/>
  <c r="Q2764" i="1"/>
  <c r="Q2748" i="1"/>
  <c r="Q2732" i="1"/>
  <c r="R2732" i="1" s="1"/>
  <c r="Q2716" i="1"/>
  <c r="Q2700" i="1"/>
  <c r="Q595" i="1"/>
  <c r="Q579" i="1"/>
  <c r="R579" i="1" s="1"/>
  <c r="Q563" i="1"/>
  <c r="Q547" i="1"/>
  <c r="Q531" i="1"/>
  <c r="Q515" i="1"/>
  <c r="R515" i="1" s="1"/>
  <c r="Q499" i="1"/>
  <c r="Q483" i="1"/>
  <c r="Q467" i="1"/>
  <c r="Q451" i="1"/>
  <c r="R451" i="1" s="1"/>
  <c r="Q435" i="1"/>
  <c r="Q419" i="1"/>
  <c r="Q403" i="1"/>
  <c r="Q387" i="1"/>
  <c r="R387" i="1" s="1"/>
  <c r="Q371" i="1"/>
  <c r="Q355" i="1"/>
  <c r="Q339" i="1"/>
  <c r="Q323" i="1"/>
  <c r="R323" i="1" s="1"/>
  <c r="Q307" i="1"/>
  <c r="Q291" i="1"/>
  <c r="Q275" i="1"/>
  <c r="Q259" i="1"/>
  <c r="R259" i="1" s="1"/>
  <c r="Q2738" i="1"/>
  <c r="Q2722" i="1"/>
  <c r="Q2706" i="1"/>
  <c r="Q2690" i="1"/>
  <c r="R2690" i="1" s="1"/>
  <c r="Q2674" i="1"/>
  <c r="Q2658" i="1"/>
  <c r="Q2642" i="1"/>
  <c r="Q2626" i="1"/>
  <c r="R2626" i="1" s="1"/>
  <c r="Q2610" i="1"/>
  <c r="Q2594" i="1"/>
  <c r="Q2578" i="1"/>
  <c r="Q2562" i="1"/>
  <c r="R2562" i="1" s="1"/>
  <c r="Q2546" i="1"/>
  <c r="Q2530" i="1"/>
  <c r="Q2514" i="1"/>
  <c r="Q2498" i="1"/>
  <c r="R2498" i="1" s="1"/>
  <c r="Q2482" i="1"/>
  <c r="Q2466" i="1"/>
  <c r="Q2450" i="1"/>
  <c r="Q2434" i="1"/>
  <c r="R2434" i="1" s="1"/>
  <c r="Q2418" i="1"/>
  <c r="Q2473" i="1"/>
  <c r="Q2457" i="1"/>
  <c r="Q2441" i="1"/>
  <c r="R2441" i="1" s="1"/>
  <c r="Q2425" i="1"/>
  <c r="Q2409" i="1"/>
  <c r="Q2393" i="1"/>
  <c r="Q2377" i="1"/>
  <c r="R2377" i="1" s="1"/>
  <c r="Q2361" i="1"/>
  <c r="Q2345" i="1"/>
  <c r="Q2329" i="1"/>
  <c r="Q2313" i="1"/>
  <c r="R2313" i="1" s="1"/>
  <c r="Q2297" i="1"/>
  <c r="Q2684" i="1"/>
  <c r="Q2668" i="1"/>
  <c r="Q2652" i="1"/>
  <c r="R2652" i="1" s="1"/>
  <c r="Q2636" i="1"/>
  <c r="Q2620" i="1"/>
  <c r="Q2604" i="1"/>
  <c r="Q2588" i="1"/>
  <c r="R2588" i="1" s="1"/>
  <c r="Q2572" i="1"/>
  <c r="Q2556" i="1"/>
  <c r="Q2540" i="1"/>
  <c r="Q2524" i="1"/>
  <c r="R2524" i="1" s="1"/>
  <c r="Q2508" i="1"/>
  <c r="Q2492" i="1"/>
  <c r="Q2476" i="1"/>
  <c r="Q2460" i="1"/>
  <c r="R2460" i="1" s="1"/>
  <c r="Q2444" i="1"/>
  <c r="Q2428" i="1"/>
  <c r="Q2412" i="1"/>
  <c r="Q2396" i="1"/>
  <c r="R2396" i="1" s="1"/>
  <c r="Q2380" i="1"/>
  <c r="Q2364" i="1"/>
  <c r="Q2348" i="1"/>
  <c r="Q2332" i="1"/>
  <c r="R2332" i="1" s="1"/>
  <c r="Q2316" i="1"/>
  <c r="Q2300" i="1"/>
  <c r="Q2284" i="1"/>
  <c r="Q2268" i="1"/>
  <c r="R2268" i="1" s="1"/>
  <c r="Q2252" i="1"/>
  <c r="Q2236" i="1"/>
  <c r="Q2220" i="1"/>
  <c r="Q2204" i="1"/>
  <c r="R2204" i="1" s="1"/>
  <c r="Q2188" i="1"/>
  <c r="Q2172" i="1"/>
  <c r="Q2406" i="1"/>
  <c r="Q2390" i="1"/>
  <c r="R2390" i="1" s="1"/>
  <c r="Q2374" i="1"/>
  <c r="Q2358" i="1"/>
  <c r="Q2342" i="1"/>
  <c r="Q2326" i="1"/>
  <c r="R2326" i="1" s="1"/>
  <c r="Q2310" i="1"/>
  <c r="Q2294" i="1"/>
  <c r="Q2278" i="1"/>
  <c r="Q2262" i="1"/>
  <c r="R2262" i="1" s="1"/>
  <c r="Q2246" i="1"/>
  <c r="Q2230" i="1"/>
  <c r="Q2214" i="1"/>
  <c r="Q2198" i="1"/>
  <c r="R2198" i="1" s="1"/>
  <c r="Q2182" i="1"/>
  <c r="Q2166" i="1"/>
  <c r="Q2150" i="1"/>
  <c r="Q2134" i="1"/>
  <c r="R2134" i="1" s="1"/>
  <c r="Q2118" i="1"/>
  <c r="Q2102" i="1"/>
  <c r="Q2086" i="1"/>
  <c r="Q2070" i="1"/>
  <c r="R2070" i="1" s="1"/>
  <c r="Q2054" i="1"/>
  <c r="Q2038" i="1"/>
  <c r="Q2022" i="1"/>
  <c r="Q2006" i="1"/>
  <c r="R2006" i="1" s="1"/>
  <c r="Q1990" i="1"/>
  <c r="Q1974" i="1"/>
  <c r="Q1958" i="1"/>
  <c r="Q1942" i="1"/>
  <c r="R1942" i="1" s="1"/>
  <c r="Q1926" i="1"/>
  <c r="Q1910" i="1"/>
  <c r="Q1894" i="1"/>
  <c r="Q1878" i="1"/>
  <c r="R1878" i="1" s="1"/>
  <c r="Q1862" i="1"/>
  <c r="Q1846" i="1"/>
  <c r="Q1830" i="1"/>
  <c r="Q1814" i="1"/>
  <c r="R1814" i="1" s="1"/>
  <c r="Q1798" i="1"/>
  <c r="Q1782" i="1"/>
  <c r="Q1766" i="1"/>
  <c r="Q1750" i="1"/>
  <c r="R1750" i="1" s="1"/>
  <c r="Q1734" i="1"/>
  <c r="Q1718" i="1"/>
  <c r="Q1702" i="1"/>
  <c r="Q1686" i="1"/>
  <c r="R1686" i="1" s="1"/>
  <c r="Q1670" i="1"/>
  <c r="Q1654" i="1"/>
  <c r="Q1638" i="1"/>
  <c r="Q1622" i="1"/>
  <c r="R1622" i="1" s="1"/>
  <c r="Q1606" i="1"/>
  <c r="Q1590" i="1"/>
  <c r="Q2273" i="1"/>
  <c r="Q2257" i="1"/>
  <c r="R2257" i="1" s="1"/>
  <c r="Q2241" i="1"/>
  <c r="Q2225" i="1"/>
  <c r="Q2209" i="1"/>
  <c r="Q2193" i="1"/>
  <c r="R2193" i="1" s="1"/>
  <c r="Q2177" i="1"/>
  <c r="Q2161" i="1"/>
  <c r="Q2145" i="1"/>
  <c r="Q2129" i="1"/>
  <c r="R2129" i="1" s="1"/>
  <c r="Q2113" i="1"/>
  <c r="Q2097" i="1"/>
  <c r="Q2081" i="1"/>
  <c r="Q2065" i="1"/>
  <c r="R2065" i="1" s="1"/>
  <c r="Q2049" i="1"/>
  <c r="Q2033" i="1"/>
  <c r="Q2017" i="1"/>
  <c r="Q2001" i="1"/>
  <c r="R2001" i="1" s="1"/>
  <c r="Q1985" i="1"/>
  <c r="Q1969" i="1"/>
  <c r="Q1953" i="1"/>
  <c r="Q1937" i="1"/>
  <c r="R1937" i="1" s="1"/>
  <c r="Q1921" i="1"/>
  <c r="Q1905" i="1"/>
  <c r="Q1889" i="1"/>
  <c r="Q1873" i="1"/>
  <c r="R1873" i="1" s="1"/>
  <c r="Q1857" i="1"/>
  <c r="Q1841" i="1"/>
  <c r="Q1825" i="1"/>
  <c r="Q1809" i="1"/>
  <c r="R1809" i="1" s="1"/>
  <c r="Q1793" i="1"/>
  <c r="Q1777" i="1"/>
  <c r="Q1761" i="1"/>
  <c r="Q1745" i="1"/>
  <c r="R1745" i="1" s="1"/>
  <c r="Q1729" i="1"/>
  <c r="Q1713" i="1"/>
  <c r="Q1697" i="1"/>
  <c r="Q1681" i="1"/>
  <c r="R1681" i="1" s="1"/>
  <c r="Q1665" i="1"/>
  <c r="Q1649" i="1"/>
  <c r="Q1633" i="1"/>
  <c r="Q1617" i="1"/>
  <c r="R1617" i="1" s="1"/>
  <c r="Q2156" i="1"/>
  <c r="Q2140" i="1"/>
  <c r="Q2124" i="1"/>
  <c r="Q2108" i="1"/>
  <c r="R2108" i="1" s="1"/>
  <c r="Q2092" i="1"/>
  <c r="Q3079" i="1"/>
  <c r="Q2883" i="1"/>
  <c r="Q2739" i="1"/>
  <c r="R2739" i="1" s="1"/>
  <c r="Q2651" i="1"/>
  <c r="Q2547" i="1"/>
  <c r="Q2451" i="1"/>
  <c r="Q2355" i="1"/>
  <c r="R2355" i="1" s="1"/>
  <c r="Q2263" i="1"/>
  <c r="Q2167" i="1"/>
  <c r="Q2063" i="1"/>
  <c r="Q1975" i="1"/>
  <c r="R1975" i="1" s="1"/>
  <c r="Q1883" i="1"/>
  <c r="Q4990" i="1"/>
  <c r="Q4958" i="1"/>
  <c r="Q4926" i="1"/>
  <c r="R4926" i="1" s="1"/>
  <c r="Q4894" i="1"/>
  <c r="Q4862" i="1"/>
  <c r="Q4830" i="1"/>
  <c r="Q4798" i="1"/>
  <c r="R4798" i="1" s="1"/>
  <c r="Q4766" i="1"/>
  <c r="Q4734" i="1"/>
  <c r="Q4702" i="1"/>
  <c r="Q4670" i="1"/>
  <c r="Q4638" i="1"/>
  <c r="Q4606" i="1"/>
  <c r="Q4574" i="1"/>
  <c r="Q4542" i="1"/>
  <c r="R4542" i="1" s="1"/>
  <c r="Q4510" i="1"/>
  <c r="Q4478" i="1"/>
  <c r="Q4446" i="1"/>
  <c r="Q4414" i="1"/>
  <c r="R4414" i="1" s="1"/>
  <c r="Q4382" i="1"/>
  <c r="Q4350" i="1"/>
  <c r="Q4318" i="1"/>
  <c r="Q4286" i="1"/>
  <c r="R4286" i="1" s="1"/>
  <c r="Q4254" i="1"/>
  <c r="Q4222" i="1"/>
  <c r="Q4190" i="1"/>
  <c r="Q4158" i="1"/>
  <c r="R4158" i="1" s="1"/>
  <c r="Q3343" i="1"/>
  <c r="Q3215" i="1"/>
  <c r="Q3095" i="1"/>
  <c r="Q2995" i="1"/>
  <c r="R2995" i="1" s="1"/>
  <c r="Q2891" i="1"/>
  <c r="Q2795" i="1"/>
  <c r="Q2707" i="1"/>
  <c r="Q2611" i="1"/>
  <c r="R2611" i="1" s="1"/>
  <c r="Q2515" i="1"/>
  <c r="Q2415" i="1"/>
  <c r="Q2319" i="1"/>
  <c r="Q2227" i="1"/>
  <c r="R2227" i="1" s="1"/>
  <c r="Q2127" i="1"/>
  <c r="Q2027" i="1"/>
  <c r="Q1935" i="1"/>
  <c r="Q1847" i="1"/>
  <c r="R1847" i="1" s="1"/>
  <c r="Q4973" i="1"/>
  <c r="Q4941" i="1"/>
  <c r="Q4909" i="1"/>
  <c r="Q4877" i="1"/>
  <c r="R4877" i="1" s="1"/>
  <c r="Q4845" i="1"/>
  <c r="Q4813" i="1"/>
  <c r="Q4781" i="1"/>
  <c r="Q4749" i="1"/>
  <c r="R4749" i="1" s="1"/>
  <c r="Q4717" i="1"/>
  <c r="Q4685" i="1"/>
  <c r="Q4653" i="1"/>
  <c r="Q4621" i="1"/>
  <c r="R4621" i="1" s="1"/>
  <c r="Q4589" i="1"/>
  <c r="Q4557" i="1"/>
  <c r="Q4525" i="1"/>
  <c r="Q4493" i="1"/>
  <c r="R4493" i="1" s="1"/>
  <c r="Q4461" i="1"/>
  <c r="Q4429" i="1"/>
  <c r="Q4397" i="1"/>
  <c r="Q4365" i="1"/>
  <c r="R4365" i="1" s="1"/>
  <c r="Q4333" i="1"/>
  <c r="Q4301" i="1"/>
  <c r="Q4269" i="1"/>
  <c r="Q4237" i="1"/>
  <c r="R4237" i="1" s="1"/>
  <c r="Q4205" i="1"/>
  <c r="Q4173" i="1"/>
  <c r="Q4141" i="1"/>
  <c r="Q3271" i="1"/>
  <c r="R3271" i="1" s="1"/>
  <c r="Q3147" i="1"/>
  <c r="Q3039" i="1"/>
  <c r="Q2951" i="1"/>
  <c r="Q2851" i="1"/>
  <c r="R2851" i="1" s="1"/>
  <c r="Q2755" i="1"/>
  <c r="Q2643" i="1"/>
  <c r="Q2555" i="1"/>
  <c r="Q2459" i="1"/>
  <c r="R2459" i="1" s="1"/>
  <c r="Q2363" i="1"/>
  <c r="Q2271" i="1"/>
  <c r="Q2171" i="1"/>
  <c r="Q2079" i="1"/>
  <c r="R2079" i="1" s="1"/>
  <c r="Q1983" i="1"/>
  <c r="Q1879" i="1"/>
  <c r="Q4976" i="1"/>
  <c r="Q4944" i="1"/>
  <c r="R4944" i="1" s="1"/>
  <c r="Q4912" i="1"/>
  <c r="Q4880" i="1"/>
  <c r="Q4848" i="1"/>
  <c r="Q4816" i="1"/>
  <c r="R4816" i="1" s="1"/>
  <c r="Q4784" i="1"/>
  <c r="Q4752" i="1"/>
  <c r="Q4720" i="1"/>
  <c r="Q4700" i="1"/>
  <c r="R4700" i="1" s="1"/>
  <c r="Q4676" i="1"/>
  <c r="Q4656" i="1"/>
  <c r="Q4636" i="1"/>
  <c r="Q4612" i="1"/>
  <c r="R4612" i="1" s="1"/>
  <c r="Q4592" i="1"/>
  <c r="Q4572" i="1"/>
  <c r="Q4548" i="1"/>
  <c r="Q4528" i="1"/>
  <c r="R4528" i="1" s="1"/>
  <c r="Q4508" i="1"/>
  <c r="Q4484" i="1"/>
  <c r="Q4464" i="1"/>
  <c r="Q4448" i="1"/>
  <c r="R4448" i="1" s="1"/>
  <c r="Q4432" i="1"/>
  <c r="Q4416" i="1"/>
  <c r="Q4400" i="1"/>
  <c r="Q4384" i="1"/>
  <c r="R4384" i="1" s="1"/>
  <c r="Q4368" i="1"/>
  <c r="Q4352" i="1"/>
  <c r="Q4336" i="1"/>
  <c r="Q4320" i="1"/>
  <c r="R4320" i="1" s="1"/>
  <c r="Q4304" i="1"/>
  <c r="Q4288" i="1"/>
  <c r="Q4272" i="1"/>
  <c r="Q4256" i="1"/>
  <c r="R4256" i="1" s="1"/>
  <c r="Q4240" i="1"/>
  <c r="Q4224" i="1"/>
  <c r="Q4208" i="1"/>
  <c r="Q4192" i="1"/>
  <c r="R4192" i="1" s="1"/>
  <c r="Q4176" i="1"/>
  <c r="Q4160" i="1"/>
  <c r="Q4144" i="1"/>
  <c r="Q1835" i="1"/>
  <c r="R1835" i="1" s="1"/>
  <c r="Q1819" i="1"/>
  <c r="Q1803" i="1"/>
  <c r="Q1787" i="1"/>
  <c r="Q1771" i="1"/>
  <c r="R1771" i="1" s="1"/>
  <c r="Q1755" i="1"/>
  <c r="Q1739" i="1"/>
  <c r="Q1723" i="1"/>
  <c r="Q1707" i="1"/>
  <c r="R1707" i="1" s="1"/>
  <c r="Q1691" i="1"/>
  <c r="Q1675" i="1"/>
  <c r="Q1659" i="1"/>
  <c r="Q1643" i="1"/>
  <c r="R1643" i="1" s="1"/>
  <c r="Q1627" i="1"/>
  <c r="Q1611" i="1"/>
  <c r="Q1595" i="1"/>
  <c r="Q1579" i="1"/>
  <c r="R1579" i="1" s="1"/>
  <c r="Q1563" i="1"/>
  <c r="Q1547" i="1"/>
  <c r="Q1531" i="1"/>
  <c r="Q1515" i="1"/>
  <c r="R1515" i="1" s="1"/>
  <c r="Q1499" i="1"/>
  <c r="Q1483" i="1"/>
  <c r="Q1467" i="1"/>
  <c r="Q1451" i="1"/>
  <c r="R1451" i="1" s="1"/>
  <c r="Q1435" i="1"/>
  <c r="Q1419" i="1"/>
  <c r="Q1403" i="1"/>
  <c r="Q1387" i="1"/>
  <c r="R1387" i="1" s="1"/>
  <c r="Q1371" i="1"/>
  <c r="Q1355" i="1"/>
  <c r="Q1339" i="1"/>
  <c r="Q1323" i="1"/>
  <c r="R1323" i="1" s="1"/>
  <c r="Q1307" i="1"/>
  <c r="Q1291" i="1"/>
  <c r="Q1275" i="1"/>
  <c r="Q1259" i="1"/>
  <c r="R1259" i="1" s="1"/>
  <c r="Q1243" i="1"/>
  <c r="Q1227" i="1"/>
  <c r="Q1211" i="1"/>
  <c r="Q1195" i="1"/>
  <c r="R1195" i="1" s="1"/>
  <c r="Q1179" i="1"/>
  <c r="Q1163" i="1"/>
  <c r="Q4118" i="1"/>
  <c r="Q4102" i="1"/>
  <c r="R4102" i="1" s="1"/>
  <c r="Q4086" i="1"/>
  <c r="Q4070" i="1"/>
  <c r="Q4054" i="1"/>
  <c r="Q4038" i="1"/>
  <c r="R4038" i="1" s="1"/>
  <c r="Q4022" i="1"/>
  <c r="Q4006" i="1"/>
  <c r="Q3990" i="1"/>
  <c r="Q3974" i="1"/>
  <c r="R3974" i="1" s="1"/>
  <c r="Q3958" i="1"/>
  <c r="Q3942" i="1"/>
  <c r="Q3926" i="1"/>
  <c r="Q3910" i="1"/>
  <c r="R3910" i="1" s="1"/>
  <c r="Q3894" i="1"/>
  <c r="Q3878" i="1"/>
  <c r="Q3862" i="1"/>
  <c r="Q3846" i="1"/>
  <c r="R3846" i="1" s="1"/>
  <c r="Q3830" i="1"/>
  <c r="Q3814" i="1"/>
  <c r="Q3798" i="1"/>
  <c r="Q3782" i="1"/>
  <c r="R3782" i="1" s="1"/>
  <c r="Q3766" i="1"/>
  <c r="Q3750" i="1"/>
  <c r="Q3734" i="1"/>
  <c r="Q3718" i="1"/>
  <c r="R3718" i="1" s="1"/>
  <c r="Q3702" i="1"/>
  <c r="Q3686" i="1"/>
  <c r="Q3670" i="1"/>
  <c r="Q3654" i="1"/>
  <c r="R3654" i="1" s="1"/>
  <c r="Q3638" i="1"/>
  <c r="Q3622" i="1"/>
  <c r="Q3606" i="1"/>
  <c r="Q3590" i="1"/>
  <c r="R3590" i="1" s="1"/>
  <c r="Q3574" i="1"/>
  <c r="Q3558" i="1"/>
  <c r="Q3542" i="1"/>
  <c r="Q3526" i="1"/>
  <c r="R3526" i="1" s="1"/>
  <c r="Q3510" i="1"/>
  <c r="Q3494" i="1"/>
  <c r="Q3478" i="1"/>
  <c r="Q3462" i="1"/>
  <c r="R3462" i="1" s="1"/>
  <c r="Q3446" i="1"/>
  <c r="Q3430" i="1"/>
  <c r="Q3414" i="1"/>
  <c r="Q3398" i="1"/>
  <c r="R3398" i="1" s="1"/>
  <c r="Q3382" i="1"/>
  <c r="Q3366" i="1"/>
  <c r="Q4113" i="1"/>
  <c r="Q4097" i="1"/>
  <c r="R4097" i="1" s="1"/>
  <c r="Q4081" i="1"/>
  <c r="Q4065" i="1"/>
  <c r="Q4049" i="1"/>
  <c r="Q4033" i="1"/>
  <c r="R4033" i="1" s="1"/>
  <c r="Q4017" i="1"/>
  <c r="Q4001" i="1"/>
  <c r="Q3985" i="1"/>
  <c r="Q3969" i="1"/>
  <c r="R3969" i="1" s="1"/>
  <c r="Q3953" i="1"/>
  <c r="Q3937" i="1"/>
  <c r="Q3921" i="1"/>
  <c r="Q3905" i="1"/>
  <c r="R3905" i="1" s="1"/>
  <c r="Q3889" i="1"/>
  <c r="Q3873" i="1"/>
  <c r="Q3857" i="1"/>
  <c r="Q3841" i="1"/>
  <c r="R3841" i="1" s="1"/>
  <c r="Q3825" i="1"/>
  <c r="Q3809" i="1"/>
  <c r="Q3793" i="1"/>
  <c r="Q3777" i="1"/>
  <c r="R3777" i="1" s="1"/>
  <c r="Q3761" i="1"/>
  <c r="Q3745" i="1"/>
  <c r="Q3729" i="1"/>
  <c r="Q3713" i="1"/>
  <c r="R3713" i="1" s="1"/>
  <c r="Q3697" i="1"/>
  <c r="Q3681" i="1"/>
  <c r="Q3665" i="1"/>
  <c r="Q3649" i="1"/>
  <c r="R3649" i="1" s="1"/>
  <c r="Q3633" i="1"/>
  <c r="Q3617" i="1"/>
  <c r="Q3601" i="1"/>
  <c r="Q3585" i="1"/>
  <c r="R3585" i="1" s="1"/>
  <c r="Q3569" i="1"/>
  <c r="Q3553" i="1"/>
  <c r="Q3537" i="1"/>
  <c r="Q3521" i="1"/>
  <c r="Q3505" i="1"/>
  <c r="Q3489" i="1"/>
  <c r="Q3473" i="1"/>
  <c r="Q3457" i="1"/>
  <c r="R3457" i="1" s="1"/>
  <c r="Q3441" i="1"/>
  <c r="Q3425" i="1"/>
  <c r="Q3409" i="1"/>
  <c r="Q3393" i="1"/>
  <c r="R3393" i="1" s="1"/>
  <c r="Q3377" i="1"/>
  <c r="Q3361" i="1"/>
  <c r="Q3345" i="1"/>
  <c r="Q3329" i="1"/>
  <c r="R3329" i="1" s="1"/>
  <c r="Q3313" i="1"/>
  <c r="Q3297" i="1"/>
  <c r="Q3281" i="1"/>
  <c r="Q3265" i="1"/>
  <c r="R3265" i="1" s="1"/>
  <c r="Q4124" i="1"/>
  <c r="Q4108" i="1"/>
  <c r="Q4092" i="1"/>
  <c r="Q4076" i="1"/>
  <c r="R4076" i="1" s="1"/>
  <c r="Q4060" i="1"/>
  <c r="Q4044" i="1"/>
  <c r="Q4028" i="1"/>
  <c r="Q4012" i="1"/>
  <c r="R4012" i="1" s="1"/>
  <c r="Q3996" i="1"/>
  <c r="Q3980" i="1"/>
  <c r="Q3964" i="1"/>
  <c r="Q3948" i="1"/>
  <c r="R3948" i="1" s="1"/>
  <c r="Q3932" i="1"/>
  <c r="Q3916" i="1"/>
  <c r="Q3900" i="1"/>
  <c r="Q3884" i="1"/>
  <c r="R3884" i="1" s="1"/>
  <c r="Q3868" i="1"/>
  <c r="Q3852" i="1"/>
  <c r="Q3836" i="1"/>
  <c r="Q3820" i="1"/>
  <c r="R3820" i="1" s="1"/>
  <c r="Q3804" i="1"/>
  <c r="Q3788" i="1"/>
  <c r="Q3772" i="1"/>
  <c r="Q3756" i="1"/>
  <c r="R3756" i="1" s="1"/>
  <c r="Q3740" i="1"/>
  <c r="Q3724" i="1"/>
  <c r="Q3708" i="1"/>
  <c r="Q3692" i="1"/>
  <c r="R3692" i="1" s="1"/>
  <c r="Q3676" i="1"/>
  <c r="Q3660" i="1"/>
  <c r="Q3644" i="1"/>
  <c r="Q3628" i="1"/>
  <c r="R3628" i="1" s="1"/>
  <c r="Q3612" i="1"/>
  <c r="Q3596" i="1"/>
  <c r="Q3580" i="1"/>
  <c r="Q3564" i="1"/>
  <c r="R3564" i="1" s="1"/>
  <c r="Q3548" i="1"/>
  <c r="Q3532" i="1"/>
  <c r="Q3516" i="1"/>
  <c r="Q3500" i="1"/>
  <c r="R3500" i="1" s="1"/>
  <c r="Q3484" i="1"/>
  <c r="Q3468" i="1"/>
  <c r="Q3452" i="1"/>
  <c r="Q3436" i="1"/>
  <c r="R3436" i="1" s="1"/>
  <c r="Q3420" i="1"/>
  <c r="Q3404" i="1"/>
  <c r="Q3388" i="1"/>
  <c r="Q3372" i="1"/>
  <c r="R3372" i="1" s="1"/>
  <c r="Q1147" i="1"/>
  <c r="Q1131" i="1"/>
  <c r="Q1115" i="1"/>
  <c r="Q1099" i="1"/>
  <c r="R1099" i="1" s="1"/>
  <c r="Q1083" i="1"/>
  <c r="Q1067" i="1"/>
  <c r="Q1051" i="1"/>
  <c r="Q1035" i="1"/>
  <c r="R1035" i="1" s="1"/>
  <c r="Q1019" i="1"/>
  <c r="Q1003" i="1"/>
  <c r="Q987" i="1"/>
  <c r="Q971" i="1"/>
  <c r="R971" i="1" s="1"/>
  <c r="Q955" i="1"/>
  <c r="Q939" i="1"/>
  <c r="Q923" i="1"/>
  <c r="Q907" i="1"/>
  <c r="R907" i="1" s="1"/>
  <c r="Q891" i="1"/>
  <c r="Q875" i="1"/>
  <c r="Q859" i="1"/>
  <c r="Q843" i="1"/>
  <c r="R843" i="1" s="1"/>
  <c r="Q827" i="1"/>
  <c r="Q811" i="1"/>
  <c r="Q795" i="1"/>
  <c r="Q779" i="1"/>
  <c r="R779" i="1" s="1"/>
  <c r="Q763" i="1"/>
  <c r="Q747" i="1"/>
  <c r="Q731" i="1"/>
  <c r="Q715" i="1"/>
  <c r="R715" i="1" s="1"/>
  <c r="Q699" i="1"/>
  <c r="Q683" i="1"/>
  <c r="Q667" i="1"/>
  <c r="Q651" i="1"/>
  <c r="R651" i="1" s="1"/>
  <c r="Q635" i="1"/>
  <c r="Q619" i="1"/>
  <c r="Q603" i="1"/>
  <c r="Q3354" i="1"/>
  <c r="R3354" i="1" s="1"/>
  <c r="Q3338" i="1"/>
  <c r="Q3322" i="1"/>
  <c r="Q3306" i="1"/>
  <c r="Q3290" i="1"/>
  <c r="R3290" i="1" s="1"/>
  <c r="Q3274" i="1"/>
  <c r="Q3258" i="1"/>
  <c r="Q3242" i="1"/>
  <c r="Q3226" i="1"/>
  <c r="R3226" i="1" s="1"/>
  <c r="Q3210" i="1"/>
  <c r="Q3194" i="1"/>
  <c r="Q3178" i="1"/>
  <c r="Q3162" i="1"/>
  <c r="R3162" i="1" s="1"/>
  <c r="Q3146" i="1"/>
  <c r="Q3130" i="1"/>
  <c r="Q3114" i="1"/>
  <c r="Q3098" i="1"/>
  <c r="R3098" i="1" s="1"/>
  <c r="Q3082" i="1"/>
  <c r="Q3066" i="1"/>
  <c r="Q3050" i="1"/>
  <c r="Q3034" i="1"/>
  <c r="R3034" i="1" s="1"/>
  <c r="Q3018" i="1"/>
  <c r="Q3002" i="1"/>
  <c r="Q2986" i="1"/>
  <c r="Q2970" i="1"/>
  <c r="R2970" i="1" s="1"/>
  <c r="Q2954" i="1"/>
  <c r="Q2938" i="1"/>
  <c r="Q2922" i="1"/>
  <c r="Q2906" i="1"/>
  <c r="R2906" i="1" s="1"/>
  <c r="Q2890" i="1"/>
  <c r="Q2874" i="1"/>
  <c r="Q2858" i="1"/>
  <c r="Q2842" i="1"/>
  <c r="R2842" i="1" s="1"/>
  <c r="Q2826" i="1"/>
  <c r="Q2810" i="1"/>
  <c r="Q2794" i="1"/>
  <c r="Q2778" i="1"/>
  <c r="R2778" i="1" s="1"/>
  <c r="Q2762" i="1"/>
  <c r="Q3249" i="1"/>
  <c r="Q3233" i="1"/>
  <c r="Q3217" i="1"/>
  <c r="R3217" i="1" s="1"/>
  <c r="Q3201" i="1"/>
  <c r="Q3185" i="1"/>
  <c r="Q3169" i="1"/>
  <c r="Q3153" i="1"/>
  <c r="R3153" i="1" s="1"/>
  <c r="Q3137" i="1"/>
  <c r="Q3121" i="1"/>
  <c r="Q3105" i="1"/>
  <c r="Q3089" i="1"/>
  <c r="R3089" i="1" s="1"/>
  <c r="Q3073" i="1"/>
  <c r="Q3057" i="1"/>
  <c r="Q3041" i="1"/>
  <c r="Q3025" i="1"/>
  <c r="R3025" i="1" s="1"/>
  <c r="Q3009" i="1"/>
  <c r="Q2993" i="1"/>
  <c r="Q2977" i="1"/>
  <c r="Q2961" i="1"/>
  <c r="R2961" i="1" s="1"/>
  <c r="Q2945" i="1"/>
  <c r="Q2929" i="1"/>
  <c r="Q2913" i="1"/>
  <c r="Q2897" i="1"/>
  <c r="R2897" i="1" s="1"/>
  <c r="Q2881" i="1"/>
  <c r="Q2865" i="1"/>
  <c r="Q2849" i="1"/>
  <c r="Q2833" i="1"/>
  <c r="R2833" i="1" s="1"/>
  <c r="Q2817" i="1"/>
  <c r="Q2801" i="1"/>
  <c r="Q2785" i="1"/>
  <c r="Q2769" i="1"/>
  <c r="R2769" i="1" s="1"/>
  <c r="Q2753" i="1"/>
  <c r="Q2737" i="1"/>
  <c r="Q2721" i="1"/>
  <c r="Q2705" i="1"/>
  <c r="R2705" i="1" s="1"/>
  <c r="Q2689" i="1"/>
  <c r="Q2673" i="1"/>
  <c r="Q2657" i="1"/>
  <c r="Q2641" i="1"/>
  <c r="R2641" i="1" s="1"/>
  <c r="Q2625" i="1"/>
  <c r="Q2609" i="1"/>
  <c r="Q2593" i="1"/>
  <c r="Q2577" i="1"/>
  <c r="R2577" i="1" s="1"/>
  <c r="Q2561" i="1"/>
  <c r="Q2545" i="1"/>
  <c r="Q2529" i="1"/>
  <c r="Q2513" i="1"/>
  <c r="R2513" i="1" s="1"/>
  <c r="Q2497" i="1"/>
  <c r="Q2481" i="1"/>
  <c r="Q3352" i="1"/>
  <c r="Q3336" i="1"/>
  <c r="R3336" i="1" s="1"/>
  <c r="Q3320" i="1"/>
  <c r="Q3304" i="1"/>
  <c r="Q3288" i="1"/>
  <c r="Q3272" i="1"/>
  <c r="R3272" i="1" s="1"/>
  <c r="Q3256" i="1"/>
  <c r="Q3240" i="1"/>
  <c r="Q3224" i="1"/>
  <c r="Q3208" i="1"/>
  <c r="R3208" i="1" s="1"/>
  <c r="Q3192" i="1"/>
  <c r="Q3176" i="1"/>
  <c r="Q3160" i="1"/>
  <c r="Q3144" i="1"/>
  <c r="R3144" i="1" s="1"/>
  <c r="Q3128" i="1"/>
  <c r="Q3112" i="1"/>
  <c r="Q3096" i="1"/>
  <c r="Q3080" i="1"/>
  <c r="R3080" i="1" s="1"/>
  <c r="Q3064" i="1"/>
  <c r="Q3048" i="1"/>
  <c r="Q3032" i="1"/>
  <c r="Q3016" i="1"/>
  <c r="R3016" i="1" s="1"/>
  <c r="Q3000" i="1"/>
  <c r="Q2984" i="1"/>
  <c r="Q2968" i="1"/>
  <c r="Q2952" i="1"/>
  <c r="R2952" i="1" s="1"/>
  <c r="Q2936" i="1"/>
  <c r="Q2920" i="1"/>
  <c r="Q2904" i="1"/>
  <c r="Q2888" i="1"/>
  <c r="R2888" i="1" s="1"/>
  <c r="Q2872" i="1"/>
  <c r="Q2856" i="1"/>
  <c r="Q2840" i="1"/>
  <c r="Q2824" i="1"/>
  <c r="R2824" i="1" s="1"/>
  <c r="Q2808" i="1"/>
  <c r="Q2792" i="1"/>
  <c r="Q2776" i="1"/>
  <c r="Q2760" i="1"/>
  <c r="R2760" i="1" s="1"/>
  <c r="Q2744" i="1"/>
  <c r="Q2728" i="1"/>
  <c r="Q2712" i="1"/>
  <c r="Q2696" i="1"/>
  <c r="R2696" i="1" s="1"/>
  <c r="Q591" i="1"/>
  <c r="Q575" i="1"/>
  <c r="Q559" i="1"/>
  <c r="Q543" i="1"/>
  <c r="R543" i="1" s="1"/>
  <c r="Q527" i="1"/>
  <c r="Q511" i="1"/>
  <c r="Q495" i="1"/>
  <c r="Q479" i="1"/>
  <c r="R479" i="1" s="1"/>
  <c r="Q463" i="1"/>
  <c r="Q447" i="1"/>
  <c r="Q431" i="1"/>
  <c r="Q415" i="1"/>
  <c r="R415" i="1" s="1"/>
  <c r="Q399" i="1"/>
  <c r="Q383" i="1"/>
  <c r="Q367" i="1"/>
  <c r="Q351" i="1"/>
  <c r="R351" i="1" s="1"/>
  <c r="Q335" i="1"/>
  <c r="Q319" i="1"/>
  <c r="Q303" i="1"/>
  <c r="Q287" i="1"/>
  <c r="R287" i="1" s="1"/>
  <c r="Q271" i="1"/>
  <c r="Q2750" i="1"/>
  <c r="Q2734" i="1"/>
  <c r="Q2718" i="1"/>
  <c r="R2718" i="1" s="1"/>
  <c r="Q2702" i="1"/>
  <c r="Q2686" i="1"/>
  <c r="Q2670" i="1"/>
  <c r="Q2654" i="1"/>
  <c r="R2654" i="1" s="1"/>
  <c r="Q2638" i="1"/>
  <c r="Q2622" i="1"/>
  <c r="Q2606" i="1"/>
  <c r="Q2590" i="1"/>
  <c r="R2590" i="1" s="1"/>
  <c r="Q2574" i="1"/>
  <c r="Q2558" i="1"/>
  <c r="Q2542" i="1"/>
  <c r="Q2526" i="1"/>
  <c r="R2526" i="1" s="1"/>
  <c r="Q2510" i="1"/>
  <c r="Q2494" i="1"/>
  <c r="Q2478" i="1"/>
  <c r="Q2462" i="1"/>
  <c r="R2462" i="1" s="1"/>
  <c r="Q2446" i="1"/>
  <c r="Q2430" i="1"/>
  <c r="Q2414" i="1"/>
  <c r="Q2469" i="1"/>
  <c r="R2469" i="1" s="1"/>
  <c r="Q2453" i="1"/>
  <c r="Q2437" i="1"/>
  <c r="Q2421" i="1"/>
  <c r="Q2405" i="1"/>
  <c r="R2405" i="1" s="1"/>
  <c r="Q2389" i="1"/>
  <c r="Q2373" i="1"/>
  <c r="Q2357" i="1"/>
  <c r="Q2341" i="1"/>
  <c r="R2341" i="1" s="1"/>
  <c r="Q2325" i="1"/>
  <c r="Q2309" i="1"/>
  <c r="Q2293" i="1"/>
  <c r="Q2680" i="1"/>
  <c r="R2680" i="1" s="1"/>
  <c r="Q2664" i="1"/>
  <c r="Q2648" i="1"/>
  <c r="Q2632" i="1"/>
  <c r="Q2616" i="1"/>
  <c r="R2616" i="1" s="1"/>
  <c r="Q2600" i="1"/>
  <c r="Q2584" i="1"/>
  <c r="Q2568" i="1"/>
  <c r="Q2552" i="1"/>
  <c r="R2552" i="1" s="1"/>
  <c r="Q2536" i="1"/>
  <c r="Q2520" i="1"/>
  <c r="Q2504" i="1"/>
  <c r="Q2488" i="1"/>
  <c r="R2488" i="1" s="1"/>
  <c r="Q2472" i="1"/>
  <c r="Q2456" i="1"/>
  <c r="Q2440" i="1"/>
  <c r="Q2424" i="1"/>
  <c r="R2424" i="1" s="1"/>
  <c r="Q2408" i="1"/>
  <c r="Q2392" i="1"/>
  <c r="Q2376" i="1"/>
  <c r="Q2360" i="1"/>
  <c r="R2360" i="1" s="1"/>
  <c r="Q2344" i="1"/>
  <c r="Q2328" i="1"/>
  <c r="Q2312" i="1"/>
  <c r="Q2296" i="1"/>
  <c r="R2296" i="1" s="1"/>
  <c r="Q2280" i="1"/>
  <c r="Q2264" i="1"/>
  <c r="Q2248" i="1"/>
  <c r="Q2232" i="1"/>
  <c r="R2232" i="1" s="1"/>
  <c r="Q2216" i="1"/>
  <c r="Q2200" i="1"/>
  <c r="Q2184" i="1"/>
  <c r="Q2168" i="1"/>
  <c r="R2168" i="1" s="1"/>
  <c r="Q2402" i="1"/>
  <c r="Q2386" i="1"/>
  <c r="Q2370" i="1"/>
  <c r="Q2354" i="1"/>
  <c r="R2354" i="1" s="1"/>
  <c r="Q2338" i="1"/>
  <c r="Q2322" i="1"/>
  <c r="Q2306" i="1"/>
  <c r="Q2290" i="1"/>
  <c r="R2290" i="1" s="1"/>
  <c r="Q2274" i="1"/>
  <c r="Q2258" i="1"/>
  <c r="Q2242" i="1"/>
  <c r="Q2226" i="1"/>
  <c r="R2226" i="1" s="1"/>
  <c r="Q2210" i="1"/>
  <c r="Q2194" i="1"/>
  <c r="Q2178" i="1"/>
  <c r="Q2162" i="1"/>
  <c r="R2162" i="1" s="1"/>
  <c r="Q2146" i="1"/>
  <c r="Q2130" i="1"/>
  <c r="Q2114" i="1"/>
  <c r="Q2098" i="1"/>
  <c r="R2098" i="1" s="1"/>
  <c r="Q2082" i="1"/>
  <c r="Q2066" i="1"/>
  <c r="Q2050" i="1"/>
  <c r="Q2034" i="1"/>
  <c r="R2034" i="1" s="1"/>
  <c r="Q2018" i="1"/>
  <c r="Q2002" i="1"/>
  <c r="Q1986" i="1"/>
  <c r="Q1970" i="1"/>
  <c r="R1970" i="1" s="1"/>
  <c r="Q1954" i="1"/>
  <c r="Q1938" i="1"/>
  <c r="Q1922" i="1"/>
  <c r="Q1906" i="1"/>
  <c r="R1906" i="1" s="1"/>
  <c r="Q1890" i="1"/>
  <c r="Q1874" i="1"/>
  <c r="Q1858" i="1"/>
  <c r="Q1842" i="1"/>
  <c r="R1842" i="1" s="1"/>
  <c r="Q1826" i="1"/>
  <c r="Q1810" i="1"/>
  <c r="Q1794" i="1"/>
  <c r="Q1778" i="1"/>
  <c r="R1778" i="1" s="1"/>
  <c r="Q1762" i="1"/>
  <c r="Q1746" i="1"/>
  <c r="Q1730" i="1"/>
  <c r="Q1714" i="1"/>
  <c r="R1714" i="1" s="1"/>
  <c r="Q1698" i="1"/>
  <c r="Q1682" i="1"/>
  <c r="Q1666" i="1"/>
  <c r="Q1650" i="1"/>
  <c r="R1650" i="1" s="1"/>
  <c r="Q1634" i="1"/>
  <c r="Q1618" i="1"/>
  <c r="Q1602" i="1"/>
  <c r="Q1586" i="1"/>
  <c r="R1586" i="1" s="1"/>
  <c r="Q2269" i="1"/>
  <c r="Q2253" i="1"/>
  <c r="Q2237" i="1"/>
  <c r="Q2221" i="1"/>
  <c r="R2221" i="1" s="1"/>
  <c r="Q2205" i="1"/>
  <c r="Q2189" i="1"/>
  <c r="Q2173" i="1"/>
  <c r="Q2157" i="1"/>
  <c r="R2157" i="1" s="1"/>
  <c r="Q2141" i="1"/>
  <c r="Q2125" i="1"/>
  <c r="Q2109" i="1"/>
  <c r="Q2093" i="1"/>
  <c r="R2093" i="1" s="1"/>
  <c r="Q2077" i="1"/>
  <c r="Q2061" i="1"/>
  <c r="Q2045" i="1"/>
  <c r="Q2029" i="1"/>
  <c r="R2029" i="1" s="1"/>
  <c r="Q2013" i="1"/>
  <c r="Q1997" i="1"/>
  <c r="Q1981" i="1"/>
  <c r="Q1965" i="1"/>
  <c r="R1965" i="1" s="1"/>
  <c r="Q1949" i="1"/>
  <c r="Q1933" i="1"/>
  <c r="Q1917" i="1"/>
  <c r="Q1901" i="1"/>
  <c r="R1901" i="1" s="1"/>
  <c r="Q1885" i="1"/>
  <c r="Q1869" i="1"/>
  <c r="Q1853" i="1"/>
  <c r="Q1837" i="1"/>
  <c r="R1837" i="1" s="1"/>
  <c r="Q1821" i="1"/>
  <c r="Q1805" i="1"/>
  <c r="Q1789" i="1"/>
  <c r="Q1773" i="1"/>
  <c r="R1773" i="1" s="1"/>
  <c r="Q1757" i="1"/>
  <c r="Q1741" i="1"/>
  <c r="Q1725" i="1"/>
  <c r="Q1709" i="1"/>
  <c r="R1709" i="1" s="1"/>
  <c r="Q1693" i="1"/>
  <c r="Q1677" i="1"/>
  <c r="Q1661" i="1"/>
  <c r="Q1645" i="1"/>
  <c r="R1645" i="1" s="1"/>
  <c r="Q1629" i="1"/>
  <c r="Q1613" i="1"/>
  <c r="Q2152" i="1"/>
  <c r="Q2136" i="1"/>
  <c r="R2136" i="1" s="1"/>
  <c r="Q2120" i="1"/>
  <c r="Q2104" i="1"/>
  <c r="Q2088" i="1"/>
  <c r="Q3031" i="1"/>
  <c r="R3031" i="1" s="1"/>
  <c r="Q2831" i="1"/>
  <c r="Q2703" i="1"/>
  <c r="Q2615" i="1"/>
  <c r="Q2511" i="1"/>
  <c r="R2511" i="1" s="1"/>
  <c r="Q2419" i="1"/>
  <c r="Q2315" i="1"/>
  <c r="Q2223" i="1"/>
  <c r="Q2123" i="1"/>
  <c r="R2123" i="1" s="1"/>
  <c r="Q2031" i="1"/>
  <c r="Q1939" i="1"/>
  <c r="Q1855" i="1"/>
  <c r="Q4978" i="1"/>
  <c r="R4978" i="1" s="1"/>
  <c r="Q4946" i="1"/>
  <c r="Q4914" i="1"/>
  <c r="Q4882" i="1"/>
  <c r="Q4850" i="1"/>
  <c r="R4850" i="1" s="1"/>
  <c r="Q4818" i="1"/>
  <c r="Q4786" i="1"/>
  <c r="Q4754" i="1"/>
  <c r="Q4722" i="1"/>
  <c r="R4722" i="1" s="1"/>
  <c r="Q4690" i="1"/>
  <c r="Q4658" i="1"/>
  <c r="Q4626" i="1"/>
  <c r="Q4594" i="1"/>
  <c r="R4594" i="1" s="1"/>
  <c r="Q4562" i="1"/>
  <c r="Q4530" i="1"/>
  <c r="Q4498" i="1"/>
  <c r="Q4466" i="1"/>
  <c r="R4466" i="1" s="1"/>
  <c r="Q4434" i="1"/>
  <c r="Q4402" i="1"/>
  <c r="Q4370" i="1"/>
  <c r="Q4338" i="1"/>
  <c r="R4338" i="1" s="1"/>
  <c r="Q4306" i="1"/>
  <c r="Q4274" i="1"/>
  <c r="Q4242" i="1"/>
  <c r="Q4210" i="1"/>
  <c r="R4210" i="1" s="1"/>
  <c r="Q4178" i="1"/>
  <c r="Q4146" i="1"/>
  <c r="Q3295" i="1"/>
  <c r="Q3171" i="1"/>
  <c r="R3171" i="1" s="1"/>
  <c r="Q3059" i="1"/>
  <c r="Q2955" i="1"/>
  <c r="Q2859" i="1"/>
  <c r="Q2759" i="1"/>
  <c r="R2759" i="1" s="1"/>
  <c r="Q2667" i="1"/>
  <c r="Q2571" i="1"/>
  <c r="Q2475" i="1"/>
  <c r="Q2383" i="1"/>
  <c r="R2383" i="1" s="1"/>
  <c r="Q2279" i="1"/>
  <c r="Q2187" i="1"/>
  <c r="Q2091" i="1"/>
  <c r="Q1991" i="1"/>
  <c r="R1991" i="1" s="1"/>
  <c r="Q1899" i="1"/>
  <c r="Q4993" i="1"/>
  <c r="Q4961" i="1"/>
  <c r="Q4929" i="1"/>
  <c r="R4929" i="1" s="1"/>
  <c r="Q4897" i="1"/>
  <c r="Q4865" i="1"/>
  <c r="Q4833" i="1"/>
  <c r="Q4801" i="1"/>
  <c r="R4801" i="1" s="1"/>
  <c r="Q4769" i="1"/>
  <c r="Q4737" i="1"/>
  <c r="Q4705" i="1"/>
  <c r="Q4673" i="1"/>
  <c r="R4673" i="1" s="1"/>
  <c r="Q4641" i="1"/>
  <c r="Q4609" i="1"/>
  <c r="Q4577" i="1"/>
  <c r="Q4545" i="1"/>
  <c r="R4545" i="1" s="1"/>
  <c r="Q4513" i="1"/>
  <c r="Q4481" i="1"/>
  <c r="Q4449" i="1"/>
  <c r="Q4417" i="1"/>
  <c r="R4417" i="1" s="1"/>
  <c r="Q4385" i="1"/>
  <c r="Q4353" i="1"/>
  <c r="Q4321" i="1"/>
  <c r="Q4289" i="1"/>
  <c r="R4289" i="1" s="1"/>
  <c r="Q4257" i="1"/>
  <c r="Q4225" i="1"/>
  <c r="Q4193" i="1"/>
  <c r="Q4161" i="1"/>
  <c r="R4161" i="1" s="1"/>
  <c r="Q4129" i="1"/>
  <c r="Q3223" i="1"/>
  <c r="Q3103" i="1"/>
  <c r="Q3011" i="1"/>
  <c r="R3011" i="1" s="1"/>
  <c r="Q2911" i="1"/>
  <c r="Q2815" i="1"/>
  <c r="Q2711" i="1"/>
  <c r="Q2607" i="1"/>
  <c r="R2607" i="1" s="1"/>
  <c r="Q2519" i="1"/>
  <c r="Q2423" i="1"/>
  <c r="Q2335" i="1"/>
  <c r="Q2231" i="1"/>
  <c r="R2231" i="1" s="1"/>
  <c r="Q2143" i="1"/>
  <c r="Q2047" i="1"/>
  <c r="Q1943" i="1"/>
  <c r="Q4996" i="1"/>
  <c r="R4996" i="1" s="1"/>
  <c r="Q4964" i="1"/>
  <c r="Q4932" i="1"/>
  <c r="Q4900" i="1"/>
  <c r="Q4868" i="1"/>
  <c r="R4868" i="1" s="1"/>
  <c r="Q4836" i="1"/>
  <c r="Q4804" i="1"/>
  <c r="Q4772" i="1"/>
  <c r="Q4740" i="1"/>
  <c r="R4740" i="1" s="1"/>
  <c r="Q4716" i="1"/>
  <c r="Q4692" i="1"/>
  <c r="Q4672" i="1"/>
  <c r="Q4652" i="1"/>
  <c r="R4652" i="1" s="1"/>
  <c r="Q4628" i="1"/>
  <c r="Q4608" i="1"/>
  <c r="Q4588" i="1"/>
  <c r="Q4564" i="1"/>
  <c r="R4564" i="1" s="1"/>
  <c r="Q4544" i="1"/>
  <c r="Q4524" i="1"/>
  <c r="Q4500" i="1"/>
  <c r="Q4480" i="1"/>
  <c r="R4480" i="1" s="1"/>
  <c r="Q4460" i="1"/>
  <c r="Q4444" i="1"/>
  <c r="Q4428" i="1"/>
  <c r="Q4412" i="1"/>
  <c r="R4412" i="1" s="1"/>
  <c r="Q4396" i="1"/>
  <c r="Q4380" i="1"/>
  <c r="Q4364" i="1"/>
  <c r="Q4348" i="1"/>
  <c r="Q4332" i="1"/>
  <c r="Q4316" i="1"/>
  <c r="Q4300" i="1"/>
  <c r="Q4284" i="1"/>
  <c r="R4284" i="1" s="1"/>
  <c r="Q4268" i="1"/>
  <c r="Q4252" i="1"/>
  <c r="Q4236" i="1"/>
  <c r="Q4220" i="1"/>
  <c r="R4220" i="1" s="1"/>
  <c r="Q4204" i="1"/>
  <c r="Q4188" i="1"/>
  <c r="Q4172" i="1"/>
  <c r="Q4156" i="1"/>
  <c r="R4156" i="1" s="1"/>
  <c r="Q4140" i="1"/>
  <c r="Q1831" i="1"/>
  <c r="Q1815" i="1"/>
  <c r="Q1799" i="1"/>
  <c r="Q1783" i="1"/>
  <c r="Q1767" i="1"/>
  <c r="Q1751" i="1"/>
  <c r="Q1735" i="1"/>
  <c r="R1735" i="1" s="1"/>
  <c r="Q1719" i="1"/>
  <c r="Q1703" i="1"/>
  <c r="Q1687" i="1"/>
  <c r="Q1671" i="1"/>
  <c r="R1671" i="1" s="1"/>
  <c r="Q1655" i="1"/>
  <c r="Q1639" i="1"/>
  <c r="Q1623" i="1"/>
  <c r="Q1607" i="1"/>
  <c r="R1607" i="1" s="1"/>
  <c r="Q1591" i="1"/>
  <c r="Q1575" i="1"/>
  <c r="Q1559" i="1"/>
  <c r="Q1543" i="1"/>
  <c r="R1543" i="1" s="1"/>
  <c r="Q1527" i="1"/>
  <c r="Q1511" i="1"/>
  <c r="Q1495" i="1"/>
  <c r="Q1479" i="1"/>
  <c r="R1479" i="1" s="1"/>
  <c r="Q1463" i="1"/>
  <c r="Q1447" i="1"/>
  <c r="Q1431" i="1"/>
  <c r="Q1415" i="1"/>
  <c r="R1415" i="1" s="1"/>
  <c r="Q1399" i="1"/>
  <c r="Q1383" i="1"/>
  <c r="Q1367" i="1"/>
  <c r="Q1351" i="1"/>
  <c r="R1351" i="1" s="1"/>
  <c r="Q1335" i="1"/>
  <c r="Q1303" i="1"/>
  <c r="Q1271" i="1"/>
  <c r="Q1239" i="1"/>
  <c r="R1239" i="1" s="1"/>
  <c r="Q1207" i="1"/>
  <c r="Q1175" i="1"/>
  <c r="Q4114" i="1"/>
  <c r="Q4082" i="1"/>
  <c r="R4082" i="1" s="1"/>
  <c r="Q4050" i="1"/>
  <c r="Q4018" i="1"/>
  <c r="Q3986" i="1"/>
  <c r="Q3954" i="1"/>
  <c r="R3954" i="1" s="1"/>
  <c r="Q3922" i="1"/>
  <c r="Q3890" i="1"/>
  <c r="Q3858" i="1"/>
  <c r="Q3826" i="1"/>
  <c r="R3826" i="1" s="1"/>
  <c r="Q3794" i="1"/>
  <c r="Q3762" i="1"/>
  <c r="Q3730" i="1"/>
  <c r="Q3698" i="1"/>
  <c r="R3698" i="1" s="1"/>
  <c r="Q3666" i="1"/>
  <c r="Q3634" i="1"/>
  <c r="Q3602" i="1"/>
  <c r="Q3570" i="1"/>
  <c r="R3570" i="1" s="1"/>
  <c r="Q3538" i="1"/>
  <c r="Q3506" i="1"/>
  <c r="Q3474" i="1"/>
  <c r="Q3442" i="1"/>
  <c r="R3442" i="1" s="1"/>
  <c r="Q3410" i="1"/>
  <c r="Q3378" i="1"/>
  <c r="Q4109" i="1"/>
  <c r="Q4077" i="1"/>
  <c r="R4077" i="1" s="1"/>
  <c r="Q4045" i="1"/>
  <c r="Q4013" i="1"/>
  <c r="Q3981" i="1"/>
  <c r="Q3949" i="1"/>
  <c r="R3949" i="1" s="1"/>
  <c r="Q3917" i="1"/>
  <c r="Q3885" i="1"/>
  <c r="Q3853" i="1"/>
  <c r="Q3821" i="1"/>
  <c r="R3821" i="1" s="1"/>
  <c r="Q3789" i="1"/>
  <c r="Q3757" i="1"/>
  <c r="Q3725" i="1"/>
  <c r="Q3693" i="1"/>
  <c r="R3693" i="1" s="1"/>
  <c r="Q3661" i="1"/>
  <c r="Q3629" i="1"/>
  <c r="Q3597" i="1"/>
  <c r="Q3565" i="1"/>
  <c r="R3565" i="1" s="1"/>
  <c r="Q3533" i="1"/>
  <c r="Q3501" i="1"/>
  <c r="Q3469" i="1"/>
  <c r="Q3437" i="1"/>
  <c r="R3437" i="1" s="1"/>
  <c r="Q3405" i="1"/>
  <c r="Q3373" i="1"/>
  <c r="Q3341" i="1"/>
  <c r="Q3309" i="1"/>
  <c r="R3309" i="1" s="1"/>
  <c r="Q3277" i="1"/>
  <c r="Q4120" i="1"/>
  <c r="Q4088" i="1"/>
  <c r="Q4056" i="1"/>
  <c r="R4056" i="1" s="1"/>
  <c r="Q4024" i="1"/>
  <c r="Q3992" i="1"/>
  <c r="Q3960" i="1"/>
  <c r="Q3928" i="1"/>
  <c r="R3928" i="1" s="1"/>
  <c r="Q3896" i="1"/>
  <c r="Q3864" i="1"/>
  <c r="Q3832" i="1"/>
  <c r="Q3800" i="1"/>
  <c r="R3800" i="1" s="1"/>
  <c r="Q3768" i="1"/>
  <c r="Q3736" i="1"/>
  <c r="Q3704" i="1"/>
  <c r="Q3672" i="1"/>
  <c r="R3672" i="1" s="1"/>
  <c r="Q3640" i="1"/>
  <c r="Q3608" i="1"/>
  <c r="Q3576" i="1"/>
  <c r="Q3544" i="1"/>
  <c r="R3544" i="1" s="1"/>
  <c r="Q3512" i="1"/>
  <c r="Q3480" i="1"/>
  <c r="Q3448" i="1"/>
  <c r="Q3416" i="1"/>
  <c r="R3416" i="1" s="1"/>
  <c r="Q3384" i="1"/>
  <c r="Q1143" i="1"/>
  <c r="Q1111" i="1"/>
  <c r="Q1079" i="1"/>
  <c r="R1079" i="1" s="1"/>
  <c r="Q1047" i="1"/>
  <c r="Q1015" i="1"/>
  <c r="Q983" i="1"/>
  <c r="Q951" i="1"/>
  <c r="R951" i="1" s="1"/>
  <c r="Q919" i="1"/>
  <c r="Q887" i="1"/>
  <c r="Q855" i="1"/>
  <c r="Q823" i="1"/>
  <c r="R823" i="1" s="1"/>
  <c r="Q791" i="1"/>
  <c r="Q759" i="1"/>
  <c r="Q727" i="1"/>
  <c r="Q695" i="1"/>
  <c r="R695" i="1" s="1"/>
  <c r="Q663" i="1"/>
  <c r="Q631" i="1"/>
  <c r="Q599" i="1"/>
  <c r="Q3334" i="1"/>
  <c r="R3334" i="1" s="1"/>
  <c r="Q3302" i="1"/>
  <c r="Q3270" i="1"/>
  <c r="Q3238" i="1"/>
  <c r="Q3206" i="1"/>
  <c r="R3206" i="1" s="1"/>
  <c r="Q3174" i="1"/>
  <c r="Q3142" i="1"/>
  <c r="Q3110" i="1"/>
  <c r="Q3078" i="1"/>
  <c r="R3078" i="1" s="1"/>
  <c r="Q3046" i="1"/>
  <c r="Q3014" i="1"/>
  <c r="Q2982" i="1"/>
  <c r="Q2950" i="1"/>
  <c r="R2950" i="1" s="1"/>
  <c r="Q2918" i="1"/>
  <c r="Q2886" i="1"/>
  <c r="Q2854" i="1"/>
  <c r="Q2822" i="1"/>
  <c r="R2822" i="1" s="1"/>
  <c r="Q2790" i="1"/>
  <c r="Q2758" i="1"/>
  <c r="Q3229" i="1"/>
  <c r="Q3197" i="1"/>
  <c r="R3197" i="1" s="1"/>
  <c r="Q3165" i="1"/>
  <c r="Q3133" i="1"/>
  <c r="Q3101" i="1"/>
  <c r="Q3069" i="1"/>
  <c r="R3069" i="1" s="1"/>
  <c r="Q3037" i="1"/>
  <c r="Q3005" i="1"/>
  <c r="Q2973" i="1"/>
  <c r="Q2941" i="1"/>
  <c r="R2941" i="1" s="1"/>
  <c r="Q2909" i="1"/>
  <c r="Q2877" i="1"/>
  <c r="Q2845" i="1"/>
  <c r="Q2813" i="1"/>
  <c r="R2813" i="1" s="1"/>
  <c r="Q2781" i="1"/>
  <c r="Q2749" i="1"/>
  <c r="Q2717" i="1"/>
  <c r="Q2685" i="1"/>
  <c r="R2685" i="1" s="1"/>
  <c r="Q2653" i="1"/>
  <c r="Q2621" i="1"/>
  <c r="Q2589" i="1"/>
  <c r="Q2557" i="1"/>
  <c r="R2557" i="1" s="1"/>
  <c r="Q2525" i="1"/>
  <c r="Q2493" i="1"/>
  <c r="Q3348" i="1"/>
  <c r="Q3316" i="1"/>
  <c r="R3316" i="1" s="1"/>
  <c r="Q3284" i="1"/>
  <c r="Q3252" i="1"/>
  <c r="Q3220" i="1"/>
  <c r="Q3188" i="1"/>
  <c r="R3188" i="1" s="1"/>
  <c r="Q3156" i="1"/>
  <c r="Q3124" i="1"/>
  <c r="Q3092" i="1"/>
  <c r="Q3060" i="1"/>
  <c r="R3060" i="1" s="1"/>
  <c r="Q3028" i="1"/>
  <c r="Q2996" i="1"/>
  <c r="Q2964" i="1"/>
  <c r="Q2932" i="1"/>
  <c r="R2932" i="1" s="1"/>
  <c r="Q2900" i="1"/>
  <c r="Q2868" i="1"/>
  <c r="Q2836" i="1"/>
  <c r="Q2804" i="1"/>
  <c r="R2804" i="1" s="1"/>
  <c r="Q2772" i="1"/>
  <c r="Q2740" i="1"/>
  <c r="Q2708" i="1"/>
  <c r="Q587" i="1"/>
  <c r="R587" i="1" s="1"/>
  <c r="Q555" i="1"/>
  <c r="Q523" i="1"/>
  <c r="Q491" i="1"/>
  <c r="Q459" i="1"/>
  <c r="R459" i="1" s="1"/>
  <c r="Q427" i="1"/>
  <c r="Q395" i="1"/>
  <c r="Q363" i="1"/>
  <c r="Q331" i="1"/>
  <c r="R331" i="1" s="1"/>
  <c r="Q299" i="1"/>
  <c r="Q267" i="1"/>
  <c r="Q2730" i="1"/>
  <c r="Q2698" i="1"/>
  <c r="R2698" i="1" s="1"/>
  <c r="Q2666" i="1"/>
  <c r="Q2634" i="1"/>
  <c r="Q2602" i="1"/>
  <c r="Q2570" i="1"/>
  <c r="R2570" i="1" s="1"/>
  <c r="Q2538" i="1"/>
  <c r="Q2506" i="1"/>
  <c r="Q2474" i="1"/>
  <c r="Q2442" i="1"/>
  <c r="R2442" i="1" s="1"/>
  <c r="Q2410" i="1"/>
  <c r="Q2449" i="1"/>
  <c r="Q2417" i="1"/>
  <c r="Q2385" i="1"/>
  <c r="R2385" i="1" s="1"/>
  <c r="Q2353" i="1"/>
  <c r="Q2321" i="1"/>
  <c r="Q2289" i="1"/>
  <c r="Q2660" i="1"/>
  <c r="R2660" i="1" s="1"/>
  <c r="Q2628" i="1"/>
  <c r="Q2596" i="1"/>
  <c r="Q2564" i="1"/>
  <c r="Q2532" i="1"/>
  <c r="R2532" i="1" s="1"/>
  <c r="Q2500" i="1"/>
  <c r="Q2468" i="1"/>
  <c r="Q2436" i="1"/>
  <c r="Q2404" i="1"/>
  <c r="R2404" i="1" s="1"/>
  <c r="Q2372" i="1"/>
  <c r="Q2340" i="1"/>
  <c r="Q2308" i="1"/>
  <c r="Q2276" i="1"/>
  <c r="R2276" i="1" s="1"/>
  <c r="Q2244" i="1"/>
  <c r="Q2212" i="1"/>
  <c r="Q2180" i="1"/>
  <c r="Q2398" i="1"/>
  <c r="R2398" i="1" s="1"/>
  <c r="Q2366" i="1"/>
  <c r="Q2334" i="1"/>
  <c r="Q2302" i="1"/>
  <c r="Q2270" i="1"/>
  <c r="R2270" i="1" s="1"/>
  <c r="Q2238" i="1"/>
  <c r="Q2206" i="1"/>
  <c r="Q2174" i="1"/>
  <c r="Q2142" i="1"/>
  <c r="R2142" i="1" s="1"/>
  <c r="Q2110" i="1"/>
  <c r="Q2078" i="1"/>
  <c r="Q2046" i="1"/>
  <c r="Q2014" i="1"/>
  <c r="R2014" i="1" s="1"/>
  <c r="Q1982" i="1"/>
  <c r="Q1950" i="1"/>
  <c r="Q1918" i="1"/>
  <c r="Q1886" i="1"/>
  <c r="R1886" i="1" s="1"/>
  <c r="Q1854" i="1"/>
  <c r="Q1822" i="1"/>
  <c r="Q1790" i="1"/>
  <c r="Q1758" i="1"/>
  <c r="R1758" i="1" s="1"/>
  <c r="Q1726" i="1"/>
  <c r="Q1694" i="1"/>
  <c r="Q1662" i="1"/>
  <c r="Q1630" i="1"/>
  <c r="R1630" i="1" s="1"/>
  <c r="Q1598" i="1"/>
  <c r="Q2265" i="1"/>
  <c r="Q2233" i="1"/>
  <c r="Q2201" i="1"/>
  <c r="R2201" i="1" s="1"/>
  <c r="Q2169" i="1"/>
  <c r="Q2137" i="1"/>
  <c r="Q2105" i="1"/>
  <c r="Q2073" i="1"/>
  <c r="R2073" i="1" s="1"/>
  <c r="Q2041" i="1"/>
  <c r="Q2009" i="1"/>
  <c r="Q1977" i="1"/>
  <c r="Q1945" i="1"/>
  <c r="R1945" i="1" s="1"/>
  <c r="Q1913" i="1"/>
  <c r="Q1881" i="1"/>
  <c r="Q1849" i="1"/>
  <c r="Q1817" i="1"/>
  <c r="R1817" i="1" s="1"/>
  <c r="Q1785" i="1"/>
  <c r="Q1753" i="1"/>
  <c r="Q1721" i="1"/>
  <c r="Q1689" i="1"/>
  <c r="R1689" i="1" s="1"/>
  <c r="Q1657" i="1"/>
  <c r="Q1625" i="1"/>
  <c r="Q2148" i="1"/>
  <c r="Q2116" i="1"/>
  <c r="R2116" i="1" s="1"/>
  <c r="Q2084" i="1"/>
  <c r="Q2068" i="1"/>
  <c r="Q2052" i="1"/>
  <c r="Q2036" i="1"/>
  <c r="R2036" i="1" s="1"/>
  <c r="Q2020" i="1"/>
  <c r="Q2004" i="1"/>
  <c r="Q1988" i="1"/>
  <c r="Q1972" i="1"/>
  <c r="R1972" i="1" s="1"/>
  <c r="Q1956" i="1"/>
  <c r="Q1940" i="1"/>
  <c r="Q1924" i="1"/>
  <c r="Q1908" i="1"/>
  <c r="R1908" i="1" s="1"/>
  <c r="Q1892" i="1"/>
  <c r="Q1876" i="1"/>
  <c r="Q1860" i="1"/>
  <c r="Q1844" i="1"/>
  <c r="R1844" i="1" s="1"/>
  <c r="Q1828" i="1"/>
  <c r="Q1812" i="1"/>
  <c r="Q1796" i="1"/>
  <c r="Q1780" i="1"/>
  <c r="R1780" i="1" s="1"/>
  <c r="Q1764" i="1"/>
  <c r="Q1748" i="1"/>
  <c r="Q1732" i="1"/>
  <c r="Q1716" i="1"/>
  <c r="R1716" i="1" s="1"/>
  <c r="Q1700" i="1"/>
  <c r="Q1684" i="1"/>
  <c r="Q1668" i="1"/>
  <c r="Q1652" i="1"/>
  <c r="R1652" i="1" s="1"/>
  <c r="Q1636" i="1"/>
  <c r="Q1620" i="1"/>
  <c r="Q1604" i="1"/>
  <c r="Q1574" i="1"/>
  <c r="R1574" i="1" s="1"/>
  <c r="Q1558" i="1"/>
  <c r="Q1542" i="1"/>
  <c r="Q1526" i="1"/>
  <c r="Q1510" i="1"/>
  <c r="R1510" i="1" s="1"/>
  <c r="Q1494" i="1"/>
  <c r="Q1478" i="1"/>
  <c r="Q1462" i="1"/>
  <c r="Q1446" i="1"/>
  <c r="R1446" i="1" s="1"/>
  <c r="Q1430" i="1"/>
  <c r="Q1414" i="1"/>
  <c r="Q1398" i="1"/>
  <c r="Q1382" i="1"/>
  <c r="R1382" i="1" s="1"/>
  <c r="Q1366" i="1"/>
  <c r="Q1350" i="1"/>
  <c r="Q1334" i="1"/>
  <c r="Q1318" i="1"/>
  <c r="R1318" i="1" s="1"/>
  <c r="Q1302" i="1"/>
  <c r="Q1286" i="1"/>
  <c r="Q1270" i="1"/>
  <c r="Q1254" i="1"/>
  <c r="R1254" i="1" s="1"/>
  <c r="Q1238" i="1"/>
  <c r="Q1222" i="1"/>
  <c r="Q1206" i="1"/>
  <c r="Q1190" i="1"/>
  <c r="R1190" i="1" s="1"/>
  <c r="Q1174" i="1"/>
  <c r="Q1158" i="1"/>
  <c r="Q1142" i="1"/>
  <c r="Q1126" i="1"/>
  <c r="R1126" i="1" s="1"/>
  <c r="Q1110" i="1"/>
  <c r="Q1094" i="1"/>
  <c r="Q1078" i="1"/>
  <c r="Q1062" i="1"/>
  <c r="R1062" i="1" s="1"/>
  <c r="Q1046" i="1"/>
  <c r="Q1030" i="1"/>
  <c r="Q1014" i="1"/>
  <c r="Q998" i="1"/>
  <c r="R998" i="1" s="1"/>
  <c r="Q982" i="1"/>
  <c r="Q966" i="1"/>
  <c r="Q950" i="1"/>
  <c r="Q934" i="1"/>
  <c r="R934" i="1" s="1"/>
  <c r="Q918" i="1"/>
  <c r="Q1601" i="1"/>
  <c r="Q1585" i="1"/>
  <c r="Q1569" i="1"/>
  <c r="R1569" i="1" s="1"/>
  <c r="Q1553" i="1"/>
  <c r="Q1537" i="1"/>
  <c r="Q1521" i="1"/>
  <c r="Q1505" i="1"/>
  <c r="R1505" i="1" s="1"/>
  <c r="Q1489" i="1"/>
  <c r="Q1473" i="1"/>
  <c r="Q1457" i="1"/>
  <c r="Q1441" i="1"/>
  <c r="R1441" i="1" s="1"/>
  <c r="Q1425" i="1"/>
  <c r="Q1331" i="1"/>
  <c r="Q1299" i="1"/>
  <c r="Q1267" i="1"/>
  <c r="R1267" i="1" s="1"/>
  <c r="Q1235" i="1"/>
  <c r="Q1203" i="1"/>
  <c r="Q1171" i="1"/>
  <c r="Q4110" i="1"/>
  <c r="R4110" i="1" s="1"/>
  <c r="Q4078" i="1"/>
  <c r="Q4046" i="1"/>
  <c r="Q4014" i="1"/>
  <c r="Q3982" i="1"/>
  <c r="R3982" i="1" s="1"/>
  <c r="Q3950" i="1"/>
  <c r="Q3918" i="1"/>
  <c r="Q3886" i="1"/>
  <c r="Q3854" i="1"/>
  <c r="R3854" i="1" s="1"/>
  <c r="Q3822" i="1"/>
  <c r="Q3790" i="1"/>
  <c r="Q3758" i="1"/>
  <c r="Q3726" i="1"/>
  <c r="R3726" i="1" s="1"/>
  <c r="Q3694" i="1"/>
  <c r="Q3662" i="1"/>
  <c r="Q3630" i="1"/>
  <c r="Q3598" i="1"/>
  <c r="R3598" i="1" s="1"/>
  <c r="Q3566" i="1"/>
  <c r="Q3534" i="1"/>
  <c r="Q3502" i="1"/>
  <c r="Q3470" i="1"/>
  <c r="R3470" i="1" s="1"/>
  <c r="Q3438" i="1"/>
  <c r="Q3406" i="1"/>
  <c r="Q3374" i="1"/>
  <c r="Q4105" i="1"/>
  <c r="R4105" i="1" s="1"/>
  <c r="Q4073" i="1"/>
  <c r="Q4041" i="1"/>
  <c r="Q4009" i="1"/>
  <c r="Q3977" i="1"/>
  <c r="R3977" i="1" s="1"/>
  <c r="Q3945" i="1"/>
  <c r="Q3913" i="1"/>
  <c r="Q3881" i="1"/>
  <c r="Q3849" i="1"/>
  <c r="R3849" i="1" s="1"/>
  <c r="Q3817" i="1"/>
  <c r="Q3785" i="1"/>
  <c r="Q3753" i="1"/>
  <c r="Q3721" i="1"/>
  <c r="R3721" i="1" s="1"/>
  <c r="Q3689" i="1"/>
  <c r="Q3657" i="1"/>
  <c r="Q3625" i="1"/>
  <c r="Q3593" i="1"/>
  <c r="R3593" i="1" s="1"/>
  <c r="Q3561" i="1"/>
  <c r="Q3529" i="1"/>
  <c r="Q3497" i="1"/>
  <c r="Q3465" i="1"/>
  <c r="R3465" i="1" s="1"/>
  <c r="Q3433" i="1"/>
  <c r="Q3401" i="1"/>
  <c r="Q3369" i="1"/>
  <c r="Q3337" i="1"/>
  <c r="R3337" i="1" s="1"/>
  <c r="Q3305" i="1"/>
  <c r="Q3273" i="1"/>
  <c r="Q4116" i="1"/>
  <c r="Q4084" i="1"/>
  <c r="R4084" i="1" s="1"/>
  <c r="Q4052" i="1"/>
  <c r="Q4020" i="1"/>
  <c r="Q3988" i="1"/>
  <c r="Q3956" i="1"/>
  <c r="R3956" i="1" s="1"/>
  <c r="Q3924" i="1"/>
  <c r="Q3892" i="1"/>
  <c r="Q3860" i="1"/>
  <c r="Q3828" i="1"/>
  <c r="R3828" i="1" s="1"/>
  <c r="Q3796" i="1"/>
  <c r="Q3764" i="1"/>
  <c r="Q3732" i="1"/>
  <c r="Q3700" i="1"/>
  <c r="R3700" i="1" s="1"/>
  <c r="Q3668" i="1"/>
  <c r="Q3636" i="1"/>
  <c r="Q3604" i="1"/>
  <c r="Q3572" i="1"/>
  <c r="R3572" i="1" s="1"/>
  <c r="Q3540" i="1"/>
  <c r="Q3508" i="1"/>
  <c r="Q3476" i="1"/>
  <c r="Q3444" i="1"/>
  <c r="R3444" i="1" s="1"/>
  <c r="Q3412" i="1"/>
  <c r="Q3380" i="1"/>
  <c r="Q1139" i="1"/>
  <c r="Q1107" i="1"/>
  <c r="R1107" i="1" s="1"/>
  <c r="Q1075" i="1"/>
  <c r="Q1043" i="1"/>
  <c r="Q1011" i="1"/>
  <c r="Q979" i="1"/>
  <c r="R979" i="1" s="1"/>
  <c r="Q947" i="1"/>
  <c r="Q915" i="1"/>
  <c r="Q883" i="1"/>
  <c r="Q851" i="1"/>
  <c r="R851" i="1" s="1"/>
  <c r="Q819" i="1"/>
  <c r="Q787" i="1"/>
  <c r="Q755" i="1"/>
  <c r="Q723" i="1"/>
  <c r="R723" i="1" s="1"/>
  <c r="Q691" i="1"/>
  <c r="Q659" i="1"/>
  <c r="Q627" i="1"/>
  <c r="Q3362" i="1"/>
  <c r="R3362" i="1" s="1"/>
  <c r="Q3330" i="1"/>
  <c r="Q3298" i="1"/>
  <c r="Q3266" i="1"/>
  <c r="Q3234" i="1"/>
  <c r="R3234" i="1" s="1"/>
  <c r="Q3202" i="1"/>
  <c r="Q3170" i="1"/>
  <c r="Q3138" i="1"/>
  <c r="Q3106" i="1"/>
  <c r="R3106" i="1" s="1"/>
  <c r="Q3074" i="1"/>
  <c r="Q3042" i="1"/>
  <c r="Q3010" i="1"/>
  <c r="Q2978" i="1"/>
  <c r="R2978" i="1" s="1"/>
  <c r="Q2946" i="1"/>
  <c r="Q2914" i="1"/>
  <c r="Q2882" i="1"/>
  <c r="Q2850" i="1"/>
  <c r="R2850" i="1" s="1"/>
  <c r="Q2818" i="1"/>
  <c r="Q2786" i="1"/>
  <c r="Q2754" i="1"/>
  <c r="Q3225" i="1"/>
  <c r="R3225" i="1" s="1"/>
  <c r="Q3193" i="1"/>
  <c r="Q3161" i="1"/>
  <c r="Q3129" i="1"/>
  <c r="Q3097" i="1"/>
  <c r="R3097" i="1" s="1"/>
  <c r="Q3065" i="1"/>
  <c r="Q3033" i="1"/>
  <c r="Q3001" i="1"/>
  <c r="Q2969" i="1"/>
  <c r="R2969" i="1" s="1"/>
  <c r="Q2937" i="1"/>
  <c r="Q2905" i="1"/>
  <c r="Q2873" i="1"/>
  <c r="Q2841" i="1"/>
  <c r="R2841" i="1" s="1"/>
  <c r="Q2809" i="1"/>
  <c r="Q2777" i="1"/>
  <c r="Q2745" i="1"/>
  <c r="Q2713" i="1"/>
  <c r="R2713" i="1" s="1"/>
  <c r="Q2681" i="1"/>
  <c r="Q2649" i="1"/>
  <c r="Q2617" i="1"/>
  <c r="Q2585" i="1"/>
  <c r="R2585" i="1" s="1"/>
  <c r="Q2553" i="1"/>
  <c r="Q2521" i="1"/>
  <c r="Q2489" i="1"/>
  <c r="Q3344" i="1"/>
  <c r="R3344" i="1" s="1"/>
  <c r="Q3312" i="1"/>
  <c r="Q3280" i="1"/>
  <c r="Q3248" i="1"/>
  <c r="Q3216" i="1"/>
  <c r="R3216" i="1" s="1"/>
  <c r="Q3184" i="1"/>
  <c r="Q3152" i="1"/>
  <c r="Q3120" i="1"/>
  <c r="Q3088" i="1"/>
  <c r="R3088" i="1" s="1"/>
  <c r="Q3056" i="1"/>
  <c r="Q3024" i="1"/>
  <c r="Q2992" i="1"/>
  <c r="Q2960" i="1"/>
  <c r="R2960" i="1" s="1"/>
  <c r="Q2928" i="1"/>
  <c r="Q2896" i="1"/>
  <c r="Q2864" i="1"/>
  <c r="Q2832" i="1"/>
  <c r="R2832" i="1" s="1"/>
  <c r="Q2800" i="1"/>
  <c r="Q2768" i="1"/>
  <c r="Q2736" i="1"/>
  <c r="Q2704" i="1"/>
  <c r="R2704" i="1" s="1"/>
  <c r="Q583" i="1"/>
  <c r="Q551" i="1"/>
  <c r="Q519" i="1"/>
  <c r="Q487" i="1"/>
  <c r="R487" i="1" s="1"/>
  <c r="Q455" i="1"/>
  <c r="Q423" i="1"/>
  <c r="Q391" i="1"/>
  <c r="Q359" i="1"/>
  <c r="R359" i="1" s="1"/>
  <c r="Q327" i="1"/>
  <c r="Q295" i="1"/>
  <c r="Q263" i="1"/>
  <c r="Q2726" i="1"/>
  <c r="R2726" i="1" s="1"/>
  <c r="Q2694" i="1"/>
  <c r="Q2662" i="1"/>
  <c r="Q2630" i="1"/>
  <c r="Q2598" i="1"/>
  <c r="R2598" i="1" s="1"/>
  <c r="Q2566" i="1"/>
  <c r="Q2534" i="1"/>
  <c r="Q2502" i="1"/>
  <c r="Q2470" i="1"/>
  <c r="R2470" i="1" s="1"/>
  <c r="Q2438" i="1"/>
  <c r="Q2477" i="1"/>
  <c r="Q2445" i="1"/>
  <c r="Q2413" i="1"/>
  <c r="R2413" i="1" s="1"/>
  <c r="Q2381" i="1"/>
  <c r="Q2349" i="1"/>
  <c r="Q2317" i="1"/>
  <c r="Q2285" i="1"/>
  <c r="R2285" i="1" s="1"/>
  <c r="Q2656" i="1"/>
  <c r="Q2624" i="1"/>
  <c r="Q2592" i="1"/>
  <c r="Q2560" i="1"/>
  <c r="R2560" i="1" s="1"/>
  <c r="Q2528" i="1"/>
  <c r="Q2496" i="1"/>
  <c r="Q2464" i="1"/>
  <c r="Q2432" i="1"/>
  <c r="R2432" i="1" s="1"/>
  <c r="Q2400" i="1"/>
  <c r="Q2368" i="1"/>
  <c r="Q2336" i="1"/>
  <c r="Q2304" i="1"/>
  <c r="R2304" i="1" s="1"/>
  <c r="Q2272" i="1"/>
  <c r="Q2240" i="1"/>
  <c r="Q2208" i="1"/>
  <c r="Q2176" i="1"/>
  <c r="R2176" i="1" s="1"/>
  <c r="Q2394" i="1"/>
  <c r="Q2362" i="1"/>
  <c r="Q2330" i="1"/>
  <c r="Q2298" i="1"/>
  <c r="R2298" i="1" s="1"/>
  <c r="Q2266" i="1"/>
  <c r="Q2234" i="1"/>
  <c r="Q2202" i="1"/>
  <c r="Q2170" i="1"/>
  <c r="R2170" i="1" s="1"/>
  <c r="Q2138" i="1"/>
  <c r="Q2106" i="1"/>
  <c r="Q2074" i="1"/>
  <c r="Q2042" i="1"/>
  <c r="R2042" i="1" s="1"/>
  <c r="Q2010" i="1"/>
  <c r="Q1978" i="1"/>
  <c r="Q1946" i="1"/>
  <c r="Q1914" i="1"/>
  <c r="R1914" i="1" s="1"/>
  <c r="Q1882" i="1"/>
  <c r="Q1850" i="1"/>
  <c r="Q1818" i="1"/>
  <c r="Q1786" i="1"/>
  <c r="R1786" i="1" s="1"/>
  <c r="Q1754" i="1"/>
  <c r="Q1722" i="1"/>
  <c r="Q1690" i="1"/>
  <c r="Q1658" i="1"/>
  <c r="R1658" i="1" s="1"/>
  <c r="Q1626" i="1"/>
  <c r="Q1594" i="1"/>
  <c r="Q2261" i="1"/>
  <c r="Q2229" i="1"/>
  <c r="R2229" i="1" s="1"/>
  <c r="Q2197" i="1"/>
  <c r="Q2165" i="1"/>
  <c r="Q2133" i="1"/>
  <c r="Q2101" i="1"/>
  <c r="R2101" i="1" s="1"/>
  <c r="Q2069" i="1"/>
  <c r="Q2037" i="1"/>
  <c r="Q2005" i="1"/>
  <c r="Q1973" i="1"/>
  <c r="R1973" i="1" s="1"/>
  <c r="Q1941" i="1"/>
  <c r="Q1909" i="1"/>
  <c r="Q1877" i="1"/>
  <c r="Q1845" i="1"/>
  <c r="R1845" i="1" s="1"/>
  <c r="Q1813" i="1"/>
  <c r="Q1781" i="1"/>
  <c r="Q1749" i="1"/>
  <c r="Q1717" i="1"/>
  <c r="R1717" i="1" s="1"/>
  <c r="Q1685" i="1"/>
  <c r="Q1653" i="1"/>
  <c r="Q1621" i="1"/>
  <c r="Q2144" i="1"/>
  <c r="R2144" i="1" s="1"/>
  <c r="Q2112" i="1"/>
  <c r="Q2080" i="1"/>
  <c r="Q2064" i="1"/>
  <c r="Q2048" i="1"/>
  <c r="R2048" i="1" s="1"/>
  <c r="Q2032" i="1"/>
  <c r="Q2016" i="1"/>
  <c r="Q2000" i="1"/>
  <c r="Q1984" i="1"/>
  <c r="R1984" i="1" s="1"/>
  <c r="Q1968" i="1"/>
  <c r="Q1952" i="1"/>
  <c r="Q1936" i="1"/>
  <c r="Q1920" i="1"/>
  <c r="R1920" i="1" s="1"/>
  <c r="Q1904" i="1"/>
  <c r="Q1888" i="1"/>
  <c r="Q1872" i="1"/>
  <c r="Q1856" i="1"/>
  <c r="R1856" i="1" s="1"/>
  <c r="Q1840" i="1"/>
  <c r="Q1824" i="1"/>
  <c r="Q1808" i="1"/>
  <c r="Q1792" i="1"/>
  <c r="R1792" i="1" s="1"/>
  <c r="Q1776" i="1"/>
  <c r="Q1760" i="1"/>
  <c r="Q1744" i="1"/>
  <c r="Q1728" i="1"/>
  <c r="R1728" i="1" s="1"/>
  <c r="Q1712" i="1"/>
  <c r="Q1696" i="1"/>
  <c r="Q1680" i="1"/>
  <c r="Q1664" i="1"/>
  <c r="R1664" i="1" s="1"/>
  <c r="Q1648" i="1"/>
  <c r="Q1632" i="1"/>
  <c r="Q1616" i="1"/>
  <c r="Q255" i="1"/>
  <c r="R255" i="1" s="1"/>
  <c r="Q1570" i="1"/>
  <c r="Q1554" i="1"/>
  <c r="Q1538" i="1"/>
  <c r="Q1522" i="1"/>
  <c r="R1522" i="1" s="1"/>
  <c r="Q1506" i="1"/>
  <c r="Q1490" i="1"/>
  <c r="Q1474" i="1"/>
  <c r="Q1458" i="1"/>
  <c r="R1458" i="1" s="1"/>
  <c r="Q1442" i="1"/>
  <c r="Q1426" i="1"/>
  <c r="Q1410" i="1"/>
  <c r="Q1394" i="1"/>
  <c r="R1394" i="1" s="1"/>
  <c r="Q1378" i="1"/>
  <c r="Q1362" i="1"/>
  <c r="Q1346" i="1"/>
  <c r="Q1330" i="1"/>
  <c r="R1330" i="1" s="1"/>
  <c r="Q1314" i="1"/>
  <c r="Q1298" i="1"/>
  <c r="Q1282" i="1"/>
  <c r="Q1266" i="1"/>
  <c r="R1266" i="1" s="1"/>
  <c r="Q1250" i="1"/>
  <c r="Q1234" i="1"/>
  <c r="Q1218" i="1"/>
  <c r="Q1202" i="1"/>
  <c r="R1202" i="1" s="1"/>
  <c r="Q1186" i="1"/>
  <c r="Q1170" i="1"/>
  <c r="Q1154" i="1"/>
  <c r="Q1319" i="1"/>
  <c r="R1319" i="1" s="1"/>
  <c r="Q1287" i="1"/>
  <c r="Q1255" i="1"/>
  <c r="Q1223" i="1"/>
  <c r="Q1191" i="1"/>
  <c r="R1191" i="1" s="1"/>
  <c r="Q1159" i="1"/>
  <c r="Q4098" i="1"/>
  <c r="Q4066" i="1"/>
  <c r="Q4034" i="1"/>
  <c r="R4034" i="1" s="1"/>
  <c r="Q4002" i="1"/>
  <c r="Q3970" i="1"/>
  <c r="Q3938" i="1"/>
  <c r="Q3906" i="1"/>
  <c r="R3906" i="1" s="1"/>
  <c r="Q3874" i="1"/>
  <c r="Q3842" i="1"/>
  <c r="Q3810" i="1"/>
  <c r="Q3778" i="1"/>
  <c r="R3778" i="1" s="1"/>
  <c r="Q3746" i="1"/>
  <c r="Q3714" i="1"/>
  <c r="Q3682" i="1"/>
  <c r="Q3650" i="1"/>
  <c r="R3650" i="1" s="1"/>
  <c r="Q3618" i="1"/>
  <c r="Q3586" i="1"/>
  <c r="Q3554" i="1"/>
  <c r="Q3522" i="1"/>
  <c r="R3522" i="1" s="1"/>
  <c r="Q3490" i="1"/>
  <c r="Q3458" i="1"/>
  <c r="Q3426" i="1"/>
  <c r="Q3394" i="1"/>
  <c r="R3394" i="1" s="1"/>
  <c r="Q4125" i="1"/>
  <c r="Q4093" i="1"/>
  <c r="Q4061" i="1"/>
  <c r="Q4029" i="1"/>
  <c r="R4029" i="1" s="1"/>
  <c r="Q3997" i="1"/>
  <c r="Q3965" i="1"/>
  <c r="Q3933" i="1"/>
  <c r="Q3901" i="1"/>
  <c r="R3901" i="1" s="1"/>
  <c r="Q3869" i="1"/>
  <c r="Q3837" i="1"/>
  <c r="Q3805" i="1"/>
  <c r="Q3773" i="1"/>
  <c r="R3773" i="1" s="1"/>
  <c r="Q3741" i="1"/>
  <c r="Q3709" i="1"/>
  <c r="Q3677" i="1"/>
  <c r="Q3645" i="1"/>
  <c r="R3645" i="1" s="1"/>
  <c r="Q3613" i="1"/>
  <c r="Q3581" i="1"/>
  <c r="Q3549" i="1"/>
  <c r="Q3517" i="1"/>
  <c r="R3517" i="1" s="1"/>
  <c r="Q3485" i="1"/>
  <c r="Q3453" i="1"/>
  <c r="Q3421" i="1"/>
  <c r="Q3389" i="1"/>
  <c r="R3389" i="1" s="1"/>
  <c r="Q3357" i="1"/>
  <c r="Q3325" i="1"/>
  <c r="Q3293" i="1"/>
  <c r="Q3261" i="1"/>
  <c r="R3261" i="1" s="1"/>
  <c r="Q4104" i="1"/>
  <c r="Q4072" i="1"/>
  <c r="Q4040" i="1"/>
  <c r="Q4008" i="1"/>
  <c r="R4008" i="1" s="1"/>
  <c r="Q3976" i="1"/>
  <c r="Q3944" i="1"/>
  <c r="Q3912" i="1"/>
  <c r="Q3880" i="1"/>
  <c r="R3880" i="1" s="1"/>
  <c r="Q3848" i="1"/>
  <c r="Q3816" i="1"/>
  <c r="Q3784" i="1"/>
  <c r="Q3752" i="1"/>
  <c r="R3752" i="1" s="1"/>
  <c r="Q3720" i="1"/>
  <c r="Q3688" i="1"/>
  <c r="Q3656" i="1"/>
  <c r="Q3624" i="1"/>
  <c r="R3624" i="1" s="1"/>
  <c r="Q3592" i="1"/>
  <c r="Q3560" i="1"/>
  <c r="Q3528" i="1"/>
  <c r="Q3496" i="1"/>
  <c r="R3496" i="1" s="1"/>
  <c r="Q3464" i="1"/>
  <c r="Q3432" i="1"/>
  <c r="Q3400" i="1"/>
  <c r="Q3368" i="1"/>
  <c r="R3368" i="1" s="1"/>
  <c r="Q1127" i="1"/>
  <c r="Q1315" i="1"/>
  <c r="Q180" i="1"/>
  <c r="Q504" i="1"/>
  <c r="R504" i="1" s="1"/>
  <c r="Q1272" i="1"/>
  <c r="Q52" i="1"/>
  <c r="Q164" i="1"/>
  <c r="Q292" i="1"/>
  <c r="R292" i="1" s="1"/>
  <c r="Q65" i="1"/>
  <c r="Q161" i="1"/>
  <c r="Q257" i="1"/>
  <c r="Q22" i="1"/>
  <c r="Q118" i="1"/>
  <c r="Q198" i="1"/>
  <c r="Q360" i="1"/>
  <c r="Q456" i="1"/>
  <c r="R456" i="1" s="1"/>
  <c r="Q552" i="1"/>
  <c r="Q648" i="1"/>
  <c r="Q405" i="1"/>
  <c r="Q517" i="1"/>
  <c r="R517" i="1" s="1"/>
  <c r="Q629" i="1"/>
  <c r="Q334" i="1"/>
  <c r="Q446" i="1"/>
  <c r="Q692" i="1"/>
  <c r="R692" i="1" s="1"/>
  <c r="Q820" i="1"/>
  <c r="Q932" i="1"/>
  <c r="Q697" i="1"/>
  <c r="Q825" i="1"/>
  <c r="R825" i="1" s="1"/>
  <c r="Q953" i="1"/>
  <c r="Q614" i="1"/>
  <c r="Q758" i="1"/>
  <c r="Q902" i="1"/>
  <c r="R902" i="1" s="1"/>
  <c r="Q127" i="1"/>
  <c r="Q1048" i="1"/>
  <c r="Q1192" i="1"/>
  <c r="Q1352" i="1"/>
  <c r="R1352" i="1" s="1"/>
  <c r="Q1528" i="1"/>
  <c r="Q1133" i="1"/>
  <c r="Q1325" i="1"/>
  <c r="Q1529" i="1"/>
  <c r="R1529" i="1" s="1"/>
  <c r="Q1042" i="1"/>
  <c r="Q1278" i="1"/>
  <c r="Q1534" i="1"/>
  <c r="Q1772" i="1"/>
  <c r="R1772" i="1" s="1"/>
  <c r="Q1996" i="1"/>
  <c r="Q1801" i="1"/>
  <c r="Q2121" i="1"/>
  <c r="Q1742" i="1"/>
  <c r="R1742" i="1" s="1"/>
  <c r="Q1934" i="1"/>
  <c r="Q2126" i="1"/>
  <c r="Q2318" i="1"/>
  <c r="Q2260" i="1"/>
  <c r="R2260" i="1" s="1"/>
  <c r="Q2324" i="1"/>
  <c r="Q2388" i="1"/>
  <c r="Q2452" i="1"/>
  <c r="Q2644" i="1"/>
  <c r="R2644" i="1" s="1"/>
  <c r="Q2305" i="1"/>
  <c r="Q2369" i="1"/>
  <c r="Q2433" i="1"/>
  <c r="Q2426" i="1"/>
  <c r="R2426" i="1" s="1"/>
  <c r="Q2490" i="1"/>
  <c r="Q2554" i="1"/>
  <c r="Q2618" i="1"/>
  <c r="Q2682" i="1"/>
  <c r="R2682" i="1" s="1"/>
  <c r="Q2746" i="1"/>
  <c r="Q315" i="1"/>
  <c r="Q507" i="1"/>
  <c r="Q571" i="1"/>
  <c r="R571" i="1" s="1"/>
  <c r="Q2724" i="1"/>
  <c r="Q2788" i="1"/>
  <c r="Q2852" i="1"/>
  <c r="Q2916" i="1"/>
  <c r="R2916" i="1" s="1"/>
  <c r="Q2980" i="1"/>
  <c r="Q3044" i="1"/>
  <c r="Q3108" i="1"/>
  <c r="Q3172" i="1"/>
  <c r="R3172" i="1" s="1"/>
  <c r="Q3236" i="1"/>
  <c r="Q3300" i="1"/>
  <c r="Q3364" i="1"/>
  <c r="Q2541" i="1"/>
  <c r="R2541" i="1" s="1"/>
  <c r="Q2605" i="1"/>
  <c r="Q2669" i="1"/>
  <c r="Q2733" i="1"/>
  <c r="Q2797" i="1"/>
  <c r="R2797" i="1" s="1"/>
  <c r="Q2861" i="1"/>
  <c r="Q2925" i="1"/>
  <c r="Q2989" i="1"/>
  <c r="Q3053" i="1"/>
  <c r="R3053" i="1" s="1"/>
  <c r="Q3117" i="1"/>
  <c r="Q3181" i="1"/>
  <c r="Q3245" i="1"/>
  <c r="Q2806" i="1"/>
  <c r="R2806" i="1" s="1"/>
  <c r="Q2870" i="1"/>
  <c r="Q2934" i="1"/>
  <c r="Q2998" i="1"/>
  <c r="Q3062" i="1"/>
  <c r="R3062" i="1" s="1"/>
  <c r="Q3126" i="1"/>
  <c r="Q3190" i="1"/>
  <c r="Q3254" i="1"/>
  <c r="Q3318" i="1"/>
  <c r="R3318" i="1" s="1"/>
  <c r="Q615" i="1"/>
  <c r="Q679" i="1"/>
  <c r="Q743" i="1"/>
  <c r="Q807" i="1"/>
  <c r="R807" i="1" s="1"/>
  <c r="Q871" i="1"/>
  <c r="Q935" i="1"/>
  <c r="Q999" i="1"/>
  <c r="Q1063" i="1"/>
  <c r="R1063" i="1" s="1"/>
  <c r="Q1155" i="1"/>
  <c r="Q3492" i="1"/>
  <c r="Q3620" i="1"/>
  <c r="Q3748" i="1"/>
  <c r="R3748" i="1" s="1"/>
  <c r="Q3876" i="1"/>
  <c r="Q4004" i="1"/>
  <c r="Q3257" i="1"/>
  <c r="Q3385" i="1"/>
  <c r="R3385" i="1" s="1"/>
  <c r="Q3513" i="1"/>
  <c r="Q3641" i="1"/>
  <c r="Q3769" i="1"/>
  <c r="Q3897" i="1"/>
  <c r="R3897" i="1" s="1"/>
  <c r="Q4025" i="1"/>
  <c r="Q3390" i="1"/>
  <c r="Q3518" i="1"/>
  <c r="Q3646" i="1"/>
  <c r="R3646" i="1" s="1"/>
  <c r="Q3774" i="1"/>
  <c r="Q3902" i="1"/>
  <c r="Q8" i="1"/>
  <c r="Q24" i="1"/>
  <c r="R24" i="1" s="1"/>
  <c r="Q40" i="1"/>
  <c r="Q56" i="1"/>
  <c r="Q72" i="1"/>
  <c r="Q88" i="1"/>
  <c r="R88" i="1" s="1"/>
  <c r="Q104" i="1"/>
  <c r="Q120" i="1"/>
  <c r="Q136" i="1"/>
  <c r="Q152" i="1"/>
  <c r="R152" i="1" s="1"/>
  <c r="Q168" i="1"/>
  <c r="Q184" i="1"/>
  <c r="Q200" i="1"/>
  <c r="Q216" i="1"/>
  <c r="R216" i="1" s="1"/>
  <c r="Q232" i="1"/>
  <c r="Q248" i="1"/>
  <c r="Q264" i="1"/>
  <c r="Q280" i="1"/>
  <c r="R280" i="1" s="1"/>
  <c r="Q296" i="1"/>
  <c r="Q312" i="1"/>
  <c r="Q328" i="1"/>
  <c r="Q5" i="1"/>
  <c r="R5" i="1" s="1"/>
  <c r="Q21" i="1"/>
  <c r="Q37" i="1"/>
  <c r="Q53" i="1"/>
  <c r="Q69" i="1"/>
  <c r="R69" i="1" s="1"/>
  <c r="Q85" i="1"/>
  <c r="Q101" i="1"/>
  <c r="Q117" i="1"/>
  <c r="Q133" i="1"/>
  <c r="R133" i="1" s="1"/>
  <c r="Q149" i="1"/>
  <c r="Q165" i="1"/>
  <c r="Q181" i="1"/>
  <c r="Q197" i="1"/>
  <c r="Q213" i="1"/>
  <c r="Q229" i="1"/>
  <c r="Q245" i="1"/>
  <c r="Q261" i="1"/>
  <c r="R261" i="1" s="1"/>
  <c r="Q277" i="1"/>
  <c r="Q293" i="1"/>
  <c r="Q309" i="1"/>
  <c r="Q325" i="1"/>
  <c r="R325" i="1" s="1"/>
  <c r="Q341" i="1"/>
  <c r="Q10" i="1"/>
  <c r="Q26" i="1"/>
  <c r="Q42" i="1"/>
  <c r="R42" i="1" s="1"/>
  <c r="Q58" i="1"/>
  <c r="Q74" i="1"/>
  <c r="Q90" i="1"/>
  <c r="Q106" i="1"/>
  <c r="R106" i="1" s="1"/>
  <c r="Q122" i="1"/>
  <c r="Q138" i="1"/>
  <c r="Q154" i="1"/>
  <c r="Q170" i="1"/>
  <c r="R170" i="1" s="1"/>
  <c r="Q186" i="1"/>
  <c r="Q202" i="1"/>
  <c r="Q218" i="1"/>
  <c r="Q234" i="1"/>
  <c r="R234" i="1" s="1"/>
  <c r="Q250" i="1"/>
  <c r="Q266" i="1"/>
  <c r="Q348" i="1"/>
  <c r="Q364" i="1"/>
  <c r="R364" i="1" s="1"/>
  <c r="Q380" i="1"/>
  <c r="Q396" i="1"/>
  <c r="Q412" i="1"/>
  <c r="Q428" i="1"/>
  <c r="R428" i="1" s="1"/>
  <c r="Q444" i="1"/>
  <c r="Q460" i="1"/>
  <c r="Q476" i="1"/>
  <c r="Q492" i="1"/>
  <c r="R492" i="1" s="1"/>
  <c r="Q508" i="1"/>
  <c r="Q524" i="1"/>
  <c r="Q540" i="1"/>
  <c r="Q556" i="1"/>
  <c r="Q572" i="1"/>
  <c r="Q588" i="1"/>
  <c r="Q604" i="1"/>
  <c r="Q620" i="1"/>
  <c r="R620" i="1" s="1"/>
  <c r="Q636" i="1"/>
  <c r="Q652" i="1"/>
  <c r="Q668" i="1"/>
  <c r="Q345" i="1"/>
  <c r="R345" i="1" s="1"/>
  <c r="Q361" i="1"/>
  <c r="Q377" i="1"/>
  <c r="Q393" i="1"/>
  <c r="Q409" i="1"/>
  <c r="R409" i="1" s="1"/>
  <c r="Q425" i="1"/>
  <c r="Q441" i="1"/>
  <c r="Q457" i="1"/>
  <c r="Q473" i="1"/>
  <c r="R473" i="1" s="1"/>
  <c r="Q489" i="1"/>
  <c r="Q505" i="1"/>
  <c r="Q521" i="1"/>
  <c r="Q537" i="1"/>
  <c r="R537" i="1" s="1"/>
  <c r="Q553" i="1"/>
  <c r="Q569" i="1"/>
  <c r="Q585" i="1"/>
  <c r="Q601" i="1"/>
  <c r="R601" i="1" s="1"/>
  <c r="Q617" i="1"/>
  <c r="Q633" i="1"/>
  <c r="Q649" i="1"/>
  <c r="Q665" i="1"/>
  <c r="R665" i="1" s="1"/>
  <c r="Q681" i="1"/>
  <c r="Q290" i="1"/>
  <c r="Q306" i="1"/>
  <c r="Q322" i="1"/>
  <c r="R322" i="1" s="1"/>
  <c r="Q338" i="1"/>
  <c r="Q354" i="1"/>
  <c r="Q370" i="1"/>
  <c r="Q386" i="1"/>
  <c r="R386" i="1" s="1"/>
  <c r="Q402" i="1"/>
  <c r="Q418" i="1"/>
  <c r="Q434" i="1"/>
  <c r="Q450" i="1"/>
  <c r="R450" i="1" s="1"/>
  <c r="Q466" i="1"/>
  <c r="Q482" i="1"/>
  <c r="Q498" i="1"/>
  <c r="Q514" i="1"/>
  <c r="R514" i="1" s="1"/>
  <c r="Q530" i="1"/>
  <c r="Q546" i="1"/>
  <c r="Q562" i="1"/>
  <c r="Q696" i="1"/>
  <c r="Q712" i="1"/>
  <c r="Q728" i="1"/>
  <c r="Q744" i="1"/>
  <c r="Q760" i="1"/>
  <c r="R760" i="1" s="1"/>
  <c r="Q776" i="1"/>
  <c r="Q792" i="1"/>
  <c r="Q808" i="1"/>
  <c r="Q824" i="1"/>
  <c r="R824" i="1" s="1"/>
  <c r="Q840" i="1"/>
  <c r="Q856" i="1"/>
  <c r="Q872" i="1"/>
  <c r="Q888" i="1"/>
  <c r="R888" i="1" s="1"/>
  <c r="Q904" i="1"/>
  <c r="Q920" i="1"/>
  <c r="Q936" i="1"/>
  <c r="Q952" i="1"/>
  <c r="R952" i="1" s="1"/>
  <c r="Q968" i="1"/>
  <c r="Q984" i="1"/>
  <c r="Q1000" i="1"/>
  <c r="Q1016" i="1"/>
  <c r="R1016" i="1" s="1"/>
  <c r="Q685" i="1"/>
  <c r="Q701" i="1"/>
  <c r="Q717" i="1"/>
  <c r="Q733" i="1"/>
  <c r="R733" i="1" s="1"/>
  <c r="Q749" i="1"/>
  <c r="Q765" i="1"/>
  <c r="Q781" i="1"/>
  <c r="Q797" i="1"/>
  <c r="R797" i="1" s="1"/>
  <c r="Q813" i="1"/>
  <c r="Q829" i="1"/>
  <c r="Q845" i="1"/>
  <c r="Q861" i="1"/>
  <c r="R861" i="1" s="1"/>
  <c r="Q877" i="1"/>
  <c r="Q893" i="1"/>
  <c r="Q909" i="1"/>
  <c r="Q925" i="1"/>
  <c r="R925" i="1" s="1"/>
  <c r="Q941" i="1"/>
  <c r="Q957" i="1"/>
  <c r="Q973" i="1"/>
  <c r="Q989" i="1"/>
  <c r="R989" i="1" s="1"/>
  <c r="Q1005" i="1"/>
  <c r="Q1021" i="1"/>
  <c r="Q570" i="1"/>
  <c r="Q586" i="1"/>
  <c r="R586" i="1" s="1"/>
  <c r="Q602" i="1"/>
  <c r="Q618" i="1"/>
  <c r="Q634" i="1"/>
  <c r="Q650" i="1"/>
  <c r="R650" i="1" s="1"/>
  <c r="Q666" i="1"/>
  <c r="Q682" i="1"/>
  <c r="Q698" i="1"/>
  <c r="Q714" i="1"/>
  <c r="R714" i="1" s="1"/>
  <c r="Q730" i="1"/>
  <c r="Q746" i="1"/>
  <c r="Q762" i="1"/>
  <c r="Q778" i="1"/>
  <c r="R778" i="1" s="1"/>
  <c r="Q794" i="1"/>
  <c r="Q810" i="1"/>
  <c r="Q826" i="1"/>
  <c r="Q842" i="1"/>
  <c r="R842" i="1" s="1"/>
  <c r="Q858" i="1"/>
  <c r="Q874" i="1"/>
  <c r="Q890" i="1"/>
  <c r="Q3" i="1"/>
  <c r="R3" i="1" s="1"/>
  <c r="Q19" i="1"/>
  <c r="Q35" i="1"/>
  <c r="Q51" i="1"/>
  <c r="Q67" i="1"/>
  <c r="R67" i="1" s="1"/>
  <c r="Q83" i="1"/>
  <c r="Q99" i="1"/>
  <c r="Q115" i="1"/>
  <c r="Q131" i="1"/>
  <c r="R131" i="1" s="1"/>
  <c r="Q147" i="1"/>
  <c r="Q163" i="1"/>
  <c r="Q179" i="1"/>
  <c r="Q195" i="1"/>
  <c r="R195" i="1" s="1"/>
  <c r="Q211" i="1"/>
  <c r="Q227" i="1"/>
  <c r="Q243" i="1"/>
  <c r="Q1036" i="1"/>
  <c r="R1036" i="1" s="1"/>
  <c r="Q1052" i="1"/>
  <c r="Q1068" i="1"/>
  <c r="Q1084" i="1"/>
  <c r="Q1100" i="1"/>
  <c r="R1100" i="1" s="1"/>
  <c r="Q1116" i="1"/>
  <c r="Q1132" i="1"/>
  <c r="Q1148" i="1"/>
  <c r="Q1164" i="1"/>
  <c r="R1164" i="1" s="1"/>
  <c r="Q1180" i="1"/>
  <c r="Q1196" i="1"/>
  <c r="Q1212" i="1"/>
  <c r="Q1228" i="1"/>
  <c r="R1228" i="1" s="1"/>
  <c r="Q1244" i="1"/>
  <c r="Q1260" i="1"/>
  <c r="Q1276" i="1"/>
  <c r="Q1292" i="1"/>
  <c r="R1292" i="1" s="1"/>
  <c r="Q1308" i="1"/>
  <c r="Q1324" i="1"/>
  <c r="Q1340" i="1"/>
  <c r="Q1356" i="1"/>
  <c r="R1356" i="1" s="1"/>
  <c r="Q1372" i="1"/>
  <c r="Q1388" i="1"/>
  <c r="Q1404" i="1"/>
  <c r="Q1420" i="1"/>
  <c r="R1420" i="1" s="1"/>
  <c r="Q1436" i="1"/>
  <c r="Q1452" i="1"/>
  <c r="Q1468" i="1"/>
  <c r="Q1484" i="1"/>
  <c r="R1484" i="1" s="1"/>
  <c r="Q1500" i="1"/>
  <c r="Q1516" i="1"/>
  <c r="Q1532" i="1"/>
  <c r="Q1548" i="1"/>
  <c r="R1548" i="1" s="1"/>
  <c r="Q1564" i="1"/>
  <c r="Q1580" i="1"/>
  <c r="Q1596" i="1"/>
  <c r="Q1041" i="1"/>
  <c r="R1041" i="1" s="1"/>
  <c r="Q1057" i="1"/>
  <c r="Q1073" i="1"/>
  <c r="Q1089" i="1"/>
  <c r="Q1105" i="1"/>
  <c r="R1105" i="1" s="1"/>
  <c r="Q1121" i="1"/>
  <c r="Q1137" i="1"/>
  <c r="Q1153" i="1"/>
  <c r="Q1169" i="1"/>
  <c r="R1169" i="1" s="1"/>
  <c r="Q1185" i="1"/>
  <c r="Q1201" i="1"/>
  <c r="Q1217" i="1"/>
  <c r="Q1233" i="1"/>
  <c r="R1233" i="1" s="1"/>
  <c r="Q1249" i="1"/>
  <c r="Q1265" i="1"/>
  <c r="Q1281" i="1"/>
  <c r="Q1297" i="1"/>
  <c r="R1297" i="1" s="1"/>
  <c r="Q1313" i="1"/>
  <c r="Q1329" i="1"/>
  <c r="Q1345" i="1"/>
  <c r="Q1361" i="1"/>
  <c r="R1361" i="1" s="1"/>
  <c r="Q1377" i="1"/>
  <c r="Q1393" i="1"/>
  <c r="Q1409" i="1"/>
  <c r="Q1429" i="1"/>
  <c r="R1429" i="1" s="1"/>
  <c r="Q1449" i="1"/>
  <c r="Q1469" i="1"/>
  <c r="Q1493" i="1"/>
  <c r="Q1513" i="1"/>
  <c r="R1513" i="1" s="1"/>
  <c r="Q1533" i="1"/>
  <c r="Q1557" i="1"/>
  <c r="Q1577" i="1"/>
  <c r="Q1597" i="1"/>
  <c r="R1597" i="1" s="1"/>
  <c r="Q922" i="1"/>
  <c r="Q942" i="1"/>
  <c r="Q962" i="1"/>
  <c r="Q986" i="1"/>
  <c r="R986" i="1" s="1"/>
  <c r="Q1006" i="1"/>
  <c r="Q1026" i="1"/>
  <c r="Q1050" i="1"/>
  <c r="Q1070" i="1"/>
  <c r="R1070" i="1" s="1"/>
  <c r="Q1090" i="1"/>
  <c r="Q1114" i="1"/>
  <c r="Q1134" i="1"/>
  <c r="Q1162" i="1"/>
  <c r="R1162" i="1" s="1"/>
  <c r="Q1194" i="1"/>
  <c r="Q1226" i="1"/>
  <c r="Q1258" i="1"/>
  <c r="Q1290" i="1"/>
  <c r="R1290" i="1" s="1"/>
  <c r="Q1322" i="1"/>
  <c r="Q1354" i="1"/>
  <c r="Q1386" i="1"/>
  <c r="Q1418" i="1"/>
  <c r="R1418" i="1" s="1"/>
  <c r="Q1450" i="1"/>
  <c r="Q1482" i="1"/>
  <c r="Q1514" i="1"/>
  <c r="Q1546" i="1"/>
  <c r="R1546" i="1" s="1"/>
  <c r="Q1578" i="1"/>
  <c r="Q1624" i="1"/>
  <c r="Q1656" i="1"/>
  <c r="Q1688" i="1"/>
  <c r="R1688" i="1" s="1"/>
  <c r="Q1720" i="1"/>
  <c r="Q1752" i="1"/>
  <c r="Q1784" i="1"/>
  <c r="Q1816" i="1"/>
  <c r="R1816" i="1" s="1"/>
  <c r="Q1848" i="1"/>
  <c r="Q1880" i="1"/>
  <c r="Q1912" i="1"/>
  <c r="Q1944" i="1"/>
  <c r="R1944" i="1" s="1"/>
  <c r="Q1976" i="1"/>
  <c r="Q2008" i="1"/>
  <c r="Q2040" i="1"/>
  <c r="Q2072" i="1"/>
  <c r="R2072" i="1" s="1"/>
  <c r="Q2128" i="1"/>
  <c r="Q1637" i="1"/>
  <c r="Q1701" i="1"/>
  <c r="Q1765" i="1"/>
  <c r="R1765" i="1" s="1"/>
  <c r="Q1829" i="1"/>
  <c r="Q1893" i="1"/>
  <c r="Q1957" i="1"/>
  <c r="Q2021" i="1"/>
  <c r="R2021" i="1" s="1"/>
  <c r="Q2085" i="1"/>
  <c r="Q2149" i="1"/>
  <c r="Q2213" i="1"/>
  <c r="Q2277" i="1"/>
  <c r="R2277" i="1" s="1"/>
  <c r="Q1642" i="1"/>
  <c r="Q1706" i="1"/>
  <c r="Q1770" i="1"/>
  <c r="Q1834" i="1"/>
  <c r="R1834" i="1" s="1"/>
  <c r="Q1898" i="1"/>
  <c r="Q1962" i="1"/>
  <c r="Q2026" i="1"/>
  <c r="Q2090" i="1"/>
  <c r="R2090" i="1" s="1"/>
  <c r="Q2154" i="1"/>
  <c r="Q2218" i="1"/>
  <c r="Q2282" i="1"/>
  <c r="Q2346" i="1"/>
  <c r="R2346" i="1" s="1"/>
  <c r="Q2160" i="1"/>
  <c r="Q2224" i="1"/>
  <c r="Q2288" i="1"/>
  <c r="Q2352" i="1"/>
  <c r="R2352" i="1" s="1"/>
  <c r="Q2416" i="1"/>
  <c r="Q2480" i="1"/>
  <c r="Q2544" i="1"/>
  <c r="Q2608" i="1"/>
  <c r="R2608" i="1" s="1"/>
  <c r="Q2672" i="1"/>
  <c r="Q2333" i="1"/>
  <c r="Q2397" i="1"/>
  <c r="Q2461" i="1"/>
  <c r="R2461" i="1" s="1"/>
  <c r="Q2454" i="1"/>
  <c r="Q2518" i="1"/>
  <c r="Q2582" i="1"/>
  <c r="Q2646" i="1"/>
  <c r="R2646" i="1" s="1"/>
  <c r="Q2710" i="1"/>
  <c r="Q279" i="1"/>
  <c r="Q343" i="1"/>
  <c r="Q407" i="1"/>
  <c r="R407" i="1" s="1"/>
  <c r="Q471" i="1"/>
  <c r="Q535" i="1"/>
  <c r="Q2688" i="1"/>
  <c r="Q2752" i="1"/>
  <c r="R2752" i="1" s="1"/>
  <c r="Q2816" i="1"/>
  <c r="Q2880" i="1"/>
  <c r="Q2944" i="1"/>
  <c r="Q3008" i="1"/>
  <c r="R3008" i="1" s="1"/>
  <c r="Q3072" i="1"/>
  <c r="Q3136" i="1"/>
  <c r="Q3200" i="1"/>
  <c r="Q3264" i="1"/>
  <c r="R3264" i="1" s="1"/>
  <c r="Q3328" i="1"/>
  <c r="Q2505" i="1"/>
  <c r="Q2569" i="1"/>
  <c r="Q2633" i="1"/>
  <c r="R2633" i="1" s="1"/>
  <c r="Q2697" i="1"/>
  <c r="Q2761" i="1"/>
  <c r="Q2825" i="1"/>
  <c r="Q2889" i="1"/>
  <c r="R2889" i="1" s="1"/>
  <c r="Q2953" i="1"/>
  <c r="Q3017" i="1"/>
  <c r="Q3081" i="1"/>
  <c r="Q3145" i="1"/>
  <c r="R3145" i="1" s="1"/>
  <c r="Q3209" i="1"/>
  <c r="Q2770" i="1"/>
  <c r="Q2834" i="1"/>
  <c r="Q2898" i="1"/>
  <c r="R2898" i="1" s="1"/>
  <c r="Q2962" i="1"/>
  <c r="Q3026" i="1"/>
  <c r="Q3090" i="1"/>
  <c r="Q3154" i="1"/>
  <c r="R3154" i="1" s="1"/>
  <c r="Q3218" i="1"/>
  <c r="Q3282" i="1"/>
  <c r="Q3346" i="1"/>
  <c r="Q643" i="1"/>
  <c r="R643" i="1" s="1"/>
  <c r="Q707" i="1"/>
  <c r="Q771" i="1"/>
  <c r="Q835" i="1"/>
  <c r="Q899" i="1"/>
  <c r="R899" i="1" s="1"/>
  <c r="Q963" i="1"/>
  <c r="Q1027" i="1"/>
  <c r="Q1091" i="1"/>
  <c r="Q3396" i="1"/>
  <c r="R3396" i="1" s="1"/>
  <c r="Q3524" i="1"/>
  <c r="Q3652" i="1"/>
  <c r="Q3780" i="1"/>
  <c r="Q3908" i="1"/>
  <c r="R3908" i="1" s="1"/>
  <c r="Q4036" i="1"/>
  <c r="Q3289" i="1"/>
  <c r="Q3417" i="1"/>
  <c r="Q3545" i="1"/>
  <c r="R3545" i="1" s="1"/>
  <c r="Q3673" i="1"/>
  <c r="Q3801" i="1"/>
  <c r="Q3929" i="1"/>
  <c r="Q4057" i="1"/>
  <c r="R4057" i="1" s="1"/>
  <c r="Q3422" i="1"/>
  <c r="Q3550" i="1"/>
  <c r="Q3678" i="1"/>
  <c r="Q3806" i="1"/>
  <c r="R3806" i="1" s="1"/>
  <c r="Q3934" i="1"/>
  <c r="Q4062" i="1"/>
  <c r="Q1219" i="1"/>
  <c r="Q20" i="1"/>
  <c r="R20" i="1" s="1"/>
  <c r="Q68" i="1"/>
  <c r="Q100" i="1"/>
  <c r="Q132" i="1"/>
  <c r="Q196" i="1"/>
  <c r="R196" i="1" s="1"/>
  <c r="Q228" i="1"/>
  <c r="Q260" i="1"/>
  <c r="Q308" i="1"/>
  <c r="Q340" i="1"/>
  <c r="R340" i="1" s="1"/>
  <c r="Q33" i="1"/>
  <c r="Q81" i="1"/>
  <c r="Q113" i="1"/>
  <c r="Q145" i="1"/>
  <c r="R145" i="1" s="1"/>
  <c r="Q193" i="1"/>
  <c r="Q225" i="1"/>
  <c r="Q273" i="1"/>
  <c r="Q305" i="1"/>
  <c r="R305" i="1" s="1"/>
  <c r="Q337" i="1"/>
  <c r="Q38" i="1"/>
  <c r="Q70" i="1"/>
  <c r="Q102" i="1"/>
  <c r="R102" i="1" s="1"/>
  <c r="Q150" i="1"/>
  <c r="Q182" i="1"/>
  <c r="Q230" i="1"/>
  <c r="Q262" i="1"/>
  <c r="R262" i="1" s="1"/>
  <c r="Q376" i="1"/>
  <c r="Q408" i="1"/>
  <c r="Q440" i="1"/>
  <c r="Q488" i="1"/>
  <c r="R488" i="1" s="1"/>
  <c r="Q536" i="1"/>
  <c r="Q584" i="1"/>
  <c r="Q616" i="1"/>
  <c r="Q664" i="1"/>
  <c r="R664" i="1" s="1"/>
  <c r="Q357" i="1"/>
  <c r="Q389" i="1"/>
  <c r="Q437" i="1"/>
  <c r="Q469" i="1"/>
  <c r="R469" i="1" s="1"/>
  <c r="Q501" i="1"/>
  <c r="Q549" i="1"/>
  <c r="Q581" i="1"/>
  <c r="Q613" i="1"/>
  <c r="R613" i="1" s="1"/>
  <c r="Q661" i="1"/>
  <c r="Q286" i="1"/>
  <c r="Q318" i="1"/>
  <c r="Q366" i="1"/>
  <c r="R366" i="1" s="1"/>
  <c r="Q398" i="1"/>
  <c r="Q430" i="1"/>
  <c r="Q478" i="1"/>
  <c r="Q510" i="1"/>
  <c r="R510" i="1" s="1"/>
  <c r="Q542" i="1"/>
  <c r="Q708" i="1"/>
  <c r="Q740" i="1"/>
  <c r="Q772" i="1"/>
  <c r="R772" i="1" s="1"/>
  <c r="Q804" i="1"/>
  <c r="Q852" i="1"/>
  <c r="Q884" i="1"/>
  <c r="Q916" i="1"/>
  <c r="R916" i="1" s="1"/>
  <c r="Q964" i="1"/>
  <c r="Q996" i="1"/>
  <c r="Q1028" i="1"/>
  <c r="Q729" i="1"/>
  <c r="R729" i="1" s="1"/>
  <c r="Q761" i="1"/>
  <c r="Q793" i="1"/>
  <c r="Q841" i="1"/>
  <c r="Q873" i="1"/>
  <c r="R873" i="1" s="1"/>
  <c r="Q905" i="1"/>
  <c r="Q937" i="1"/>
  <c r="Q985" i="1"/>
  <c r="Q1017" i="1"/>
  <c r="R1017" i="1" s="1"/>
  <c r="Q582" i="1"/>
  <c r="Q630" i="1"/>
  <c r="Q662" i="1"/>
  <c r="Q694" i="1"/>
  <c r="R694" i="1" s="1"/>
  <c r="Q726" i="1"/>
  <c r="Q774" i="1"/>
  <c r="Q806" i="1"/>
  <c r="Q838" i="1"/>
  <c r="R838" i="1" s="1"/>
  <c r="Q870" i="1"/>
  <c r="Q15" i="1"/>
  <c r="Q47" i="1"/>
  <c r="Q79" i="1"/>
  <c r="R79" i="1" s="1"/>
  <c r="Q111" i="1"/>
  <c r="Q159" i="1"/>
  <c r="Q191" i="1"/>
  <c r="Q223" i="1"/>
  <c r="R223" i="1" s="1"/>
  <c r="Q1032" i="1"/>
  <c r="Q1080" i="1"/>
  <c r="Q1112" i="1"/>
  <c r="Q1144" i="1"/>
  <c r="R1144" i="1" s="1"/>
  <c r="Q1176" i="1"/>
  <c r="Q1224" i="1"/>
  <c r="Q1256" i="1"/>
  <c r="Q1304" i="1"/>
  <c r="R1304" i="1" s="1"/>
  <c r="Q1336" i="1"/>
  <c r="Q1384" i="1"/>
  <c r="Q1416" i="1"/>
  <c r="Q1448" i="1"/>
  <c r="R1448" i="1" s="1"/>
  <c r="Q1480" i="1"/>
  <c r="Q1512" i="1"/>
  <c r="Q1560" i="1"/>
  <c r="Q1592" i="1"/>
  <c r="R1592" i="1" s="1"/>
  <c r="Q1053" i="1"/>
  <c r="Q1085" i="1"/>
  <c r="Q1117" i="1"/>
  <c r="Q1165" i="1"/>
  <c r="R1165" i="1" s="1"/>
  <c r="Q1197" i="1"/>
  <c r="Q1229" i="1"/>
  <c r="Q1261" i="1"/>
  <c r="Q1293" i="1"/>
  <c r="R1293" i="1" s="1"/>
  <c r="Q1341" i="1"/>
  <c r="Q1373" i="1"/>
  <c r="Q1405" i="1"/>
  <c r="Q1445" i="1"/>
  <c r="R1445" i="1" s="1"/>
  <c r="Q1485" i="1"/>
  <c r="Q1549" i="1"/>
  <c r="Q1593" i="1"/>
  <c r="Q938" i="1"/>
  <c r="R938" i="1" s="1"/>
  <c r="Q978" i="1"/>
  <c r="Q1022" i="1"/>
  <c r="Q1086" i="1"/>
  <c r="Q1130" i="1"/>
  <c r="R1130" i="1" s="1"/>
  <c r="Q1182" i="1"/>
  <c r="Q1246" i="1"/>
  <c r="Q1342" i="1"/>
  <c r="Q1406" i="1"/>
  <c r="R1406" i="1" s="1"/>
  <c r="Q1470" i="1"/>
  <c r="Q1566" i="1"/>
  <c r="Q1644" i="1"/>
  <c r="Q1708" i="1"/>
  <c r="R1708" i="1" s="1"/>
  <c r="Q1804" i="1"/>
  <c r="Q1868" i="1"/>
  <c r="Q1932" i="1"/>
  <c r="Q2028" i="1"/>
  <c r="R2028" i="1" s="1"/>
  <c r="Q2100" i="1"/>
  <c r="Q1673" i="1"/>
  <c r="Q1865" i="1"/>
  <c r="Q1993" i="1"/>
  <c r="R1993" i="1" s="1"/>
  <c r="Q2185" i="1"/>
  <c r="Q1614" i="1"/>
  <c r="Q1806" i="1"/>
  <c r="Q1998" i="1"/>
  <c r="R1998" i="1" s="1"/>
  <c r="Q2254" i="1"/>
  <c r="Q2196" i="1"/>
  <c r="Q2580" i="1"/>
  <c r="Q443" i="1"/>
  <c r="R443" i="1" s="1"/>
  <c r="Q4030" i="1"/>
  <c r="Q12" i="1"/>
  <c r="Q28" i="1"/>
  <c r="Q44" i="1"/>
  <c r="R44" i="1" s="1"/>
  <c r="Q60" i="1"/>
  <c r="Q76" i="1"/>
  <c r="Q92" i="1"/>
  <c r="Q108" i="1"/>
  <c r="R108" i="1" s="1"/>
  <c r="Q124" i="1"/>
  <c r="Q140" i="1"/>
  <c r="Q156" i="1"/>
  <c r="Q172" i="1"/>
  <c r="R172" i="1" s="1"/>
  <c r="Q188" i="1"/>
  <c r="Q204" i="1"/>
  <c r="Q220" i="1"/>
  <c r="Q236" i="1"/>
  <c r="R236" i="1" s="1"/>
  <c r="Q252" i="1"/>
  <c r="Q268" i="1"/>
  <c r="Q284" i="1"/>
  <c r="Q300" i="1"/>
  <c r="R300" i="1" s="1"/>
  <c r="Q316" i="1"/>
  <c r="Q332" i="1"/>
  <c r="Q9" i="1"/>
  <c r="Q25" i="1"/>
  <c r="R25" i="1" s="1"/>
  <c r="Q41" i="1"/>
  <c r="Q57" i="1"/>
  <c r="Q73" i="1"/>
  <c r="Q89" i="1"/>
  <c r="R89" i="1" s="1"/>
  <c r="Q105" i="1"/>
  <c r="Q121" i="1"/>
  <c r="Q137" i="1"/>
  <c r="Q153" i="1"/>
  <c r="R153" i="1" s="1"/>
  <c r="Q169" i="1"/>
  <c r="Q185" i="1"/>
  <c r="Q201" i="1"/>
  <c r="Q217" i="1"/>
  <c r="R217" i="1" s="1"/>
  <c r="Q233" i="1"/>
  <c r="Q249" i="1"/>
  <c r="Q265" i="1"/>
  <c r="Q281" i="1"/>
  <c r="R281" i="1" s="1"/>
  <c r="Q297" i="1"/>
  <c r="Q313" i="1"/>
  <c r="Q329" i="1"/>
  <c r="Q14" i="1"/>
  <c r="R14" i="1" s="1"/>
  <c r="Q30" i="1"/>
  <c r="Q46" i="1"/>
  <c r="Q62" i="1"/>
  <c r="Q78" i="1"/>
  <c r="R78" i="1" s="1"/>
  <c r="Q94" i="1"/>
  <c r="Q110" i="1"/>
  <c r="Q126" i="1"/>
  <c r="Q142" i="1"/>
  <c r="R142" i="1" s="1"/>
  <c r="Q158" i="1"/>
  <c r="Q174" i="1"/>
  <c r="Q190" i="1"/>
  <c r="Q206" i="1"/>
  <c r="R206" i="1" s="1"/>
  <c r="Q222" i="1"/>
  <c r="Q238" i="1"/>
  <c r="Q254" i="1"/>
  <c r="Q270" i="1"/>
  <c r="R270" i="1" s="1"/>
  <c r="Q352" i="1"/>
  <c r="Q368" i="1"/>
  <c r="Q384" i="1"/>
  <c r="Q400" i="1"/>
  <c r="R400" i="1" s="1"/>
  <c r="Q416" i="1"/>
  <c r="Q432" i="1"/>
  <c r="Q448" i="1"/>
  <c r="Q464" i="1"/>
  <c r="R464" i="1" s="1"/>
  <c r="Q480" i="1"/>
  <c r="Q496" i="1"/>
  <c r="Q512" i="1"/>
  <c r="Q528" i="1"/>
  <c r="R528" i="1" s="1"/>
  <c r="Q544" i="1"/>
  <c r="Q560" i="1"/>
  <c r="Q576" i="1"/>
  <c r="Q592" i="1"/>
  <c r="R592" i="1" s="1"/>
  <c r="Q608" i="1"/>
  <c r="Q624" i="1"/>
  <c r="Q640" i="1"/>
  <c r="Q656" i="1"/>
  <c r="R656" i="1" s="1"/>
  <c r="Q672" i="1"/>
  <c r="Q349" i="1"/>
  <c r="Q365" i="1"/>
  <c r="Q381" i="1"/>
  <c r="R381" i="1" s="1"/>
  <c r="Q397" i="1"/>
  <c r="Q413" i="1"/>
  <c r="Q429" i="1"/>
  <c r="Q445" i="1"/>
  <c r="R445" i="1" s="1"/>
  <c r="Q461" i="1"/>
  <c r="Q477" i="1"/>
  <c r="Q493" i="1"/>
  <c r="Q509" i="1"/>
  <c r="R509" i="1" s="1"/>
  <c r="Q525" i="1"/>
  <c r="Q541" i="1"/>
  <c r="Q557" i="1"/>
  <c r="Q573" i="1"/>
  <c r="R573" i="1" s="1"/>
  <c r="Q589" i="1"/>
  <c r="Q605" i="1"/>
  <c r="Q621" i="1"/>
  <c r="Q637" i="1"/>
  <c r="R637" i="1" s="1"/>
  <c r="Q653" i="1"/>
  <c r="Q669" i="1"/>
  <c r="Q278" i="1"/>
  <c r="Q294" i="1"/>
  <c r="R294" i="1" s="1"/>
  <c r="Q310" i="1"/>
  <c r="Q326" i="1"/>
  <c r="Q342" i="1"/>
  <c r="Q358" i="1"/>
  <c r="R358" i="1" s="1"/>
  <c r="Q374" i="1"/>
  <c r="Q390" i="1"/>
  <c r="Q406" i="1"/>
  <c r="Q422" i="1"/>
  <c r="R422" i="1" s="1"/>
  <c r="Q438" i="1"/>
  <c r="Q454" i="1"/>
  <c r="Q470" i="1"/>
  <c r="Q486" i="1"/>
  <c r="R486" i="1" s="1"/>
  <c r="Q502" i="1"/>
  <c r="Q518" i="1"/>
  <c r="Q534" i="1"/>
  <c r="Q550" i="1"/>
  <c r="R550" i="1" s="1"/>
  <c r="Q684" i="1"/>
  <c r="Q700" i="1"/>
  <c r="Q716" i="1"/>
  <c r="Q732" i="1"/>
  <c r="R732" i="1" s="1"/>
  <c r="Q748" i="1"/>
  <c r="Q764" i="1"/>
  <c r="Q780" i="1"/>
  <c r="Q796" i="1"/>
  <c r="R796" i="1" s="1"/>
  <c r="Q812" i="1"/>
  <c r="Q828" i="1"/>
  <c r="Q844" i="1"/>
  <c r="Q860" i="1"/>
  <c r="R860" i="1" s="1"/>
  <c r="Q876" i="1"/>
  <c r="Q892" i="1"/>
  <c r="Q908" i="1"/>
  <c r="Q924" i="1"/>
  <c r="R924" i="1" s="1"/>
  <c r="Q940" i="1"/>
  <c r="Q956" i="1"/>
  <c r="Q972" i="1"/>
  <c r="Q988" i="1"/>
  <c r="R988" i="1" s="1"/>
  <c r="Q1004" i="1"/>
  <c r="Q1020" i="1"/>
  <c r="Q689" i="1"/>
  <c r="Q705" i="1"/>
  <c r="R705" i="1" s="1"/>
  <c r="Q721" i="1"/>
  <c r="Q737" i="1"/>
  <c r="Q753" i="1"/>
  <c r="Q769" i="1"/>
  <c r="R769" i="1" s="1"/>
  <c r="Q785" i="1"/>
  <c r="Q801" i="1"/>
  <c r="Q817" i="1"/>
  <c r="Q833" i="1"/>
  <c r="R833" i="1" s="1"/>
  <c r="Q849" i="1"/>
  <c r="Q865" i="1"/>
  <c r="Q881" i="1"/>
  <c r="Q897" i="1"/>
  <c r="R897" i="1" s="1"/>
  <c r="Q913" i="1"/>
  <c r="Q929" i="1"/>
  <c r="Q945" i="1"/>
  <c r="Q961" i="1"/>
  <c r="R961" i="1" s="1"/>
  <c r="Q977" i="1"/>
  <c r="Q993" i="1"/>
  <c r="Q1009" i="1"/>
  <c r="Q1025" i="1"/>
  <c r="R1025" i="1" s="1"/>
  <c r="Q574" i="1"/>
  <c r="Q590" i="1"/>
  <c r="Q606" i="1"/>
  <c r="Q622" i="1"/>
  <c r="R622" i="1" s="1"/>
  <c r="Q638" i="1"/>
  <c r="Q654" i="1"/>
  <c r="Q670" i="1"/>
  <c r="Q686" i="1"/>
  <c r="R686" i="1" s="1"/>
  <c r="Q702" i="1"/>
  <c r="Q718" i="1"/>
  <c r="Q734" i="1"/>
  <c r="Q750" i="1"/>
  <c r="R750" i="1" s="1"/>
  <c r="Q766" i="1"/>
  <c r="Q782" i="1"/>
  <c r="Q798" i="1"/>
  <c r="Q814" i="1"/>
  <c r="R814" i="1" s="1"/>
  <c r="Q830" i="1"/>
  <c r="Q846" i="1"/>
  <c r="Q862" i="1"/>
  <c r="Q878" i="1"/>
  <c r="R878" i="1" s="1"/>
  <c r="Q894" i="1"/>
  <c r="Q7" i="1"/>
  <c r="Q23" i="1"/>
  <c r="Q39" i="1"/>
  <c r="R39" i="1" s="1"/>
  <c r="Q55" i="1"/>
  <c r="Q71" i="1"/>
  <c r="Q87" i="1"/>
  <c r="Q103" i="1"/>
  <c r="R103" i="1" s="1"/>
  <c r="Q119" i="1"/>
  <c r="Q135" i="1"/>
  <c r="Q151" i="1"/>
  <c r="Q167" i="1"/>
  <c r="R167" i="1" s="1"/>
  <c r="Q183" i="1"/>
  <c r="Q199" i="1"/>
  <c r="Q215" i="1"/>
  <c r="Q231" i="1"/>
  <c r="R231" i="1" s="1"/>
  <c r="Q247" i="1"/>
  <c r="Q1040" i="1"/>
  <c r="Q1056" i="1"/>
  <c r="Q1072" i="1"/>
  <c r="Q1088" i="1"/>
  <c r="Q1104" i="1"/>
  <c r="Q1120" i="1"/>
  <c r="Q1136" i="1"/>
  <c r="R1136" i="1" s="1"/>
  <c r="Q1152" i="1"/>
  <c r="Q1168" i="1"/>
  <c r="Q1184" i="1"/>
  <c r="Q1200" i="1"/>
  <c r="Q1216" i="1"/>
  <c r="Q1232" i="1"/>
  <c r="Q1248" i="1"/>
  <c r="Q1264" i="1"/>
  <c r="R1264" i="1" s="1"/>
  <c r="Q1280" i="1"/>
  <c r="Q1296" i="1"/>
  <c r="Q1312" i="1"/>
  <c r="Q1328" i="1"/>
  <c r="R1328" i="1" s="1"/>
  <c r="Q1344" i="1"/>
  <c r="Q1360" i="1"/>
  <c r="Q1376" i="1"/>
  <c r="Q1392" i="1"/>
  <c r="R1392" i="1" s="1"/>
  <c r="Q1408" i="1"/>
  <c r="Q1424" i="1"/>
  <c r="Q1440" i="1"/>
  <c r="Q1456" i="1"/>
  <c r="R1456" i="1" s="1"/>
  <c r="Q1472" i="1"/>
  <c r="Q1488" i="1"/>
  <c r="Q1504" i="1"/>
  <c r="Q1520" i="1"/>
  <c r="R1520" i="1" s="1"/>
  <c r="Q1536" i="1"/>
  <c r="Q1552" i="1"/>
  <c r="Q1568" i="1"/>
  <c r="Q1584" i="1"/>
  <c r="R1584" i="1" s="1"/>
  <c r="Q1600" i="1"/>
  <c r="Q1045" i="1"/>
  <c r="Q1061" i="1"/>
  <c r="Q1077" i="1"/>
  <c r="R1077" i="1" s="1"/>
  <c r="Q1093" i="1"/>
  <c r="Q1109" i="1"/>
  <c r="Q1125" i="1"/>
  <c r="Q1141" i="1"/>
  <c r="R1141" i="1" s="1"/>
  <c r="Q1157" i="1"/>
  <c r="Q1173" i="1"/>
  <c r="Q1189" i="1"/>
  <c r="Q1205" i="1"/>
  <c r="Q1221" i="1"/>
  <c r="Q1237" i="1"/>
  <c r="Q1253" i="1"/>
  <c r="Q1269" i="1"/>
  <c r="R1269" i="1" s="1"/>
  <c r="Q1285" i="1"/>
  <c r="Q1301" i="1"/>
  <c r="Q1317" i="1"/>
  <c r="Q1333" i="1"/>
  <c r="R1333" i="1" s="1"/>
  <c r="Q1349" i="1"/>
  <c r="Q1365" i="1"/>
  <c r="Q1381" i="1"/>
  <c r="Q1397" i="1"/>
  <c r="R1397" i="1" s="1"/>
  <c r="Q1413" i="1"/>
  <c r="Q1433" i="1"/>
  <c r="Q1453" i="1"/>
  <c r="Q1477" i="1"/>
  <c r="R1477" i="1" s="1"/>
  <c r="Q1497" i="1"/>
  <c r="Q1517" i="1"/>
  <c r="Q1541" i="1"/>
  <c r="Q1561" i="1"/>
  <c r="R1561" i="1" s="1"/>
  <c r="Q1581" i="1"/>
  <c r="Q906" i="1"/>
  <c r="Q926" i="1"/>
  <c r="Q946" i="1"/>
  <c r="R946" i="1" s="1"/>
  <c r="Q970" i="1"/>
  <c r="Q990" i="1"/>
  <c r="Q1010" i="1"/>
  <c r="Q1034" i="1"/>
  <c r="R1034" i="1" s="1"/>
  <c r="Q1054" i="1"/>
  <c r="Q1074" i="1"/>
  <c r="Q1098" i="1"/>
  <c r="Q1118" i="1"/>
  <c r="R1118" i="1" s="1"/>
  <c r="Q1138" i="1"/>
  <c r="Q1166" i="1"/>
  <c r="R1166" i="1" s="1"/>
  <c r="Q1198" i="1"/>
  <c r="Q1230" i="1"/>
  <c r="R1230" i="1" s="1"/>
  <c r="Q1262" i="1"/>
  <c r="Q1294" i="1"/>
  <c r="Q1326" i="1"/>
  <c r="Q1358" i="1"/>
  <c r="R1358" i="1" s="1"/>
  <c r="Q1390" i="1"/>
  <c r="Q1422" i="1"/>
  <c r="Q1454" i="1"/>
  <c r="Q1486" i="1"/>
  <c r="R1486" i="1" s="1"/>
  <c r="Q1518" i="1"/>
  <c r="Q1550" i="1"/>
  <c r="Q1582" i="1"/>
  <c r="Q1628" i="1"/>
  <c r="R1628" i="1" s="1"/>
  <c r="Q1660" i="1"/>
  <c r="Q1692" i="1"/>
  <c r="Q1724" i="1"/>
  <c r="Q1756" i="1"/>
  <c r="R1756" i="1" s="1"/>
  <c r="Q1788" i="1"/>
  <c r="Q1820" i="1"/>
  <c r="Q1852" i="1"/>
  <c r="Q1884" i="1"/>
  <c r="R1884" i="1" s="1"/>
  <c r="Q1916" i="1"/>
  <c r="Q1948" i="1"/>
  <c r="Q1980" i="1"/>
  <c r="Q2012" i="1"/>
  <c r="R2012" i="1" s="1"/>
  <c r="Q2044" i="1"/>
  <c r="Q2076" i="1"/>
  <c r="Q2132" i="1"/>
  <c r="Q1641" i="1"/>
  <c r="R1641" i="1" s="1"/>
  <c r="Q1705" i="1"/>
  <c r="Q1769" i="1"/>
  <c r="Q1833" i="1"/>
  <c r="Q1897" i="1"/>
  <c r="R1897" i="1" s="1"/>
  <c r="Q1961" i="1"/>
  <c r="Q2025" i="1"/>
  <c r="Q2089" i="1"/>
  <c r="Q2153" i="1"/>
  <c r="R2153" i="1" s="1"/>
  <c r="Q2217" i="1"/>
  <c r="Q2281" i="1"/>
  <c r="Q1646" i="1"/>
  <c r="Q1710" i="1"/>
  <c r="R1710" i="1" s="1"/>
  <c r="Q1774" i="1"/>
  <c r="Q1838" i="1"/>
  <c r="Q1902" i="1"/>
  <c r="Q1966" i="1"/>
  <c r="R1966" i="1" s="1"/>
  <c r="Q2030" i="1"/>
  <c r="Q2094" i="1"/>
  <c r="Q2158" i="1"/>
  <c r="Q2222" i="1"/>
  <c r="R2222" i="1" s="1"/>
  <c r="Q2286" i="1"/>
  <c r="Q2350" i="1"/>
  <c r="Q2164" i="1"/>
  <c r="Q2228" i="1"/>
  <c r="R2228" i="1" s="1"/>
  <c r="Q2292" i="1"/>
  <c r="Q2356" i="1"/>
  <c r="Q2420" i="1"/>
  <c r="Q2484" i="1"/>
  <c r="R2484" i="1" s="1"/>
  <c r="Q2548" i="1"/>
  <c r="Q2612" i="1"/>
  <c r="Q2676" i="1"/>
  <c r="Q2337" i="1"/>
  <c r="R2337" i="1" s="1"/>
  <c r="Q2401" i="1"/>
  <c r="Q2465" i="1"/>
  <c r="Q2458" i="1"/>
  <c r="Q2522" i="1"/>
  <c r="R2522" i="1" s="1"/>
  <c r="Q2586" i="1"/>
  <c r="Q2650" i="1"/>
  <c r="Q2714" i="1"/>
  <c r="Q283" i="1"/>
  <c r="R283" i="1" s="1"/>
  <c r="Q347" i="1"/>
  <c r="Q411" i="1"/>
  <c r="Q475" i="1"/>
  <c r="Q539" i="1"/>
  <c r="R539" i="1" s="1"/>
  <c r="Q2692" i="1"/>
  <c r="Q2756" i="1"/>
  <c r="Q2820" i="1"/>
  <c r="Q2884" i="1"/>
  <c r="R2884" i="1" s="1"/>
  <c r="Q2948" i="1"/>
  <c r="Q3012" i="1"/>
  <c r="Q3076" i="1"/>
  <c r="Q3140" i="1"/>
  <c r="R3140" i="1" s="1"/>
  <c r="Q3204" i="1"/>
  <c r="Q3268" i="1"/>
  <c r="Q3332" i="1"/>
  <c r="Q2509" i="1"/>
  <c r="R2509" i="1" s="1"/>
  <c r="Q2573" i="1"/>
  <c r="Q2637" i="1"/>
  <c r="Q2701" i="1"/>
  <c r="Q2765" i="1"/>
  <c r="R2765" i="1" s="1"/>
  <c r="Q2829" i="1"/>
  <c r="Q2893" i="1"/>
  <c r="Q2957" i="1"/>
  <c r="Q3021" i="1"/>
  <c r="R3021" i="1" s="1"/>
  <c r="Q3085" i="1"/>
  <c r="Q3149" i="1"/>
  <c r="R3149" i="1" s="1"/>
  <c r="Q3213" i="1"/>
  <c r="Q2774" i="1"/>
  <c r="R2774" i="1" s="1"/>
  <c r="Q2838" i="1"/>
  <c r="R2838" i="1" s="1"/>
  <c r="Q2902" i="1"/>
  <c r="Q2966" i="1"/>
  <c r="Q3030" i="1"/>
  <c r="R3030" i="1" s="1"/>
  <c r="Q3094" i="1"/>
  <c r="Q3158" i="1"/>
  <c r="Q3222" i="1"/>
  <c r="R3222" i="1" s="1"/>
  <c r="Q3286" i="1"/>
  <c r="R3286" i="1" s="1"/>
  <c r="Q3350" i="1"/>
  <c r="Q647" i="1"/>
  <c r="Q711" i="1"/>
  <c r="Q775" i="1"/>
  <c r="R775" i="1" s="1"/>
  <c r="Q839" i="1"/>
  <c r="Q903" i="1"/>
  <c r="Q967" i="1"/>
  <c r="Q1031" i="1"/>
  <c r="R1031" i="1" s="1"/>
  <c r="Q1095" i="1"/>
  <c r="Q3428" i="1"/>
  <c r="Q3556" i="1"/>
  <c r="Q3684" i="1"/>
  <c r="R3684" i="1" s="1"/>
  <c r="Q3812" i="1"/>
  <c r="Q3940" i="1"/>
  <c r="Q4068" i="1"/>
  <c r="Q3321" i="1"/>
  <c r="R3321" i="1" s="1"/>
  <c r="Q3449" i="1"/>
  <c r="Q3577" i="1"/>
  <c r="Q3705" i="1"/>
  <c r="Q3833" i="1"/>
  <c r="R3833" i="1" s="1"/>
  <c r="Q3961" i="1"/>
  <c r="Q4089" i="1"/>
  <c r="R4089" i="1" s="1"/>
  <c r="Q3454" i="1"/>
  <c r="R3454" i="1" s="1"/>
  <c r="Q3582" i="1"/>
  <c r="R3582" i="1" s="1"/>
  <c r="Q3710" i="1"/>
  <c r="Q3838" i="1"/>
  <c r="Q3966" i="1"/>
  <c r="R3966" i="1" s="1"/>
  <c r="Q4094" i="1"/>
  <c r="R4094" i="1" s="1"/>
  <c r="Q1251" i="1"/>
  <c r="Q4" i="1"/>
  <c r="Q36" i="1"/>
  <c r="Q84" i="1"/>
  <c r="R84" i="1" s="1"/>
  <c r="Q116" i="1"/>
  <c r="Q148" i="1"/>
  <c r="Q212" i="1"/>
  <c r="Q244" i="1"/>
  <c r="R244" i="1" s="1"/>
  <c r="Q276" i="1"/>
  <c r="Q324" i="1"/>
  <c r="Q17" i="1"/>
  <c r="Q49" i="1"/>
  <c r="R49" i="1" s="1"/>
  <c r="Q97" i="1"/>
  <c r="Q129" i="1"/>
  <c r="Q177" i="1"/>
  <c r="Q209" i="1"/>
  <c r="R209" i="1" s="1"/>
  <c r="Q241" i="1"/>
  <c r="Q289" i="1"/>
  <c r="Q321" i="1"/>
  <c r="Q6" i="1"/>
  <c r="R6" i="1" s="1"/>
  <c r="Q54" i="1"/>
  <c r="Q86" i="1"/>
  <c r="Q134" i="1"/>
  <c r="Q166" i="1"/>
  <c r="R166" i="1" s="1"/>
  <c r="Q214" i="1"/>
  <c r="Q246" i="1"/>
  <c r="Q344" i="1"/>
  <c r="Q392" i="1"/>
  <c r="R392" i="1" s="1"/>
  <c r="Q424" i="1"/>
  <c r="Q472" i="1"/>
  <c r="Q520" i="1"/>
  <c r="Q568" i="1"/>
  <c r="R568" i="1" s="1"/>
  <c r="Q600" i="1"/>
  <c r="Q632" i="1"/>
  <c r="Q680" i="1"/>
  <c r="Q373" i="1"/>
  <c r="R373" i="1" s="1"/>
  <c r="Q421" i="1"/>
  <c r="Q453" i="1"/>
  <c r="Q485" i="1"/>
  <c r="Q533" i="1"/>
  <c r="R533" i="1" s="1"/>
  <c r="Q565" i="1"/>
  <c r="Q597" i="1"/>
  <c r="Q645" i="1"/>
  <c r="Q677" i="1"/>
  <c r="R677" i="1" s="1"/>
  <c r="Q302" i="1"/>
  <c r="Q350" i="1"/>
  <c r="Q382" i="1"/>
  <c r="Q414" i="1"/>
  <c r="R414" i="1" s="1"/>
  <c r="Q462" i="1"/>
  <c r="Q494" i="1"/>
  <c r="Q526" i="1"/>
  <c r="Q558" i="1"/>
  <c r="R558" i="1" s="1"/>
  <c r="Q724" i="1"/>
  <c r="Q756" i="1"/>
  <c r="Q788" i="1"/>
  <c r="Q836" i="1"/>
  <c r="R836" i="1" s="1"/>
  <c r="Q868" i="1"/>
  <c r="Q900" i="1"/>
  <c r="Q948" i="1"/>
  <c r="Q980" i="1"/>
  <c r="R980" i="1" s="1"/>
  <c r="Q1012" i="1"/>
  <c r="Q713" i="1"/>
  <c r="Q745" i="1"/>
  <c r="Q777" i="1"/>
  <c r="R777" i="1" s="1"/>
  <c r="Q809" i="1"/>
  <c r="Q857" i="1"/>
  <c r="Q889" i="1"/>
  <c r="Q921" i="1"/>
  <c r="R921" i="1" s="1"/>
  <c r="Q969" i="1"/>
  <c r="Q1001" i="1"/>
  <c r="Q566" i="1"/>
  <c r="Q598" i="1"/>
  <c r="R598" i="1" s="1"/>
  <c r="Q646" i="1"/>
  <c r="Q678" i="1"/>
  <c r="Q710" i="1"/>
  <c r="Q742" i="1"/>
  <c r="R742" i="1" s="1"/>
  <c r="Q790" i="1"/>
  <c r="Q822" i="1"/>
  <c r="Q854" i="1"/>
  <c r="Q886" i="1"/>
  <c r="R886" i="1" s="1"/>
  <c r="Q31" i="1"/>
  <c r="Q63" i="1"/>
  <c r="Q95" i="1"/>
  <c r="Q143" i="1"/>
  <c r="R143" i="1" s="1"/>
  <c r="Q175" i="1"/>
  <c r="Q207" i="1"/>
  <c r="Q239" i="1"/>
  <c r="Q1064" i="1"/>
  <c r="R1064" i="1" s="1"/>
  <c r="Q1096" i="1"/>
  <c r="Q1128" i="1"/>
  <c r="Q1160" i="1"/>
  <c r="Q1208" i="1"/>
  <c r="R1208" i="1" s="1"/>
  <c r="Q1240" i="1"/>
  <c r="Q1288" i="1"/>
  <c r="Q1320" i="1"/>
  <c r="Q1368" i="1"/>
  <c r="R1368" i="1" s="1"/>
  <c r="Q1400" i="1"/>
  <c r="Q1432" i="1"/>
  <c r="Q1464" i="1"/>
  <c r="Q1496" i="1"/>
  <c r="R1496" i="1" s="1"/>
  <c r="Q1544" i="1"/>
  <c r="Q1576" i="1"/>
  <c r="Q1037" i="1"/>
  <c r="Q1069" i="1"/>
  <c r="R1069" i="1" s="1"/>
  <c r="Q1101" i="1"/>
  <c r="Q1149" i="1"/>
  <c r="Q1181" i="1"/>
  <c r="Q1213" i="1"/>
  <c r="R1213" i="1" s="1"/>
  <c r="Q1245" i="1"/>
  <c r="Q1277" i="1"/>
  <c r="Q1309" i="1"/>
  <c r="Q1357" i="1"/>
  <c r="R1357" i="1" s="1"/>
  <c r="Q1389" i="1"/>
  <c r="Q1421" i="1"/>
  <c r="Q1465" i="1"/>
  <c r="Q1509" i="1"/>
  <c r="R1509" i="1" s="1"/>
  <c r="Q1573" i="1"/>
  <c r="Q914" i="1"/>
  <c r="Q958" i="1"/>
  <c r="Q1002" i="1"/>
  <c r="R1002" i="1" s="1"/>
  <c r="Q1066" i="1"/>
  <c r="Q1106" i="1"/>
  <c r="Q1150" i="1"/>
  <c r="Q1214" i="1"/>
  <c r="R1214" i="1" s="1"/>
  <c r="Q1310" i="1"/>
  <c r="Q1374" i="1"/>
  <c r="Q1438" i="1"/>
  <c r="Q1502" i="1"/>
  <c r="R1502" i="1" s="1"/>
  <c r="Q1612" i="1"/>
  <c r="Q1676" i="1"/>
  <c r="Q1740" i="1"/>
  <c r="Q1836" i="1"/>
  <c r="R1836" i="1" s="1"/>
  <c r="Q1900" i="1"/>
  <c r="Q1964" i="1"/>
  <c r="Q2060" i="1"/>
  <c r="Q1609" i="1"/>
  <c r="R1609" i="1" s="1"/>
  <c r="Q1737" i="1"/>
  <c r="Q1929" i="1"/>
  <c r="Q2057" i="1"/>
  <c r="Q2249" i="1"/>
  <c r="R2249" i="1" s="1"/>
  <c r="Q1678" i="1"/>
  <c r="Q1870" i="1"/>
  <c r="R1870" i="1" s="1"/>
  <c r="Q2062" i="1"/>
  <c r="Q2190" i="1"/>
  <c r="R2190" i="1" s="1"/>
  <c r="Q2382" i="1"/>
  <c r="R2382" i="1" s="1"/>
  <c r="Q2516" i="1"/>
  <c r="Q379" i="1"/>
  <c r="Q1187" i="1"/>
  <c r="R1187" i="1" s="1"/>
  <c r="Q16" i="1"/>
  <c r="Q32" i="1"/>
  <c r="Q48" i="1"/>
  <c r="Q64" i="1"/>
  <c r="R64" i="1" s="1"/>
  <c r="Q80" i="1"/>
  <c r="Q96" i="1"/>
  <c r="Q112" i="1"/>
  <c r="Q128" i="1"/>
  <c r="R128" i="1" s="1"/>
  <c r="Q144" i="1"/>
  <c r="Q160" i="1"/>
  <c r="Q176" i="1"/>
  <c r="Q192" i="1"/>
  <c r="R192" i="1" s="1"/>
  <c r="Q208" i="1"/>
  <c r="Q224" i="1"/>
  <c r="Q240" i="1"/>
  <c r="Q256" i="1"/>
  <c r="R256" i="1" s="1"/>
  <c r="Q272" i="1"/>
  <c r="Q288" i="1"/>
  <c r="Q304" i="1"/>
  <c r="Q320" i="1"/>
  <c r="R320" i="1" s="1"/>
  <c r="Q336" i="1"/>
  <c r="Q13" i="1"/>
  <c r="Q29" i="1"/>
  <c r="Q45" i="1"/>
  <c r="R45" i="1" s="1"/>
  <c r="Q61" i="1"/>
  <c r="Q77" i="1"/>
  <c r="Q93" i="1"/>
  <c r="Q109" i="1"/>
  <c r="R109" i="1" s="1"/>
  <c r="Q125" i="1"/>
  <c r="Q141" i="1"/>
  <c r="Q157" i="1"/>
  <c r="Q173" i="1"/>
  <c r="R173" i="1" s="1"/>
  <c r="Q189" i="1"/>
  <c r="Q205" i="1"/>
  <c r="Q221" i="1"/>
  <c r="Q237" i="1"/>
  <c r="R237" i="1" s="1"/>
  <c r="Q253" i="1"/>
  <c r="Q269" i="1"/>
  <c r="Q285" i="1"/>
  <c r="Q301" i="1"/>
  <c r="R301" i="1" s="1"/>
  <c r="Q317" i="1"/>
  <c r="Q333" i="1"/>
  <c r="Q18" i="1"/>
  <c r="Q34" i="1"/>
  <c r="R34" i="1" s="1"/>
  <c r="Q50" i="1"/>
  <c r="Q66" i="1"/>
  <c r="Q82" i="1"/>
  <c r="Q98" i="1"/>
  <c r="R98" i="1" s="1"/>
  <c r="Q114" i="1"/>
  <c r="Q130" i="1"/>
  <c r="Q146" i="1"/>
  <c r="Q162" i="1"/>
  <c r="R162" i="1" s="1"/>
  <c r="Q178" i="1"/>
  <c r="Q194" i="1"/>
  <c r="Q210" i="1"/>
  <c r="Q226" i="1"/>
  <c r="R226" i="1" s="1"/>
  <c r="Q242" i="1"/>
  <c r="Q258" i="1"/>
  <c r="Q274" i="1"/>
  <c r="Q356" i="1"/>
  <c r="R356" i="1" s="1"/>
  <c r="Q372" i="1"/>
  <c r="Q388" i="1"/>
  <c r="Q404" i="1"/>
  <c r="Q420" i="1"/>
  <c r="R420" i="1" s="1"/>
  <c r="Q436" i="1"/>
  <c r="Q452" i="1"/>
  <c r="Q468" i="1"/>
  <c r="Q484" i="1"/>
  <c r="R484" i="1" s="1"/>
  <c r="Q500" i="1"/>
  <c r="Q516" i="1"/>
  <c r="Q532" i="1"/>
  <c r="Q548" i="1"/>
  <c r="R548" i="1" s="1"/>
  <c r="Q564" i="1"/>
  <c r="Q580" i="1"/>
  <c r="Q596" i="1"/>
  <c r="Q612" i="1"/>
  <c r="R612" i="1" s="1"/>
  <c r="Q628" i="1"/>
  <c r="Q644" i="1"/>
  <c r="Q660" i="1"/>
  <c r="Q676" i="1"/>
  <c r="R676" i="1" s="1"/>
  <c r="Q353" i="1"/>
  <c r="Q369" i="1"/>
  <c r="Q385" i="1"/>
  <c r="Q401" i="1"/>
  <c r="R401" i="1" s="1"/>
  <c r="Q417" i="1"/>
  <c r="Q433" i="1"/>
  <c r="Q449" i="1"/>
  <c r="Q465" i="1"/>
  <c r="R465" i="1" s="1"/>
  <c r="Q481" i="1"/>
  <c r="Q497" i="1"/>
  <c r="Q513" i="1"/>
  <c r="Q529" i="1"/>
  <c r="R529" i="1" s="1"/>
  <c r="Q545" i="1"/>
  <c r="Q561" i="1"/>
  <c r="Q577" i="1"/>
  <c r="Q593" i="1"/>
  <c r="R593" i="1" s="1"/>
  <c r="Q609" i="1"/>
  <c r="Q625" i="1"/>
  <c r="Q641" i="1"/>
  <c r="Q657" i="1"/>
  <c r="R657" i="1" s="1"/>
  <c r="Q673" i="1"/>
  <c r="Q282" i="1"/>
  <c r="Q298" i="1"/>
  <c r="Q314" i="1"/>
  <c r="R314" i="1" s="1"/>
  <c r="Q330" i="1"/>
  <c r="Q346" i="1"/>
  <c r="Q362" i="1"/>
  <c r="Q378" i="1"/>
  <c r="R378" i="1" s="1"/>
  <c r="Q394" i="1"/>
  <c r="Q410" i="1"/>
  <c r="Q426" i="1"/>
  <c r="Q442" i="1"/>
  <c r="R442" i="1" s="1"/>
  <c r="Q458" i="1"/>
  <c r="Q474" i="1"/>
  <c r="Q490" i="1"/>
  <c r="Q506" i="1"/>
  <c r="R506" i="1" s="1"/>
  <c r="Q522" i="1"/>
  <c r="Q538" i="1"/>
  <c r="Q554" i="1"/>
  <c r="Q688" i="1"/>
  <c r="R688" i="1" s="1"/>
  <c r="Q704" i="1"/>
  <c r="Q720" i="1"/>
  <c r="Q736" i="1"/>
  <c r="Q752" i="1"/>
  <c r="R752" i="1" s="1"/>
  <c r="Q768" i="1"/>
  <c r="Q784" i="1"/>
  <c r="Q800" i="1"/>
  <c r="Q816" i="1"/>
  <c r="R816" i="1" s="1"/>
  <c r="Q832" i="1"/>
  <c r="Q848" i="1"/>
  <c r="Q864" i="1"/>
  <c r="Q880" i="1"/>
  <c r="R880" i="1" s="1"/>
  <c r="Q896" i="1"/>
  <c r="Q912" i="1"/>
  <c r="Q928" i="1"/>
  <c r="Q944" i="1"/>
  <c r="R944" i="1" s="1"/>
  <c r="Q960" i="1"/>
  <c r="Q976" i="1"/>
  <c r="Q992" i="1"/>
  <c r="Q1008" i="1"/>
  <c r="R1008" i="1" s="1"/>
  <c r="Q1024" i="1"/>
  <c r="Q693" i="1"/>
  <c r="Q709" i="1"/>
  <c r="Q725" i="1"/>
  <c r="R725" i="1" s="1"/>
  <c r="Q741" i="1"/>
  <c r="Q757" i="1"/>
  <c r="Q773" i="1"/>
  <c r="Q789" i="1"/>
  <c r="R789" i="1" s="1"/>
  <c r="Q805" i="1"/>
  <c r="Q821" i="1"/>
  <c r="Q837" i="1"/>
  <c r="Q853" i="1"/>
  <c r="R853" i="1" s="1"/>
  <c r="Q869" i="1"/>
  <c r="Q885" i="1"/>
  <c r="Q901" i="1"/>
  <c r="Q917" i="1"/>
  <c r="R917" i="1" s="1"/>
  <c r="Q933" i="1"/>
  <c r="Q949" i="1"/>
  <c r="Q965" i="1"/>
  <c r="Q981" i="1"/>
  <c r="R981" i="1" s="1"/>
  <c r="Q997" i="1"/>
  <c r="Q1013" i="1"/>
  <c r="Q1029" i="1"/>
  <c r="Q578" i="1"/>
  <c r="R578" i="1" s="1"/>
  <c r="Q594" i="1"/>
  <c r="Q610" i="1"/>
  <c r="Q626" i="1"/>
  <c r="Q642" i="1"/>
  <c r="R642" i="1" s="1"/>
  <c r="Q658" i="1"/>
  <c r="Q674" i="1"/>
  <c r="Q690" i="1"/>
  <c r="Q706" i="1"/>
  <c r="R706" i="1" s="1"/>
  <c r="Q722" i="1"/>
  <c r="Q738" i="1"/>
  <c r="Q754" i="1"/>
  <c r="Q770" i="1"/>
  <c r="R770" i="1" s="1"/>
  <c r="Q786" i="1"/>
  <c r="Q802" i="1"/>
  <c r="Q818" i="1"/>
  <c r="Q834" i="1"/>
  <c r="R834" i="1" s="1"/>
  <c r="Q850" i="1"/>
  <c r="Q866" i="1"/>
  <c r="Q882" i="1"/>
  <c r="Q898" i="1"/>
  <c r="R898" i="1" s="1"/>
  <c r="Q11" i="1"/>
  <c r="Q27" i="1"/>
  <c r="Q43" i="1"/>
  <c r="Q59" i="1"/>
  <c r="R59" i="1" s="1"/>
  <c r="Q75" i="1"/>
  <c r="Q91" i="1"/>
  <c r="Q107" i="1"/>
  <c r="Q123" i="1"/>
  <c r="R123" i="1" s="1"/>
  <c r="Q139" i="1"/>
  <c r="Q155" i="1"/>
  <c r="Q171" i="1"/>
  <c r="Q187" i="1"/>
  <c r="R187" i="1" s="1"/>
  <c r="Q203" i="1"/>
  <c r="Q219" i="1"/>
  <c r="Q235" i="1"/>
  <c r="Q251" i="1"/>
  <c r="R251" i="1" s="1"/>
  <c r="Q1044" i="1"/>
  <c r="Q1060" i="1"/>
  <c r="Q1076" i="1"/>
  <c r="Q1092" i="1"/>
  <c r="R1092" i="1" s="1"/>
  <c r="Q1108" i="1"/>
  <c r="Q1124" i="1"/>
  <c r="Q1140" i="1"/>
  <c r="Q1156" i="1"/>
  <c r="R1156" i="1" s="1"/>
  <c r="Q1172" i="1"/>
  <c r="Q1188" i="1"/>
  <c r="Q1204" i="1"/>
  <c r="Q1220" i="1"/>
  <c r="R1220" i="1" s="1"/>
  <c r="Q1236" i="1"/>
  <c r="Q1252" i="1"/>
  <c r="Q1268" i="1"/>
  <c r="Q1284" i="1"/>
  <c r="R1284" i="1" s="1"/>
  <c r="Q1300" i="1"/>
  <c r="Q1316" i="1"/>
  <c r="Q1332" i="1"/>
  <c r="Q1348" i="1"/>
  <c r="R1348" i="1" s="1"/>
  <c r="Q1364" i="1"/>
  <c r="Q1380" i="1"/>
  <c r="Q1396" i="1"/>
  <c r="Q1412" i="1"/>
  <c r="R1412" i="1" s="1"/>
  <c r="Q1428" i="1"/>
  <c r="Q1444" i="1"/>
  <c r="Q1460" i="1"/>
  <c r="Q1476" i="1"/>
  <c r="R1476" i="1" s="1"/>
  <c r="Q1492" i="1"/>
  <c r="Q1508" i="1"/>
  <c r="Q1524" i="1"/>
  <c r="Q1540" i="1"/>
  <c r="R1540" i="1" s="1"/>
  <c r="Q1556" i="1"/>
  <c r="Q1572" i="1"/>
  <c r="Q1588" i="1"/>
  <c r="Q1033" i="1"/>
  <c r="R1033" i="1" s="1"/>
  <c r="Q1049" i="1"/>
  <c r="Q1065" i="1"/>
  <c r="Q1081" i="1"/>
  <c r="Q1097" i="1"/>
  <c r="R1097" i="1" s="1"/>
  <c r="Q1113" i="1"/>
  <c r="Q1129" i="1"/>
  <c r="Q1145" i="1"/>
  <c r="Q1161" i="1"/>
  <c r="R1161" i="1" s="1"/>
  <c r="Q1177" i="1"/>
  <c r="Q1193" i="1"/>
  <c r="Q1209" i="1"/>
  <c r="Q1225" i="1"/>
  <c r="R1225" i="1" s="1"/>
  <c r="Q1241" i="1"/>
  <c r="Q1257" i="1"/>
  <c r="Q1273" i="1"/>
  <c r="Q1289" i="1"/>
  <c r="R1289" i="1" s="1"/>
  <c r="Q1305" i="1"/>
  <c r="Q1321" i="1"/>
  <c r="Q1337" i="1"/>
  <c r="Q1353" i="1"/>
  <c r="R1353" i="1" s="1"/>
  <c r="Q1369" i="1"/>
  <c r="Q1385" i="1"/>
  <c r="Q1401" i="1"/>
  <c r="Q1417" i="1"/>
  <c r="R1417" i="1" s="1"/>
  <c r="Q1437" i="1"/>
  <c r="Q1461" i="1"/>
  <c r="Q1481" i="1"/>
  <c r="Q1501" i="1"/>
  <c r="R1501" i="1" s="1"/>
  <c r="Q1525" i="1"/>
  <c r="Q1545" i="1"/>
  <c r="Q1565" i="1"/>
  <c r="Q1589" i="1"/>
  <c r="R1589" i="1" s="1"/>
  <c r="Q910" i="1"/>
  <c r="Q930" i="1"/>
  <c r="Q954" i="1"/>
  <c r="Q974" i="1"/>
  <c r="R974" i="1" s="1"/>
  <c r="Q994" i="1"/>
  <c r="Q1018" i="1"/>
  <c r="Q1038" i="1"/>
  <c r="Q1058" i="1"/>
  <c r="R1058" i="1" s="1"/>
  <c r="Q1082" i="1"/>
  <c r="Q1102" i="1"/>
  <c r="Q1122" i="1"/>
  <c r="Q1146" i="1"/>
  <c r="R1146" i="1" s="1"/>
  <c r="Q1178" i="1"/>
  <c r="Q1210" i="1"/>
  <c r="Q1242" i="1"/>
  <c r="Q1274" i="1"/>
  <c r="R1274" i="1" s="1"/>
  <c r="Q1306" i="1"/>
  <c r="Q1338" i="1"/>
  <c r="Q1370" i="1"/>
  <c r="Q1402" i="1"/>
  <c r="R1402" i="1" s="1"/>
  <c r="Q1434" i="1"/>
  <c r="Q1466" i="1"/>
  <c r="Q1498" i="1"/>
  <c r="Q1530" i="1"/>
  <c r="R1530" i="1" s="1"/>
  <c r="Q1562" i="1"/>
  <c r="Q1608" i="1"/>
  <c r="Q1640" i="1"/>
  <c r="Q1672" i="1"/>
  <c r="R1672" i="1" s="1"/>
  <c r="Q1704" i="1"/>
  <c r="Q1736" i="1"/>
  <c r="Q1768" i="1"/>
  <c r="Q1800" i="1"/>
  <c r="R1800" i="1" s="1"/>
  <c r="Q1832" i="1"/>
  <c r="R1832" i="1" s="1"/>
  <c r="Q1864" i="1"/>
  <c r="Q1896" i="1"/>
  <c r="Q1928" i="1"/>
  <c r="R1928" i="1" s="1"/>
  <c r="Q1960" i="1"/>
  <c r="Q1992" i="1"/>
  <c r="Q2024" i="1"/>
  <c r="Q2056" i="1"/>
  <c r="R2056" i="1" s="1"/>
  <c r="Q2096" i="1"/>
  <c r="Q1605" i="1"/>
  <c r="Q1669" i="1"/>
  <c r="Q1733" i="1"/>
  <c r="R1733" i="1" s="1"/>
  <c r="Q1797" i="1"/>
  <c r="Q1861" i="1"/>
  <c r="Q1925" i="1"/>
  <c r="Q1989" i="1"/>
  <c r="R1989" i="1" s="1"/>
  <c r="Q2053" i="1"/>
  <c r="Q2117" i="1"/>
  <c r="Q2181" i="1"/>
  <c r="Q2245" i="1"/>
  <c r="R2245" i="1" s="1"/>
  <c r="Q1610" i="1"/>
  <c r="Q1674" i="1"/>
  <c r="Q1738" i="1"/>
  <c r="Q1802" i="1"/>
  <c r="R1802" i="1" s="1"/>
  <c r="Q1866" i="1"/>
  <c r="Q1930" i="1"/>
  <c r="Q1994" i="1"/>
  <c r="Q2058" i="1"/>
  <c r="R2058" i="1" s="1"/>
  <c r="Q2122" i="1"/>
  <c r="Q2186" i="1"/>
  <c r="Q2250" i="1"/>
  <c r="Q2314" i="1"/>
  <c r="R2314" i="1" s="1"/>
  <c r="Q2378" i="1"/>
  <c r="Q2192" i="1"/>
  <c r="Q2256" i="1"/>
  <c r="Q2320" i="1"/>
  <c r="R2320" i="1" s="1"/>
  <c r="Q2384" i="1"/>
  <c r="Q2448" i="1"/>
  <c r="Q2512" i="1"/>
  <c r="Q2576" i="1"/>
  <c r="R2576" i="1" s="1"/>
  <c r="Q2640" i="1"/>
  <c r="Q2301" i="1"/>
  <c r="Q2365" i="1"/>
  <c r="Q2429" i="1"/>
  <c r="R2429" i="1" s="1"/>
  <c r="Q2422" i="1"/>
  <c r="R2422" i="1" s="1"/>
  <c r="Q2486" i="1"/>
  <c r="R2486" i="1" s="1"/>
  <c r="Q2550" i="1"/>
  <c r="R2550" i="1" s="1"/>
  <c r="Q2614" i="1"/>
  <c r="R2614" i="1" s="1"/>
  <c r="Q2678" i="1"/>
  <c r="Q2742" i="1"/>
  <c r="R2742" i="1" s="1"/>
  <c r="Q311" i="1"/>
  <c r="Q375" i="1"/>
  <c r="R375" i="1" s="1"/>
  <c r="Q439" i="1"/>
  <c r="Q503" i="1"/>
  <c r="Q567" i="1"/>
  <c r="Q2720" i="1"/>
  <c r="R2720" i="1" s="1"/>
  <c r="Q2784" i="1"/>
  <c r="Q2848" i="1"/>
  <c r="Q2912" i="1"/>
  <c r="Q2976" i="1"/>
  <c r="R2976" i="1" s="1"/>
  <c r="Q3040" i="1"/>
  <c r="Q3104" i="1"/>
  <c r="Q3168" i="1"/>
  <c r="R3168" i="1" s="1"/>
  <c r="Q3232" i="1"/>
  <c r="R3232" i="1" s="1"/>
  <c r="Q3296" i="1"/>
  <c r="Q3360" i="1"/>
  <c r="Q2537" i="1"/>
  <c r="Q2601" i="1"/>
  <c r="R2601" i="1" s="1"/>
  <c r="Q2665" i="1"/>
  <c r="Q2729" i="1"/>
  <c r="Q2793" i="1"/>
  <c r="Q2857" i="1"/>
  <c r="R2857" i="1" s="1"/>
  <c r="Q2921" i="1"/>
  <c r="Q2985" i="1"/>
  <c r="Q3049" i="1"/>
  <c r="Q3113" i="1"/>
  <c r="R3113" i="1" s="1"/>
  <c r="Q3177" i="1"/>
  <c r="Q3241" i="1"/>
  <c r="Q2802" i="1"/>
  <c r="Q2866" i="1"/>
  <c r="R2866" i="1" s="1"/>
  <c r="Q2930" i="1"/>
  <c r="Q2994" i="1"/>
  <c r="R2994" i="1" s="1"/>
  <c r="Q3058" i="1"/>
  <c r="Q3122" i="1"/>
  <c r="R3122" i="1" s="1"/>
  <c r="Q3186" i="1"/>
  <c r="Q3250" i="1"/>
  <c r="Q3314" i="1"/>
  <c r="Q611" i="1"/>
  <c r="R611" i="1" s="1"/>
  <c r="Q675" i="1"/>
  <c r="Q739" i="1"/>
  <c r="R739" i="1" s="1"/>
  <c r="Q803" i="1"/>
  <c r="Q867" i="1"/>
  <c r="R867" i="1" s="1"/>
  <c r="Q931" i="1"/>
  <c r="Q995" i="1"/>
  <c r="Q1059" i="1"/>
  <c r="Q1123" i="1"/>
  <c r="R1123" i="1" s="1"/>
  <c r="Q3460" i="1"/>
  <c r="R3460" i="1" s="1"/>
  <c r="Q3588" i="1"/>
  <c r="Q3716" i="1"/>
  <c r="R3716" i="1" s="1"/>
  <c r="Q3844" i="1"/>
  <c r="R3844" i="1" s="1"/>
  <c r="Q3972" i="1"/>
  <c r="R3972" i="1" s="1"/>
  <c r="Q4100" i="1"/>
  <c r="R4100" i="1" s="1"/>
  <c r="Q3353" i="1"/>
  <c r="R3353" i="1" s="1"/>
  <c r="Q3481" i="1"/>
  <c r="R3481" i="1" s="1"/>
  <c r="Q3609" i="1"/>
  <c r="R3609" i="1" s="1"/>
  <c r="Q3737" i="1"/>
  <c r="Q3865" i="1"/>
  <c r="Q3993" i="1"/>
  <c r="R3993" i="1" s="1"/>
  <c r="Q4121" i="1"/>
  <c r="R4121" i="1" s="1"/>
  <c r="Q3486" i="1"/>
  <c r="R3486" i="1" s="1"/>
  <c r="Q3614" i="1"/>
  <c r="R3614" i="1" s="1"/>
  <c r="Q3742" i="1"/>
  <c r="R3742" i="1" s="1"/>
  <c r="Q3870" i="1"/>
  <c r="Q3998" i="1"/>
  <c r="R3998" i="1" s="1"/>
  <c r="Q4126" i="1"/>
  <c r="R4126" i="1" s="1"/>
  <c r="Q1283" i="1"/>
  <c r="R1283" i="1" s="1"/>
  <c r="G210" i="1"/>
  <c r="H210" i="1" s="1"/>
  <c r="G138" i="1"/>
  <c r="H138" i="1" s="1"/>
  <c r="G34" i="1"/>
  <c r="H34" i="1" s="1"/>
  <c r="G250" i="1"/>
  <c r="H250" i="1" s="1"/>
  <c r="G202" i="1"/>
  <c r="H202" i="1" s="1"/>
  <c r="G146" i="1"/>
  <c r="H146" i="1" s="1"/>
  <c r="G106" i="1"/>
  <c r="H106" i="1" s="1"/>
  <c r="G58" i="1"/>
  <c r="H58" i="1" s="1"/>
  <c r="G18" i="1"/>
  <c r="H18" i="1" s="1"/>
  <c r="G248" i="1"/>
  <c r="H248" i="1" s="1"/>
  <c r="G240" i="1"/>
  <c r="H240" i="1" s="1"/>
  <c r="G232" i="1"/>
  <c r="H232" i="1" s="1"/>
  <c r="G224" i="1"/>
  <c r="H224" i="1" s="1"/>
  <c r="G216" i="1"/>
  <c r="H216" i="1" s="1"/>
  <c r="G208" i="1"/>
  <c r="H208" i="1" s="1"/>
  <c r="G200" i="1"/>
  <c r="H200" i="1" s="1"/>
  <c r="G192" i="1"/>
  <c r="H192" i="1" s="1"/>
  <c r="G184" i="1"/>
  <c r="H184" i="1" s="1"/>
  <c r="G176" i="1"/>
  <c r="H176" i="1" s="1"/>
  <c r="G168" i="1"/>
  <c r="H168" i="1" s="1"/>
  <c r="G160" i="1"/>
  <c r="H160" i="1" s="1"/>
  <c r="G152" i="1"/>
  <c r="H152" i="1" s="1"/>
  <c r="G144" i="1"/>
  <c r="H144" i="1" s="1"/>
  <c r="G136" i="1"/>
  <c r="H136" i="1" s="1"/>
  <c r="G128" i="1"/>
  <c r="H128" i="1" s="1"/>
  <c r="G120" i="1"/>
  <c r="H120" i="1" s="1"/>
  <c r="G112" i="1"/>
  <c r="H112" i="1" s="1"/>
  <c r="G104" i="1"/>
  <c r="H104" i="1" s="1"/>
  <c r="G96" i="1"/>
  <c r="H96" i="1" s="1"/>
  <c r="G88" i="1"/>
  <c r="H88" i="1" s="1"/>
  <c r="G80" i="1"/>
  <c r="H80" i="1" s="1"/>
  <c r="G72" i="1"/>
  <c r="H72" i="1" s="1"/>
  <c r="G64" i="1"/>
  <c r="H64" i="1" s="1"/>
  <c r="G56" i="1"/>
  <c r="H56" i="1" s="1"/>
  <c r="G48" i="1"/>
  <c r="H48" i="1" s="1"/>
  <c r="G40" i="1"/>
  <c r="H40" i="1" s="1"/>
  <c r="G32" i="1"/>
  <c r="H32" i="1" s="1"/>
  <c r="G24" i="1"/>
  <c r="H24" i="1" s="1"/>
  <c r="G16" i="1"/>
  <c r="H16" i="1" s="1"/>
  <c r="G8" i="1"/>
  <c r="H8" i="1" s="1"/>
  <c r="G218" i="1"/>
  <c r="H218" i="1" s="1"/>
  <c r="G170" i="1"/>
  <c r="H170" i="1" s="1"/>
  <c r="G130" i="1"/>
  <c r="H130" i="1" s="1"/>
  <c r="G90" i="1"/>
  <c r="H90" i="1" s="1"/>
  <c r="G50" i="1"/>
  <c r="H50" i="1" s="1"/>
  <c r="G234" i="1"/>
  <c r="H234" i="1" s="1"/>
  <c r="G178" i="1"/>
  <c r="H178" i="1" s="1"/>
  <c r="G98" i="1"/>
  <c r="H98" i="1" s="1"/>
  <c r="G42" i="1"/>
  <c r="H42" i="1" s="1"/>
  <c r="B10" i="1"/>
  <c r="B23" i="1"/>
  <c r="B24" i="1"/>
  <c r="B25" i="1"/>
  <c r="B26" i="1"/>
  <c r="B27" i="1"/>
  <c r="B28" i="1"/>
  <c r="B22" i="1"/>
  <c r="R4982" i="1"/>
  <c r="R4446" i="1"/>
  <c r="R3926" i="1"/>
  <c r="R3278" i="1"/>
  <c r="R3518" i="1"/>
  <c r="R4646" i="1"/>
  <c r="R4142" i="1"/>
  <c r="R4278" i="1"/>
  <c r="R3790" i="1"/>
  <c r="R4030" i="1"/>
  <c r="R3542" i="1"/>
  <c r="R4710" i="1"/>
  <c r="R4182" i="1"/>
  <c r="R3702" i="1"/>
  <c r="R4390" i="1"/>
  <c r="R3886" i="1"/>
  <c r="R3382" i="1"/>
  <c r="R4590" i="1"/>
  <c r="R3558" i="1"/>
  <c r="R4967" i="1"/>
  <c r="R4903" i="1"/>
  <c r="R4839" i="1"/>
  <c r="R4775" i="1"/>
  <c r="R4711" i="1"/>
  <c r="R4647" i="1"/>
  <c r="R4583" i="1"/>
  <c r="R4519" i="1"/>
  <c r="R4455" i="1"/>
  <c r="R4973" i="1"/>
  <c r="R4909" i="1"/>
  <c r="R4845" i="1"/>
  <c r="R4781" i="1"/>
  <c r="R4717" i="1"/>
  <c r="R4653" i="1"/>
  <c r="R4589" i="1"/>
  <c r="R4525" i="1"/>
  <c r="R4461" i="1"/>
  <c r="R4397" i="1"/>
  <c r="R3126" i="1"/>
  <c r="R4948" i="1"/>
  <c r="R4820" i="1"/>
  <c r="R4692" i="1"/>
  <c r="R4628" i="1"/>
  <c r="R4500" i="1"/>
  <c r="R4436" i="1"/>
  <c r="R4372" i="1"/>
  <c r="R4995" i="1"/>
  <c r="R4867" i="1"/>
  <c r="R4803" i="1"/>
  <c r="R4675" i="1"/>
  <c r="R4611" i="1"/>
  <c r="R4483" i="1"/>
  <c r="R4419" i="1"/>
  <c r="R4962" i="1"/>
  <c r="R4898" i="1"/>
  <c r="R4834" i="1"/>
  <c r="R4770" i="1"/>
  <c r="R4706" i="1"/>
  <c r="R4642" i="1"/>
  <c r="R4578" i="1"/>
  <c r="R4514" i="1"/>
  <c r="R4450" i="1"/>
  <c r="R4386" i="1"/>
  <c r="R4992" i="1"/>
  <c r="R4928" i="1"/>
  <c r="R4864" i="1"/>
  <c r="R4800" i="1"/>
  <c r="R4736" i="1"/>
  <c r="R4672" i="1"/>
  <c r="R4608" i="1"/>
  <c r="R4544" i="1"/>
  <c r="R4416" i="1"/>
  <c r="R4335" i="1"/>
  <c r="R4271" i="1"/>
  <c r="R4207" i="1"/>
  <c r="R4143" i="1"/>
  <c r="R4079" i="1"/>
  <c r="R4015" i="1"/>
  <c r="R3951" i="1"/>
  <c r="R3887" i="1"/>
  <c r="R3695" i="1"/>
  <c r="R2982" i="1"/>
  <c r="R2918" i="1"/>
  <c r="R2854" i="1"/>
  <c r="R2790" i="1"/>
  <c r="R2662" i="1"/>
  <c r="R2534" i="1"/>
  <c r="R2406" i="1"/>
  <c r="R2342" i="1"/>
  <c r="R4325" i="1"/>
  <c r="R4261" i="1"/>
  <c r="R4197" i="1"/>
  <c r="R4133" i="1"/>
  <c r="R4036" i="1"/>
  <c r="R3780" i="1"/>
  <c r="R4331" i="1"/>
  <c r="R4918" i="1"/>
  <c r="R4382" i="1"/>
  <c r="R3862" i="1"/>
  <c r="R4950" i="1"/>
  <c r="R4494" i="1"/>
  <c r="R4574" i="1"/>
  <c r="R4070" i="1"/>
  <c r="R3550" i="1"/>
  <c r="R4750" i="1"/>
  <c r="R4214" i="1"/>
  <c r="R4478" i="1"/>
  <c r="R4638" i="1"/>
  <c r="R4118" i="1"/>
  <c r="R4862" i="1"/>
  <c r="R4326" i="1"/>
  <c r="R3822" i="1"/>
  <c r="R3310" i="1"/>
  <c r="R4534" i="1"/>
  <c r="R4022" i="1"/>
  <c r="R3494" i="1"/>
  <c r="R3174" i="1"/>
  <c r="R4959" i="1"/>
  <c r="R4831" i="1"/>
  <c r="R4767" i="1"/>
  <c r="R4639" i="1"/>
  <c r="R4575" i="1"/>
  <c r="R4447" i="1"/>
  <c r="R4383" i="1"/>
  <c r="R4965" i="1"/>
  <c r="R4901" i="1"/>
  <c r="R4837" i="1"/>
  <c r="R4773" i="1"/>
  <c r="R4709" i="1"/>
  <c r="R4645" i="1"/>
  <c r="R4581" i="1"/>
  <c r="R4517" i="1"/>
  <c r="R4453" i="1"/>
  <c r="R4389" i="1"/>
  <c r="R3038" i="1"/>
  <c r="R4684" i="1"/>
  <c r="R4620" i="1"/>
  <c r="R4556" i="1"/>
  <c r="R4428" i="1"/>
  <c r="R4364" i="1"/>
  <c r="R4987" i="1"/>
  <c r="R4923" i="1"/>
  <c r="R4795" i="1"/>
  <c r="R4731" i="1"/>
  <c r="R4603" i="1"/>
  <c r="R4539" i="1"/>
  <c r="R4411" i="1"/>
  <c r="R3246" i="1"/>
  <c r="R4954" i="1"/>
  <c r="R4890" i="1"/>
  <c r="R4826" i="1"/>
  <c r="R4762" i="1"/>
  <c r="R4698" i="1"/>
  <c r="R4634" i="1"/>
  <c r="R4570" i="1"/>
  <c r="R4506" i="1"/>
  <c r="R4442" i="1"/>
  <c r="R4378" i="1"/>
  <c r="R4993" i="1"/>
  <c r="R4865" i="1"/>
  <c r="R4737" i="1"/>
  <c r="R4609" i="1"/>
  <c r="R4481" i="1"/>
  <c r="R3238" i="1"/>
  <c r="R4984" i="1"/>
  <c r="R4920" i="1"/>
  <c r="R4856" i="1"/>
  <c r="R4792" i="1"/>
  <c r="R4728" i="1"/>
  <c r="R4664" i="1"/>
  <c r="R4600" i="1"/>
  <c r="R4536" i="1"/>
  <c r="R4472" i="1"/>
  <c r="R4408" i="1"/>
  <c r="R4327" i="1"/>
  <c r="R4263" i="1"/>
  <c r="R4135" i="1"/>
  <c r="R4071" i="1"/>
  <c r="R4007" i="1"/>
  <c r="R3815" i="1"/>
  <c r="R2974" i="1"/>
  <c r="R2910" i="1"/>
  <c r="R2846" i="1"/>
  <c r="R2782" i="1"/>
  <c r="R2334" i="1"/>
  <c r="R4317" i="1"/>
  <c r="R4189" i="1"/>
  <c r="R4125" i="1"/>
  <c r="R4061" i="1"/>
  <c r="R3997" i="1"/>
  <c r="R3933" i="1"/>
  <c r="R3869" i="1"/>
  <c r="R3805" i="1"/>
  <c r="R3741" i="1"/>
  <c r="R4348" i="1"/>
  <c r="R4092" i="1"/>
  <c r="R4028" i="1"/>
  <c r="R3964" i="1"/>
  <c r="R3900" i="1"/>
  <c r="R3836" i="1"/>
  <c r="R3772" i="1"/>
  <c r="R3708" i="1"/>
  <c r="R4259" i="1"/>
  <c r="R4195" i="1"/>
  <c r="R4067" i="1"/>
  <c r="R4003" i="1"/>
  <c r="R3875" i="1"/>
  <c r="R3811" i="1"/>
  <c r="R3747" i="1"/>
  <c r="R4274" i="1"/>
  <c r="R4146" i="1"/>
  <c r="R4018" i="1"/>
  <c r="R3890" i="1"/>
  <c r="R3762" i="1"/>
  <c r="R4241" i="1"/>
  <c r="R4854" i="1"/>
  <c r="R4318" i="1"/>
  <c r="R3798" i="1"/>
  <c r="R4886" i="1"/>
  <c r="R3902" i="1"/>
  <c r="R4518" i="1"/>
  <c r="R4006" i="1"/>
  <c r="R3670" i="1"/>
  <c r="R3406" i="1"/>
  <c r="R4566" i="1"/>
  <c r="R4054" i="1"/>
  <c r="R4262" i="1"/>
  <c r="R3750" i="1"/>
  <c r="R4470" i="1"/>
  <c r="R3958" i="1"/>
  <c r="R3446" i="1"/>
  <c r="R3102" i="1"/>
  <c r="R4951" i="1"/>
  <c r="R4887" i="1"/>
  <c r="R4823" i="1"/>
  <c r="R4759" i="1"/>
  <c r="R4695" i="1"/>
  <c r="R4631" i="1"/>
  <c r="R4567" i="1"/>
  <c r="R4503" i="1"/>
  <c r="R4439" i="1"/>
  <c r="R4375" i="1"/>
  <c r="R3150" i="1"/>
  <c r="R4957" i="1"/>
  <c r="R4829" i="1"/>
  <c r="R4701" i="1"/>
  <c r="R4573" i="1"/>
  <c r="R4445" i="1"/>
  <c r="R4932" i="1"/>
  <c r="R4804" i="1"/>
  <c r="R4676" i="1"/>
  <c r="R4548" i="1"/>
  <c r="R4484" i="1"/>
  <c r="R4979" i="1"/>
  <c r="R4915" i="1"/>
  <c r="R4851" i="1"/>
  <c r="R4787" i="1"/>
  <c r="R4723" i="1"/>
  <c r="R4659" i="1"/>
  <c r="R4595" i="1"/>
  <c r="R4531" i="1"/>
  <c r="R4467" i="1"/>
  <c r="R4403" i="1"/>
  <c r="R4946" i="1"/>
  <c r="R4882" i="1"/>
  <c r="R4818" i="1"/>
  <c r="R4754" i="1"/>
  <c r="R4690" i="1"/>
  <c r="R4626" i="1"/>
  <c r="R4562" i="1"/>
  <c r="R4498" i="1"/>
  <c r="R4434" i="1"/>
  <c r="R4370" i="1"/>
  <c r="R4985" i="1"/>
  <c r="R4921" i="1"/>
  <c r="R4857" i="1"/>
  <c r="R4793" i="1"/>
  <c r="R4729" i="1"/>
  <c r="R4665" i="1"/>
  <c r="R4601" i="1"/>
  <c r="R4537" i="1"/>
  <c r="R4473" i="1"/>
  <c r="R4409" i="1"/>
  <c r="R3190" i="1"/>
  <c r="R4976" i="1"/>
  <c r="R4912" i="1"/>
  <c r="R4848" i="1"/>
  <c r="R4784" i="1"/>
  <c r="R4720" i="1"/>
  <c r="R4656" i="1"/>
  <c r="R4592" i="1"/>
  <c r="R4464" i="1"/>
  <c r="R4400" i="1"/>
  <c r="R4255" i="1"/>
  <c r="R4191" i="1"/>
  <c r="R4063" i="1"/>
  <c r="R3999" i="1"/>
  <c r="R3935" i="1"/>
  <c r="R3807" i="1"/>
  <c r="R3743" i="1"/>
  <c r="R3679" i="1"/>
  <c r="R2966" i="1"/>
  <c r="R2902" i="1"/>
  <c r="R2710" i="1"/>
  <c r="R2582" i="1"/>
  <c r="R2518" i="1"/>
  <c r="R2454" i="1"/>
  <c r="R4117" i="1"/>
  <c r="R4053" i="1"/>
  <c r="R3989" i="1"/>
  <c r="R3925" i="1"/>
  <c r="R3861" i="1"/>
  <c r="R3797" i="1"/>
  <c r="R3733" i="1"/>
  <c r="R4340" i="1"/>
  <c r="R4276" i="1"/>
  <c r="R4212" i="1"/>
  <c r="R4148" i="1"/>
  <c r="R4020" i="1"/>
  <c r="R3892" i="1"/>
  <c r="R3764" i="1"/>
  <c r="R4790" i="1"/>
  <c r="R4254" i="1"/>
  <c r="R3734" i="1"/>
  <c r="R4830" i="1"/>
  <c r="R4366" i="1"/>
  <c r="R3838" i="1"/>
  <c r="R4974" i="1"/>
  <c r="R4454" i="1"/>
  <c r="R3942" i="1"/>
  <c r="R3430" i="1"/>
  <c r="R4622" i="1"/>
  <c r="R3606" i="1"/>
  <c r="R4350" i="1"/>
  <c r="R4502" i="1"/>
  <c r="R3990" i="1"/>
  <c r="R4734" i="1"/>
  <c r="R4198" i="1"/>
  <c r="R3686" i="1"/>
  <c r="R4878" i="1"/>
  <c r="R3894" i="1"/>
  <c r="R4943" i="1"/>
  <c r="R4879" i="1"/>
  <c r="R4815" i="1"/>
  <c r="R4751" i="1"/>
  <c r="R4687" i="1"/>
  <c r="R4623" i="1"/>
  <c r="R4559" i="1"/>
  <c r="R4495" i="1"/>
  <c r="R4431" i="1"/>
  <c r="R4367" i="1"/>
  <c r="R3110" i="1"/>
  <c r="R4988" i="1"/>
  <c r="R4924" i="1"/>
  <c r="R4860" i="1"/>
  <c r="R4796" i="1"/>
  <c r="R4732" i="1"/>
  <c r="R4668" i="1"/>
  <c r="R4604" i="1"/>
  <c r="R4476" i="1"/>
  <c r="R3270" i="1"/>
  <c r="R4971" i="1"/>
  <c r="R4907" i="1"/>
  <c r="R4843" i="1"/>
  <c r="R4715" i="1"/>
  <c r="R4651" i="1"/>
  <c r="R4523" i="1"/>
  <c r="R4459" i="1"/>
  <c r="R4395" i="1"/>
  <c r="R2" i="1"/>
  <c r="S2" i="1" s="1"/>
  <c r="R4938" i="1"/>
  <c r="R4874" i="1"/>
  <c r="R4810" i="1"/>
  <c r="R4746" i="1"/>
  <c r="R4682" i="1"/>
  <c r="R4618" i="1"/>
  <c r="R4554" i="1"/>
  <c r="R4490" i="1"/>
  <c r="R4426" i="1"/>
  <c r="R4362" i="1"/>
  <c r="R4977" i="1"/>
  <c r="R4913" i="1"/>
  <c r="R4849" i="1"/>
  <c r="R4785" i="1"/>
  <c r="R4721" i="1"/>
  <c r="R4657" i="1"/>
  <c r="R4593" i="1"/>
  <c r="R4529" i="1"/>
  <c r="R4465" i="1"/>
  <c r="R4401" i="1"/>
  <c r="R3142" i="1"/>
  <c r="R4968" i="1"/>
  <c r="R4904" i="1"/>
  <c r="R4840" i="1"/>
  <c r="R4776" i="1"/>
  <c r="R4712" i="1"/>
  <c r="R4648" i="1"/>
  <c r="R4584" i="1"/>
  <c r="R4520" i="1"/>
  <c r="R4311" i="1"/>
  <c r="R4247" i="1"/>
  <c r="R4183" i="1"/>
  <c r="R4119" i="1"/>
  <c r="R4055" i="1"/>
  <c r="R3991" i="1"/>
  <c r="R3927" i="1"/>
  <c r="R3863" i="1"/>
  <c r="R3799" i="1"/>
  <c r="R3735" i="1"/>
  <c r="R3022" i="1"/>
  <c r="R2958" i="1"/>
  <c r="R2894" i="1"/>
  <c r="R2830" i="1"/>
  <c r="R2766" i="1"/>
  <c r="R2702" i="1"/>
  <c r="R2638" i="1"/>
  <c r="R2574" i="1"/>
  <c r="R2510" i="1"/>
  <c r="R2446" i="1"/>
  <c r="R2318" i="1"/>
  <c r="R4301" i="1"/>
  <c r="R4173" i="1"/>
  <c r="R4109" i="1"/>
  <c r="R4045" i="1"/>
  <c r="R3981" i="1"/>
  <c r="R3917" i="1"/>
  <c r="R3853" i="1"/>
  <c r="R3789" i="1"/>
  <c r="R3725" i="1"/>
  <c r="R4332" i="1"/>
  <c r="R4268" i="1"/>
  <c r="R4204" i="1"/>
  <c r="R4140" i="1"/>
  <c r="R4307" i="1"/>
  <c r="R4726" i="1"/>
  <c r="R4190" i="1"/>
  <c r="R4766" i="1"/>
  <c r="R3774" i="1"/>
  <c r="R4910" i="1"/>
  <c r="R4398" i="1"/>
  <c r="R3878" i="1"/>
  <c r="R3374" i="1"/>
  <c r="R4046" i="1"/>
  <c r="R3534" i="1"/>
  <c r="R4966" i="1"/>
  <c r="R4438" i="1"/>
  <c r="R3934" i="1"/>
  <c r="R4670" i="1"/>
  <c r="R4134" i="1"/>
  <c r="R3622" i="1"/>
  <c r="R4822" i="1"/>
  <c r="R4358" i="1"/>
  <c r="R3830" i="1"/>
  <c r="R3366" i="1"/>
  <c r="R4999" i="1"/>
  <c r="R4935" i="1"/>
  <c r="R4871" i="1"/>
  <c r="R4807" i="1"/>
  <c r="R4679" i="1"/>
  <c r="R4615" i="1"/>
  <c r="R4487" i="1"/>
  <c r="R4423" i="1"/>
  <c r="R3054" i="1"/>
  <c r="R4941" i="1"/>
  <c r="R4813" i="1"/>
  <c r="R4685" i="1"/>
  <c r="R4557" i="1"/>
  <c r="R4429" i="1"/>
  <c r="R4980" i="1"/>
  <c r="R4916" i="1"/>
  <c r="R4852" i="1"/>
  <c r="R4788" i="1"/>
  <c r="R4724" i="1"/>
  <c r="R4596" i="1"/>
  <c r="R4532" i="1"/>
  <c r="R4468" i="1"/>
  <c r="R4404" i="1"/>
  <c r="R3214" i="1"/>
  <c r="R4835" i="1"/>
  <c r="R4771" i="1"/>
  <c r="R4643" i="1"/>
  <c r="R4579" i="1"/>
  <c r="R4451" i="1"/>
  <c r="R4387" i="1"/>
  <c r="R4930" i="1"/>
  <c r="R4802" i="1"/>
  <c r="R4674" i="1"/>
  <c r="R4546" i="1"/>
  <c r="R4418" i="1"/>
  <c r="R3254" i="1"/>
  <c r="R4969" i="1"/>
  <c r="R4905" i="1"/>
  <c r="R4841" i="1"/>
  <c r="R4777" i="1"/>
  <c r="R4713" i="1"/>
  <c r="R4649" i="1"/>
  <c r="R4585" i="1"/>
  <c r="R4521" i="1"/>
  <c r="R4457" i="1"/>
  <c r="R4393" i="1"/>
  <c r="R3094" i="1"/>
  <c r="R4896" i="1"/>
  <c r="R4768" i="1"/>
  <c r="R4704" i="1"/>
  <c r="R4640" i="1"/>
  <c r="R4512" i="1"/>
  <c r="R4303" i="1"/>
  <c r="R4239" i="1"/>
  <c r="R4175" i="1"/>
  <c r="R4111" i="1"/>
  <c r="R4047" i="1"/>
  <c r="R3983" i="1"/>
  <c r="R3919" i="1"/>
  <c r="R3855" i="1"/>
  <c r="R3727" i="1"/>
  <c r="R3014" i="1"/>
  <c r="R2886" i="1"/>
  <c r="R2758" i="1"/>
  <c r="R2694" i="1"/>
  <c r="R2630" i="1"/>
  <c r="R2566" i="1"/>
  <c r="R2502" i="1"/>
  <c r="R2438" i="1"/>
  <c r="R2374" i="1"/>
  <c r="R2310" i="1"/>
  <c r="R4293" i="1"/>
  <c r="R4229" i="1"/>
  <c r="R4165" i="1"/>
  <c r="R4101" i="1"/>
  <c r="R4037" i="1"/>
  <c r="R3973" i="1"/>
  <c r="R3909" i="1"/>
  <c r="R3845" i="1"/>
  <c r="R3781" i="1"/>
  <c r="R3717" i="1"/>
  <c r="R4324" i="1"/>
  <c r="R4260" i="1"/>
  <c r="R4196" i="1"/>
  <c r="R4132" i="1"/>
  <c r="R4068" i="1"/>
  <c r="R4004" i="1"/>
  <c r="R3940" i="1"/>
  <c r="R3876" i="1"/>
  <c r="R3812" i="1"/>
  <c r="R4299" i="1"/>
  <c r="R4662" i="1"/>
  <c r="R4702" i="1"/>
  <c r="R4238" i="1"/>
  <c r="R3710" i="1"/>
  <c r="R4846" i="1"/>
  <c r="R4334" i="1"/>
  <c r="R3302" i="1"/>
  <c r="R3478" i="1"/>
  <c r="R4222" i="1"/>
  <c r="R4902" i="1"/>
  <c r="R4374" i="1"/>
  <c r="R3870" i="1"/>
  <c r="R3390" i="1"/>
  <c r="R4606" i="1"/>
  <c r="R4078" i="1"/>
  <c r="R3566" i="1"/>
  <c r="R4758" i="1"/>
  <c r="R3766" i="1"/>
  <c r="R3350" i="1"/>
  <c r="R4991" i="1"/>
  <c r="R4799" i="1"/>
  <c r="R4607" i="1"/>
  <c r="R4479" i="1"/>
  <c r="R4415" i="1"/>
  <c r="R4997" i="1"/>
  <c r="R4933" i="1"/>
  <c r="R4869" i="1"/>
  <c r="R4805" i="1"/>
  <c r="R4741" i="1"/>
  <c r="R4677" i="1"/>
  <c r="R4613" i="1"/>
  <c r="R4549" i="1"/>
  <c r="R4485" i="1"/>
  <c r="R4421" i="1"/>
  <c r="R4357" i="1"/>
  <c r="R4972" i="1"/>
  <c r="R4908" i="1"/>
  <c r="R4844" i="1"/>
  <c r="R4780" i="1"/>
  <c r="R4716" i="1"/>
  <c r="R4588" i="1"/>
  <c r="R4524" i="1"/>
  <c r="R4460" i="1"/>
  <c r="R4396" i="1"/>
  <c r="R3166" i="1"/>
  <c r="R4955" i="1"/>
  <c r="R4763" i="1"/>
  <c r="R4571" i="1"/>
  <c r="R4379" i="1"/>
  <c r="R4961" i="1"/>
  <c r="R4897" i="1"/>
  <c r="R4833" i="1"/>
  <c r="R4769" i="1"/>
  <c r="R4705" i="1"/>
  <c r="R4641" i="1"/>
  <c r="R4577" i="1"/>
  <c r="R4513" i="1"/>
  <c r="R4449" i="1"/>
  <c r="R4385" i="1"/>
  <c r="R3086" i="1"/>
  <c r="R4440" i="1"/>
  <c r="R4376" i="1"/>
  <c r="R4295" i="1"/>
  <c r="R4231" i="1"/>
  <c r="R4103" i="1"/>
  <c r="R4039" i="1"/>
  <c r="R3911" i="1"/>
  <c r="R3847" i="1"/>
  <c r="R3783" i="1"/>
  <c r="R2750" i="1"/>
  <c r="R2686" i="1"/>
  <c r="R2622" i="1"/>
  <c r="R2558" i="1"/>
  <c r="R2494" i="1"/>
  <c r="R2430" i="1"/>
  <c r="R2366" i="1"/>
  <c r="R4349" i="1"/>
  <c r="R4285" i="1"/>
  <c r="R4221" i="1"/>
  <c r="R4157" i="1"/>
  <c r="R4093" i="1"/>
  <c r="R3965" i="1"/>
  <c r="R3837" i="1"/>
  <c r="R3709" i="1"/>
  <c r="R4316" i="1"/>
  <c r="R4252" i="1"/>
  <c r="R4188" i="1"/>
  <c r="R4124" i="1"/>
  <c r="R4060" i="1"/>
  <c r="R3996" i="1"/>
  <c r="R3932" i="1"/>
  <c r="R3868" i="1"/>
  <c r="R3804" i="1"/>
  <c r="R3740" i="1"/>
  <c r="R3676" i="1"/>
  <c r="R4291" i="1"/>
  <c r="R4582" i="1"/>
  <c r="R4062" i="1"/>
  <c r="R3510" i="1"/>
  <c r="R4654" i="1"/>
  <c r="R3638" i="1"/>
  <c r="R4782" i="1"/>
  <c r="R4270" i="1"/>
  <c r="R4958" i="1"/>
  <c r="R4406" i="1"/>
  <c r="R3918" i="1"/>
  <c r="R3422" i="1"/>
  <c r="R4150" i="1"/>
  <c r="R3662" i="1"/>
  <c r="R4838" i="1"/>
  <c r="R4310" i="1"/>
  <c r="R3814" i="1"/>
  <c r="R4526" i="1"/>
  <c r="R4014" i="1"/>
  <c r="R3502" i="1"/>
  <c r="R4694" i="1"/>
  <c r="R3694" i="1"/>
  <c r="R3342" i="1"/>
  <c r="R4983" i="1"/>
  <c r="R4919" i="1"/>
  <c r="R4791" i="1"/>
  <c r="R4727" i="1"/>
  <c r="R4599" i="1"/>
  <c r="R4535" i="1"/>
  <c r="R4407" i="1"/>
  <c r="R4343" i="1"/>
  <c r="R4989" i="1"/>
  <c r="R4925" i="1"/>
  <c r="R4861" i="1"/>
  <c r="R4797" i="1"/>
  <c r="R4733" i="1"/>
  <c r="R4669" i="1"/>
  <c r="R4605" i="1"/>
  <c r="R4541" i="1"/>
  <c r="R4477" i="1"/>
  <c r="R4413" i="1"/>
  <c r="R3230" i="1"/>
  <c r="R4964" i="1"/>
  <c r="R4900" i="1"/>
  <c r="R4836" i="1"/>
  <c r="R4772" i="1"/>
  <c r="R4644" i="1"/>
  <c r="R4580" i="1"/>
  <c r="R4516" i="1"/>
  <c r="R4452" i="1"/>
  <c r="R4388" i="1"/>
  <c r="R3118" i="1"/>
  <c r="R4947" i="1"/>
  <c r="R4883" i="1"/>
  <c r="R4755" i="1"/>
  <c r="R4691" i="1"/>
  <c r="R4563" i="1"/>
  <c r="R4499" i="1"/>
  <c r="R4371" i="1"/>
  <c r="R4914" i="1"/>
  <c r="R4786" i="1"/>
  <c r="R4658" i="1"/>
  <c r="R4530" i="1"/>
  <c r="R4402" i="1"/>
  <c r="R3158" i="1"/>
  <c r="R4953" i="1"/>
  <c r="R4889" i="1"/>
  <c r="R4825" i="1"/>
  <c r="R4761" i="1"/>
  <c r="R4697" i="1"/>
  <c r="R4633" i="1"/>
  <c r="R4569" i="1"/>
  <c r="R4505" i="1"/>
  <c r="R4441" i="1"/>
  <c r="R4377" i="1"/>
  <c r="R4880" i="1"/>
  <c r="R4752" i="1"/>
  <c r="R4688" i="1"/>
  <c r="R4560" i="1"/>
  <c r="R4496" i="1"/>
  <c r="R4432" i="1"/>
  <c r="R4368" i="1"/>
  <c r="R4223" i="1"/>
  <c r="R4031" i="1"/>
  <c r="R3967" i="1"/>
  <c r="R3839" i="1"/>
  <c r="R3775" i="1"/>
  <c r="R3711" i="1"/>
  <c r="R2998" i="1"/>
  <c r="R2934" i="1"/>
  <c r="R2870" i="1"/>
  <c r="R2678" i="1"/>
  <c r="R2358" i="1"/>
  <c r="R4341" i="1"/>
  <c r="R4277" i="1"/>
  <c r="R4213" i="1"/>
  <c r="R4149" i="1"/>
  <c r="R4085" i="1"/>
  <c r="R4021" i="1"/>
  <c r="R3957" i="1"/>
  <c r="R3893" i="1"/>
  <c r="R3829" i="1"/>
  <c r="R3765" i="1"/>
  <c r="R3701" i="1"/>
  <c r="R4308" i="1"/>
  <c r="R4244" i="1"/>
  <c r="R4180" i="1"/>
  <c r="R4116" i="1"/>
  <c r="R4052" i="1"/>
  <c r="R3988" i="1"/>
  <c r="R3924" i="1"/>
  <c r="R3860" i="1"/>
  <c r="R3796" i="1"/>
  <c r="R3732" i="1"/>
  <c r="R4347" i="1"/>
  <c r="R4219" i="1"/>
  <c r="R4155" i="1"/>
  <c r="R4027" i="1"/>
  <c r="R3963" i="1"/>
  <c r="R3899" i="1"/>
  <c r="R3835" i="1"/>
  <c r="R3771" i="1"/>
  <c r="R3707" i="1"/>
  <c r="R3643" i="1"/>
  <c r="R4298" i="1"/>
  <c r="R4234" i="1"/>
  <c r="R4170" i="1"/>
  <c r="R4106" i="1"/>
  <c r="R4042" i="1"/>
  <c r="R3978" i="1"/>
  <c r="R3914" i="1"/>
  <c r="R3850" i="1"/>
  <c r="R3786" i="1"/>
  <c r="R3722" i="1"/>
  <c r="R4329" i="1"/>
  <c r="R4265" i="1"/>
  <c r="R4201" i="1"/>
  <c r="R4137" i="1"/>
  <c r="R4510" i="1"/>
  <c r="R3414" i="1"/>
  <c r="R4598" i="1"/>
  <c r="R3574" i="1"/>
  <c r="R4718" i="1"/>
  <c r="R4206" i="1"/>
  <c r="R3678" i="1"/>
  <c r="R4894" i="1"/>
  <c r="R4342" i="1"/>
  <c r="R3358" i="1"/>
  <c r="R4086" i="1"/>
  <c r="R4774" i="1"/>
  <c r="R4246" i="1"/>
  <c r="R3758" i="1"/>
  <c r="R4990" i="1"/>
  <c r="R4462" i="1"/>
  <c r="R3950" i="1"/>
  <c r="R3438" i="1"/>
  <c r="R4630" i="1"/>
  <c r="R3630" i="1"/>
  <c r="R3294" i="1"/>
  <c r="R4975" i="1"/>
  <c r="R4911" i="1"/>
  <c r="R4847" i="1"/>
  <c r="R4783" i="1"/>
  <c r="R4719" i="1"/>
  <c r="R4655" i="1"/>
  <c r="R4591" i="1"/>
  <c r="R4527" i="1"/>
  <c r="R4463" i="1"/>
  <c r="R4399" i="1"/>
  <c r="R4981" i="1"/>
  <c r="R4917" i="1"/>
  <c r="R4853" i="1"/>
  <c r="R4789" i="1"/>
  <c r="R4725" i="1"/>
  <c r="R4661" i="1"/>
  <c r="R4597" i="1"/>
  <c r="R4533" i="1"/>
  <c r="R4469" i="1"/>
  <c r="R4405" i="1"/>
  <c r="R3182" i="1"/>
  <c r="R4956" i="1"/>
  <c r="R4892" i="1"/>
  <c r="R4828" i="1"/>
  <c r="R4764" i="1"/>
  <c r="R4636" i="1"/>
  <c r="R4572" i="1"/>
  <c r="R4508" i="1"/>
  <c r="R4444" i="1"/>
  <c r="R4380" i="1"/>
  <c r="R3046" i="1"/>
  <c r="R4939" i="1"/>
  <c r="R4875" i="1"/>
  <c r="R4811" i="1"/>
  <c r="R4747" i="1"/>
  <c r="R4683" i="1"/>
  <c r="R4619" i="1"/>
  <c r="R4555" i="1"/>
  <c r="R4491" i="1"/>
  <c r="R4427" i="1"/>
  <c r="R4363" i="1"/>
  <c r="R4970" i="1"/>
  <c r="R4906" i="1"/>
  <c r="R4842" i="1"/>
  <c r="R4778" i="1"/>
  <c r="R4714" i="1"/>
  <c r="R4650" i="1"/>
  <c r="R4586" i="1"/>
  <c r="R4522" i="1"/>
  <c r="R4458" i="1"/>
  <c r="R4394" i="1"/>
  <c r="R4881" i="1"/>
  <c r="R4753" i="1"/>
  <c r="R4625" i="1"/>
  <c r="R4497" i="1"/>
  <c r="R4369" i="1"/>
  <c r="R5000" i="1"/>
  <c r="R4936" i="1"/>
  <c r="R4872" i="1"/>
  <c r="R4808" i="1"/>
  <c r="R4744" i="1"/>
  <c r="R4680" i="1"/>
  <c r="R4616" i="1"/>
  <c r="R4552" i="1"/>
  <c r="R4488" i="1"/>
  <c r="R4424" i="1"/>
  <c r="R4360" i="1"/>
  <c r="R4215" i="1"/>
  <c r="R4151" i="1"/>
  <c r="R4023" i="1"/>
  <c r="R3895" i="1"/>
  <c r="R3831" i="1"/>
  <c r="R3767" i="1"/>
  <c r="R3703" i="1"/>
  <c r="R2990" i="1"/>
  <c r="R2926" i="1"/>
  <c r="R2862" i="1"/>
  <c r="R2798" i="1"/>
  <c r="R2734" i="1"/>
  <c r="R2670" i="1"/>
  <c r="R2606" i="1"/>
  <c r="R2542" i="1"/>
  <c r="R2478" i="1"/>
  <c r="R2414" i="1"/>
  <c r="R2350" i="1"/>
  <c r="R4333" i="1"/>
  <c r="R4269" i="1"/>
  <c r="R4205" i="1"/>
  <c r="R4141" i="1"/>
  <c r="R4013" i="1"/>
  <c r="R3885" i="1"/>
  <c r="R3757" i="1"/>
  <c r="R4300" i="1"/>
  <c r="R4236" i="1"/>
  <c r="R4172" i="1"/>
  <c r="R4108" i="1"/>
  <c r="R4044" i="1"/>
  <c r="R3980" i="1"/>
  <c r="R3916" i="1"/>
  <c r="R3852" i="1"/>
  <c r="R3788" i="1"/>
  <c r="R3724" i="1"/>
  <c r="R4339" i="1"/>
  <c r="R4275" i="1"/>
  <c r="R4267" i="1"/>
  <c r="R4171" i="1"/>
  <c r="R4083" i="1"/>
  <c r="R3995" i="1"/>
  <c r="R3915" i="1"/>
  <c r="R3827" i="1"/>
  <c r="R3739" i="1"/>
  <c r="R3659" i="1"/>
  <c r="R4290" i="1"/>
  <c r="R4202" i="1"/>
  <c r="R4122" i="1"/>
  <c r="R3866" i="1"/>
  <c r="R4281" i="1"/>
  <c r="R4193" i="1"/>
  <c r="R4113" i="1"/>
  <c r="R4049" i="1"/>
  <c r="R3985" i="1"/>
  <c r="R3921" i="1"/>
  <c r="R3857" i="1"/>
  <c r="R3793" i="1"/>
  <c r="R3729" i="1"/>
  <c r="R4336" i="1"/>
  <c r="R4272" i="1"/>
  <c r="R4208" i="1"/>
  <c r="R4144" i="1"/>
  <c r="R4080" i="1"/>
  <c r="R4016" i="1"/>
  <c r="R3952" i="1"/>
  <c r="R3888" i="1"/>
  <c r="R3824" i="1"/>
  <c r="R3760" i="1"/>
  <c r="R3696" i="1"/>
  <c r="R3503" i="1"/>
  <c r="R3439" i="1"/>
  <c r="R3311" i="1"/>
  <c r="R3183" i="1"/>
  <c r="R3055" i="1"/>
  <c r="R2302" i="1"/>
  <c r="R2238" i="1"/>
  <c r="R2174" i="1"/>
  <c r="R2110" i="1"/>
  <c r="R2046" i="1"/>
  <c r="R1982" i="1"/>
  <c r="R1918" i="1"/>
  <c r="R1854" i="1"/>
  <c r="R1790" i="1"/>
  <c r="R1726" i="1"/>
  <c r="R1662" i="1"/>
  <c r="R1598" i="1"/>
  <c r="R3661" i="1"/>
  <c r="R3597" i="1"/>
  <c r="R3533" i="1"/>
  <c r="R3469" i="1"/>
  <c r="R3405" i="1"/>
  <c r="R3341" i="1"/>
  <c r="R3277" i="1"/>
  <c r="R3213" i="1"/>
  <c r="R3085" i="1"/>
  <c r="R3668" i="1"/>
  <c r="R3604" i="1"/>
  <c r="R3540" i="1"/>
  <c r="R3476" i="1"/>
  <c r="R3412" i="1"/>
  <c r="R3348" i="1"/>
  <c r="R3284" i="1"/>
  <c r="R3220" i="1"/>
  <c r="R3156" i="1"/>
  <c r="R3092" i="1"/>
  <c r="R3028" i="1"/>
  <c r="R3579" i="1"/>
  <c r="R3515" i="1"/>
  <c r="R3451" i="1"/>
  <c r="R3323" i="1"/>
  <c r="R3131" i="1"/>
  <c r="R3067" i="1"/>
  <c r="R3003" i="1"/>
  <c r="R2939" i="1"/>
  <c r="R3586" i="1"/>
  <c r="R3458" i="1"/>
  <c r="R3330" i="1"/>
  <c r="R3266" i="1"/>
  <c r="R3202" i="1"/>
  <c r="R3138" i="1"/>
  <c r="R3074" i="1"/>
  <c r="R3673" i="1"/>
  <c r="R3417" i="1"/>
  <c r="R3289" i="1"/>
  <c r="R3161" i="1"/>
  <c r="R3033" i="1"/>
  <c r="R3560" i="1"/>
  <c r="R3432" i="1"/>
  <c r="R3304" i="1"/>
  <c r="R3240" i="1"/>
  <c r="R3176" i="1"/>
  <c r="R3112" i="1"/>
  <c r="R3048" i="1"/>
  <c r="R2895" i="1"/>
  <c r="R2831" i="1"/>
  <c r="R2767" i="1"/>
  <c r="R2703" i="1"/>
  <c r="R2639" i="1"/>
  <c r="R1550" i="1"/>
  <c r="R1422" i="1"/>
  <c r="R1294" i="1"/>
  <c r="R1102" i="1"/>
  <c r="R1038" i="1"/>
  <c r="R910" i="1"/>
  <c r="R2668" i="1"/>
  <c r="R2604" i="1"/>
  <c r="R2540" i="1"/>
  <c r="R2476" i="1"/>
  <c r="R4075" i="1"/>
  <c r="R3987" i="1"/>
  <c r="R3819" i="1"/>
  <c r="R3731" i="1"/>
  <c r="R3651" i="1"/>
  <c r="R4194" i="1"/>
  <c r="R4114" i="1"/>
  <c r="R4026" i="1"/>
  <c r="R3938" i="1"/>
  <c r="R3858" i="1"/>
  <c r="R3770" i="1"/>
  <c r="R4353" i="1"/>
  <c r="R4273" i="1"/>
  <c r="R4185" i="1"/>
  <c r="R4041" i="1"/>
  <c r="R3913" i="1"/>
  <c r="R3785" i="1"/>
  <c r="R4072" i="1"/>
  <c r="R3944" i="1"/>
  <c r="R3816" i="1"/>
  <c r="R3688" i="1"/>
  <c r="R3559" i="1"/>
  <c r="R3495" i="1"/>
  <c r="R3431" i="1"/>
  <c r="R3367" i="1"/>
  <c r="R3239" i="1"/>
  <c r="R3175" i="1"/>
  <c r="R3111" i="1"/>
  <c r="R2294" i="1"/>
  <c r="R2230" i="1"/>
  <c r="R2166" i="1"/>
  <c r="R2102" i="1"/>
  <c r="R2038" i="1"/>
  <c r="R1974" i="1"/>
  <c r="R1910" i="1"/>
  <c r="R1846" i="1"/>
  <c r="R1782" i="1"/>
  <c r="R1718" i="1"/>
  <c r="R1654" i="1"/>
  <c r="R1590" i="1"/>
  <c r="R3653" i="1"/>
  <c r="R3589" i="1"/>
  <c r="R3525" i="1"/>
  <c r="R3461" i="1"/>
  <c r="R3397" i="1"/>
  <c r="R3333" i="1"/>
  <c r="R3269" i="1"/>
  <c r="R3205" i="1"/>
  <c r="R3141" i="1"/>
  <c r="R3077" i="1"/>
  <c r="R3660" i="1"/>
  <c r="R3596" i="1"/>
  <c r="R3532" i="1"/>
  <c r="R3468" i="1"/>
  <c r="R3404" i="1"/>
  <c r="R3340" i="1"/>
  <c r="R3276" i="1"/>
  <c r="R3212" i="1"/>
  <c r="R3148" i="1"/>
  <c r="R3084" i="1"/>
  <c r="R3635" i="1"/>
  <c r="R3571" i="1"/>
  <c r="R3379" i="1"/>
  <c r="R3251" i="1"/>
  <c r="R3187" i="1"/>
  <c r="R3123" i="1"/>
  <c r="R3059" i="1"/>
  <c r="R2931" i="1"/>
  <c r="R2867" i="1"/>
  <c r="R3642" i="1"/>
  <c r="R3578" i="1"/>
  <c r="R3514" i="1"/>
  <c r="R3450" i="1"/>
  <c r="R3386" i="1"/>
  <c r="R3322" i="1"/>
  <c r="R3258" i="1"/>
  <c r="R3194" i="1"/>
  <c r="R3130" i="1"/>
  <c r="R3066" i="1"/>
  <c r="R3665" i="1"/>
  <c r="R3601" i="1"/>
  <c r="R3537" i="1"/>
  <c r="R3473" i="1"/>
  <c r="R3409" i="1"/>
  <c r="R3345" i="1"/>
  <c r="R3281" i="1"/>
  <c r="R3616" i="1"/>
  <c r="R3552" i="1"/>
  <c r="R3488" i="1"/>
  <c r="R3424" i="1"/>
  <c r="R3360" i="1"/>
  <c r="R3296" i="1"/>
  <c r="R3104" i="1"/>
  <c r="R3040" i="1"/>
  <c r="R2951" i="1"/>
  <c r="R2887" i="1"/>
  <c r="R2695" i="1"/>
  <c r="R2567" i="1"/>
  <c r="R2503" i="1"/>
  <c r="R1542" i="1"/>
  <c r="R1478" i="1"/>
  <c r="R1414" i="1"/>
  <c r="R1350" i="1"/>
  <c r="R1286" i="1"/>
  <c r="R1222" i="1"/>
  <c r="R1158" i="1"/>
  <c r="R1094" i="1"/>
  <c r="R1030" i="1"/>
  <c r="R966" i="1"/>
  <c r="R2989" i="1"/>
  <c r="R2925" i="1"/>
  <c r="R2861" i="1"/>
  <c r="R2733" i="1"/>
  <c r="R2669" i="1"/>
  <c r="R2605" i="1"/>
  <c r="R2477" i="1"/>
  <c r="R2980" i="1"/>
  <c r="R2852" i="1"/>
  <c r="R2788" i="1"/>
  <c r="R2724" i="1"/>
  <c r="R2596" i="1"/>
  <c r="R2468" i="1"/>
  <c r="R2803" i="1"/>
  <c r="R2547" i="1"/>
  <c r="R2419" i="1"/>
  <c r="R2291" i="1"/>
  <c r="R2163" i="1"/>
  <c r="R4235" i="1"/>
  <c r="R4147" i="1"/>
  <c r="R3891" i="1"/>
  <c r="R3803" i="1"/>
  <c r="R4266" i="1"/>
  <c r="R4186" i="1"/>
  <c r="R4098" i="1"/>
  <c r="R3930" i="1"/>
  <c r="R3842" i="1"/>
  <c r="R4345" i="1"/>
  <c r="R4257" i="1"/>
  <c r="R4128" i="1"/>
  <c r="R4064" i="1"/>
  <c r="R4000" i="1"/>
  <c r="R3936" i="1"/>
  <c r="R3872" i="1"/>
  <c r="R3808" i="1"/>
  <c r="R3744" i="1"/>
  <c r="R3680" i="1"/>
  <c r="R3615" i="1"/>
  <c r="R3551" i="1"/>
  <c r="R3487" i="1"/>
  <c r="R3423" i="1"/>
  <c r="R3359" i="1"/>
  <c r="R3295" i="1"/>
  <c r="R3103" i="1"/>
  <c r="R3039" i="1"/>
  <c r="R2286" i="1"/>
  <c r="R2158" i="1"/>
  <c r="R2094" i="1"/>
  <c r="R2030" i="1"/>
  <c r="R1902" i="1"/>
  <c r="R1838" i="1"/>
  <c r="R1774" i="1"/>
  <c r="R1646" i="1"/>
  <c r="R1582" i="1"/>
  <c r="R3581" i="1"/>
  <c r="R3453" i="1"/>
  <c r="R3325" i="1"/>
  <c r="R3133" i="1"/>
  <c r="R3652" i="1"/>
  <c r="R3588" i="1"/>
  <c r="R3524" i="1"/>
  <c r="R3332" i="1"/>
  <c r="R3268" i="1"/>
  <c r="R3204" i="1"/>
  <c r="R3076" i="1"/>
  <c r="R3563" i="1"/>
  <c r="R3499" i="1"/>
  <c r="R3435" i="1"/>
  <c r="R3371" i="1"/>
  <c r="R3307" i="1"/>
  <c r="R3243" i="1"/>
  <c r="R3179" i="1"/>
  <c r="R3115" i="1"/>
  <c r="R2987" i="1"/>
  <c r="R2923" i="1"/>
  <c r="R2859" i="1"/>
  <c r="R3634" i="1"/>
  <c r="R3506" i="1"/>
  <c r="R3378" i="1"/>
  <c r="R3314" i="1"/>
  <c r="R3250" i="1"/>
  <c r="R3186" i="1"/>
  <c r="R3058" i="1"/>
  <c r="R3657" i="1"/>
  <c r="R3529" i="1"/>
  <c r="R3401" i="1"/>
  <c r="R3273" i="1"/>
  <c r="R3209" i="1"/>
  <c r="R3081" i="1"/>
  <c r="R3608" i="1"/>
  <c r="R3480" i="1"/>
  <c r="R3352" i="1"/>
  <c r="R3288" i="1"/>
  <c r="R3224" i="1"/>
  <c r="R3160" i="1"/>
  <c r="R3096" i="1"/>
  <c r="R3032" i="1"/>
  <c r="R2943" i="1"/>
  <c r="R2879" i="1"/>
  <c r="R2815" i="1"/>
  <c r="R2751" i="1"/>
  <c r="R2687" i="1"/>
  <c r="R2623" i="1"/>
  <c r="R2559" i="1"/>
  <c r="R2495" i="1"/>
  <c r="R1534" i="1"/>
  <c r="R1470" i="1"/>
  <c r="R1342" i="1"/>
  <c r="R1278" i="1"/>
  <c r="R1150" i="1"/>
  <c r="R1086" i="1"/>
  <c r="R1022" i="1"/>
  <c r="R958" i="1"/>
  <c r="R894" i="1"/>
  <c r="R2981" i="1"/>
  <c r="R2917" i="1"/>
  <c r="R2853" i="1"/>
  <c r="R2789" i="1"/>
  <c r="R2725" i="1"/>
  <c r="R2661" i="1"/>
  <c r="R2597" i="1"/>
  <c r="R2533" i="1"/>
  <c r="R2972" i="1"/>
  <c r="R2908" i="1"/>
  <c r="R2844" i="1"/>
  <c r="R2780" i="1"/>
  <c r="R2716" i="1"/>
  <c r="R4227" i="1"/>
  <c r="R4139" i="1"/>
  <c r="R3971" i="1"/>
  <c r="R3883" i="1"/>
  <c r="R3795" i="1"/>
  <c r="R4258" i="1"/>
  <c r="R4178" i="1"/>
  <c r="R4090" i="1"/>
  <c r="R4002" i="1"/>
  <c r="R3922" i="1"/>
  <c r="R3834" i="1"/>
  <c r="R3746" i="1"/>
  <c r="R4337" i="1"/>
  <c r="R4249" i="1"/>
  <c r="R4025" i="1"/>
  <c r="R3961" i="1"/>
  <c r="R3769" i="1"/>
  <c r="R3705" i="1"/>
  <c r="R4312" i="1"/>
  <c r="R4248" i="1"/>
  <c r="R4184" i="1"/>
  <c r="R4120" i="1"/>
  <c r="R3992" i="1"/>
  <c r="R3864" i="1"/>
  <c r="R3736" i="1"/>
  <c r="R3671" i="1"/>
  <c r="R3607" i="1"/>
  <c r="R3479" i="1"/>
  <c r="R3351" i="1"/>
  <c r="R3287" i="1"/>
  <c r="R3223" i="1"/>
  <c r="R3159" i="1"/>
  <c r="R3095" i="1"/>
  <c r="R2278" i="1"/>
  <c r="R2214" i="1"/>
  <c r="R2150" i="1"/>
  <c r="R2086" i="1"/>
  <c r="R2022" i="1"/>
  <c r="R1958" i="1"/>
  <c r="R1894" i="1"/>
  <c r="R1830" i="1"/>
  <c r="R1766" i="1"/>
  <c r="R1702" i="1"/>
  <c r="R1638" i="1"/>
  <c r="R3637" i="1"/>
  <c r="R3573" i="1"/>
  <c r="R3509" i="1"/>
  <c r="R3445" i="1"/>
  <c r="R3381" i="1"/>
  <c r="R3317" i="1"/>
  <c r="R3644" i="1"/>
  <c r="R3580" i="1"/>
  <c r="R3516" i="1"/>
  <c r="R3452" i="1"/>
  <c r="R3388" i="1"/>
  <c r="R3324" i="1"/>
  <c r="R3260" i="1"/>
  <c r="R3196" i="1"/>
  <c r="R3132" i="1"/>
  <c r="R3068" i="1"/>
  <c r="R3619" i="1"/>
  <c r="R3555" i="1"/>
  <c r="R3491" i="1"/>
  <c r="R3299" i="1"/>
  <c r="R3235" i="1"/>
  <c r="R3107" i="1"/>
  <c r="R3043" i="1"/>
  <c r="R2915" i="1"/>
  <c r="R3306" i="1"/>
  <c r="R3242" i="1"/>
  <c r="R3178" i="1"/>
  <c r="R3114" i="1"/>
  <c r="R3050" i="1"/>
  <c r="R3521" i="1"/>
  <c r="R3201" i="1"/>
  <c r="R3137" i="1"/>
  <c r="R3073" i="1"/>
  <c r="R3408" i="1"/>
  <c r="R3280" i="1"/>
  <c r="R3152" i="1"/>
  <c r="R3024" i="1"/>
  <c r="R2871" i="1"/>
  <c r="R2807" i="1"/>
  <c r="R2743" i="1"/>
  <c r="R2679" i="1"/>
  <c r="R2615" i="1"/>
  <c r="R2551" i="1"/>
  <c r="R2487" i="1"/>
  <c r="R1526" i="1"/>
  <c r="R1462" i="1"/>
  <c r="R1398" i="1"/>
  <c r="R1334" i="1"/>
  <c r="R1270" i="1"/>
  <c r="R1206" i="1"/>
  <c r="R1142" i="1"/>
  <c r="R1078" i="1"/>
  <c r="R1014" i="1"/>
  <c r="R950" i="1"/>
  <c r="R2973" i="1"/>
  <c r="R2909" i="1"/>
  <c r="R2845" i="1"/>
  <c r="R2781" i="1"/>
  <c r="R2717" i="1"/>
  <c r="R2653" i="1"/>
  <c r="R2589" i="1"/>
  <c r="R2525" i="1"/>
  <c r="R4211" i="1"/>
  <c r="R4043" i="1"/>
  <c r="R3955" i="1"/>
  <c r="R3867" i="1"/>
  <c r="R3699" i="1"/>
  <c r="R4330" i="1"/>
  <c r="R4250" i="1"/>
  <c r="R4162" i="1"/>
  <c r="R3994" i="1"/>
  <c r="R3738" i="1"/>
  <c r="R4321" i="1"/>
  <c r="R4153" i="1"/>
  <c r="R4081" i="1"/>
  <c r="R4017" i="1"/>
  <c r="R3953" i="1"/>
  <c r="R3889" i="1"/>
  <c r="R3825" i="1"/>
  <c r="R3761" i="1"/>
  <c r="R3697" i="1"/>
  <c r="R4304" i="1"/>
  <c r="R4240" i="1"/>
  <c r="R4176" i="1"/>
  <c r="R3663" i="1"/>
  <c r="R3599" i="1"/>
  <c r="R3535" i="1"/>
  <c r="R3471" i="1"/>
  <c r="R3407" i="1"/>
  <c r="R3343" i="1"/>
  <c r="R3279" i="1"/>
  <c r="R3215" i="1"/>
  <c r="R3151" i="1"/>
  <c r="R3087" i="1"/>
  <c r="R3023" i="1"/>
  <c r="R2206" i="1"/>
  <c r="R2078" i="1"/>
  <c r="R1950" i="1"/>
  <c r="R1822" i="1"/>
  <c r="R1694" i="1"/>
  <c r="R1566" i="1"/>
  <c r="R3629" i="1"/>
  <c r="R3501" i="1"/>
  <c r="R3373" i="1"/>
  <c r="R3245" i="1"/>
  <c r="R3181" i="1"/>
  <c r="R3117" i="1"/>
  <c r="R3636" i="1"/>
  <c r="R3508" i="1"/>
  <c r="R3380" i="1"/>
  <c r="R3252" i="1"/>
  <c r="R3124" i="1"/>
  <c r="R3547" i="1"/>
  <c r="R3419" i="1"/>
  <c r="R3355" i="1"/>
  <c r="R3291" i="1"/>
  <c r="R3227" i="1"/>
  <c r="R3163" i="1"/>
  <c r="R3099" i="1"/>
  <c r="R3035" i="1"/>
  <c r="R2971" i="1"/>
  <c r="R2907" i="1"/>
  <c r="R3682" i="1"/>
  <c r="R3618" i="1"/>
  <c r="R3554" i="1"/>
  <c r="R3490" i="1"/>
  <c r="R3426" i="1"/>
  <c r="R3298" i="1"/>
  <c r="R3170" i="1"/>
  <c r="R3042" i="1"/>
  <c r="R3641" i="1"/>
  <c r="R3577" i="1"/>
  <c r="R3513" i="1"/>
  <c r="R3449" i="1"/>
  <c r="R3257" i="1"/>
  <c r="R3193" i="1"/>
  <c r="R3129" i="1"/>
  <c r="R3065" i="1"/>
  <c r="R3656" i="1"/>
  <c r="R3592" i="1"/>
  <c r="R3528" i="1"/>
  <c r="R3464" i="1"/>
  <c r="R3400" i="1"/>
  <c r="R2927" i="1"/>
  <c r="R2863" i="1"/>
  <c r="R2735" i="1"/>
  <c r="R2671" i="1"/>
  <c r="R2543" i="1"/>
  <c r="R2479" i="1"/>
  <c r="R1518" i="1"/>
  <c r="R1454" i="1"/>
  <c r="R1390" i="1"/>
  <c r="R1326" i="1"/>
  <c r="R1262" i="1"/>
  <c r="R1198" i="1"/>
  <c r="R1134" i="1"/>
  <c r="R1006" i="1"/>
  <c r="R942" i="1"/>
  <c r="R2965" i="1"/>
  <c r="R2901" i="1"/>
  <c r="R2837" i="1"/>
  <c r="R2773" i="1"/>
  <c r="R2709" i="1"/>
  <c r="R2645" i="1"/>
  <c r="R2581" i="1"/>
  <c r="R2517" i="1"/>
  <c r="R3020" i="1"/>
  <c r="R2956" i="1"/>
  <c r="R2892" i="1"/>
  <c r="R2828" i="1"/>
  <c r="R2764" i="1"/>
  <c r="R2700" i="1"/>
  <c r="R2636" i="1"/>
  <c r="R2572" i="1"/>
  <c r="R2508" i="1"/>
  <c r="R2843" i="1"/>
  <c r="R4203" i="1"/>
  <c r="R4115" i="1"/>
  <c r="R4035" i="1"/>
  <c r="R3947" i="1"/>
  <c r="R3859" i="1"/>
  <c r="R3779" i="1"/>
  <c r="R3691" i="1"/>
  <c r="R4322" i="1"/>
  <c r="R4242" i="1"/>
  <c r="R4066" i="1"/>
  <c r="R3986" i="1"/>
  <c r="R3898" i="1"/>
  <c r="R3810" i="1"/>
  <c r="R3730" i="1"/>
  <c r="R4313" i="1"/>
  <c r="R4225" i="1"/>
  <c r="R4145" i="1"/>
  <c r="R4073" i="1"/>
  <c r="R4009" i="1"/>
  <c r="R3945" i="1"/>
  <c r="R3881" i="1"/>
  <c r="R3817" i="1"/>
  <c r="R3753" i="1"/>
  <c r="R3689" i="1"/>
  <c r="R4296" i="1"/>
  <c r="R4232" i="1"/>
  <c r="R4168" i="1"/>
  <c r="R4104" i="1"/>
  <c r="R4040" i="1"/>
  <c r="R3976" i="1"/>
  <c r="R3912" i="1"/>
  <c r="R3848" i="1"/>
  <c r="R3784" i="1"/>
  <c r="R3720" i="1"/>
  <c r="R3655" i="1"/>
  <c r="R3591" i="1"/>
  <c r="R3527" i="1"/>
  <c r="R3399" i="1"/>
  <c r="R3207" i="1"/>
  <c r="R3079" i="1"/>
  <c r="R3015" i="1"/>
  <c r="R1558" i="1"/>
  <c r="R3237" i="1"/>
  <c r="R3173" i="1"/>
  <c r="R3109" i="1"/>
  <c r="R3045" i="1"/>
  <c r="R3603" i="1"/>
  <c r="R3539" i="1"/>
  <c r="R3475" i="1"/>
  <c r="R3411" i="1"/>
  <c r="R3347" i="1"/>
  <c r="R3283" i="1"/>
  <c r="R3155" i="1"/>
  <c r="R3091" i="1"/>
  <c r="R2963" i="1"/>
  <c r="R3674" i="1"/>
  <c r="R3610" i="1"/>
  <c r="R3546" i="1"/>
  <c r="R3482" i="1"/>
  <c r="R3418" i="1"/>
  <c r="R3633" i="1"/>
  <c r="R3569" i="1"/>
  <c r="R3505" i="1"/>
  <c r="R3441" i="1"/>
  <c r="R3377" i="1"/>
  <c r="R3313" i="1"/>
  <c r="R3249" i="1"/>
  <c r="R3185" i="1"/>
  <c r="R3121" i="1"/>
  <c r="R3057" i="1"/>
  <c r="R3648" i="1"/>
  <c r="R3584" i="1"/>
  <c r="R3520" i="1"/>
  <c r="R3456" i="1"/>
  <c r="R3392" i="1"/>
  <c r="R3328" i="1"/>
  <c r="R3200" i="1"/>
  <c r="R3136" i="1"/>
  <c r="R3072" i="1"/>
  <c r="R2983" i="1"/>
  <c r="R2855" i="1"/>
  <c r="R2791" i="1"/>
  <c r="R2471" i="1"/>
  <c r="R2957" i="1"/>
  <c r="R2893" i="1"/>
  <c r="R2829" i="1"/>
  <c r="R2701" i="1"/>
  <c r="R2637" i="1"/>
  <c r="R2573" i="1"/>
  <c r="R3012" i="1"/>
  <c r="R2948" i="1"/>
  <c r="R2820" i="1"/>
  <c r="R2756" i="1"/>
  <c r="R2692" i="1"/>
  <c r="R2628" i="1"/>
  <c r="R2564" i="1"/>
  <c r="R2500" i="1"/>
  <c r="R2835" i="1"/>
  <c r="R2771" i="1"/>
  <c r="R2707" i="1"/>
  <c r="R2643" i="1"/>
  <c r="R2579" i="1"/>
  <c r="R2515" i="1"/>
  <c r="R2451" i="1"/>
  <c r="R2387" i="1"/>
  <c r="R2323" i="1"/>
  <c r="R2195" i="1"/>
  <c r="R4187" i="1"/>
  <c r="R4107" i="1"/>
  <c r="R4019" i="1"/>
  <c r="R3931" i="1"/>
  <c r="R3851" i="1"/>
  <c r="R3763" i="1"/>
  <c r="R3675" i="1"/>
  <c r="R4314" i="1"/>
  <c r="R4138" i="1"/>
  <c r="R4058" i="1"/>
  <c r="R3970" i="1"/>
  <c r="R3802" i="1"/>
  <c r="R3714" i="1"/>
  <c r="R4217" i="1"/>
  <c r="R4129" i="1"/>
  <c r="R4065" i="1"/>
  <c r="R4001" i="1"/>
  <c r="R3937" i="1"/>
  <c r="R3873" i="1"/>
  <c r="R3809" i="1"/>
  <c r="R3745" i="1"/>
  <c r="R4352" i="1"/>
  <c r="R4288" i="1"/>
  <c r="R4224" i="1"/>
  <c r="R4160" i="1"/>
  <c r="R4096" i="1"/>
  <c r="R4032" i="1"/>
  <c r="R3968" i="1"/>
  <c r="R3904" i="1"/>
  <c r="R3840" i="1"/>
  <c r="R3776" i="1"/>
  <c r="R3712" i="1"/>
  <c r="R3647" i="1"/>
  <c r="R3455" i="1"/>
  <c r="R3391" i="1"/>
  <c r="R3263" i="1"/>
  <c r="R3071" i="1"/>
  <c r="R3007" i="1"/>
  <c r="R2254" i="1"/>
  <c r="R2126" i="1"/>
  <c r="R2062" i="1"/>
  <c r="R1934" i="1"/>
  <c r="R1806" i="1"/>
  <c r="R1678" i="1"/>
  <c r="R1614" i="1"/>
  <c r="R3677" i="1"/>
  <c r="R3613" i="1"/>
  <c r="R3549" i="1"/>
  <c r="R3485" i="1"/>
  <c r="R3421" i="1"/>
  <c r="R3357" i="1"/>
  <c r="R3293" i="1"/>
  <c r="R3229" i="1"/>
  <c r="R3165" i="1"/>
  <c r="R3101" i="1"/>
  <c r="R3037" i="1"/>
  <c r="R3620" i="1"/>
  <c r="R3556" i="1"/>
  <c r="R3492" i="1"/>
  <c r="R3428" i="1"/>
  <c r="R3364" i="1"/>
  <c r="R3300" i="1"/>
  <c r="R3236" i="1"/>
  <c r="R3108" i="1"/>
  <c r="R3044" i="1"/>
  <c r="R3595" i="1"/>
  <c r="R3467" i="1"/>
  <c r="R3403" i="1"/>
  <c r="R3339" i="1"/>
  <c r="R3275" i="1"/>
  <c r="R3211" i="1"/>
  <c r="R3147" i="1"/>
  <c r="R3083" i="1"/>
  <c r="R2955" i="1"/>
  <c r="R2891" i="1"/>
  <c r="R3666" i="1"/>
  <c r="R3602" i="1"/>
  <c r="R3538" i="1"/>
  <c r="R3474" i="1"/>
  <c r="R3410" i="1"/>
  <c r="R3346" i="1"/>
  <c r="R3282" i="1"/>
  <c r="R3218" i="1"/>
  <c r="R3090" i="1"/>
  <c r="R3026" i="1"/>
  <c r="R3625" i="1"/>
  <c r="R3561" i="1"/>
  <c r="R3497" i="1"/>
  <c r="R3433" i="1"/>
  <c r="R3369" i="1"/>
  <c r="R3305" i="1"/>
  <c r="R3241" i="1"/>
  <c r="R3177" i="1"/>
  <c r="R3049" i="1"/>
  <c r="R3640" i="1"/>
  <c r="R3576" i="1"/>
  <c r="R3512" i="1"/>
  <c r="R3448" i="1"/>
  <c r="R3384" i="1"/>
  <c r="R3320" i="1"/>
  <c r="R3256" i="1"/>
  <c r="R3192" i="1"/>
  <c r="R3128" i="1"/>
  <c r="R3064" i="1"/>
  <c r="R2975" i="1"/>
  <c r="R2911" i="1"/>
  <c r="R2847" i="1"/>
  <c r="R2719" i="1"/>
  <c r="R2591" i="1"/>
  <c r="R2527" i="1"/>
  <c r="R2463" i="1"/>
  <c r="R1438" i="1"/>
  <c r="R1374" i="1"/>
  <c r="R1310" i="1"/>
  <c r="R1246" i="1"/>
  <c r="R1182" i="1"/>
  <c r="R1054" i="1"/>
  <c r="R990" i="1"/>
  <c r="R926" i="1"/>
  <c r="R3013" i="1"/>
  <c r="R2949" i="1"/>
  <c r="R2885" i="1"/>
  <c r="R2821" i="1"/>
  <c r="R2757" i="1"/>
  <c r="R2693" i="1"/>
  <c r="R2629" i="1"/>
  <c r="R2565" i="1"/>
  <c r="R2501" i="1"/>
  <c r="R3004" i="1"/>
  <c r="R2940" i="1"/>
  <c r="R2876" i="1"/>
  <c r="R2812" i="1"/>
  <c r="R2748" i="1"/>
  <c r="R2684" i="1"/>
  <c r="R2620" i="1"/>
  <c r="R2556" i="1"/>
  <c r="R2492" i="1"/>
  <c r="R2827" i="1"/>
  <c r="R4179" i="1"/>
  <c r="R4099" i="1"/>
  <c r="R3667" i="1"/>
  <c r="R4306" i="1"/>
  <c r="R4130" i="1"/>
  <c r="R4050" i="1"/>
  <c r="R3962" i="1"/>
  <c r="R3874" i="1"/>
  <c r="R3794" i="1"/>
  <c r="R3706" i="1"/>
  <c r="R4209" i="1"/>
  <c r="R3929" i="1"/>
  <c r="R3865" i="1"/>
  <c r="R3801" i="1"/>
  <c r="R3737" i="1"/>
  <c r="R4344" i="1"/>
  <c r="R4280" i="1"/>
  <c r="R4216" i="1"/>
  <c r="R4152" i="1"/>
  <c r="R4088" i="1"/>
  <c r="R4024" i="1"/>
  <c r="R3960" i="1"/>
  <c r="R3896" i="1"/>
  <c r="R3832" i="1"/>
  <c r="R3768" i="1"/>
  <c r="R3704" i="1"/>
  <c r="R3639" i="1"/>
  <c r="R3575" i="1"/>
  <c r="R3511" i="1"/>
  <c r="R3447" i="1"/>
  <c r="R3383" i="1"/>
  <c r="R3319" i="1"/>
  <c r="R3255" i="1"/>
  <c r="R3191" i="1"/>
  <c r="R3127" i="1"/>
  <c r="R2999" i="1"/>
  <c r="R2246" i="1"/>
  <c r="R2182" i="1"/>
  <c r="R2118" i="1"/>
  <c r="R2054" i="1"/>
  <c r="R1990" i="1"/>
  <c r="R1926" i="1"/>
  <c r="R1862" i="1"/>
  <c r="R1798" i="1"/>
  <c r="R1734" i="1"/>
  <c r="R1670" i="1"/>
  <c r="R1606" i="1"/>
  <c r="R3669" i="1"/>
  <c r="R3605" i="1"/>
  <c r="R3541" i="1"/>
  <c r="R3477" i="1"/>
  <c r="R3413" i="1"/>
  <c r="R3349" i="1"/>
  <c r="R3285" i="1"/>
  <c r="R3221" i="1"/>
  <c r="R3157" i="1"/>
  <c r="R3093" i="1"/>
  <c r="R3029" i="1"/>
  <c r="R3612" i="1"/>
  <c r="R3548" i="1"/>
  <c r="R3484" i="1"/>
  <c r="R3420" i="1"/>
  <c r="R3356" i="1"/>
  <c r="R3292" i="1"/>
  <c r="R3228" i="1"/>
  <c r="R3164" i="1"/>
  <c r="R3100" i="1"/>
  <c r="R3036" i="1"/>
  <c r="R3587" i="1"/>
  <c r="R3523" i="1"/>
  <c r="R3395" i="1"/>
  <c r="R3331" i="1"/>
  <c r="R3267" i="1"/>
  <c r="R3203" i="1"/>
  <c r="R3139" i="1"/>
  <c r="R3075" i="1"/>
  <c r="R2947" i="1"/>
  <c r="R2883" i="1"/>
  <c r="R3658" i="1"/>
  <c r="R3594" i="1"/>
  <c r="R3530" i="1"/>
  <c r="R3466" i="1"/>
  <c r="R3402" i="1"/>
  <c r="R3338" i="1"/>
  <c r="R3274" i="1"/>
  <c r="R3210" i="1"/>
  <c r="R3146" i="1"/>
  <c r="R3082" i="1"/>
  <c r="R3681" i="1"/>
  <c r="R3617" i="1"/>
  <c r="R3553" i="1"/>
  <c r="R3489" i="1"/>
  <c r="R3425" i="1"/>
  <c r="R3361" i="1"/>
  <c r="R3297" i="1"/>
  <c r="R3233" i="1"/>
  <c r="R3169" i="1"/>
  <c r="R3105" i="1"/>
  <c r="R3041" i="1"/>
  <c r="R3632" i="1"/>
  <c r="R3568" i="1"/>
  <c r="R3504" i="1"/>
  <c r="R3440" i="1"/>
  <c r="R3376" i="1"/>
  <c r="R3312" i="1"/>
  <c r="R3248" i="1"/>
  <c r="R3184" i="1"/>
  <c r="R3120" i="1"/>
  <c r="R3056" i="1"/>
  <c r="R2967" i="1"/>
  <c r="R2903" i="1"/>
  <c r="R2775" i="1"/>
  <c r="R2711" i="1"/>
  <c r="R2647" i="1"/>
  <c r="R2583" i="1"/>
  <c r="R2519" i="1"/>
  <c r="R2455" i="1"/>
  <c r="R1494" i="1"/>
  <c r="R1430" i="1"/>
  <c r="R1366" i="1"/>
  <c r="R1302" i="1"/>
  <c r="R1238" i="1"/>
  <c r="R1174" i="1"/>
  <c r="R1110" i="1"/>
  <c r="R1046" i="1"/>
  <c r="R982" i="1"/>
  <c r="R918" i="1"/>
  <c r="R3005" i="1"/>
  <c r="R2877" i="1"/>
  <c r="R2749" i="1"/>
  <c r="R2621" i="1"/>
  <c r="R2493" i="1"/>
  <c r="R2996" i="1"/>
  <c r="R2964" i="1"/>
  <c r="R2708" i="1"/>
  <c r="R2452" i="1"/>
  <c r="R2747" i="1"/>
  <c r="R2659" i="1"/>
  <c r="R2571" i="1"/>
  <c r="R2491" i="1"/>
  <c r="R2315" i="1"/>
  <c r="R2235" i="1"/>
  <c r="R2147" i="1"/>
  <c r="R2962" i="1"/>
  <c r="R2834" i="1"/>
  <c r="R2770" i="1"/>
  <c r="R2706" i="1"/>
  <c r="R2642" i="1"/>
  <c r="R2578" i="1"/>
  <c r="R2514" i="1"/>
  <c r="R3017" i="1"/>
  <c r="R2953" i="1"/>
  <c r="R2825" i="1"/>
  <c r="R2761" i="1"/>
  <c r="R2697" i="1"/>
  <c r="R2569" i="1"/>
  <c r="R2505" i="1"/>
  <c r="R2944" i="1"/>
  <c r="R2880" i="1"/>
  <c r="R2816" i="1"/>
  <c r="R2688" i="1"/>
  <c r="R2624" i="1"/>
  <c r="R2496" i="1"/>
  <c r="R2431" i="1"/>
  <c r="R2367" i="1"/>
  <c r="R2303" i="1"/>
  <c r="R2239" i="1"/>
  <c r="R2175" i="1"/>
  <c r="R2111" i="1"/>
  <c r="R2047" i="1"/>
  <c r="R1983" i="1"/>
  <c r="R1919" i="1"/>
  <c r="R1855" i="1"/>
  <c r="R1791" i="1"/>
  <c r="R822" i="1"/>
  <c r="R758" i="1"/>
  <c r="R2349" i="1"/>
  <c r="R2444" i="1"/>
  <c r="R2380" i="1"/>
  <c r="R2316" i="1"/>
  <c r="R2252" i="1"/>
  <c r="R2188" i="1"/>
  <c r="R2124" i="1"/>
  <c r="R2060" i="1"/>
  <c r="R1996" i="1"/>
  <c r="R1932" i="1"/>
  <c r="R1868" i="1"/>
  <c r="R1804" i="1"/>
  <c r="R2091" i="1"/>
  <c r="R2027" i="1"/>
  <c r="R1899" i="1"/>
  <c r="R2410" i="1"/>
  <c r="R2282" i="1"/>
  <c r="R2218" i="1"/>
  <c r="R2154" i="1"/>
  <c r="R2026" i="1"/>
  <c r="R1962" i="1"/>
  <c r="R1898" i="1"/>
  <c r="R2185" i="1"/>
  <c r="R2121" i="1"/>
  <c r="R2057" i="1"/>
  <c r="R1929" i="1"/>
  <c r="R1865" i="1"/>
  <c r="R1801" i="1"/>
  <c r="R2408" i="1"/>
  <c r="R2344" i="1"/>
  <c r="R2280" i="1"/>
  <c r="R2216" i="1"/>
  <c r="R2152" i="1"/>
  <c r="R2088" i="1"/>
  <c r="R2024" i="1"/>
  <c r="R1960" i="1"/>
  <c r="R1896" i="1"/>
  <c r="R1767" i="1"/>
  <c r="R1703" i="1"/>
  <c r="R1639" i="1"/>
  <c r="R1575" i="1"/>
  <c r="R1511" i="1"/>
  <c r="R1447" i="1"/>
  <c r="R1383" i="1"/>
  <c r="R1255" i="1"/>
  <c r="R1581" i="1"/>
  <c r="R1517" i="1"/>
  <c r="R1453" i="1"/>
  <c r="R1389" i="1"/>
  <c r="R1325" i="1"/>
  <c r="R1261" i="1"/>
  <c r="R1197" i="1"/>
  <c r="R1133" i="1"/>
  <c r="R1588" i="1"/>
  <c r="R1524" i="1"/>
  <c r="R1460" i="1"/>
  <c r="R1396" i="1"/>
  <c r="R1332" i="1"/>
  <c r="R1268" i="1"/>
  <c r="R1204" i="1"/>
  <c r="R1140" i="1"/>
  <c r="R1315" i="1"/>
  <c r="R1251" i="1"/>
  <c r="R1059" i="1"/>
  <c r="R995" i="1"/>
  <c r="R931" i="1"/>
  <c r="R803" i="1"/>
  <c r="R1746" i="1"/>
  <c r="R1682" i="1"/>
  <c r="R1618" i="1"/>
  <c r="R1554" i="1"/>
  <c r="R1490" i="1"/>
  <c r="R1426" i="1"/>
  <c r="R1362" i="1"/>
  <c r="R1298" i="1"/>
  <c r="R1234" i="1"/>
  <c r="R1170" i="1"/>
  <c r="R1106" i="1"/>
  <c r="R1721" i="1"/>
  <c r="R1657" i="1"/>
  <c r="R1593" i="1"/>
  <c r="R2676" i="1"/>
  <c r="R2819" i="1"/>
  <c r="R2731" i="1"/>
  <c r="R2651" i="1"/>
  <c r="R2475" i="1"/>
  <c r="R2395" i="1"/>
  <c r="R2307" i="1"/>
  <c r="R2219" i="1"/>
  <c r="R2139" i="1"/>
  <c r="R2954" i="1"/>
  <c r="R2890" i="1"/>
  <c r="R2826" i="1"/>
  <c r="R2762" i="1"/>
  <c r="R2634" i="1"/>
  <c r="R2506" i="1"/>
  <c r="R3009" i="1"/>
  <c r="R2945" i="1"/>
  <c r="R2881" i="1"/>
  <c r="R2817" i="1"/>
  <c r="R2753" i="1"/>
  <c r="R2689" i="1"/>
  <c r="R2625" i="1"/>
  <c r="R2561" i="1"/>
  <c r="R2497" i="1"/>
  <c r="R3000" i="1"/>
  <c r="R2936" i="1"/>
  <c r="R2872" i="1"/>
  <c r="R2808" i="1"/>
  <c r="R2744" i="1"/>
  <c r="R2423" i="1"/>
  <c r="R2359" i="1"/>
  <c r="R2167" i="1"/>
  <c r="R2103" i="1"/>
  <c r="R1911" i="1"/>
  <c r="R1783" i="1"/>
  <c r="R2213" i="1"/>
  <c r="R2149" i="1"/>
  <c r="R2085" i="1"/>
  <c r="R1957" i="1"/>
  <c r="R1893" i="1"/>
  <c r="R1829" i="1"/>
  <c r="R2436" i="1"/>
  <c r="R2372" i="1"/>
  <c r="R2308" i="1"/>
  <c r="R2244" i="1"/>
  <c r="R2180" i="1"/>
  <c r="R2052" i="1"/>
  <c r="R1988" i="1"/>
  <c r="R1924" i="1"/>
  <c r="R1860" i="1"/>
  <c r="R1796" i="1"/>
  <c r="R2083" i="1"/>
  <c r="R1955" i="1"/>
  <c r="R1891" i="1"/>
  <c r="R1827" i="1"/>
  <c r="R1763" i="1"/>
  <c r="R1699" i="1"/>
  <c r="R1635" i="1"/>
  <c r="R1571" i="1"/>
  <c r="R1507" i="1"/>
  <c r="R1443" i="1"/>
  <c r="R1379" i="1"/>
  <c r="R2402" i="1"/>
  <c r="R2338" i="1"/>
  <c r="R2274" i="1"/>
  <c r="R2210" i="1"/>
  <c r="R2146" i="1"/>
  <c r="R2082" i="1"/>
  <c r="R2018" i="1"/>
  <c r="R1954" i="1"/>
  <c r="R1890" i="1"/>
  <c r="R1826" i="1"/>
  <c r="R2433" i="1"/>
  <c r="R2369" i="1"/>
  <c r="R2305" i="1"/>
  <c r="R2241" i="1"/>
  <c r="R2177" i="1"/>
  <c r="R2113" i="1"/>
  <c r="R2049" i="1"/>
  <c r="R1985" i="1"/>
  <c r="R1921" i="1"/>
  <c r="R1857" i="1"/>
  <c r="R1793" i="1"/>
  <c r="R2400" i="1"/>
  <c r="R2336" i="1"/>
  <c r="R2272" i="1"/>
  <c r="R2208" i="1"/>
  <c r="R2080" i="1"/>
  <c r="R2016" i="1"/>
  <c r="R1952" i="1"/>
  <c r="R1888" i="1"/>
  <c r="R1824" i="1"/>
  <c r="R1759" i="1"/>
  <c r="R1695" i="1"/>
  <c r="R1631" i="1"/>
  <c r="R1567" i="1"/>
  <c r="R1503" i="1"/>
  <c r="R1439" i="1"/>
  <c r="R1375" i="1"/>
  <c r="R1311" i="1"/>
  <c r="R1247" i="1"/>
  <c r="R1183" i="1"/>
  <c r="R1701" i="1"/>
  <c r="R1637" i="1"/>
  <c r="R1573" i="1"/>
  <c r="R1381" i="1"/>
  <c r="R1317" i="1"/>
  <c r="R1253" i="1"/>
  <c r="R1189" i="1"/>
  <c r="R1644" i="1"/>
  <c r="R1580" i="1"/>
  <c r="R1516" i="1"/>
  <c r="R1452" i="1"/>
  <c r="R1388" i="1"/>
  <c r="R1324" i="1"/>
  <c r="R1260" i="1"/>
  <c r="R1196" i="1"/>
  <c r="R1132" i="1"/>
  <c r="R1307" i="1"/>
  <c r="R1243" i="1"/>
  <c r="R1179" i="1"/>
  <c r="R1115" i="1"/>
  <c r="R1051" i="1"/>
  <c r="R987" i="1"/>
  <c r="R923" i="1"/>
  <c r="R859" i="1"/>
  <c r="R795" i="1"/>
  <c r="R731" i="1"/>
  <c r="R1738" i="1"/>
  <c r="R1674" i="1"/>
  <c r="R1610" i="1"/>
  <c r="R1482" i="1"/>
  <c r="R1354" i="1"/>
  <c r="R1226" i="1"/>
  <c r="R1777" i="1"/>
  <c r="R1713" i="1"/>
  <c r="R1649" i="1"/>
  <c r="R1585" i="1"/>
  <c r="R2900" i="1"/>
  <c r="R2723" i="1"/>
  <c r="R2555" i="1"/>
  <c r="R2467" i="1"/>
  <c r="R2299" i="1"/>
  <c r="R3018" i="1"/>
  <c r="R2946" i="1"/>
  <c r="R2882" i="1"/>
  <c r="R2818" i="1"/>
  <c r="R2754" i="1"/>
  <c r="R3001" i="1"/>
  <c r="R2937" i="1"/>
  <c r="R2873" i="1"/>
  <c r="R2809" i="1"/>
  <c r="R2745" i="1"/>
  <c r="R2681" i="1"/>
  <c r="R2617" i="1"/>
  <c r="R2553" i="1"/>
  <c r="R2489" i="1"/>
  <c r="R2992" i="1"/>
  <c r="R2928" i="1"/>
  <c r="R2864" i="1"/>
  <c r="R2800" i="1"/>
  <c r="R2736" i="1"/>
  <c r="R2672" i="1"/>
  <c r="R2544" i="1"/>
  <c r="R2480" i="1"/>
  <c r="R2415" i="1"/>
  <c r="R2351" i="1"/>
  <c r="R2287" i="1"/>
  <c r="R2223" i="1"/>
  <c r="R2159" i="1"/>
  <c r="R2095" i="1"/>
  <c r="R2031" i="1"/>
  <c r="R1967" i="1"/>
  <c r="R1903" i="1"/>
  <c r="R1839" i="1"/>
  <c r="R870" i="1"/>
  <c r="R806" i="1"/>
  <c r="R678" i="1"/>
  <c r="R2397" i="1"/>
  <c r="R2333" i="1"/>
  <c r="R2269" i="1"/>
  <c r="R2205" i="1"/>
  <c r="R2141" i="1"/>
  <c r="R2077" i="1"/>
  <c r="R2013" i="1"/>
  <c r="R1949" i="1"/>
  <c r="R1885" i="1"/>
  <c r="R1821" i="1"/>
  <c r="R2428" i="1"/>
  <c r="R2364" i="1"/>
  <c r="R2300" i="1"/>
  <c r="R2236" i="1"/>
  <c r="R2172" i="1"/>
  <c r="R2044" i="1"/>
  <c r="R1980" i="1"/>
  <c r="R1916" i="1"/>
  <c r="R1852" i="1"/>
  <c r="R1788" i="1"/>
  <c r="R2075" i="1"/>
  <c r="R2011" i="1"/>
  <c r="R1947" i="1"/>
  <c r="R1883" i="1"/>
  <c r="R1819" i="1"/>
  <c r="R1755" i="1"/>
  <c r="R1691" i="1"/>
  <c r="R1627" i="1"/>
  <c r="R1563" i="1"/>
  <c r="R1499" i="1"/>
  <c r="R1435" i="1"/>
  <c r="R1371" i="1"/>
  <c r="R2394" i="1"/>
  <c r="R2330" i="1"/>
  <c r="R2266" i="1"/>
  <c r="R2202" i="1"/>
  <c r="R2138" i="1"/>
  <c r="R2074" i="1"/>
  <c r="R2010" i="1"/>
  <c r="R1946" i="1"/>
  <c r="R1882" i="1"/>
  <c r="R1818" i="1"/>
  <c r="R2425" i="1"/>
  <c r="R2361" i="1"/>
  <c r="R2297" i="1"/>
  <c r="R2233" i="1"/>
  <c r="R2169" i="1"/>
  <c r="R2105" i="1"/>
  <c r="R2041" i="1"/>
  <c r="R1977" i="1"/>
  <c r="R1913" i="1"/>
  <c r="R1849" i="1"/>
  <c r="R1785" i="1"/>
  <c r="R2392" i="1"/>
  <c r="R2328" i="1"/>
  <c r="R2264" i="1"/>
  <c r="R2200" i="1"/>
  <c r="R2008" i="1"/>
  <c r="R1880" i="1"/>
  <c r="R1751" i="1"/>
  <c r="R1687" i="1"/>
  <c r="R1623" i="1"/>
  <c r="R1559" i="1"/>
  <c r="R1495" i="1"/>
  <c r="R1431" i="1"/>
  <c r="R1367" i="1"/>
  <c r="R1303" i="1"/>
  <c r="R1175" i="1"/>
  <c r="R1757" i="1"/>
  <c r="R1693" i="1"/>
  <c r="R1629" i="1"/>
  <c r="R1565" i="1"/>
  <c r="R1437" i="1"/>
  <c r="R1373" i="1"/>
  <c r="R1309" i="1"/>
  <c r="R1245" i="1"/>
  <c r="R1181" i="1"/>
  <c r="R1764" i="1"/>
  <c r="R1700" i="1"/>
  <c r="R1636" i="1"/>
  <c r="R1572" i="1"/>
  <c r="R1508" i="1"/>
  <c r="R1444" i="1"/>
  <c r="R1380" i="1"/>
  <c r="R1316" i="1"/>
  <c r="R1252" i="1"/>
  <c r="R1188" i="1"/>
  <c r="R1363" i="1"/>
  <c r="R1299" i="1"/>
  <c r="R1235" i="1"/>
  <c r="R1171" i="1"/>
  <c r="R1043" i="1"/>
  <c r="R915" i="1"/>
  <c r="R787" i="1"/>
  <c r="R1730" i="1"/>
  <c r="R1666" i="1"/>
  <c r="R1602" i="1"/>
  <c r="R1538" i="1"/>
  <c r="R1474" i="1"/>
  <c r="R1410" i="1"/>
  <c r="R1346" i="1"/>
  <c r="R1282" i="1"/>
  <c r="R1218" i="1"/>
  <c r="R1154" i="1"/>
  <c r="R1769" i="1"/>
  <c r="R1705" i="1"/>
  <c r="R1577" i="1"/>
  <c r="R2868" i="1"/>
  <c r="R2612" i="1"/>
  <c r="R2795" i="1"/>
  <c r="R2715" i="1"/>
  <c r="R2627" i="1"/>
  <c r="R2539" i="1"/>
  <c r="R2371" i="1"/>
  <c r="R2203" i="1"/>
  <c r="R3010" i="1"/>
  <c r="R2938" i="1"/>
  <c r="R2874" i="1"/>
  <c r="R2810" i="1"/>
  <c r="R2746" i="1"/>
  <c r="R2618" i="1"/>
  <c r="R2554" i="1"/>
  <c r="R2490" i="1"/>
  <c r="R2993" i="1"/>
  <c r="R2929" i="1"/>
  <c r="R2865" i="1"/>
  <c r="R2801" i="1"/>
  <c r="R2737" i="1"/>
  <c r="R2673" i="1"/>
  <c r="R2609" i="1"/>
  <c r="R2545" i="1"/>
  <c r="R2481" i="1"/>
  <c r="R2984" i="1"/>
  <c r="R2920" i="1"/>
  <c r="R2856" i="1"/>
  <c r="R2792" i="1"/>
  <c r="R2728" i="1"/>
  <c r="R2664" i="1"/>
  <c r="R2600" i="1"/>
  <c r="R2536" i="1"/>
  <c r="R2472" i="1"/>
  <c r="R2343" i="1"/>
  <c r="R2279" i="1"/>
  <c r="R2215" i="1"/>
  <c r="R2087" i="1"/>
  <c r="R2023" i="1"/>
  <c r="R1959" i="1"/>
  <c r="R1831" i="1"/>
  <c r="R862" i="1"/>
  <c r="R798" i="1"/>
  <c r="R734" i="1"/>
  <c r="R2453" i="1"/>
  <c r="R2389" i="1"/>
  <c r="R2325" i="1"/>
  <c r="R2261" i="1"/>
  <c r="R2197" i="1"/>
  <c r="R2133" i="1"/>
  <c r="R2069" i="1"/>
  <c r="R2005" i="1"/>
  <c r="R1941" i="1"/>
  <c r="R1877" i="1"/>
  <c r="R1813" i="1"/>
  <c r="R2420" i="1"/>
  <c r="R2356" i="1"/>
  <c r="R2292" i="1"/>
  <c r="R2164" i="1"/>
  <c r="R2100" i="1"/>
  <c r="R2067" i="1"/>
  <c r="R2003" i="1"/>
  <c r="R1939" i="1"/>
  <c r="R1875" i="1"/>
  <c r="R1811" i="1"/>
  <c r="R1747" i="1"/>
  <c r="R1683" i="1"/>
  <c r="R1619" i="1"/>
  <c r="R1555" i="1"/>
  <c r="R1491" i="1"/>
  <c r="R1427" i="1"/>
  <c r="R2450" i="1"/>
  <c r="R2386" i="1"/>
  <c r="R2322" i="1"/>
  <c r="R2258" i="1"/>
  <c r="R2194" i="1"/>
  <c r="R2130" i="1"/>
  <c r="R2066" i="1"/>
  <c r="R2002" i="1"/>
  <c r="R1938" i="1"/>
  <c r="R1874" i="1"/>
  <c r="R1810" i="1"/>
  <c r="R2417" i="1"/>
  <c r="R2353" i="1"/>
  <c r="R2289" i="1"/>
  <c r="R2225" i="1"/>
  <c r="R2161" i="1"/>
  <c r="R2097" i="1"/>
  <c r="R2033" i="1"/>
  <c r="R1969" i="1"/>
  <c r="R1905" i="1"/>
  <c r="R1841" i="1"/>
  <c r="R2448" i="1"/>
  <c r="R2384" i="1"/>
  <c r="R2256" i="1"/>
  <c r="R2192" i="1"/>
  <c r="R2128" i="1"/>
  <c r="R2064" i="1"/>
  <c r="R2000" i="1"/>
  <c r="R1936" i="1"/>
  <c r="R1872" i="1"/>
  <c r="R1808" i="1"/>
  <c r="R1487" i="1"/>
  <c r="R1749" i="1"/>
  <c r="R1685" i="1"/>
  <c r="R1621" i="1"/>
  <c r="R1557" i="1"/>
  <c r="R1493" i="1"/>
  <c r="R1365" i="1"/>
  <c r="R1301" i="1"/>
  <c r="R1237" i="1"/>
  <c r="R1173" i="1"/>
  <c r="R1692" i="1"/>
  <c r="R1564" i="1"/>
  <c r="R1500" i="1"/>
  <c r="R1436" i="1"/>
  <c r="R1372" i="1"/>
  <c r="R1308" i="1"/>
  <c r="R1244" i="1"/>
  <c r="R1180" i="1"/>
  <c r="R1355" i="1"/>
  <c r="R1291" i="1"/>
  <c r="R1227" i="1"/>
  <c r="R1163" i="1"/>
  <c r="R1722" i="1"/>
  <c r="R1594" i="1"/>
  <c r="R1466" i="1"/>
  <c r="R1338" i="1"/>
  <c r="R1210" i="1"/>
  <c r="R1761" i="1"/>
  <c r="R1697" i="1"/>
  <c r="R1633" i="1"/>
  <c r="R2836" i="1"/>
  <c r="R2580" i="1"/>
  <c r="R2699" i="1"/>
  <c r="R2619" i="1"/>
  <c r="R2531" i="1"/>
  <c r="R2443" i="1"/>
  <c r="R2363" i="1"/>
  <c r="R2275" i="1"/>
  <c r="R2187" i="1"/>
  <c r="R3002" i="1"/>
  <c r="R2930" i="1"/>
  <c r="R2802" i="1"/>
  <c r="R2738" i="1"/>
  <c r="R2674" i="1"/>
  <c r="R2610" i="1"/>
  <c r="R2546" i="1"/>
  <c r="R2482" i="1"/>
  <c r="R2985" i="1"/>
  <c r="R2921" i="1"/>
  <c r="R2793" i="1"/>
  <c r="R2729" i="1"/>
  <c r="R2665" i="1"/>
  <c r="R2537" i="1"/>
  <c r="R2473" i="1"/>
  <c r="R2912" i="1"/>
  <c r="R2848" i="1"/>
  <c r="R2784" i="1"/>
  <c r="R2656" i="1"/>
  <c r="R2592" i="1"/>
  <c r="R2528" i="1"/>
  <c r="R2464" i="1"/>
  <c r="R2399" i="1"/>
  <c r="R2335" i="1"/>
  <c r="R2271" i="1"/>
  <c r="R2207" i="1"/>
  <c r="R2143" i="1"/>
  <c r="R1951" i="1"/>
  <c r="R1887" i="1"/>
  <c r="R1823" i="1"/>
  <c r="R854" i="1"/>
  <c r="R790" i="1"/>
  <c r="R726" i="1"/>
  <c r="R2445" i="1"/>
  <c r="R2381" i="1"/>
  <c r="R2317" i="1"/>
  <c r="R2253" i="1"/>
  <c r="R2189" i="1"/>
  <c r="R2125" i="1"/>
  <c r="R2061" i="1"/>
  <c r="R1997" i="1"/>
  <c r="R1933" i="1"/>
  <c r="R1869" i="1"/>
  <c r="R1805" i="1"/>
  <c r="R2412" i="1"/>
  <c r="R2348" i="1"/>
  <c r="R2284" i="1"/>
  <c r="R2220" i="1"/>
  <c r="R2156" i="1"/>
  <c r="R2092" i="1"/>
  <c r="R1964" i="1"/>
  <c r="R1900" i="1"/>
  <c r="R2059" i="1"/>
  <c r="R1995" i="1"/>
  <c r="R1931" i="1"/>
  <c r="R1803" i="1"/>
  <c r="R1739" i="1"/>
  <c r="R1675" i="1"/>
  <c r="R1611" i="1"/>
  <c r="R1547" i="1"/>
  <c r="R1483" i="1"/>
  <c r="R1419" i="1"/>
  <c r="R2378" i="1"/>
  <c r="R2250" i="1"/>
  <c r="R2186" i="1"/>
  <c r="R2122" i="1"/>
  <c r="R1994" i="1"/>
  <c r="R1930" i="1"/>
  <c r="R1866" i="1"/>
  <c r="R2409" i="1"/>
  <c r="R2345" i="1"/>
  <c r="R2281" i="1"/>
  <c r="R2217" i="1"/>
  <c r="R2089" i="1"/>
  <c r="R2025" i="1"/>
  <c r="R1961" i="1"/>
  <c r="R1833" i="1"/>
  <c r="R2440" i="1"/>
  <c r="R2376" i="1"/>
  <c r="R2312" i="1"/>
  <c r="R2248" i="1"/>
  <c r="R2184" i="1"/>
  <c r="R2120" i="1"/>
  <c r="R1992" i="1"/>
  <c r="R1864" i="1"/>
  <c r="R1287" i="1"/>
  <c r="R1223" i="1"/>
  <c r="R1159" i="1"/>
  <c r="R1741" i="1"/>
  <c r="R1677" i="1"/>
  <c r="R1613" i="1"/>
  <c r="R1549" i="1"/>
  <c r="R1485" i="1"/>
  <c r="R1421" i="1"/>
  <c r="R1229" i="1"/>
  <c r="R1748" i="1"/>
  <c r="R1684" i="1"/>
  <c r="R1620" i="1"/>
  <c r="R1556" i="1"/>
  <c r="R1492" i="1"/>
  <c r="R1428" i="1"/>
  <c r="R1364" i="1"/>
  <c r="R1300" i="1"/>
  <c r="R1236" i="1"/>
  <c r="R1172" i="1"/>
  <c r="R1347" i="1"/>
  <c r="R1219" i="1"/>
  <c r="R1155" i="1"/>
  <c r="R1091" i="1"/>
  <c r="R1027" i="1"/>
  <c r="R963" i="1"/>
  <c r="R835" i="1"/>
  <c r="R771" i="1"/>
  <c r="R1138" i="1"/>
  <c r="R1753" i="1"/>
  <c r="R1625" i="1"/>
  <c r="R2548" i="1"/>
  <c r="R2779" i="1"/>
  <c r="R2691" i="1"/>
  <c r="R2603" i="1"/>
  <c r="R2523" i="1"/>
  <c r="R2435" i="1"/>
  <c r="R2347" i="1"/>
  <c r="R2986" i="1"/>
  <c r="R2922" i="1"/>
  <c r="R2858" i="1"/>
  <c r="R2794" i="1"/>
  <c r="R2730" i="1"/>
  <c r="R2666" i="1"/>
  <c r="R2602" i="1"/>
  <c r="R2538" i="1"/>
  <c r="R2474" i="1"/>
  <c r="R2977" i="1"/>
  <c r="R2913" i="1"/>
  <c r="R2849" i="1"/>
  <c r="R2785" i="1"/>
  <c r="R2721" i="1"/>
  <c r="R2657" i="1"/>
  <c r="R2593" i="1"/>
  <c r="R2529" i="1"/>
  <c r="R2465" i="1"/>
  <c r="R2968" i="1"/>
  <c r="R2904" i="1"/>
  <c r="R2840" i="1"/>
  <c r="R2776" i="1"/>
  <c r="R2712" i="1"/>
  <c r="R2648" i="1"/>
  <c r="R2584" i="1"/>
  <c r="R2520" i="1"/>
  <c r="R2456" i="1"/>
  <c r="R2391" i="1"/>
  <c r="R2327" i="1"/>
  <c r="R2263" i="1"/>
  <c r="R2199" i="1"/>
  <c r="R2135" i="1"/>
  <c r="R2007" i="1"/>
  <c r="R1943" i="1"/>
  <c r="R1879" i="1"/>
  <c r="R1815" i="1"/>
  <c r="R846" i="1"/>
  <c r="R782" i="1"/>
  <c r="R718" i="1"/>
  <c r="R2437" i="1"/>
  <c r="R2373" i="1"/>
  <c r="R2309" i="1"/>
  <c r="R2181" i="1"/>
  <c r="R2117" i="1"/>
  <c r="R2053" i="1"/>
  <c r="R1925" i="1"/>
  <c r="R1861" i="1"/>
  <c r="R1797" i="1"/>
  <c r="R2340" i="1"/>
  <c r="R2212" i="1"/>
  <c r="R2148" i="1"/>
  <c r="R2084" i="1"/>
  <c r="R2020" i="1"/>
  <c r="R1956" i="1"/>
  <c r="R1892" i="1"/>
  <c r="R1828" i="1"/>
  <c r="R2115" i="1"/>
  <c r="R1987" i="1"/>
  <c r="R1923" i="1"/>
  <c r="R1859" i="1"/>
  <c r="R1795" i="1"/>
  <c r="R1731" i="1"/>
  <c r="R1667" i="1"/>
  <c r="R1603" i="1"/>
  <c r="R1539" i="1"/>
  <c r="R1475" i="1"/>
  <c r="R1411" i="1"/>
  <c r="R2370" i="1"/>
  <c r="R2306" i="1"/>
  <c r="R2242" i="1"/>
  <c r="R2178" i="1"/>
  <c r="R2114" i="1"/>
  <c r="R2050" i="1"/>
  <c r="R1986" i="1"/>
  <c r="R1922" i="1"/>
  <c r="R1858" i="1"/>
  <c r="R1794" i="1"/>
  <c r="R2401" i="1"/>
  <c r="R2273" i="1"/>
  <c r="R2209" i="1"/>
  <c r="R2145" i="1"/>
  <c r="R2081" i="1"/>
  <c r="R2017" i="1"/>
  <c r="R1953" i="1"/>
  <c r="R1889" i="1"/>
  <c r="R1825" i="1"/>
  <c r="R2368" i="1"/>
  <c r="R2240" i="1"/>
  <c r="R2112" i="1"/>
  <c r="R1727" i="1"/>
  <c r="R1663" i="1"/>
  <c r="R1599" i="1"/>
  <c r="R1535" i="1"/>
  <c r="R1471" i="1"/>
  <c r="R1407" i="1"/>
  <c r="R1343" i="1"/>
  <c r="R1279" i="1"/>
  <c r="R1215" i="1"/>
  <c r="R1151" i="1"/>
  <c r="R1669" i="1"/>
  <c r="R1605" i="1"/>
  <c r="R1541" i="1"/>
  <c r="R1413" i="1"/>
  <c r="R1349" i="1"/>
  <c r="R1285" i="1"/>
  <c r="R1221" i="1"/>
  <c r="R1157" i="1"/>
  <c r="R1740" i="1"/>
  <c r="R1676" i="1"/>
  <c r="R1612" i="1"/>
  <c r="R1339" i="1"/>
  <c r="R1275" i="1"/>
  <c r="R1211" i="1"/>
  <c r="R1147" i="1"/>
  <c r="R1083" i="1"/>
  <c r="R1019" i="1"/>
  <c r="R955" i="1"/>
  <c r="R891" i="1"/>
  <c r="R827" i="1"/>
  <c r="R763" i="1"/>
  <c r="R1770" i="1"/>
  <c r="R1706" i="1"/>
  <c r="R1642" i="1"/>
  <c r="R1578" i="1"/>
  <c r="R1514" i="1"/>
  <c r="R1450" i="1"/>
  <c r="R1386" i="1"/>
  <c r="R1322" i="1"/>
  <c r="R1258" i="1"/>
  <c r="R1194" i="1"/>
  <c r="R1553" i="1"/>
  <c r="R2772" i="1"/>
  <c r="R2516" i="1"/>
  <c r="R2683" i="1"/>
  <c r="R2595" i="1"/>
  <c r="R2171" i="1"/>
  <c r="R2914" i="1"/>
  <c r="R2786" i="1"/>
  <c r="R2722" i="1"/>
  <c r="R2658" i="1"/>
  <c r="R2594" i="1"/>
  <c r="R2530" i="1"/>
  <c r="R2466" i="1"/>
  <c r="R2905" i="1"/>
  <c r="R2777" i="1"/>
  <c r="R2649" i="1"/>
  <c r="R2521" i="1"/>
  <c r="R2457" i="1"/>
  <c r="R2896" i="1"/>
  <c r="R2768" i="1"/>
  <c r="R2640" i="1"/>
  <c r="R2512" i="1"/>
  <c r="R2319" i="1"/>
  <c r="R2255" i="1"/>
  <c r="R2127" i="1"/>
  <c r="R2063" i="1"/>
  <c r="R1935" i="1"/>
  <c r="R1871" i="1"/>
  <c r="R774" i="1"/>
  <c r="R710" i="1"/>
  <c r="R2365" i="1"/>
  <c r="R2301" i="1"/>
  <c r="R2237" i="1"/>
  <c r="R2173" i="1"/>
  <c r="R2109" i="1"/>
  <c r="R2045" i="1"/>
  <c r="R1981" i="1"/>
  <c r="R1917" i="1"/>
  <c r="R1853" i="1"/>
  <c r="R1789" i="1"/>
  <c r="R2140" i="1"/>
  <c r="R2076" i="1"/>
  <c r="R1948" i="1"/>
  <c r="R1820" i="1"/>
  <c r="R2043" i="1"/>
  <c r="R1979" i="1"/>
  <c r="R1915" i="1"/>
  <c r="R1851" i="1"/>
  <c r="R1787" i="1"/>
  <c r="R1723" i="1"/>
  <c r="R1659" i="1"/>
  <c r="R1595" i="1"/>
  <c r="R1531" i="1"/>
  <c r="R1467" i="1"/>
  <c r="R1403" i="1"/>
  <c r="R2362" i="1"/>
  <c r="R2234" i="1"/>
  <c r="R2106" i="1"/>
  <c r="R1978" i="1"/>
  <c r="R1850" i="1"/>
  <c r="R2393" i="1"/>
  <c r="R2329" i="1"/>
  <c r="R2265" i="1"/>
  <c r="R2137" i="1"/>
  <c r="R2009" i="1"/>
  <c r="R1881" i="1"/>
  <c r="R2104" i="1"/>
  <c r="R2040" i="1"/>
  <c r="R1976" i="1"/>
  <c r="R1912" i="1"/>
  <c r="R1848" i="1"/>
  <c r="R1784" i="1"/>
  <c r="R1719" i="1"/>
  <c r="R1655" i="1"/>
  <c r="R1591" i="1"/>
  <c r="R1527" i="1"/>
  <c r="R1463" i="1"/>
  <c r="R1399" i="1"/>
  <c r="R1335" i="1"/>
  <c r="R1271" i="1"/>
  <c r="R1207" i="1"/>
  <c r="R1143" i="1"/>
  <c r="R1725" i="1"/>
  <c r="R1661" i="1"/>
  <c r="R1533" i="1"/>
  <c r="R1469" i="1"/>
  <c r="R1405" i="1"/>
  <c r="R1341" i="1"/>
  <c r="R1277" i="1"/>
  <c r="R1149" i="1"/>
  <c r="R1732" i="1"/>
  <c r="R1668" i="1"/>
  <c r="R1604" i="1"/>
  <c r="R1331" i="1"/>
  <c r="R1203" i="1"/>
  <c r="R1139" i="1"/>
  <c r="R1075" i="1"/>
  <c r="R1011" i="1"/>
  <c r="R947" i="1"/>
  <c r="R883" i="1"/>
  <c r="R819" i="1"/>
  <c r="R755" i="1"/>
  <c r="R1762" i="1"/>
  <c r="R1698" i="1"/>
  <c r="R1634" i="1"/>
  <c r="R1570" i="1"/>
  <c r="R1506" i="1"/>
  <c r="R1442" i="1"/>
  <c r="R1378" i="1"/>
  <c r="R1314" i="1"/>
  <c r="R1250" i="1"/>
  <c r="R1186" i="1"/>
  <c r="R1122" i="1"/>
  <c r="R1737" i="1"/>
  <c r="R1673" i="1"/>
  <c r="R1545" i="1"/>
  <c r="R2740" i="1"/>
  <c r="R2243" i="1"/>
  <c r="R2586" i="1"/>
  <c r="R2183" i="1"/>
  <c r="R766" i="1"/>
  <c r="R2037" i="1"/>
  <c r="R2196" i="1"/>
  <c r="R2035" i="1"/>
  <c r="R2416" i="1"/>
  <c r="R1904" i="1"/>
  <c r="R1391" i="1"/>
  <c r="R1525" i="1"/>
  <c r="R1660" i="1"/>
  <c r="R1148" i="1"/>
  <c r="R875" i="1"/>
  <c r="R1434" i="1"/>
  <c r="R1601" i="1"/>
  <c r="R1481" i="1"/>
  <c r="R1744" i="1"/>
  <c r="R1680" i="1"/>
  <c r="R1616" i="1"/>
  <c r="R1552" i="1"/>
  <c r="R1488" i="1"/>
  <c r="R1424" i="1"/>
  <c r="R1360" i="1"/>
  <c r="R1296" i="1"/>
  <c r="R1232" i="1"/>
  <c r="R1168" i="1"/>
  <c r="R1103" i="1"/>
  <c r="R1039" i="1"/>
  <c r="R975" i="1"/>
  <c r="R911" i="1"/>
  <c r="R847" i="1"/>
  <c r="R783" i="1"/>
  <c r="R719" i="1"/>
  <c r="R1109" i="1"/>
  <c r="R1045" i="1"/>
  <c r="R1116" i="1"/>
  <c r="R1052" i="1"/>
  <c r="R707" i="1"/>
  <c r="R1074" i="1"/>
  <c r="R1010" i="1"/>
  <c r="R882" i="1"/>
  <c r="R818" i="1"/>
  <c r="R754" i="1"/>
  <c r="R690" i="1"/>
  <c r="R1089" i="1"/>
  <c r="R1104" i="1"/>
  <c r="R1040" i="1"/>
  <c r="R976" i="1"/>
  <c r="R912" i="1"/>
  <c r="R848" i="1"/>
  <c r="R784" i="1"/>
  <c r="R720" i="1"/>
  <c r="R654" i="1"/>
  <c r="R590" i="1"/>
  <c r="R526" i="1"/>
  <c r="R462" i="1"/>
  <c r="R398" i="1"/>
  <c r="R334" i="1"/>
  <c r="R621" i="1"/>
  <c r="R557" i="1"/>
  <c r="R493" i="1"/>
  <c r="R429" i="1"/>
  <c r="R365" i="1"/>
  <c r="R652" i="1"/>
  <c r="R588" i="1"/>
  <c r="R524" i="1"/>
  <c r="R460" i="1"/>
  <c r="R396" i="1"/>
  <c r="R332" i="1"/>
  <c r="R268" i="1"/>
  <c r="R204" i="1"/>
  <c r="R140" i="1"/>
  <c r="R76" i="1"/>
  <c r="R12" i="1"/>
  <c r="R522" i="1"/>
  <c r="R458" i="1"/>
  <c r="R394" i="1"/>
  <c r="R330" i="1"/>
  <c r="R266" i="1"/>
  <c r="R202" i="1"/>
  <c r="R138" i="1"/>
  <c r="R74" i="1"/>
  <c r="R10" i="1"/>
  <c r="R609" i="1"/>
  <c r="R545" i="1"/>
  <c r="R481" i="1"/>
  <c r="R417" i="1"/>
  <c r="R353" i="1"/>
  <c r="R289" i="1"/>
  <c r="R225" i="1"/>
  <c r="R161" i="1"/>
  <c r="R97" i="1"/>
  <c r="R33" i="1"/>
  <c r="R640" i="1"/>
  <c r="R576" i="1"/>
  <c r="R512" i="1"/>
  <c r="R448" i="1"/>
  <c r="R384" i="1"/>
  <c r="R671" i="1"/>
  <c r="R607" i="1"/>
  <c r="R159" i="1"/>
  <c r="R95" i="1"/>
  <c r="R31" i="1"/>
  <c r="R2155" i="1"/>
  <c r="R2632" i="1"/>
  <c r="R2119" i="1"/>
  <c r="R702" i="1"/>
  <c r="R2132" i="1"/>
  <c r="R1971" i="1"/>
  <c r="R1840" i="1"/>
  <c r="R1327" i="1"/>
  <c r="R1461" i="1"/>
  <c r="R1596" i="1"/>
  <c r="R811" i="1"/>
  <c r="R1370" i="1"/>
  <c r="R1537" i="1"/>
  <c r="R1473" i="1"/>
  <c r="R1409" i="1"/>
  <c r="R1345" i="1"/>
  <c r="R1281" i="1"/>
  <c r="R1217" i="1"/>
  <c r="R1153" i="1"/>
  <c r="R1736" i="1"/>
  <c r="R1608" i="1"/>
  <c r="R1544" i="1"/>
  <c r="R1480" i="1"/>
  <c r="R1416" i="1"/>
  <c r="R1288" i="1"/>
  <c r="R1224" i="1"/>
  <c r="R1160" i="1"/>
  <c r="R1095" i="1"/>
  <c r="R967" i="1"/>
  <c r="R903" i="1"/>
  <c r="R839" i="1"/>
  <c r="R711" i="1"/>
  <c r="R1101" i="1"/>
  <c r="R1037" i="1"/>
  <c r="R973" i="1"/>
  <c r="R909" i="1"/>
  <c r="R845" i="1"/>
  <c r="R781" i="1"/>
  <c r="R717" i="1"/>
  <c r="R1108" i="1"/>
  <c r="R1044" i="1"/>
  <c r="R852" i="1"/>
  <c r="R788" i="1"/>
  <c r="R724" i="1"/>
  <c r="R699" i="1"/>
  <c r="R635" i="1"/>
  <c r="R507" i="1"/>
  <c r="R379" i="1"/>
  <c r="R315" i="1"/>
  <c r="R1066" i="1"/>
  <c r="R874" i="1"/>
  <c r="R810" i="1"/>
  <c r="R746" i="1"/>
  <c r="R682" i="1"/>
  <c r="R1081" i="1"/>
  <c r="R953" i="1"/>
  <c r="R889" i="1"/>
  <c r="R761" i="1"/>
  <c r="R697" i="1"/>
  <c r="R1096" i="1"/>
  <c r="R1032" i="1"/>
  <c r="R968" i="1"/>
  <c r="R904" i="1"/>
  <c r="R840" i="1"/>
  <c r="R776" i="1"/>
  <c r="R712" i="1"/>
  <c r="R646" i="1"/>
  <c r="R582" i="1"/>
  <c r="R518" i="1"/>
  <c r="R454" i="1"/>
  <c r="R390" i="1"/>
  <c r="R326" i="1"/>
  <c r="R198" i="1"/>
  <c r="R134" i="1"/>
  <c r="R70" i="1"/>
  <c r="R549" i="1"/>
  <c r="R485" i="1"/>
  <c r="R421" i="1"/>
  <c r="R357" i="1"/>
  <c r="R293" i="1"/>
  <c r="R229" i="1"/>
  <c r="R165" i="1"/>
  <c r="R101" i="1"/>
  <c r="R37" i="1"/>
  <c r="R644" i="1"/>
  <c r="R580" i="1"/>
  <c r="R516" i="1"/>
  <c r="R452" i="1"/>
  <c r="R388" i="1"/>
  <c r="R324" i="1"/>
  <c r="R260" i="1"/>
  <c r="R132" i="1"/>
  <c r="R68" i="1"/>
  <c r="R4" i="1"/>
  <c r="R258" i="1"/>
  <c r="R194" i="1"/>
  <c r="R130" i="1"/>
  <c r="R66" i="1"/>
  <c r="R632" i="1"/>
  <c r="R440" i="1"/>
  <c r="R376" i="1"/>
  <c r="R312" i="1"/>
  <c r="R248" i="1"/>
  <c r="R184" i="1"/>
  <c r="R120" i="1"/>
  <c r="R56" i="1"/>
  <c r="R663" i="1"/>
  <c r="R599" i="1"/>
  <c r="R535" i="1"/>
  <c r="R471" i="1"/>
  <c r="R343" i="1"/>
  <c r="R279" i="1"/>
  <c r="R215" i="1"/>
  <c r="R151" i="1"/>
  <c r="R87" i="1"/>
  <c r="R23" i="1"/>
  <c r="R2755" i="1"/>
  <c r="R2458" i="1"/>
  <c r="R2568" i="1"/>
  <c r="R2055" i="1"/>
  <c r="R2421" i="1"/>
  <c r="R1909" i="1"/>
  <c r="R2068" i="1"/>
  <c r="R2288" i="1"/>
  <c r="R1775" i="1"/>
  <c r="R1263" i="1"/>
  <c r="R1532" i="1"/>
  <c r="R747" i="1"/>
  <c r="R1306" i="1"/>
  <c r="R1465" i="1"/>
  <c r="R1401" i="1"/>
  <c r="R1337" i="1"/>
  <c r="R1273" i="1"/>
  <c r="R1209" i="1"/>
  <c r="R1145" i="1"/>
  <c r="R1600" i="1"/>
  <c r="R1536" i="1"/>
  <c r="R1472" i="1"/>
  <c r="R1408" i="1"/>
  <c r="R1344" i="1"/>
  <c r="R1280" i="1"/>
  <c r="R1216" i="1"/>
  <c r="R1152" i="1"/>
  <c r="R1087" i="1"/>
  <c r="R1023" i="1"/>
  <c r="R959" i="1"/>
  <c r="R895" i="1"/>
  <c r="R831" i="1"/>
  <c r="R767" i="1"/>
  <c r="R703" i="1"/>
  <c r="R1093" i="1"/>
  <c r="R1029" i="1"/>
  <c r="R965" i="1"/>
  <c r="R901" i="1"/>
  <c r="R837" i="1"/>
  <c r="R773" i="1"/>
  <c r="R709" i="1"/>
  <c r="R972" i="1"/>
  <c r="R908" i="1"/>
  <c r="R844" i="1"/>
  <c r="R780" i="1"/>
  <c r="R716" i="1"/>
  <c r="R691" i="1"/>
  <c r="R627" i="1"/>
  <c r="R563" i="1"/>
  <c r="R499" i="1"/>
  <c r="R435" i="1"/>
  <c r="R371" i="1"/>
  <c r="R307" i="1"/>
  <c r="R243" i="1"/>
  <c r="R179" i="1"/>
  <c r="R115" i="1"/>
  <c r="R51" i="1"/>
  <c r="R994" i="1"/>
  <c r="R930" i="1"/>
  <c r="R866" i="1"/>
  <c r="R802" i="1"/>
  <c r="R738" i="1"/>
  <c r="R674" i="1"/>
  <c r="R1073" i="1"/>
  <c r="R1009" i="1"/>
  <c r="R945" i="1"/>
  <c r="R881" i="1"/>
  <c r="R817" i="1"/>
  <c r="R753" i="1"/>
  <c r="R689" i="1"/>
  <c r="R1088" i="1"/>
  <c r="R1024" i="1"/>
  <c r="R960" i="1"/>
  <c r="R896" i="1"/>
  <c r="R832" i="1"/>
  <c r="R768" i="1"/>
  <c r="R704" i="1"/>
  <c r="R638" i="1"/>
  <c r="R574" i="1"/>
  <c r="R446" i="1"/>
  <c r="R382" i="1"/>
  <c r="R318" i="1"/>
  <c r="R254" i="1"/>
  <c r="R190" i="1"/>
  <c r="R126" i="1"/>
  <c r="R62" i="1"/>
  <c r="R669" i="1"/>
  <c r="R605" i="1"/>
  <c r="R541" i="1"/>
  <c r="R477" i="1"/>
  <c r="R413" i="1"/>
  <c r="R349" i="1"/>
  <c r="R285" i="1"/>
  <c r="R221" i="1"/>
  <c r="R157" i="1"/>
  <c r="R93" i="1"/>
  <c r="R29" i="1"/>
  <c r="R636" i="1"/>
  <c r="R572" i="1"/>
  <c r="R508" i="1"/>
  <c r="R444" i="1"/>
  <c r="R380" i="1"/>
  <c r="R316" i="1"/>
  <c r="R252" i="1"/>
  <c r="R188" i="1"/>
  <c r="R124" i="1"/>
  <c r="R60" i="1"/>
  <c r="R27" i="1"/>
  <c r="R634" i="1"/>
  <c r="R570" i="1"/>
  <c r="R250" i="1"/>
  <c r="R186" i="1"/>
  <c r="R122" i="1"/>
  <c r="R58" i="1"/>
  <c r="R337" i="1"/>
  <c r="R273" i="1"/>
  <c r="R81" i="1"/>
  <c r="R17" i="1"/>
  <c r="R624" i="1"/>
  <c r="R560" i="1"/>
  <c r="R496" i="1"/>
  <c r="R432" i="1"/>
  <c r="R368" i="1"/>
  <c r="R304" i="1"/>
  <c r="R240" i="1"/>
  <c r="R176" i="1"/>
  <c r="R112" i="1"/>
  <c r="R48" i="1"/>
  <c r="R655" i="1"/>
  <c r="R591" i="1"/>
  <c r="R527" i="1"/>
  <c r="R463" i="1"/>
  <c r="R399" i="1"/>
  <c r="R335" i="1"/>
  <c r="R271" i="1"/>
  <c r="R207" i="1"/>
  <c r="R15" i="1"/>
  <c r="R2667" i="1"/>
  <c r="R2504" i="1"/>
  <c r="R2357" i="1"/>
  <c r="R2004" i="1"/>
  <c r="R2418" i="1"/>
  <c r="R2224" i="1"/>
  <c r="R1711" i="1"/>
  <c r="R1199" i="1"/>
  <c r="R1468" i="1"/>
  <c r="R1754" i="1"/>
  <c r="R1242" i="1"/>
  <c r="R1521" i="1"/>
  <c r="R1457" i="1"/>
  <c r="R1393" i="1"/>
  <c r="R1329" i="1"/>
  <c r="R1265" i="1"/>
  <c r="R1201" i="1"/>
  <c r="R1137" i="1"/>
  <c r="R1720" i="1"/>
  <c r="R1656" i="1"/>
  <c r="R1528" i="1"/>
  <c r="R1464" i="1"/>
  <c r="R1400" i="1"/>
  <c r="R1336" i="1"/>
  <c r="R1272" i="1"/>
  <c r="R1015" i="1"/>
  <c r="R887" i="1"/>
  <c r="R759" i="1"/>
  <c r="R1085" i="1"/>
  <c r="R1021" i="1"/>
  <c r="R957" i="1"/>
  <c r="R893" i="1"/>
  <c r="R829" i="1"/>
  <c r="R765" i="1"/>
  <c r="R701" i="1"/>
  <c r="R1028" i="1"/>
  <c r="R964" i="1"/>
  <c r="R900" i="1"/>
  <c r="R708" i="1"/>
  <c r="R683" i="1"/>
  <c r="R619" i="1"/>
  <c r="R555" i="1"/>
  <c r="R491" i="1"/>
  <c r="R427" i="1"/>
  <c r="R363" i="1"/>
  <c r="R299" i="1"/>
  <c r="R235" i="1"/>
  <c r="R171" i="1"/>
  <c r="R107" i="1"/>
  <c r="R43" i="1"/>
  <c r="R1050" i="1"/>
  <c r="R922" i="1"/>
  <c r="R858" i="1"/>
  <c r="R794" i="1"/>
  <c r="R730" i="1"/>
  <c r="R1129" i="1"/>
  <c r="R1065" i="1"/>
  <c r="R1001" i="1"/>
  <c r="R937" i="1"/>
  <c r="R809" i="1"/>
  <c r="R745" i="1"/>
  <c r="R681" i="1"/>
  <c r="R1080" i="1"/>
  <c r="R696" i="1"/>
  <c r="R630" i="1"/>
  <c r="R566" i="1"/>
  <c r="R502" i="1"/>
  <c r="R438" i="1"/>
  <c r="R374" i="1"/>
  <c r="R310" i="1"/>
  <c r="R246" i="1"/>
  <c r="R182" i="1"/>
  <c r="R118" i="1"/>
  <c r="R54" i="1"/>
  <c r="R661" i="1"/>
  <c r="R597" i="1"/>
  <c r="R405" i="1"/>
  <c r="R341" i="1"/>
  <c r="R277" i="1"/>
  <c r="R213" i="1"/>
  <c r="R149" i="1"/>
  <c r="R85" i="1"/>
  <c r="R21" i="1"/>
  <c r="R628" i="1"/>
  <c r="R564" i="1"/>
  <c r="R500" i="1"/>
  <c r="R436" i="1"/>
  <c r="R372" i="1"/>
  <c r="R308" i="1"/>
  <c r="R180" i="1"/>
  <c r="R116" i="1"/>
  <c r="R52" i="1"/>
  <c r="R19" i="1"/>
  <c r="R626" i="1"/>
  <c r="R562" i="1"/>
  <c r="R498" i="1"/>
  <c r="R434" i="1"/>
  <c r="R370" i="1"/>
  <c r="R306" i="1"/>
  <c r="R242" i="1"/>
  <c r="R178" i="1"/>
  <c r="R114" i="1"/>
  <c r="R50" i="1"/>
  <c r="R649" i="1"/>
  <c r="R585" i="1"/>
  <c r="R521" i="1"/>
  <c r="R457" i="1"/>
  <c r="R393" i="1"/>
  <c r="R329" i="1"/>
  <c r="R265" i="1"/>
  <c r="R201" i="1"/>
  <c r="R137" i="1"/>
  <c r="R73" i="1"/>
  <c r="R9" i="1"/>
  <c r="R616" i="1"/>
  <c r="R552" i="1"/>
  <c r="R424" i="1"/>
  <c r="R360" i="1"/>
  <c r="R296" i="1"/>
  <c r="R232" i="1"/>
  <c r="R168" i="1"/>
  <c r="R104" i="1"/>
  <c r="R40" i="1"/>
  <c r="R647" i="1"/>
  <c r="R583" i="1"/>
  <c r="R519" i="1"/>
  <c r="R455" i="1"/>
  <c r="R391" i="1"/>
  <c r="R327" i="1"/>
  <c r="R263" i="1"/>
  <c r="R199" i="1"/>
  <c r="R135" i="1"/>
  <c r="R71" i="1"/>
  <c r="R7" i="1"/>
  <c r="R2587" i="1"/>
  <c r="R1927" i="1"/>
  <c r="R2293" i="1"/>
  <c r="R1781" i="1"/>
  <c r="R1940" i="1"/>
  <c r="R1779" i="1"/>
  <c r="R2160" i="1"/>
  <c r="R1647" i="1"/>
  <c r="R1404" i="1"/>
  <c r="R1131" i="1"/>
  <c r="R1690" i="1"/>
  <c r="R1178" i="1"/>
  <c r="R1449" i="1"/>
  <c r="R1385" i="1"/>
  <c r="R1321" i="1"/>
  <c r="R1257" i="1"/>
  <c r="R1193" i="1"/>
  <c r="R1776" i="1"/>
  <c r="R1712" i="1"/>
  <c r="R1648" i="1"/>
  <c r="R1200" i="1"/>
  <c r="R687" i="1"/>
  <c r="R1013" i="1"/>
  <c r="R949" i="1"/>
  <c r="R885" i="1"/>
  <c r="R821" i="1"/>
  <c r="R757" i="1"/>
  <c r="R693" i="1"/>
  <c r="R1084" i="1"/>
  <c r="R1020" i="1"/>
  <c r="R956" i="1"/>
  <c r="R892" i="1"/>
  <c r="R828" i="1"/>
  <c r="R764" i="1"/>
  <c r="R700" i="1"/>
  <c r="R675" i="1"/>
  <c r="R547" i="1"/>
  <c r="R483" i="1"/>
  <c r="R419" i="1"/>
  <c r="R355" i="1"/>
  <c r="R291" i="1"/>
  <c r="R227" i="1"/>
  <c r="R163" i="1"/>
  <c r="R99" i="1"/>
  <c r="R35" i="1"/>
  <c r="R1042" i="1"/>
  <c r="R978" i="1"/>
  <c r="R914" i="1"/>
  <c r="R850" i="1"/>
  <c r="R786" i="1"/>
  <c r="R722" i="1"/>
  <c r="R1121" i="1"/>
  <c r="R1057" i="1"/>
  <c r="R993" i="1"/>
  <c r="R929" i="1"/>
  <c r="R865" i="1"/>
  <c r="R801" i="1"/>
  <c r="R737" i="1"/>
  <c r="R673" i="1"/>
  <c r="R1072" i="1"/>
  <c r="R494" i="1"/>
  <c r="R430" i="1"/>
  <c r="R302" i="1"/>
  <c r="R238" i="1"/>
  <c r="R174" i="1"/>
  <c r="R110" i="1"/>
  <c r="R46" i="1"/>
  <c r="R653" i="1"/>
  <c r="R589" i="1"/>
  <c r="R525" i="1"/>
  <c r="R461" i="1"/>
  <c r="R397" i="1"/>
  <c r="R333" i="1"/>
  <c r="R269" i="1"/>
  <c r="R205" i="1"/>
  <c r="R141" i="1"/>
  <c r="R77" i="1"/>
  <c r="R13" i="1"/>
  <c r="R556" i="1"/>
  <c r="R11" i="1"/>
  <c r="R618" i="1"/>
  <c r="R554" i="1"/>
  <c r="R490" i="1"/>
  <c r="R426" i="1"/>
  <c r="R362" i="1"/>
  <c r="R298" i="1"/>
  <c r="R641" i="1"/>
  <c r="R577" i="1"/>
  <c r="R513" i="1"/>
  <c r="R449" i="1"/>
  <c r="R385" i="1"/>
  <c r="R321" i="1"/>
  <c r="R257" i="1"/>
  <c r="R193" i="1"/>
  <c r="R129" i="1"/>
  <c r="R65" i="1"/>
  <c r="R672" i="1"/>
  <c r="R608" i="1"/>
  <c r="R544" i="1"/>
  <c r="R480" i="1"/>
  <c r="R416" i="1"/>
  <c r="R352" i="1"/>
  <c r="R288" i="1"/>
  <c r="R224" i="1"/>
  <c r="R160" i="1"/>
  <c r="R96" i="1"/>
  <c r="R32" i="1"/>
  <c r="R639" i="1"/>
  <c r="R575" i="1"/>
  <c r="R511" i="1"/>
  <c r="R447" i="1"/>
  <c r="R383" i="1"/>
  <c r="R319" i="1"/>
  <c r="R191" i="1"/>
  <c r="R127" i="1"/>
  <c r="R63" i="1"/>
  <c r="R2499" i="1"/>
  <c r="R2375" i="1"/>
  <c r="R1863" i="1"/>
  <c r="R2388" i="1"/>
  <c r="R1876" i="1"/>
  <c r="R2449" i="1"/>
  <c r="R2096" i="1"/>
  <c r="R1583" i="1"/>
  <c r="R1205" i="1"/>
  <c r="R1340" i="1"/>
  <c r="R1067" i="1"/>
  <c r="R1626" i="1"/>
  <c r="R1114" i="1"/>
  <c r="R1377" i="1"/>
  <c r="R1313" i="1"/>
  <c r="R1249" i="1"/>
  <c r="R1185" i="1"/>
  <c r="R1768" i="1"/>
  <c r="R1704" i="1"/>
  <c r="R1640" i="1"/>
  <c r="R1576" i="1"/>
  <c r="R1512" i="1"/>
  <c r="R1384" i="1"/>
  <c r="R1320" i="1"/>
  <c r="R1256" i="1"/>
  <c r="R1192" i="1"/>
  <c r="R1127" i="1"/>
  <c r="R999" i="1"/>
  <c r="R935" i="1"/>
  <c r="R871" i="1"/>
  <c r="R743" i="1"/>
  <c r="R679" i="1"/>
  <c r="R1005" i="1"/>
  <c r="R941" i="1"/>
  <c r="R877" i="1"/>
  <c r="R813" i="1"/>
  <c r="R749" i="1"/>
  <c r="R685" i="1"/>
  <c r="R1076" i="1"/>
  <c r="R1012" i="1"/>
  <c r="R948" i="1"/>
  <c r="R884" i="1"/>
  <c r="R820" i="1"/>
  <c r="R756" i="1"/>
  <c r="R667" i="1"/>
  <c r="R603" i="1"/>
  <c r="R475" i="1"/>
  <c r="R411" i="1"/>
  <c r="R347" i="1"/>
  <c r="R219" i="1"/>
  <c r="R155" i="1"/>
  <c r="R91" i="1"/>
  <c r="R1098" i="1"/>
  <c r="R970" i="1"/>
  <c r="R906" i="1"/>
  <c r="R1113" i="1"/>
  <c r="R1049" i="1"/>
  <c r="R985" i="1"/>
  <c r="R857" i="1"/>
  <c r="R793" i="1"/>
  <c r="R1128" i="1"/>
  <c r="R1000" i="1"/>
  <c r="R936" i="1"/>
  <c r="R872" i="1"/>
  <c r="R808" i="1"/>
  <c r="R744" i="1"/>
  <c r="R680" i="1"/>
  <c r="R614" i="1"/>
  <c r="R230" i="1"/>
  <c r="R38" i="1"/>
  <c r="R645" i="1"/>
  <c r="R581" i="1"/>
  <c r="R453" i="1"/>
  <c r="R389" i="1"/>
  <c r="R197" i="1"/>
  <c r="R228" i="1"/>
  <c r="R164" i="1"/>
  <c r="R100" i="1"/>
  <c r="R36" i="1"/>
  <c r="R610" i="1"/>
  <c r="R546" i="1"/>
  <c r="R482" i="1"/>
  <c r="R418" i="1"/>
  <c r="R354" i="1"/>
  <c r="R290" i="1"/>
  <c r="R633" i="1"/>
  <c r="R569" i="1"/>
  <c r="R505" i="1"/>
  <c r="R441" i="1"/>
  <c r="R377" i="1"/>
  <c r="R313" i="1"/>
  <c r="R249" i="1"/>
  <c r="R185" i="1"/>
  <c r="R121" i="1"/>
  <c r="R57" i="1"/>
  <c r="R600" i="1"/>
  <c r="R536" i="1"/>
  <c r="R472" i="1"/>
  <c r="R408" i="1"/>
  <c r="R344" i="1"/>
  <c r="R631" i="1"/>
  <c r="R567" i="1"/>
  <c r="R503" i="1"/>
  <c r="R439" i="1"/>
  <c r="R311" i="1"/>
  <c r="R247" i="1"/>
  <c r="R183" i="1"/>
  <c r="R119" i="1"/>
  <c r="R55" i="1"/>
  <c r="R2411" i="1"/>
  <c r="R2714" i="1"/>
  <c r="R2311" i="1"/>
  <c r="R1799" i="1"/>
  <c r="R2165" i="1"/>
  <c r="R2324" i="1"/>
  <c r="R1812" i="1"/>
  <c r="R1651" i="1"/>
  <c r="R2032" i="1"/>
  <c r="R1519" i="1"/>
  <c r="R1653" i="1"/>
  <c r="R1276" i="1"/>
  <c r="R1003" i="1"/>
  <c r="R1562" i="1"/>
  <c r="R1729" i="1"/>
  <c r="R1497" i="1"/>
  <c r="R1433" i="1"/>
  <c r="R1369" i="1"/>
  <c r="R1305" i="1"/>
  <c r="R1241" i="1"/>
  <c r="R1177" i="1"/>
  <c r="R1760" i="1"/>
  <c r="R1696" i="1"/>
  <c r="R1632" i="1"/>
  <c r="R1568" i="1"/>
  <c r="R1504" i="1"/>
  <c r="R1440" i="1"/>
  <c r="R1376" i="1"/>
  <c r="R1312" i="1"/>
  <c r="R1248" i="1"/>
  <c r="R1184" i="1"/>
  <c r="R1119" i="1"/>
  <c r="R1055" i="1"/>
  <c r="R991" i="1"/>
  <c r="R927" i="1"/>
  <c r="R863" i="1"/>
  <c r="R799" i="1"/>
  <c r="R735" i="1"/>
  <c r="R1125" i="1"/>
  <c r="R1061" i="1"/>
  <c r="R997" i="1"/>
  <c r="R933" i="1"/>
  <c r="R869" i="1"/>
  <c r="R805" i="1"/>
  <c r="R741" i="1"/>
  <c r="R1068" i="1"/>
  <c r="R1004" i="1"/>
  <c r="R940" i="1"/>
  <c r="R876" i="1"/>
  <c r="R812" i="1"/>
  <c r="R748" i="1"/>
  <c r="R684" i="1"/>
  <c r="R659" i="1"/>
  <c r="R595" i="1"/>
  <c r="R531" i="1"/>
  <c r="R467" i="1"/>
  <c r="R403" i="1"/>
  <c r="R339" i="1"/>
  <c r="R275" i="1"/>
  <c r="R211" i="1"/>
  <c r="R147" i="1"/>
  <c r="R83" i="1"/>
  <c r="R1090" i="1"/>
  <c r="R1026" i="1"/>
  <c r="R962" i="1"/>
  <c r="R977" i="1"/>
  <c r="R913" i="1"/>
  <c r="R849" i="1"/>
  <c r="R785" i="1"/>
  <c r="R721" i="1"/>
  <c r="R1120" i="1"/>
  <c r="R1056" i="1"/>
  <c r="R992" i="1"/>
  <c r="R928" i="1"/>
  <c r="R864" i="1"/>
  <c r="R800" i="1"/>
  <c r="R736" i="1"/>
  <c r="R670" i="1"/>
  <c r="R606" i="1"/>
  <c r="R542" i="1"/>
  <c r="R478" i="1"/>
  <c r="R350" i="1"/>
  <c r="R286" i="1"/>
  <c r="R222" i="1"/>
  <c r="R158" i="1"/>
  <c r="R94" i="1"/>
  <c r="R30" i="1"/>
  <c r="R317" i="1"/>
  <c r="R253" i="1"/>
  <c r="R189" i="1"/>
  <c r="R125" i="1"/>
  <c r="R61" i="1"/>
  <c r="R668" i="1"/>
  <c r="R604" i="1"/>
  <c r="R540" i="1"/>
  <c r="R476" i="1"/>
  <c r="R412" i="1"/>
  <c r="R348" i="1"/>
  <c r="R284" i="1"/>
  <c r="R220" i="1"/>
  <c r="R156" i="1"/>
  <c r="R92" i="1"/>
  <c r="R28" i="1"/>
  <c r="R666" i="1"/>
  <c r="R602" i="1"/>
  <c r="R538" i="1"/>
  <c r="R474" i="1"/>
  <c r="R410" i="1"/>
  <c r="R346" i="1"/>
  <c r="R282" i="1"/>
  <c r="R218" i="1"/>
  <c r="R154" i="1"/>
  <c r="R90" i="1"/>
  <c r="R26" i="1"/>
  <c r="R625" i="1"/>
  <c r="R561" i="1"/>
  <c r="R497" i="1"/>
  <c r="R433" i="1"/>
  <c r="R369" i="1"/>
  <c r="R241" i="1"/>
  <c r="R177" i="1"/>
  <c r="R113" i="1"/>
  <c r="R336" i="1"/>
  <c r="R272" i="1"/>
  <c r="R208" i="1"/>
  <c r="R144" i="1"/>
  <c r="R80" i="1"/>
  <c r="R16" i="1"/>
  <c r="R559" i="1"/>
  <c r="R495" i="1"/>
  <c r="R431" i="1"/>
  <c r="R367" i="1"/>
  <c r="R303" i="1"/>
  <c r="R239" i="1"/>
  <c r="R175" i="1"/>
  <c r="R111" i="1"/>
  <c r="R47" i="1"/>
  <c r="R2331" i="1"/>
  <c r="R2650" i="1"/>
  <c r="R2247" i="1"/>
  <c r="R830" i="1"/>
  <c r="R2099" i="1"/>
  <c r="R2321" i="1"/>
  <c r="R1968" i="1"/>
  <c r="R1455" i="1"/>
  <c r="R1724" i="1"/>
  <c r="R1212" i="1"/>
  <c r="R939" i="1"/>
  <c r="R1498" i="1"/>
  <c r="R1665" i="1"/>
  <c r="R1489" i="1"/>
  <c r="R1425" i="1"/>
  <c r="R1752" i="1"/>
  <c r="R1624" i="1"/>
  <c r="R1560" i="1"/>
  <c r="R1432" i="1"/>
  <c r="R1240" i="1"/>
  <c r="R1176" i="1"/>
  <c r="R1111" i="1"/>
  <c r="R1047" i="1"/>
  <c r="R983" i="1"/>
  <c r="R919" i="1"/>
  <c r="R855" i="1"/>
  <c r="R791" i="1"/>
  <c r="R727" i="1"/>
  <c r="R1117" i="1"/>
  <c r="R1053" i="1"/>
  <c r="R1124" i="1"/>
  <c r="R1060" i="1"/>
  <c r="R996" i="1"/>
  <c r="R932" i="1"/>
  <c r="R868" i="1"/>
  <c r="R804" i="1"/>
  <c r="R740" i="1"/>
  <c r="R523" i="1"/>
  <c r="R395" i="1"/>
  <c r="R267" i="1"/>
  <c r="R203" i="1"/>
  <c r="R139" i="1"/>
  <c r="R75" i="1"/>
  <c r="R1082" i="1"/>
  <c r="R1018" i="1"/>
  <c r="R954" i="1"/>
  <c r="R890" i="1"/>
  <c r="R826" i="1"/>
  <c r="R762" i="1"/>
  <c r="R698" i="1"/>
  <c r="R969" i="1"/>
  <c r="R905" i="1"/>
  <c r="R841" i="1"/>
  <c r="R713" i="1"/>
  <c r="R1112" i="1"/>
  <c r="R1048" i="1"/>
  <c r="R984" i="1"/>
  <c r="R920" i="1"/>
  <c r="R856" i="1"/>
  <c r="R792" i="1"/>
  <c r="R728" i="1"/>
  <c r="R662" i="1"/>
  <c r="R534" i="1"/>
  <c r="R470" i="1"/>
  <c r="R406" i="1"/>
  <c r="R342" i="1"/>
  <c r="R278" i="1"/>
  <c r="R214" i="1"/>
  <c r="R150" i="1"/>
  <c r="R86" i="1"/>
  <c r="R22" i="1"/>
  <c r="R629" i="1"/>
  <c r="R565" i="1"/>
  <c r="R501" i="1"/>
  <c r="R437" i="1"/>
  <c r="R309" i="1"/>
  <c r="R245" i="1"/>
  <c r="R181" i="1"/>
  <c r="R117" i="1"/>
  <c r="R53" i="1"/>
  <c r="R660" i="1"/>
  <c r="R596" i="1"/>
  <c r="R532" i="1"/>
  <c r="R468" i="1"/>
  <c r="R404" i="1"/>
  <c r="R276" i="1"/>
  <c r="R212" i="1"/>
  <c r="R148" i="1"/>
  <c r="R658" i="1"/>
  <c r="R594" i="1"/>
  <c r="R530" i="1"/>
  <c r="R466" i="1"/>
  <c r="R402" i="1"/>
  <c r="R338" i="1"/>
  <c r="R274" i="1"/>
  <c r="R210" i="1"/>
  <c r="R146" i="1"/>
  <c r="R82" i="1"/>
  <c r="R18" i="1"/>
  <c r="R617" i="1"/>
  <c r="R553" i="1"/>
  <c r="R489" i="1"/>
  <c r="R425" i="1"/>
  <c r="R361" i="1"/>
  <c r="R297" i="1"/>
  <c r="R233" i="1"/>
  <c r="R169" i="1"/>
  <c r="R105" i="1"/>
  <c r="R41" i="1"/>
  <c r="R648" i="1"/>
  <c r="R584" i="1"/>
  <c r="R520" i="1"/>
  <c r="R328" i="1"/>
  <c r="R264" i="1"/>
  <c r="R200" i="1"/>
  <c r="R136" i="1"/>
  <c r="R72" i="1"/>
  <c r="R8" i="1"/>
  <c r="R615" i="1"/>
  <c r="R551" i="1"/>
  <c r="R423" i="1"/>
  <c r="R295" i="1"/>
  <c r="G238" i="1"/>
  <c r="H238" i="1" s="1"/>
  <c r="G230" i="1"/>
  <c r="H230" i="1" s="1"/>
  <c r="I230" i="1" s="1"/>
  <c r="G222" i="1"/>
  <c r="H222" i="1" s="1"/>
  <c r="G214" i="1"/>
  <c r="H214" i="1" s="1"/>
  <c r="G206" i="1"/>
  <c r="H206" i="1" s="1"/>
  <c r="G198" i="1"/>
  <c r="H198" i="1" s="1"/>
  <c r="G190" i="1"/>
  <c r="H190" i="1" s="1"/>
  <c r="I190" i="1" s="1"/>
  <c r="G182" i="1"/>
  <c r="H182" i="1" s="1"/>
  <c r="G174" i="1"/>
  <c r="H174" i="1" s="1"/>
  <c r="G166" i="1"/>
  <c r="H166" i="1" s="1"/>
  <c r="I166" i="1" s="1"/>
  <c r="G158" i="1"/>
  <c r="H158" i="1" s="1"/>
  <c r="I158" i="1" s="1"/>
  <c r="G150" i="1"/>
  <c r="H150" i="1" s="1"/>
  <c r="G142" i="1"/>
  <c r="H142" i="1" s="1"/>
  <c r="G134" i="1"/>
  <c r="H134" i="1" s="1"/>
  <c r="I134" i="1" s="1"/>
  <c r="G126" i="1"/>
  <c r="H126" i="1" s="1"/>
  <c r="I126" i="1" s="1"/>
  <c r="G118" i="1"/>
  <c r="H118" i="1" s="1"/>
  <c r="G110" i="1"/>
  <c r="H110" i="1" s="1"/>
  <c r="G102" i="1"/>
  <c r="H102" i="1" s="1"/>
  <c r="G94" i="1"/>
  <c r="H94" i="1" s="1"/>
  <c r="I94" i="1" s="1"/>
  <c r="G86" i="1"/>
  <c r="H86" i="1" s="1"/>
  <c r="G78" i="1"/>
  <c r="H78" i="1" s="1"/>
  <c r="G70" i="1"/>
  <c r="H70" i="1" s="1"/>
  <c r="I70" i="1" s="1"/>
  <c r="G62" i="1"/>
  <c r="H62" i="1" s="1"/>
  <c r="I62" i="1" s="1"/>
  <c r="G54" i="1"/>
  <c r="H54" i="1" s="1"/>
  <c r="G46" i="1"/>
  <c r="H46" i="1" s="1"/>
  <c r="G38" i="1"/>
  <c r="H38" i="1" s="1"/>
  <c r="G30" i="1"/>
  <c r="H30" i="1" s="1"/>
  <c r="I30" i="1" s="1"/>
  <c r="G22" i="1"/>
  <c r="H22" i="1" s="1"/>
  <c r="G14" i="1"/>
  <c r="H14" i="1" s="1"/>
  <c r="G6" i="1"/>
  <c r="H6" i="1" s="1"/>
  <c r="G226" i="1"/>
  <c r="H226" i="1" s="1"/>
  <c r="G162" i="1"/>
  <c r="H162" i="1" s="1"/>
  <c r="G114" i="1"/>
  <c r="H114" i="1" s="1"/>
  <c r="G66" i="1"/>
  <c r="H66" i="1" s="1"/>
  <c r="I66" i="1" s="1"/>
  <c r="G26" i="1"/>
  <c r="H26" i="1" s="1"/>
  <c r="I26" i="1" s="1"/>
  <c r="G246" i="1"/>
  <c r="H246" i="1" s="1"/>
  <c r="I246" i="1" s="1"/>
  <c r="G186" i="1"/>
  <c r="H186" i="1" s="1"/>
  <c r="G82" i="1"/>
  <c r="H82" i="1" s="1"/>
  <c r="I82" i="1" s="1"/>
  <c r="G252" i="1"/>
  <c r="H252" i="1" s="1"/>
  <c r="G244" i="1"/>
  <c r="H244" i="1" s="1"/>
  <c r="G236" i="1"/>
  <c r="H236" i="1" s="1"/>
  <c r="I236" i="1" s="1"/>
  <c r="G228" i="1"/>
  <c r="H228" i="1" s="1"/>
  <c r="I228" i="1" s="1"/>
  <c r="G220" i="1"/>
  <c r="H220" i="1" s="1"/>
  <c r="I220" i="1" s="1"/>
  <c r="G212" i="1"/>
  <c r="H212" i="1" s="1"/>
  <c r="G204" i="1"/>
  <c r="H204" i="1" s="1"/>
  <c r="G196" i="1"/>
  <c r="H196" i="1" s="1"/>
  <c r="I196" i="1" s="1"/>
  <c r="G188" i="1"/>
  <c r="H188" i="1" s="1"/>
  <c r="G180" i="1"/>
  <c r="H180" i="1" s="1"/>
  <c r="G172" i="1"/>
  <c r="H172" i="1" s="1"/>
  <c r="G164" i="1"/>
  <c r="H164" i="1" s="1"/>
  <c r="I164" i="1" s="1"/>
  <c r="G156" i="1"/>
  <c r="H156" i="1" s="1"/>
  <c r="I156" i="1" s="1"/>
  <c r="G148" i="1"/>
  <c r="H148" i="1" s="1"/>
  <c r="G140" i="1"/>
  <c r="H140" i="1" s="1"/>
  <c r="G132" i="1"/>
  <c r="H132" i="1" s="1"/>
  <c r="I132" i="1" s="1"/>
  <c r="G124" i="1"/>
  <c r="H124" i="1" s="1"/>
  <c r="I124" i="1" s="1"/>
  <c r="G116" i="1"/>
  <c r="H116" i="1" s="1"/>
  <c r="I116" i="1" s="1"/>
  <c r="G108" i="1"/>
  <c r="H108" i="1" s="1"/>
  <c r="G100" i="1"/>
  <c r="H100" i="1" s="1"/>
  <c r="I100" i="1" s="1"/>
  <c r="G92" i="1"/>
  <c r="H92" i="1" s="1"/>
  <c r="G84" i="1"/>
  <c r="H84" i="1" s="1"/>
  <c r="I84" i="1" s="1"/>
  <c r="G76" i="1"/>
  <c r="H76" i="1" s="1"/>
  <c r="G68" i="1"/>
  <c r="H68" i="1" s="1"/>
  <c r="I68" i="1" s="1"/>
  <c r="G60" i="1"/>
  <c r="H60" i="1" s="1"/>
  <c r="I60" i="1" s="1"/>
  <c r="G52" i="1"/>
  <c r="H52" i="1" s="1"/>
  <c r="I52" i="1" s="1"/>
  <c r="G44" i="1"/>
  <c r="H44" i="1" s="1"/>
  <c r="G36" i="1"/>
  <c r="H36" i="1" s="1"/>
  <c r="I36" i="1" s="1"/>
  <c r="G28" i="1"/>
  <c r="H28" i="1" s="1"/>
  <c r="G20" i="1"/>
  <c r="H20" i="1" s="1"/>
  <c r="I20" i="1" s="1"/>
  <c r="G12" i="1"/>
  <c r="H12" i="1" s="1"/>
  <c r="I12" i="1" s="1"/>
  <c r="G4" i="1"/>
  <c r="H4" i="1" s="1"/>
  <c r="I4" i="1" s="1"/>
  <c r="G242" i="1"/>
  <c r="H242" i="1" s="1"/>
  <c r="I242" i="1" s="1"/>
  <c r="G194" i="1"/>
  <c r="H194" i="1" s="1"/>
  <c r="G154" i="1"/>
  <c r="H154" i="1" s="1"/>
  <c r="G122" i="1"/>
  <c r="H122" i="1" s="1"/>
  <c r="G74" i="1"/>
  <c r="H74" i="1" s="1"/>
  <c r="I74" i="1" s="1"/>
  <c r="G10" i="1"/>
  <c r="H10" i="1" s="1"/>
  <c r="I250" i="1"/>
  <c r="I238" i="1"/>
  <c r="I234" i="1"/>
  <c r="I226" i="1"/>
  <c r="I222" i="1"/>
  <c r="I218" i="1"/>
  <c r="I214" i="1"/>
  <c r="I210" i="1"/>
  <c r="I204" i="1"/>
  <c r="I200" i="1"/>
  <c r="I192" i="1"/>
  <c r="I188" i="1"/>
  <c r="I184" i="1"/>
  <c r="I180" i="1"/>
  <c r="I176" i="1"/>
  <c r="I172" i="1"/>
  <c r="I168" i="1"/>
  <c r="I160" i="1"/>
  <c r="I152" i="1"/>
  <c r="I148" i="1"/>
  <c r="I144" i="1"/>
  <c r="I140" i="1"/>
  <c r="I136" i="1"/>
  <c r="I128" i="1"/>
  <c r="I120" i="1"/>
  <c r="I112" i="1"/>
  <c r="I108" i="1"/>
  <c r="I104" i="1"/>
  <c r="I96" i="1"/>
  <c r="I92" i="1"/>
  <c r="I88" i="1"/>
  <c r="I80" i="1"/>
  <c r="I76" i="1"/>
  <c r="I72" i="1"/>
  <c r="I64" i="1"/>
  <c r="I56" i="1"/>
  <c r="I48" i="1"/>
  <c r="I44" i="1"/>
  <c r="I40" i="1"/>
  <c r="I32" i="1"/>
  <c r="I28" i="1"/>
  <c r="I24" i="1"/>
  <c r="I16" i="1"/>
  <c r="I10" i="1"/>
  <c r="I252" i="1"/>
  <c r="I248" i="1"/>
  <c r="I244" i="1"/>
  <c r="I240" i="1"/>
  <c r="I232" i="1"/>
  <c r="I224" i="1"/>
  <c r="I216" i="1"/>
  <c r="I212" i="1"/>
  <c r="I208" i="1"/>
  <c r="I206" i="1"/>
  <c r="I202" i="1"/>
  <c r="I198" i="1"/>
  <c r="I194" i="1"/>
  <c r="I186" i="1"/>
  <c r="I182" i="1"/>
  <c r="I178" i="1"/>
  <c r="I174" i="1"/>
  <c r="I170" i="1"/>
  <c r="I162" i="1"/>
  <c r="I154" i="1"/>
  <c r="I150" i="1"/>
  <c r="I146" i="1"/>
  <c r="I142" i="1"/>
  <c r="I138" i="1"/>
  <c r="I130" i="1"/>
  <c r="I122" i="1"/>
  <c r="I118" i="1"/>
  <c r="I114" i="1"/>
  <c r="I110" i="1"/>
  <c r="I106" i="1"/>
  <c r="I102" i="1"/>
  <c r="I98" i="1"/>
  <c r="I90" i="1"/>
  <c r="I86" i="1"/>
  <c r="I78" i="1"/>
  <c r="I58" i="1"/>
  <c r="I54" i="1"/>
  <c r="I50" i="1"/>
  <c r="I46" i="1"/>
  <c r="I42" i="1"/>
  <c r="I38" i="1"/>
  <c r="I34" i="1"/>
  <c r="I22" i="1"/>
  <c r="I18" i="1"/>
  <c r="I14" i="1"/>
  <c r="I8" i="1"/>
  <c r="I6" i="1"/>
  <c r="J2" i="1"/>
  <c r="J251" i="1"/>
  <c r="J249" i="1"/>
  <c r="J247" i="1"/>
  <c r="J245" i="1"/>
  <c r="J243" i="1"/>
  <c r="J241" i="1"/>
  <c r="J239" i="1"/>
  <c r="J237" i="1"/>
  <c r="J235" i="1"/>
  <c r="J233" i="1"/>
  <c r="J231" i="1"/>
  <c r="J229" i="1"/>
  <c r="J227" i="1"/>
  <c r="J225" i="1"/>
  <c r="J223" i="1"/>
  <c r="J221" i="1"/>
  <c r="J219" i="1"/>
  <c r="J217" i="1"/>
  <c r="J215" i="1"/>
  <c r="J213" i="1"/>
  <c r="J211" i="1"/>
  <c r="J209" i="1"/>
  <c r="J207" i="1"/>
  <c r="J205" i="1"/>
  <c r="J203" i="1"/>
  <c r="J201" i="1"/>
  <c r="J199" i="1"/>
  <c r="J197" i="1"/>
  <c r="J195" i="1"/>
  <c r="J193" i="1"/>
  <c r="J191" i="1"/>
  <c r="J189" i="1"/>
  <c r="J187" i="1"/>
  <c r="J185" i="1"/>
  <c r="J183" i="1"/>
  <c r="J181" i="1"/>
  <c r="J179" i="1"/>
  <c r="J177" i="1"/>
  <c r="J175" i="1"/>
  <c r="J173" i="1"/>
  <c r="J171" i="1"/>
  <c r="J169" i="1"/>
  <c r="J167" i="1"/>
  <c r="J165" i="1"/>
  <c r="J163" i="1"/>
  <c r="J161" i="1"/>
  <c r="J159" i="1"/>
  <c r="J157" i="1"/>
  <c r="J155" i="1"/>
  <c r="J153" i="1"/>
  <c r="J151" i="1"/>
  <c r="J149" i="1"/>
  <c r="J147" i="1"/>
  <c r="J145" i="1"/>
  <c r="J143" i="1"/>
  <c r="J141" i="1"/>
  <c r="J139" i="1"/>
  <c r="J137" i="1"/>
  <c r="J135" i="1"/>
  <c r="J133" i="1"/>
  <c r="J131" i="1"/>
  <c r="J129" i="1"/>
  <c r="J127" i="1"/>
  <c r="J125" i="1"/>
  <c r="J123" i="1"/>
  <c r="J121" i="1"/>
  <c r="J119" i="1"/>
  <c r="J117" i="1"/>
  <c r="J115" i="1"/>
  <c r="J113" i="1"/>
  <c r="J111" i="1"/>
  <c r="J109" i="1"/>
  <c r="J107" i="1"/>
  <c r="J105" i="1"/>
  <c r="J103" i="1"/>
  <c r="J101" i="1"/>
  <c r="J99" i="1"/>
  <c r="J97" i="1"/>
  <c r="J95" i="1"/>
  <c r="J93" i="1"/>
  <c r="J91" i="1"/>
  <c r="J89" i="1"/>
  <c r="J87" i="1"/>
  <c r="J85" i="1"/>
  <c r="J83" i="1"/>
  <c r="J81" i="1"/>
  <c r="J79" i="1"/>
  <c r="J77" i="1"/>
  <c r="J75" i="1"/>
  <c r="J73" i="1"/>
  <c r="J71" i="1"/>
  <c r="J69" i="1"/>
  <c r="J67" i="1"/>
  <c r="J65" i="1"/>
  <c r="J63" i="1"/>
  <c r="J61" i="1"/>
  <c r="J59" i="1"/>
  <c r="J57" i="1"/>
  <c r="J55" i="1"/>
  <c r="J53" i="1"/>
  <c r="J51" i="1"/>
  <c r="J49" i="1"/>
  <c r="J47" i="1"/>
  <c r="J45" i="1"/>
  <c r="J43" i="1"/>
  <c r="J41" i="1"/>
  <c r="J39" i="1"/>
  <c r="J37" i="1"/>
  <c r="J35" i="1"/>
  <c r="J33" i="1"/>
  <c r="J31" i="1"/>
  <c r="J29" i="1"/>
  <c r="J27" i="1"/>
  <c r="J25" i="1"/>
  <c r="J23" i="1"/>
  <c r="J21" i="1"/>
  <c r="J19" i="1"/>
  <c r="J17" i="1"/>
  <c r="J15" i="1"/>
  <c r="J13" i="1"/>
  <c r="J11" i="1"/>
  <c r="J9" i="1"/>
  <c r="J7" i="1"/>
  <c r="J5" i="1"/>
  <c r="J3" i="1"/>
  <c r="B13" i="1"/>
  <c r="B12" i="1"/>
  <c r="J252" i="1"/>
  <c r="J250" i="1"/>
  <c r="J248" i="1"/>
  <c r="J246" i="1"/>
  <c r="J244" i="1"/>
  <c r="J242" i="1"/>
  <c r="J240" i="1"/>
  <c r="J238" i="1"/>
  <c r="J236" i="1"/>
  <c r="J234" i="1"/>
  <c r="J232" i="1"/>
  <c r="J230" i="1"/>
  <c r="J228" i="1"/>
  <c r="J226" i="1"/>
  <c r="J224" i="1"/>
  <c r="J222" i="1"/>
  <c r="J220" i="1"/>
  <c r="J218" i="1"/>
  <c r="J216" i="1"/>
  <c r="J214" i="1"/>
  <c r="J212" i="1"/>
  <c r="J210" i="1"/>
  <c r="J208" i="1"/>
  <c r="J206" i="1"/>
  <c r="J204" i="1"/>
  <c r="J202" i="1"/>
  <c r="J200" i="1"/>
  <c r="J198" i="1"/>
  <c r="J196" i="1"/>
  <c r="J194" i="1"/>
  <c r="J192" i="1"/>
  <c r="J190" i="1"/>
  <c r="J188" i="1"/>
  <c r="J186" i="1"/>
  <c r="J184" i="1"/>
  <c r="J182" i="1"/>
  <c r="J180" i="1"/>
  <c r="J178" i="1"/>
  <c r="J176" i="1"/>
  <c r="J174" i="1"/>
  <c r="J172" i="1"/>
  <c r="J170" i="1"/>
  <c r="J168" i="1"/>
  <c r="J166" i="1"/>
  <c r="J164" i="1"/>
  <c r="J162" i="1"/>
  <c r="J160" i="1"/>
  <c r="J158" i="1"/>
  <c r="J156" i="1"/>
  <c r="J154" i="1"/>
  <c r="J152" i="1"/>
  <c r="J150" i="1"/>
  <c r="J148" i="1"/>
  <c r="J146" i="1"/>
  <c r="J144" i="1"/>
  <c r="J142" i="1"/>
  <c r="J140" i="1"/>
  <c r="J138" i="1"/>
  <c r="J136" i="1"/>
  <c r="J134" i="1"/>
  <c r="J132" i="1"/>
  <c r="J130" i="1"/>
  <c r="J128" i="1"/>
  <c r="J126" i="1"/>
  <c r="J124" i="1"/>
  <c r="J122" i="1"/>
  <c r="J120" i="1"/>
  <c r="J118" i="1"/>
  <c r="J116" i="1"/>
  <c r="J114" i="1"/>
  <c r="J112" i="1"/>
  <c r="J110" i="1"/>
  <c r="J108" i="1"/>
  <c r="J106" i="1"/>
  <c r="J104" i="1"/>
  <c r="J102" i="1"/>
  <c r="J100" i="1"/>
  <c r="J98" i="1"/>
  <c r="J96" i="1"/>
  <c r="J94" i="1"/>
  <c r="J92" i="1"/>
  <c r="J90" i="1"/>
  <c r="J88" i="1"/>
  <c r="J86" i="1"/>
  <c r="J84" i="1"/>
  <c r="J82" i="1"/>
  <c r="J80" i="1"/>
  <c r="J78" i="1"/>
  <c r="J76" i="1"/>
  <c r="J74" i="1"/>
  <c r="J72" i="1"/>
  <c r="J70" i="1"/>
  <c r="J68" i="1"/>
  <c r="J66" i="1"/>
  <c r="J64" i="1"/>
  <c r="J62" i="1"/>
  <c r="J60" i="1"/>
  <c r="J58" i="1"/>
  <c r="J56" i="1"/>
  <c r="J54" i="1"/>
  <c r="J52" i="1"/>
  <c r="J50" i="1"/>
  <c r="J48" i="1"/>
  <c r="J46" i="1"/>
  <c r="J44" i="1"/>
  <c r="J42" i="1"/>
  <c r="J40" i="1"/>
  <c r="J38" i="1"/>
  <c r="J36" i="1"/>
  <c r="J34" i="1"/>
  <c r="J32" i="1"/>
  <c r="J30" i="1"/>
  <c r="J28" i="1"/>
  <c r="J26" i="1"/>
  <c r="J24" i="1"/>
  <c r="J22" i="1"/>
  <c r="J20" i="1"/>
  <c r="J18" i="1"/>
  <c r="J16" i="1"/>
  <c r="J14" i="1"/>
  <c r="J12" i="1"/>
  <c r="J10" i="1"/>
  <c r="J8" i="1"/>
  <c r="J6" i="1"/>
  <c r="J4" i="1"/>
  <c r="G2" i="1"/>
  <c r="H2" i="1" s="1"/>
  <c r="I2" i="1" s="1"/>
  <c r="G251" i="1"/>
  <c r="H251" i="1" s="1"/>
  <c r="I251" i="1" s="1"/>
  <c r="G249" i="1"/>
  <c r="H249" i="1" s="1"/>
  <c r="I249" i="1" s="1"/>
  <c r="G247" i="1"/>
  <c r="H247" i="1" s="1"/>
  <c r="I247" i="1" s="1"/>
  <c r="G245" i="1"/>
  <c r="H245" i="1" s="1"/>
  <c r="I245" i="1" s="1"/>
  <c r="G243" i="1"/>
  <c r="H243" i="1" s="1"/>
  <c r="I243" i="1" s="1"/>
  <c r="G241" i="1"/>
  <c r="H241" i="1" s="1"/>
  <c r="I241" i="1" s="1"/>
  <c r="G239" i="1"/>
  <c r="H239" i="1" s="1"/>
  <c r="I239" i="1" s="1"/>
  <c r="G237" i="1"/>
  <c r="H237" i="1" s="1"/>
  <c r="I237" i="1" s="1"/>
  <c r="G235" i="1"/>
  <c r="H235" i="1" s="1"/>
  <c r="I235" i="1" s="1"/>
  <c r="G233" i="1"/>
  <c r="H233" i="1" s="1"/>
  <c r="I233" i="1" s="1"/>
  <c r="G231" i="1"/>
  <c r="H231" i="1" s="1"/>
  <c r="I231" i="1" s="1"/>
  <c r="G229" i="1"/>
  <c r="H229" i="1" s="1"/>
  <c r="I229" i="1" s="1"/>
  <c r="G227" i="1"/>
  <c r="H227" i="1" s="1"/>
  <c r="I227" i="1" s="1"/>
  <c r="G225" i="1"/>
  <c r="H225" i="1" s="1"/>
  <c r="I225" i="1" s="1"/>
  <c r="G223" i="1"/>
  <c r="H223" i="1" s="1"/>
  <c r="I223" i="1" s="1"/>
  <c r="G221" i="1"/>
  <c r="H221" i="1" s="1"/>
  <c r="I221" i="1" s="1"/>
  <c r="G219" i="1"/>
  <c r="H219" i="1" s="1"/>
  <c r="I219" i="1" s="1"/>
  <c r="G217" i="1"/>
  <c r="H217" i="1" s="1"/>
  <c r="I217" i="1" s="1"/>
  <c r="G215" i="1"/>
  <c r="H215" i="1" s="1"/>
  <c r="I215" i="1" s="1"/>
  <c r="G213" i="1"/>
  <c r="H213" i="1" s="1"/>
  <c r="I213" i="1" s="1"/>
  <c r="G211" i="1"/>
  <c r="H211" i="1" s="1"/>
  <c r="I211" i="1" s="1"/>
  <c r="G209" i="1"/>
  <c r="H209" i="1" s="1"/>
  <c r="I209" i="1" s="1"/>
  <c r="G207" i="1"/>
  <c r="H207" i="1" s="1"/>
  <c r="I207" i="1" s="1"/>
  <c r="G205" i="1"/>
  <c r="H205" i="1" s="1"/>
  <c r="I205" i="1" s="1"/>
  <c r="G203" i="1"/>
  <c r="H203" i="1" s="1"/>
  <c r="I203" i="1" s="1"/>
  <c r="G201" i="1"/>
  <c r="H201" i="1" s="1"/>
  <c r="I201" i="1" s="1"/>
  <c r="G199" i="1"/>
  <c r="H199" i="1" s="1"/>
  <c r="I199" i="1" s="1"/>
  <c r="G197" i="1"/>
  <c r="H197" i="1" s="1"/>
  <c r="I197" i="1" s="1"/>
  <c r="G195" i="1"/>
  <c r="H195" i="1" s="1"/>
  <c r="I195" i="1" s="1"/>
  <c r="G193" i="1"/>
  <c r="H193" i="1" s="1"/>
  <c r="I193" i="1" s="1"/>
  <c r="G191" i="1"/>
  <c r="H191" i="1" s="1"/>
  <c r="I191" i="1" s="1"/>
  <c r="G189" i="1"/>
  <c r="H189" i="1" s="1"/>
  <c r="I189" i="1" s="1"/>
  <c r="G187" i="1"/>
  <c r="H187" i="1" s="1"/>
  <c r="I187" i="1" s="1"/>
  <c r="G185" i="1"/>
  <c r="H185" i="1" s="1"/>
  <c r="I185" i="1" s="1"/>
  <c r="G183" i="1"/>
  <c r="H183" i="1" s="1"/>
  <c r="I183" i="1" s="1"/>
  <c r="G181" i="1"/>
  <c r="H181" i="1" s="1"/>
  <c r="I181" i="1" s="1"/>
  <c r="G179" i="1"/>
  <c r="H179" i="1" s="1"/>
  <c r="I179" i="1" s="1"/>
  <c r="G177" i="1"/>
  <c r="H177" i="1" s="1"/>
  <c r="I177" i="1" s="1"/>
  <c r="G175" i="1"/>
  <c r="H175" i="1" s="1"/>
  <c r="I175" i="1" s="1"/>
  <c r="G173" i="1"/>
  <c r="H173" i="1" s="1"/>
  <c r="I173" i="1" s="1"/>
  <c r="G171" i="1"/>
  <c r="H171" i="1" s="1"/>
  <c r="I171" i="1" s="1"/>
  <c r="G169" i="1"/>
  <c r="H169" i="1" s="1"/>
  <c r="I169" i="1" s="1"/>
  <c r="G167" i="1"/>
  <c r="H167" i="1" s="1"/>
  <c r="I167" i="1" s="1"/>
  <c r="G165" i="1"/>
  <c r="H165" i="1" s="1"/>
  <c r="I165" i="1" s="1"/>
  <c r="G163" i="1"/>
  <c r="H163" i="1" s="1"/>
  <c r="I163" i="1" s="1"/>
  <c r="G161" i="1"/>
  <c r="H161" i="1" s="1"/>
  <c r="I161" i="1" s="1"/>
  <c r="G159" i="1"/>
  <c r="H159" i="1" s="1"/>
  <c r="I159" i="1" s="1"/>
  <c r="G157" i="1"/>
  <c r="H157" i="1" s="1"/>
  <c r="I157" i="1" s="1"/>
  <c r="G155" i="1"/>
  <c r="H155" i="1" s="1"/>
  <c r="I155" i="1" s="1"/>
  <c r="G153" i="1"/>
  <c r="H153" i="1" s="1"/>
  <c r="I153" i="1" s="1"/>
  <c r="G151" i="1"/>
  <c r="H151" i="1" s="1"/>
  <c r="I151" i="1" s="1"/>
  <c r="G149" i="1"/>
  <c r="H149" i="1" s="1"/>
  <c r="I149" i="1" s="1"/>
  <c r="G147" i="1"/>
  <c r="H147" i="1" s="1"/>
  <c r="I147" i="1" s="1"/>
  <c r="G145" i="1"/>
  <c r="H145" i="1" s="1"/>
  <c r="I145" i="1" s="1"/>
  <c r="G143" i="1"/>
  <c r="H143" i="1" s="1"/>
  <c r="I143" i="1" s="1"/>
  <c r="G141" i="1"/>
  <c r="H141" i="1" s="1"/>
  <c r="I141" i="1" s="1"/>
  <c r="G139" i="1"/>
  <c r="H139" i="1" s="1"/>
  <c r="I139" i="1" s="1"/>
  <c r="G137" i="1"/>
  <c r="H137" i="1" s="1"/>
  <c r="I137" i="1" s="1"/>
  <c r="G135" i="1"/>
  <c r="H135" i="1" s="1"/>
  <c r="I135" i="1" s="1"/>
  <c r="G133" i="1"/>
  <c r="H133" i="1" s="1"/>
  <c r="I133" i="1" s="1"/>
  <c r="G131" i="1"/>
  <c r="H131" i="1" s="1"/>
  <c r="I131" i="1" s="1"/>
  <c r="G129" i="1"/>
  <c r="H129" i="1" s="1"/>
  <c r="I129" i="1" s="1"/>
  <c r="G127" i="1"/>
  <c r="H127" i="1" s="1"/>
  <c r="I127" i="1" s="1"/>
  <c r="G125" i="1"/>
  <c r="H125" i="1" s="1"/>
  <c r="I125" i="1" s="1"/>
  <c r="G123" i="1"/>
  <c r="H123" i="1" s="1"/>
  <c r="I123" i="1" s="1"/>
  <c r="G121" i="1"/>
  <c r="H121" i="1" s="1"/>
  <c r="I121" i="1" s="1"/>
  <c r="G119" i="1"/>
  <c r="H119" i="1" s="1"/>
  <c r="I119" i="1" s="1"/>
  <c r="G117" i="1"/>
  <c r="H117" i="1" s="1"/>
  <c r="I117" i="1" s="1"/>
  <c r="G115" i="1"/>
  <c r="H115" i="1" s="1"/>
  <c r="I115" i="1" s="1"/>
  <c r="G113" i="1"/>
  <c r="H113" i="1" s="1"/>
  <c r="I113" i="1" s="1"/>
  <c r="G111" i="1"/>
  <c r="H111" i="1" s="1"/>
  <c r="I111" i="1" s="1"/>
  <c r="G109" i="1"/>
  <c r="H109" i="1" s="1"/>
  <c r="I109" i="1" s="1"/>
  <c r="G107" i="1"/>
  <c r="H107" i="1" s="1"/>
  <c r="I107" i="1" s="1"/>
  <c r="G105" i="1"/>
  <c r="H105" i="1" s="1"/>
  <c r="I105" i="1" s="1"/>
  <c r="G103" i="1"/>
  <c r="H103" i="1" s="1"/>
  <c r="I103" i="1" s="1"/>
  <c r="G101" i="1"/>
  <c r="H101" i="1" s="1"/>
  <c r="I101" i="1" s="1"/>
  <c r="G99" i="1"/>
  <c r="H99" i="1" s="1"/>
  <c r="I99" i="1" s="1"/>
  <c r="G97" i="1"/>
  <c r="H97" i="1" s="1"/>
  <c r="I97" i="1" s="1"/>
  <c r="G95" i="1"/>
  <c r="H95" i="1" s="1"/>
  <c r="I95" i="1" s="1"/>
  <c r="G93" i="1"/>
  <c r="H93" i="1" s="1"/>
  <c r="I93" i="1" s="1"/>
  <c r="G91" i="1"/>
  <c r="H91" i="1" s="1"/>
  <c r="I91" i="1" s="1"/>
  <c r="G89" i="1"/>
  <c r="H89" i="1" s="1"/>
  <c r="I89" i="1" s="1"/>
  <c r="G87" i="1"/>
  <c r="H87" i="1" s="1"/>
  <c r="I87" i="1" s="1"/>
  <c r="G85" i="1"/>
  <c r="H85" i="1" s="1"/>
  <c r="I85" i="1" s="1"/>
  <c r="G83" i="1"/>
  <c r="H83" i="1" s="1"/>
  <c r="I83" i="1" s="1"/>
  <c r="G81" i="1"/>
  <c r="H81" i="1" s="1"/>
  <c r="I81" i="1" s="1"/>
  <c r="G79" i="1"/>
  <c r="H79" i="1" s="1"/>
  <c r="I79" i="1" s="1"/>
  <c r="G77" i="1"/>
  <c r="H77" i="1" s="1"/>
  <c r="I77" i="1" s="1"/>
  <c r="G75" i="1"/>
  <c r="H75" i="1" s="1"/>
  <c r="I75" i="1" s="1"/>
  <c r="G73" i="1"/>
  <c r="H73" i="1" s="1"/>
  <c r="I73" i="1" s="1"/>
  <c r="G71" i="1"/>
  <c r="H71" i="1" s="1"/>
  <c r="I71" i="1" s="1"/>
  <c r="G69" i="1"/>
  <c r="H69" i="1" s="1"/>
  <c r="I69" i="1" s="1"/>
  <c r="G67" i="1"/>
  <c r="H67" i="1" s="1"/>
  <c r="I67" i="1" s="1"/>
  <c r="G65" i="1"/>
  <c r="H65" i="1" s="1"/>
  <c r="I65" i="1" s="1"/>
  <c r="G63" i="1"/>
  <c r="H63" i="1" s="1"/>
  <c r="I63" i="1" s="1"/>
  <c r="G61" i="1"/>
  <c r="H61" i="1" s="1"/>
  <c r="I61" i="1" s="1"/>
  <c r="G59" i="1"/>
  <c r="H59" i="1" s="1"/>
  <c r="I59" i="1" s="1"/>
  <c r="G57" i="1"/>
  <c r="H57" i="1" s="1"/>
  <c r="I57" i="1" s="1"/>
  <c r="G55" i="1"/>
  <c r="H55" i="1" s="1"/>
  <c r="I55" i="1" s="1"/>
  <c r="G53" i="1"/>
  <c r="H53" i="1" s="1"/>
  <c r="I53" i="1" s="1"/>
  <c r="G51" i="1"/>
  <c r="H51" i="1" s="1"/>
  <c r="I51" i="1" s="1"/>
  <c r="G49" i="1"/>
  <c r="H49" i="1" s="1"/>
  <c r="I49" i="1" s="1"/>
  <c r="G47" i="1"/>
  <c r="H47" i="1" s="1"/>
  <c r="I47" i="1" s="1"/>
  <c r="G45" i="1"/>
  <c r="H45" i="1" s="1"/>
  <c r="I45" i="1" s="1"/>
  <c r="G43" i="1"/>
  <c r="H43" i="1" s="1"/>
  <c r="I43" i="1" s="1"/>
  <c r="G41" i="1"/>
  <c r="H41" i="1" s="1"/>
  <c r="I41" i="1" s="1"/>
  <c r="G39" i="1"/>
  <c r="H39" i="1" s="1"/>
  <c r="I39" i="1" s="1"/>
  <c r="G37" i="1"/>
  <c r="H37" i="1" s="1"/>
  <c r="I37" i="1" s="1"/>
  <c r="G35" i="1"/>
  <c r="H35" i="1" s="1"/>
  <c r="I35" i="1" s="1"/>
  <c r="G33" i="1"/>
  <c r="H33" i="1" s="1"/>
  <c r="I33" i="1" s="1"/>
  <c r="G31" i="1"/>
  <c r="H31" i="1" s="1"/>
  <c r="I31" i="1" s="1"/>
  <c r="G29" i="1"/>
  <c r="H29" i="1" s="1"/>
  <c r="I29" i="1" s="1"/>
  <c r="G27" i="1"/>
  <c r="H27" i="1" s="1"/>
  <c r="I27" i="1" s="1"/>
  <c r="G25" i="1"/>
  <c r="H25" i="1" s="1"/>
  <c r="I25" i="1" s="1"/>
  <c r="G23" i="1"/>
  <c r="H23" i="1" s="1"/>
  <c r="I23" i="1" s="1"/>
  <c r="G21" i="1"/>
  <c r="H21" i="1" s="1"/>
  <c r="I21" i="1" s="1"/>
  <c r="G19" i="1"/>
  <c r="H19" i="1" s="1"/>
  <c r="I19" i="1" s="1"/>
  <c r="G17" i="1"/>
  <c r="H17" i="1" s="1"/>
  <c r="I17" i="1" s="1"/>
  <c r="G15" i="1"/>
  <c r="H15" i="1" s="1"/>
  <c r="I15" i="1" s="1"/>
  <c r="G13" i="1"/>
  <c r="H13" i="1" s="1"/>
  <c r="I13" i="1" s="1"/>
  <c r="G11" i="1"/>
  <c r="H11" i="1" s="1"/>
  <c r="I11" i="1" s="1"/>
  <c r="G9" i="1"/>
  <c r="H9" i="1" s="1"/>
  <c r="I9" i="1" s="1"/>
  <c r="G7" i="1"/>
  <c r="H7" i="1" s="1"/>
  <c r="I7" i="1" s="1"/>
  <c r="G5" i="1"/>
  <c r="H5" i="1" s="1"/>
  <c r="I5" i="1" s="1"/>
  <c r="G3" i="1"/>
  <c r="H3" i="1" s="1"/>
  <c r="I3" i="1" s="1"/>
  <c r="L98" i="1"/>
  <c r="L149" i="1"/>
  <c r="L193" i="1"/>
  <c r="L203" i="1"/>
  <c r="L142" i="1"/>
  <c r="L226" i="1"/>
  <c r="L151" i="1"/>
  <c r="L87" i="1"/>
  <c r="L199" i="1"/>
  <c r="L85" i="1"/>
  <c r="L221" i="1"/>
  <c r="L165" i="1"/>
  <c r="L110" i="1"/>
  <c r="L70" i="1"/>
  <c r="L139" i="1"/>
  <c r="L178" i="1"/>
  <c r="L122" i="1"/>
  <c r="L150" i="1"/>
  <c r="L10" i="1"/>
  <c r="L3" i="1"/>
  <c r="L83" i="1"/>
  <c r="L155" i="1"/>
  <c r="L113" i="1"/>
  <c r="L234" i="1"/>
  <c r="L126" i="1"/>
  <c r="L94" i="1"/>
  <c r="L43" i="1"/>
  <c r="L194" i="1"/>
  <c r="L229" i="1"/>
  <c r="L22" i="1"/>
  <c r="L210" i="1"/>
  <c r="L243" i="1"/>
  <c r="L13" i="1"/>
  <c r="L217" i="1"/>
  <c r="L57" i="1"/>
  <c r="L45" i="1"/>
  <c r="L97" i="1"/>
  <c r="L167" i="1"/>
  <c r="L123" i="1"/>
  <c r="L59" i="1"/>
  <c r="L180" i="1"/>
  <c r="L12" i="1"/>
  <c r="L233" i="1"/>
  <c r="L134" i="1"/>
  <c r="L100" i="1"/>
  <c r="L183" i="1"/>
  <c r="L131" i="1"/>
  <c r="L36" i="1"/>
  <c r="L173" i="1"/>
  <c r="L213" i="1"/>
  <c r="L171" i="1"/>
  <c r="L189" i="1"/>
  <c r="L230" i="1"/>
  <c r="L124" i="1"/>
  <c r="L14" i="1"/>
  <c r="L172" i="1"/>
  <c r="L77" i="1"/>
  <c r="L219" i="1"/>
  <c r="L26" i="1"/>
  <c r="L227" i="1"/>
  <c r="L252" i="1"/>
  <c r="L17" i="1"/>
  <c r="L205" i="1"/>
  <c r="L73" i="1"/>
  <c r="L239" i="1"/>
  <c r="L197" i="1"/>
  <c r="L74" i="1"/>
  <c r="L164" i="1"/>
  <c r="L7" i="1"/>
  <c r="L198" i="1"/>
  <c r="L188" i="1"/>
  <c r="L133" i="1"/>
  <c r="L61" i="1"/>
  <c r="L19" i="1"/>
  <c r="L154" i="1"/>
  <c r="L236" i="1"/>
  <c r="L241" i="1"/>
  <c r="L38" i="1"/>
  <c r="L156" i="1"/>
  <c r="L69" i="1"/>
  <c r="L148" i="1"/>
  <c r="L49" i="1"/>
  <c r="L244" i="1"/>
  <c r="L42" i="1"/>
  <c r="L21" i="1"/>
  <c r="L141" i="1"/>
  <c r="L82" i="1"/>
  <c r="L78" i="1"/>
  <c r="L187" i="1"/>
  <c r="L114" i="1"/>
  <c r="L115" i="1"/>
  <c r="L247" i="1"/>
  <c r="L158" i="1"/>
  <c r="L118" i="1"/>
  <c r="L91" i="1"/>
  <c r="L30" i="1"/>
  <c r="L132" i="1"/>
  <c r="L238" i="1"/>
  <c r="L231" i="1"/>
  <c r="L108" i="1"/>
  <c r="L60" i="1"/>
  <c r="L54" i="1"/>
  <c r="L99" i="1"/>
  <c r="L140" i="1"/>
  <c r="L68" i="1"/>
  <c r="L23" i="1"/>
  <c r="L245" i="1"/>
  <c r="L162" i="1"/>
  <c r="L44" i="1"/>
  <c r="L174" i="1"/>
  <c r="L75" i="1"/>
  <c r="L169" i="1"/>
  <c r="L242" i="1"/>
  <c r="L101" i="1"/>
  <c r="L235" i="1"/>
  <c r="L93" i="1"/>
  <c r="L119" i="1"/>
  <c r="L67" i="1"/>
  <c r="L212" i="1"/>
  <c r="L237" i="1"/>
  <c r="L109" i="1"/>
  <c r="L5" i="1"/>
  <c r="L179" i="1"/>
  <c r="L135" i="1"/>
  <c r="L195" i="1"/>
  <c r="L71" i="1"/>
  <c r="L246" i="1"/>
  <c r="L163" i="1"/>
  <c r="L153" i="1"/>
  <c r="L51" i="1"/>
  <c r="L125" i="1"/>
  <c r="L65" i="1"/>
  <c r="L182" i="1"/>
  <c r="L55" i="1"/>
  <c r="L107" i="1"/>
  <c r="L117" i="1"/>
  <c r="L102" i="1"/>
  <c r="L29" i="1"/>
  <c r="L228" i="1"/>
  <c r="L186" i="1"/>
  <c r="L177" i="1"/>
  <c r="L157" i="1"/>
  <c r="L46" i="1"/>
  <c r="L147" i="1"/>
  <c r="L20" i="1"/>
  <c r="L161" i="1"/>
  <c r="L145" i="1"/>
  <c r="L251" i="1"/>
  <c r="L220" i="1"/>
  <c r="L66" i="1"/>
  <c r="L103" i="1"/>
  <c r="L62" i="1"/>
  <c r="L214" i="1"/>
  <c r="L11" i="1"/>
  <c r="L211" i="1"/>
  <c r="L166" i="1"/>
  <c r="L196" i="1"/>
  <c r="L52" i="1"/>
  <c r="L206" i="1"/>
  <c r="L190" i="1"/>
  <c r="L84" i="1"/>
  <c r="L28" i="1"/>
  <c r="L204" i="1"/>
  <c r="L225" i="1"/>
  <c r="L86" i="1"/>
  <c r="L2" i="1"/>
  <c r="L35" i="1"/>
  <c r="L116" i="1"/>
  <c r="L27" i="1"/>
  <c r="L39" i="1"/>
  <c r="L37" i="1"/>
  <c r="L6" i="1"/>
  <c r="L222" i="1"/>
  <c r="L181" i="1"/>
  <c r="L76" i="1"/>
  <c r="L92" i="1"/>
  <c r="L215" i="1"/>
  <c r="L53" i="1"/>
  <c r="L137" i="1"/>
  <c r="L121" i="1"/>
  <c r="L4" i="1"/>
  <c r="S167" i="1" l="1"/>
  <c r="S8" i="1"/>
  <c r="S520" i="1"/>
  <c r="S361" i="1"/>
  <c r="S210" i="1"/>
  <c r="S20" i="1"/>
  <c r="S532" i="1"/>
  <c r="S373" i="1"/>
  <c r="S214" i="1"/>
  <c r="S728" i="1"/>
  <c r="S777" i="1"/>
  <c r="S826" i="1"/>
  <c r="S267" i="1"/>
  <c r="S740" i="1"/>
  <c r="S797" i="1"/>
  <c r="S855" i="1"/>
  <c r="S1368" i="1"/>
  <c r="S1233" i="1"/>
  <c r="S1212" i="1"/>
  <c r="S1587" i="1"/>
  <c r="S2650" i="1"/>
  <c r="S431" i="1"/>
  <c r="S272" i="1"/>
  <c r="S113" i="1"/>
  <c r="S625" i="1"/>
  <c r="S474" i="1"/>
  <c r="S284" i="1"/>
  <c r="S125" i="1"/>
  <c r="S637" i="1"/>
  <c r="S478" i="1"/>
  <c r="S992" i="1"/>
  <c r="S1041" i="1"/>
  <c r="S1090" i="1"/>
  <c r="S531" i="1"/>
  <c r="S1004" i="1"/>
  <c r="S1061" i="1"/>
  <c r="S1119" i="1"/>
  <c r="S1632" i="1"/>
  <c r="S1497" i="1"/>
  <c r="S2032" i="1"/>
  <c r="S1799" i="1"/>
  <c r="S183" i="1"/>
  <c r="S24" i="1"/>
  <c r="S536" i="1"/>
  <c r="S377" i="1"/>
  <c r="S226" i="1"/>
  <c r="S36" i="1"/>
  <c r="S548" i="1"/>
  <c r="S389" i="1"/>
  <c r="S230" i="1"/>
  <c r="S744" i="1"/>
  <c r="S793" i="1"/>
  <c r="S842" i="1"/>
  <c r="S283" i="1"/>
  <c r="S756" i="1"/>
  <c r="S813" i="1"/>
  <c r="S871" i="1"/>
  <c r="S1384" i="1"/>
  <c r="S1249" i="1"/>
  <c r="S1340" i="1"/>
  <c r="S1715" i="1"/>
  <c r="S2778" i="1"/>
  <c r="S447" i="1"/>
  <c r="S288" i="1"/>
  <c r="S129" i="1"/>
  <c r="S641" i="1"/>
  <c r="S490" i="1"/>
  <c r="S300" i="1"/>
  <c r="S141" i="1"/>
  <c r="S653" i="1"/>
  <c r="S494" i="1"/>
  <c r="S1008" i="1"/>
  <c r="S1057" i="1"/>
  <c r="S35" i="1"/>
  <c r="S547" i="1"/>
  <c r="S1020" i="1"/>
  <c r="S1077" i="1"/>
  <c r="S1136" i="1"/>
  <c r="S1648" i="1"/>
  <c r="S1513" i="1"/>
  <c r="S2160" i="1"/>
  <c r="S1927" i="1"/>
  <c r="S135" i="1"/>
  <c r="S647" i="1"/>
  <c r="S488" i="1"/>
  <c r="S329" i="1"/>
  <c r="S178" i="1"/>
  <c r="S19" i="1"/>
  <c r="S500" i="1"/>
  <c r="S341" i="1"/>
  <c r="S182" i="1"/>
  <c r="S696" i="1"/>
  <c r="S745" i="1"/>
  <c r="S794" i="1"/>
  <c r="S235" i="1"/>
  <c r="S708" i="1"/>
  <c r="S765" i="1"/>
  <c r="S823" i="1"/>
  <c r="S1336" i="1"/>
  <c r="S1201" i="1"/>
  <c r="S1195" i="1"/>
  <c r="S2418" i="1"/>
  <c r="S2961" i="1"/>
  <c r="S335" i="1"/>
  <c r="S176" i="1"/>
  <c r="S17" i="1"/>
  <c r="S529" i="1"/>
  <c r="S378" i="1"/>
  <c r="S188" i="1"/>
  <c r="S29" i="1"/>
  <c r="S541" i="1"/>
  <c r="S382" i="1"/>
  <c r="S896" i="1"/>
  <c r="S945" i="1"/>
  <c r="S994" i="1"/>
  <c r="S435" i="1"/>
  <c r="S908" i="1"/>
  <c r="S965" i="1"/>
  <c r="S1023" i="1"/>
  <c r="S1536" i="1"/>
  <c r="S1401" i="1"/>
  <c r="S1263" i="1"/>
  <c r="S1909" i="1"/>
  <c r="S23" i="1"/>
  <c r="S535" i="1"/>
  <c r="S376" i="1"/>
  <c r="S217" i="1"/>
  <c r="S66" i="1"/>
  <c r="S578" i="1"/>
  <c r="S388" i="1"/>
  <c r="S229" i="1"/>
  <c r="S70" i="1"/>
  <c r="S582" i="1"/>
  <c r="S1096" i="1"/>
  <c r="S682" i="1"/>
  <c r="S123" i="1"/>
  <c r="S231" i="1"/>
  <c r="S72" i="1"/>
  <c r="S584" i="1"/>
  <c r="S425" i="1"/>
  <c r="S274" i="1"/>
  <c r="S84" i="1"/>
  <c r="S596" i="1"/>
  <c r="S437" i="1"/>
  <c r="S278" i="1"/>
  <c r="S792" i="1"/>
  <c r="S841" i="1"/>
  <c r="S890" i="1"/>
  <c r="S331" i="1"/>
  <c r="S804" i="1"/>
  <c r="S861" i="1"/>
  <c r="S919" i="1"/>
  <c r="S1432" i="1"/>
  <c r="S1297" i="1"/>
  <c r="S1724" i="1"/>
  <c r="S2099" i="1"/>
  <c r="S2331" i="1"/>
  <c r="S495" i="1"/>
  <c r="S336" i="1"/>
  <c r="S177" i="1"/>
  <c r="S26" i="1"/>
  <c r="S538" i="1"/>
  <c r="S348" i="1"/>
  <c r="S189" i="1"/>
  <c r="S30" i="1"/>
  <c r="S542" i="1"/>
  <c r="S1056" i="1"/>
  <c r="S1105" i="1"/>
  <c r="S83" i="1"/>
  <c r="S595" i="1"/>
  <c r="S1068" i="1"/>
  <c r="S1125" i="1"/>
  <c r="S1184" i="1"/>
  <c r="S1696" i="1"/>
  <c r="S1729" i="1"/>
  <c r="S1873" i="1"/>
  <c r="S2311" i="1"/>
  <c r="S247" i="1"/>
  <c r="S88" i="1"/>
  <c r="S600" i="1"/>
  <c r="S441" i="1"/>
  <c r="S290" i="1"/>
  <c r="S100" i="1"/>
  <c r="S612" i="1"/>
  <c r="S453" i="1"/>
  <c r="S294" i="1"/>
  <c r="S808" i="1"/>
  <c r="S857" i="1"/>
  <c r="S906" i="1"/>
  <c r="S347" i="1"/>
  <c r="S820" i="1"/>
  <c r="S877" i="1"/>
  <c r="S935" i="1"/>
  <c r="S1448" i="1"/>
  <c r="S1313" i="1"/>
  <c r="S1205" i="1"/>
  <c r="S1876" i="1"/>
  <c r="S2499" i="1"/>
  <c r="S511" i="1"/>
  <c r="S352" i="1"/>
  <c r="S193" i="1"/>
  <c r="S42" i="1"/>
  <c r="S554" i="1"/>
  <c r="S364" i="1"/>
  <c r="S205" i="1"/>
  <c r="S46" i="1"/>
  <c r="S558" i="1"/>
  <c r="S1072" i="1"/>
  <c r="S1121" i="1"/>
  <c r="S99" i="1"/>
  <c r="S611" i="1"/>
  <c r="S1084" i="1"/>
  <c r="S687" i="1"/>
  <c r="S1200" i="1"/>
  <c r="S1712" i="1"/>
  <c r="S1178" i="1"/>
  <c r="S2001" i="1"/>
  <c r="S2439" i="1"/>
  <c r="S199" i="1"/>
  <c r="S40" i="1"/>
  <c r="S552" i="1"/>
  <c r="S393" i="1"/>
  <c r="S242" i="1"/>
  <c r="S52" i="1"/>
  <c r="S564" i="1"/>
  <c r="S405" i="1"/>
  <c r="S246" i="1"/>
  <c r="S760" i="1"/>
  <c r="S809" i="1"/>
  <c r="S858" i="1"/>
  <c r="S299" i="1"/>
  <c r="S772" i="1"/>
  <c r="S829" i="1"/>
  <c r="S887" i="1"/>
  <c r="S1400" i="1"/>
  <c r="S1265" i="1"/>
  <c r="S1468" i="1"/>
  <c r="S1843" i="1"/>
  <c r="S2906" i="1"/>
  <c r="S399" i="1"/>
  <c r="S240" i="1"/>
  <c r="S81" i="1"/>
  <c r="S593" i="1"/>
  <c r="S442" i="1"/>
  <c r="S252" i="1"/>
  <c r="S93" i="1"/>
  <c r="S295" i="1"/>
  <c r="S136" i="1"/>
  <c r="S648" i="1"/>
  <c r="S489" i="1"/>
  <c r="S338" i="1"/>
  <c r="S148" i="1"/>
  <c r="S660" i="1"/>
  <c r="S501" i="1"/>
  <c r="S342" i="1"/>
  <c r="S856" i="1"/>
  <c r="S905" i="1"/>
  <c r="S954" i="1"/>
  <c r="S395" i="1"/>
  <c r="S868" i="1"/>
  <c r="S925" i="1"/>
  <c r="S983" i="1"/>
  <c r="S1496" i="1"/>
  <c r="S1361" i="1"/>
  <c r="S1589" i="1"/>
  <c r="S2260" i="1"/>
  <c r="S47" i="1"/>
  <c r="S559" i="1"/>
  <c r="S400" i="1"/>
  <c r="S241" i="1"/>
  <c r="S90" i="1"/>
  <c r="S602" i="1"/>
  <c r="S412" i="1"/>
  <c r="S253" i="1"/>
  <c r="S94" i="1"/>
  <c r="S606" i="1"/>
  <c r="S1120" i="1"/>
  <c r="S706" i="1"/>
  <c r="S147" i="1"/>
  <c r="S659" i="1"/>
  <c r="S677" i="1"/>
  <c r="S735" i="1"/>
  <c r="S1248" i="1"/>
  <c r="S1760" i="1"/>
  <c r="S1562" i="1"/>
  <c r="S2385" i="1"/>
  <c r="S2824" i="1"/>
  <c r="S311" i="1"/>
  <c r="S152" i="1"/>
  <c r="S664" i="1"/>
  <c r="S505" i="1"/>
  <c r="S354" i="1"/>
  <c r="S164" i="1"/>
  <c r="S5" i="1"/>
  <c r="S517" i="1"/>
  <c r="S358" i="1"/>
  <c r="S872" i="1"/>
  <c r="S921" i="1"/>
  <c r="S970" i="1"/>
  <c r="S411" i="1"/>
  <c r="S884" i="1"/>
  <c r="S941" i="1"/>
  <c r="S999" i="1"/>
  <c r="S1512" i="1"/>
  <c r="S1377" i="1"/>
  <c r="S1717" i="1"/>
  <c r="S2388" i="1"/>
  <c r="S63" i="1"/>
  <c r="S575" i="1"/>
  <c r="S416" i="1"/>
  <c r="S257" i="1"/>
  <c r="S106" i="1"/>
  <c r="S618" i="1"/>
  <c r="S428" i="1"/>
  <c r="S269" i="1"/>
  <c r="S110" i="1"/>
  <c r="S622" i="1"/>
  <c r="S673" i="1"/>
  <c r="S722" i="1"/>
  <c r="S163" i="1"/>
  <c r="S675" i="1"/>
  <c r="S693" i="1"/>
  <c r="S751" i="1"/>
  <c r="S1264" i="1"/>
  <c r="S1776" i="1"/>
  <c r="S1690" i="1"/>
  <c r="S1842" i="1"/>
  <c r="S2952" i="1"/>
  <c r="S263" i="1"/>
  <c r="S104" i="1"/>
  <c r="S359" i="1"/>
  <c r="S200" i="1"/>
  <c r="S41" i="1"/>
  <c r="S553" i="1"/>
  <c r="S402" i="1"/>
  <c r="S212" i="1"/>
  <c r="S53" i="1"/>
  <c r="S565" i="1"/>
  <c r="S406" i="1"/>
  <c r="S920" i="1"/>
  <c r="S969" i="1"/>
  <c r="S1018" i="1"/>
  <c r="S459" i="1"/>
  <c r="S932" i="1"/>
  <c r="S989" i="1"/>
  <c r="S1047" i="1"/>
  <c r="S1560" i="1"/>
  <c r="S1425" i="1"/>
  <c r="S1455" i="1"/>
  <c r="S2101" i="1"/>
  <c r="S111" i="1"/>
  <c r="S623" i="1"/>
  <c r="S464" i="1"/>
  <c r="S305" i="1"/>
  <c r="S154" i="1"/>
  <c r="S666" i="1"/>
  <c r="S476" i="1"/>
  <c r="S317" i="1"/>
  <c r="S158" i="1"/>
  <c r="S670" i="1"/>
  <c r="S721" i="1"/>
  <c r="S770" i="1"/>
  <c r="S211" i="1"/>
  <c r="S684" i="1"/>
  <c r="S741" i="1"/>
  <c r="S423" i="1"/>
  <c r="S264" i="1"/>
  <c r="S105" i="1"/>
  <c r="S617" i="1"/>
  <c r="S466" i="1"/>
  <c r="S276" i="1"/>
  <c r="S117" i="1"/>
  <c r="S629" i="1"/>
  <c r="S470" i="1"/>
  <c r="S984" i="1"/>
  <c r="S1033" i="1"/>
  <c r="S1082" i="1"/>
  <c r="S523" i="1"/>
  <c r="S996" i="1"/>
  <c r="S1053" i="1"/>
  <c r="S1111" i="1"/>
  <c r="S1624" i="1"/>
  <c r="S1489" i="1"/>
  <c r="S1968" i="1"/>
  <c r="S830" i="1"/>
  <c r="S175" i="1"/>
  <c r="S16" i="1"/>
  <c r="S528" i="1"/>
  <c r="S369" i="1"/>
  <c r="S218" i="1"/>
  <c r="S28" i="1"/>
  <c r="S540" i="1"/>
  <c r="S381" i="1"/>
  <c r="S222" i="1"/>
  <c r="S736" i="1"/>
  <c r="S785" i="1"/>
  <c r="S834" i="1"/>
  <c r="S275" i="1"/>
  <c r="S748" i="1"/>
  <c r="S805" i="1"/>
  <c r="S863" i="1"/>
  <c r="S1376" i="1"/>
  <c r="S1241" i="1"/>
  <c r="S1276" i="1"/>
  <c r="S1651" i="1"/>
  <c r="S2714" i="1"/>
  <c r="S439" i="1"/>
  <c r="S280" i="1"/>
  <c r="S121" i="1"/>
  <c r="S633" i="1"/>
  <c r="S487" i="1"/>
  <c r="S328" i="1"/>
  <c r="S169" i="1"/>
  <c r="S18" i="1"/>
  <c r="S530" i="1"/>
  <c r="S340" i="1"/>
  <c r="S181" i="1"/>
  <c r="S22" i="1"/>
  <c r="S534" i="1"/>
  <c r="S1048" i="1"/>
  <c r="S1097" i="1"/>
  <c r="S75" i="1"/>
  <c r="S587" i="1"/>
  <c r="S1060" i="1"/>
  <c r="S1117" i="1"/>
  <c r="S1176" i="1"/>
  <c r="S1688" i="1"/>
  <c r="S1665" i="1"/>
  <c r="S1809" i="1"/>
  <c r="S2247" i="1"/>
  <c r="S239" i="1"/>
  <c r="S80" i="1"/>
  <c r="S592" i="1"/>
  <c r="S39" i="1"/>
  <c r="S551" i="1"/>
  <c r="S392" i="1"/>
  <c r="S233" i="1"/>
  <c r="S82" i="1"/>
  <c r="S594" i="1"/>
  <c r="S404" i="1"/>
  <c r="S245" i="1"/>
  <c r="S86" i="1"/>
  <c r="S598" i="1"/>
  <c r="S1112" i="1"/>
  <c r="S698" i="1"/>
  <c r="S139" i="1"/>
  <c r="S651" i="1"/>
  <c r="S1124" i="1"/>
  <c r="S727" i="1"/>
  <c r="S1240" i="1"/>
  <c r="S1752" i="1"/>
  <c r="S1498" i="1"/>
  <c r="S2321" i="1"/>
  <c r="S2760" i="1"/>
  <c r="S303" i="1"/>
  <c r="S144" i="1"/>
  <c r="S656" i="1"/>
  <c r="S497" i="1"/>
  <c r="S346" i="1"/>
  <c r="S156" i="1"/>
  <c r="S668" i="1"/>
  <c r="S509" i="1"/>
  <c r="S350" i="1"/>
  <c r="S864" i="1"/>
  <c r="S913" i="1"/>
  <c r="S962" i="1"/>
  <c r="S403" i="1"/>
  <c r="S876" i="1"/>
  <c r="S933" i="1"/>
  <c r="S103" i="1"/>
  <c r="S615" i="1"/>
  <c r="S456" i="1"/>
  <c r="S297" i="1"/>
  <c r="S146" i="1"/>
  <c r="S658" i="1"/>
  <c r="S468" i="1"/>
  <c r="S309" i="1"/>
  <c r="S150" i="1"/>
  <c r="S662" i="1"/>
  <c r="S713" i="1"/>
  <c r="S762" i="1"/>
  <c r="S203" i="1"/>
  <c r="S676" i="1"/>
  <c r="S733" i="1"/>
  <c r="S791" i="1"/>
  <c r="S1304" i="1"/>
  <c r="S1169" i="1"/>
  <c r="S939" i="1"/>
  <c r="S2162" i="1"/>
  <c r="S2705" i="1"/>
  <c r="S367" i="1"/>
  <c r="S208" i="1"/>
  <c r="S49" i="1"/>
  <c r="S561" i="1"/>
  <c r="S410" i="1"/>
  <c r="S220" i="1"/>
  <c r="S61" i="1"/>
  <c r="S573" i="1"/>
  <c r="S414" i="1"/>
  <c r="S928" i="1"/>
  <c r="S977" i="1"/>
  <c r="S1026" i="1"/>
  <c r="S467" i="1"/>
  <c r="S940" i="1"/>
  <c r="S997" i="1"/>
  <c r="S1055" i="1"/>
  <c r="S1568" i="1"/>
  <c r="S1433" i="1"/>
  <c r="S1519" i="1"/>
  <c r="S2165" i="1"/>
  <c r="S119" i="1"/>
  <c r="S631" i="1"/>
  <c r="S472" i="1"/>
  <c r="S313" i="1"/>
  <c r="S162" i="1"/>
  <c r="S3" i="1"/>
  <c r="S484" i="1"/>
  <c r="S325" i="1"/>
  <c r="S166" i="1"/>
  <c r="S680" i="1"/>
  <c r="S729" i="1"/>
  <c r="S778" i="1"/>
  <c r="S219" i="1"/>
  <c r="S692" i="1"/>
  <c r="S635" i="1"/>
  <c r="S1108" i="1"/>
  <c r="S711" i="1"/>
  <c r="S1224" i="1"/>
  <c r="S1736" i="1"/>
  <c r="S1370" i="1"/>
  <c r="S2193" i="1"/>
  <c r="S2632" i="1"/>
  <c r="S223" i="1"/>
  <c r="S64" i="1"/>
  <c r="S576" i="1"/>
  <c r="S417" i="1"/>
  <c r="S266" i="1"/>
  <c r="S76" i="1"/>
  <c r="S588" i="1"/>
  <c r="S429" i="1"/>
  <c r="S270" i="1"/>
  <c r="S784" i="1"/>
  <c r="S833" i="1"/>
  <c r="S882" i="1"/>
  <c r="S323" i="1"/>
  <c r="S796" i="1"/>
  <c r="S853" i="1"/>
  <c r="S911" i="1"/>
  <c r="S1424" i="1"/>
  <c r="S1289" i="1"/>
  <c r="S1660" i="1"/>
  <c r="S2035" i="1"/>
  <c r="S2243" i="1"/>
  <c r="S1250" i="1"/>
  <c r="S1762" i="1"/>
  <c r="S1203" i="1"/>
  <c r="S1476" i="1"/>
  <c r="S1341" i="1"/>
  <c r="S1207" i="1"/>
  <c r="S1719" i="1"/>
  <c r="S2232" i="1"/>
  <c r="S2073" i="1"/>
  <c r="S1914" i="1"/>
  <c r="S2426" i="1"/>
  <c r="S1851" i="1"/>
  <c r="S2012" i="1"/>
  <c r="S1853" i="1"/>
  <c r="S2365" i="1"/>
  <c r="S1999" i="1"/>
  <c r="S2512" i="1"/>
  <c r="S2457" i="1"/>
  <c r="S2969" i="1"/>
  <c r="S2914" i="1"/>
  <c r="S2683" i="1"/>
  <c r="S1130" i="1"/>
  <c r="S1642" i="1"/>
  <c r="S1083" i="1"/>
  <c r="S1356" i="1"/>
  <c r="S1221" i="1"/>
  <c r="S1733" i="1"/>
  <c r="S1599" i="1"/>
  <c r="S2112" i="1"/>
  <c r="S1953" i="1"/>
  <c r="S1794" i="1"/>
  <c r="S2306" i="1"/>
  <c r="S1731" i="1"/>
  <c r="S1892" i="1"/>
  <c r="S2404" i="1"/>
  <c r="S2245" i="1"/>
  <c r="S1879" i="1"/>
  <c r="S2391" i="1"/>
  <c r="S2904" i="1"/>
  <c r="S2849" i="1"/>
  <c r="S2794" i="1"/>
  <c r="S2523" i="1"/>
  <c r="S1689" i="1"/>
  <c r="S1522" i="1"/>
  <c r="S963" i="1"/>
  <c r="S1236" i="1"/>
  <c r="S1748" i="1"/>
  <c r="S1613" i="1"/>
  <c r="S1479" i="1"/>
  <c r="S1992" i="1"/>
  <c r="S1833" i="1"/>
  <c r="S2345" i="1"/>
  <c r="S2186" i="1"/>
  <c r="S1611" i="1"/>
  <c r="S2123" i="1"/>
  <c r="S2284" i="1"/>
  <c r="S2125" i="1"/>
  <c r="S854" i="1"/>
  <c r="S2271" i="1"/>
  <c r="S2784" i="1"/>
  <c r="S2729" i="1"/>
  <c r="S2674" i="1"/>
  <c r="S2363" i="1"/>
  <c r="S1569" i="1"/>
  <c r="S1402" i="1"/>
  <c r="S843" i="1"/>
  <c r="S1355" i="1"/>
  <c r="S1628" i="1"/>
  <c r="S1493" i="1"/>
  <c r="S1359" i="1"/>
  <c r="S1872" i="1"/>
  <c r="S2384" i="1"/>
  <c r="S2225" i="1"/>
  <c r="S2066" i="1"/>
  <c r="S1491" i="1"/>
  <c r="S2003" i="1"/>
  <c r="S2164" i="1"/>
  <c r="S2005" i="1"/>
  <c r="S734" i="1"/>
  <c r="S2151" i="1"/>
  <c r="S2664" i="1"/>
  <c r="S2609" i="1"/>
  <c r="S2554" i="1"/>
  <c r="S2203" i="1"/>
  <c r="S2612" i="1"/>
  <c r="S1282" i="1"/>
  <c r="S723" i="1"/>
  <c r="S1235" i="1"/>
  <c r="S1508" i="1"/>
  <c r="S1373" i="1"/>
  <c r="S1239" i="1"/>
  <c r="S1751" i="1"/>
  <c r="S2264" i="1"/>
  <c r="S2105" i="1"/>
  <c r="S1946" i="1"/>
  <c r="S1371" i="1"/>
  <c r="S1883" i="1"/>
  <c r="S2044" i="1"/>
  <c r="S1885" i="1"/>
  <c r="S2397" i="1"/>
  <c r="S2031" i="1"/>
  <c r="S2544" i="1"/>
  <c r="S2489" i="1"/>
  <c r="S3001" i="1"/>
  <c r="S2946" i="1"/>
  <c r="S2723" i="1"/>
  <c r="S1162" i="1"/>
  <c r="S1674" i="1"/>
  <c r="S1115" i="1"/>
  <c r="S1388" i="1"/>
  <c r="S1253" i="1"/>
  <c r="S1765" i="1"/>
  <c r="S1631" i="1"/>
  <c r="S2144" i="1"/>
  <c r="S1985" i="1"/>
  <c r="S1826" i="1"/>
  <c r="S2338" i="1"/>
  <c r="S1763" i="1"/>
  <c r="S1924" i="1"/>
  <c r="S2436" i="1"/>
  <c r="S2277" i="1"/>
  <c r="S1911" i="1"/>
  <c r="S2423" i="1"/>
  <c r="S2936" i="1"/>
  <c r="S2881" i="1"/>
  <c r="S2826" i="1"/>
  <c r="S2563" i="1"/>
  <c r="S1721" i="1"/>
  <c r="S1554" i="1"/>
  <c r="S995" i="1"/>
  <c r="S1268" i="1"/>
  <c r="S1133" i="1"/>
  <c r="S1645" i="1"/>
  <c r="S1511" i="1"/>
  <c r="S2024" i="1"/>
  <c r="S1865" i="1"/>
  <c r="S2377" i="1"/>
  <c r="S2218" i="1"/>
  <c r="S1643" i="1"/>
  <c r="S1804" i="1"/>
  <c r="S2316" i="1"/>
  <c r="S2157" i="1"/>
  <c r="S1791" i="1"/>
  <c r="S2303" i="1"/>
  <c r="S2816" i="1"/>
  <c r="S2761" i="1"/>
  <c r="S2706" i="1"/>
  <c r="S2403" i="1"/>
  <c r="S2996" i="1"/>
  <c r="S2941" i="1"/>
  <c r="S1302" i="1"/>
  <c r="S2711" i="1"/>
  <c r="S3248" i="1"/>
  <c r="S3105" i="1"/>
  <c r="S3617" i="1"/>
  <c r="S3466" i="1"/>
  <c r="S3139" i="1"/>
  <c r="S3036" i="1"/>
  <c r="S3548" i="1"/>
  <c r="S3413" i="1"/>
  <c r="S1798" i="1"/>
  <c r="S2999" i="1"/>
  <c r="S3511" i="1"/>
  <c r="S4024" i="1"/>
  <c r="S3865" i="1"/>
  <c r="S3794" i="1"/>
  <c r="S3755" i="1"/>
  <c r="S2556" i="1"/>
  <c r="S2501" i="1"/>
  <c r="S3013" i="1"/>
  <c r="S1374" i="1"/>
  <c r="S2783" i="1"/>
  <c r="S3320" i="1"/>
  <c r="S3177" i="1"/>
  <c r="S3026" i="1"/>
  <c r="S3538" i="1"/>
  <c r="S3211" i="1"/>
  <c r="S3108" i="1"/>
  <c r="S3620" i="1"/>
  <c r="S3485" i="1"/>
  <c r="S1870" i="1"/>
  <c r="S3071" i="1"/>
  <c r="S3583" i="1"/>
  <c r="S4096" i="1"/>
  <c r="S3937" i="1"/>
  <c r="S3882" i="1"/>
  <c r="S3851" i="1"/>
  <c r="S2323" i="1"/>
  <c r="S605" i="1"/>
  <c r="S446" i="1"/>
  <c r="S960" i="1"/>
  <c r="S1009" i="1"/>
  <c r="S1058" i="1"/>
  <c r="S499" i="1"/>
  <c r="S972" i="1"/>
  <c r="S1029" i="1"/>
  <c r="S1087" i="1"/>
  <c r="S1600" i="1"/>
  <c r="S1465" i="1"/>
  <c r="S1775" i="1"/>
  <c r="S2421" i="1"/>
  <c r="S87" i="1"/>
  <c r="S599" i="1"/>
  <c r="S440" i="1"/>
  <c r="S281" i="1"/>
  <c r="S130" i="1"/>
  <c r="S642" i="1"/>
  <c r="S452" i="1"/>
  <c r="S293" i="1"/>
  <c r="S134" i="1"/>
  <c r="S646" i="1"/>
  <c r="S697" i="1"/>
  <c r="S746" i="1"/>
  <c r="S187" i="1"/>
  <c r="S699" i="1"/>
  <c r="S717" i="1"/>
  <c r="S775" i="1"/>
  <c r="S1288" i="1"/>
  <c r="S1153" i="1"/>
  <c r="S811" i="1"/>
  <c r="S2034" i="1"/>
  <c r="S2577" i="1"/>
  <c r="S287" i="1"/>
  <c r="S128" i="1"/>
  <c r="S640" i="1"/>
  <c r="S481" i="1"/>
  <c r="S330" i="1"/>
  <c r="S140" i="1"/>
  <c r="S652" i="1"/>
  <c r="S493" i="1"/>
  <c r="S334" i="1"/>
  <c r="S848" i="1"/>
  <c r="S897" i="1"/>
  <c r="S946" i="1"/>
  <c r="S387" i="1"/>
  <c r="S860" i="1"/>
  <c r="S917" i="1"/>
  <c r="S975" i="1"/>
  <c r="S1488" i="1"/>
  <c r="S1353" i="1"/>
  <c r="S1525" i="1"/>
  <c r="S2196" i="1"/>
  <c r="S2740" i="1"/>
  <c r="S1314" i="1"/>
  <c r="S755" i="1"/>
  <c r="S1267" i="1"/>
  <c r="S1540" i="1"/>
  <c r="S1405" i="1"/>
  <c r="S1271" i="1"/>
  <c r="S1784" i="1"/>
  <c r="S2296" i="1"/>
  <c r="S2137" i="1"/>
  <c r="S1978" i="1"/>
  <c r="S1403" i="1"/>
  <c r="S1915" i="1"/>
  <c r="S2076" i="1"/>
  <c r="S1917" i="1"/>
  <c r="S2429" i="1"/>
  <c r="S2063" i="1"/>
  <c r="S2576" i="1"/>
  <c r="S2521" i="1"/>
  <c r="S2466" i="1"/>
  <c r="S2978" i="1"/>
  <c r="S2763" i="1"/>
  <c r="S1194" i="1"/>
  <c r="S1706" i="1"/>
  <c r="S1147" i="1"/>
  <c r="S1420" i="1"/>
  <c r="S1285" i="1"/>
  <c r="S1151" i="1"/>
  <c r="S1663" i="1"/>
  <c r="S2176" i="1"/>
  <c r="S2017" i="1"/>
  <c r="S1858" i="1"/>
  <c r="S2370" i="1"/>
  <c r="S1795" i="1"/>
  <c r="S1956" i="1"/>
  <c r="S1797" i="1"/>
  <c r="S2309" i="1"/>
  <c r="S1943" i="1"/>
  <c r="S2456" i="1"/>
  <c r="S2968" i="1"/>
  <c r="S2913" i="1"/>
  <c r="S2858" i="1"/>
  <c r="S2603" i="1"/>
  <c r="S1753" i="1"/>
  <c r="S1586" i="1"/>
  <c r="S1027" i="1"/>
  <c r="S1300" i="1"/>
  <c r="S1165" i="1"/>
  <c r="S1677" i="1"/>
  <c r="S1543" i="1"/>
  <c r="S2056" i="1"/>
  <c r="S1897" i="1"/>
  <c r="S2409" i="1"/>
  <c r="S2250" i="1"/>
  <c r="S1675" i="1"/>
  <c r="S1836" i="1"/>
  <c r="S2348" i="1"/>
  <c r="S2189" i="1"/>
  <c r="S1823" i="1"/>
  <c r="S2335" i="1"/>
  <c r="S2848" i="1"/>
  <c r="S2793" i="1"/>
  <c r="S2738" i="1"/>
  <c r="S2443" i="1"/>
  <c r="S1633" i="1"/>
  <c r="S1466" i="1"/>
  <c r="S907" i="1"/>
  <c r="S1180" i="1"/>
  <c r="S1692" i="1"/>
  <c r="S1557" i="1"/>
  <c r="S1423" i="1"/>
  <c r="S1936" i="1"/>
  <c r="S2448" i="1"/>
  <c r="S2289" i="1"/>
  <c r="S2130" i="1"/>
  <c r="S1555" i="1"/>
  <c r="S2067" i="1"/>
  <c r="S2228" i="1"/>
  <c r="S2069" i="1"/>
  <c r="S798" i="1"/>
  <c r="S2215" i="1"/>
  <c r="S2728" i="1"/>
  <c r="S2673" i="1"/>
  <c r="S2618" i="1"/>
  <c r="S2283" i="1"/>
  <c r="S2868" i="1"/>
  <c r="S1346" i="1"/>
  <c r="S787" i="1"/>
  <c r="S1299" i="1"/>
  <c r="S1572" i="1"/>
  <c r="S1437" i="1"/>
  <c r="S1303" i="1"/>
  <c r="S1816" i="1"/>
  <c r="S2328" i="1"/>
  <c r="S2169" i="1"/>
  <c r="S2010" i="1"/>
  <c r="S1435" i="1"/>
  <c r="S1947" i="1"/>
  <c r="S2108" i="1"/>
  <c r="S1949" i="1"/>
  <c r="S678" i="1"/>
  <c r="S2095" i="1"/>
  <c r="S2608" i="1"/>
  <c r="S2553" i="1"/>
  <c r="S2498" i="1"/>
  <c r="S3018" i="1"/>
  <c r="S2811" i="1"/>
  <c r="S1226" i="1"/>
  <c r="S1738" i="1"/>
  <c r="S1179" i="1"/>
  <c r="S1452" i="1"/>
  <c r="S1317" i="1"/>
  <c r="S1183" i="1"/>
  <c r="S1695" i="1"/>
  <c r="S2208" i="1"/>
  <c r="S2049" i="1"/>
  <c r="S1890" i="1"/>
  <c r="S2402" i="1"/>
  <c r="S1827" i="1"/>
  <c r="S1988" i="1"/>
  <c r="S1829" i="1"/>
  <c r="S2341" i="1"/>
  <c r="S1975" i="1"/>
  <c r="S2488" i="1"/>
  <c r="S3000" i="1"/>
  <c r="S2945" i="1"/>
  <c r="S2890" i="1"/>
  <c r="S2651" i="1"/>
  <c r="S1106" i="1"/>
  <c r="S1618" i="1"/>
  <c r="S1059" i="1"/>
  <c r="S1332" i="1"/>
  <c r="S1197" i="1"/>
  <c r="S1709" i="1"/>
  <c r="S1575" i="1"/>
  <c r="S2088" i="1"/>
  <c r="S1929" i="1"/>
  <c r="S2441" i="1"/>
  <c r="S2282" i="1"/>
  <c r="S1707" i="1"/>
  <c r="S1868" i="1"/>
  <c r="S2380" i="1"/>
  <c r="S2221" i="1"/>
  <c r="S1855" i="1"/>
  <c r="S2367" i="1"/>
  <c r="S2880" i="1"/>
  <c r="S2825" i="1"/>
  <c r="S2770" i="1"/>
  <c r="S2491" i="1"/>
  <c r="S2493" i="1"/>
  <c r="S3005" i="1"/>
  <c r="S1366" i="1"/>
  <c r="S2775" i="1"/>
  <c r="S3312" i="1"/>
  <c r="S616" i="1"/>
  <c r="S457" i="1"/>
  <c r="S306" i="1"/>
  <c r="S116" i="1"/>
  <c r="S628" i="1"/>
  <c r="S469" i="1"/>
  <c r="S310" i="1"/>
  <c r="S824" i="1"/>
  <c r="S873" i="1"/>
  <c r="S922" i="1"/>
  <c r="S363" i="1"/>
  <c r="S836" i="1"/>
  <c r="S893" i="1"/>
  <c r="S951" i="1"/>
  <c r="S1464" i="1"/>
  <c r="S1329" i="1"/>
  <c r="S1333" i="1"/>
  <c r="S2004" i="1"/>
  <c r="S2667" i="1"/>
  <c r="S463" i="1"/>
  <c r="S304" i="1"/>
  <c r="S145" i="1"/>
  <c r="S657" i="1"/>
  <c r="S506" i="1"/>
  <c r="S316" i="1"/>
  <c r="S157" i="1"/>
  <c r="S669" i="1"/>
  <c r="S510" i="1"/>
  <c r="S1024" i="1"/>
  <c r="S1073" i="1"/>
  <c r="S51" i="1"/>
  <c r="S563" i="1"/>
  <c r="S1036" i="1"/>
  <c r="S1093" i="1"/>
  <c r="S1152" i="1"/>
  <c r="S1664" i="1"/>
  <c r="S1529" i="1"/>
  <c r="S2288" i="1"/>
  <c r="S2055" i="1"/>
  <c r="S151" i="1"/>
  <c r="S663" i="1"/>
  <c r="S504" i="1"/>
  <c r="S345" i="1"/>
  <c r="S194" i="1"/>
  <c r="S4" i="1"/>
  <c r="S516" i="1"/>
  <c r="S357" i="1"/>
  <c r="S198" i="1"/>
  <c r="S712" i="1"/>
  <c r="S761" i="1"/>
  <c r="S810" i="1"/>
  <c r="S251" i="1"/>
  <c r="S724" i="1"/>
  <c r="S781" i="1"/>
  <c r="S839" i="1"/>
  <c r="S1352" i="1"/>
  <c r="S1217" i="1"/>
  <c r="S1323" i="1"/>
  <c r="S1459" i="1"/>
  <c r="S2522" i="1"/>
  <c r="S351" i="1"/>
  <c r="S192" i="1"/>
  <c r="S33" i="1"/>
  <c r="S545" i="1"/>
  <c r="S394" i="1"/>
  <c r="S204" i="1"/>
  <c r="S45" i="1"/>
  <c r="S557" i="1"/>
  <c r="S398" i="1"/>
  <c r="S912" i="1"/>
  <c r="S961" i="1"/>
  <c r="S1010" i="1"/>
  <c r="S451" i="1"/>
  <c r="S924" i="1"/>
  <c r="S981" i="1"/>
  <c r="S1039" i="1"/>
  <c r="S1552" i="1"/>
  <c r="S1417" i="1"/>
  <c r="S1391" i="1"/>
  <c r="S2037" i="1"/>
  <c r="S1545" i="1"/>
  <c r="S1378" i="1"/>
  <c r="S819" i="1"/>
  <c r="S1331" i="1"/>
  <c r="S1604" i="1"/>
  <c r="S1469" i="1"/>
  <c r="S1335" i="1"/>
  <c r="S1848" i="1"/>
  <c r="S2360" i="1"/>
  <c r="S2201" i="1"/>
  <c r="S2042" i="1"/>
  <c r="S1467" i="1"/>
  <c r="S1979" i="1"/>
  <c r="S2140" i="1"/>
  <c r="S1981" i="1"/>
  <c r="S710" i="1"/>
  <c r="S2127" i="1"/>
  <c r="S2640" i="1"/>
  <c r="S2585" i="1"/>
  <c r="S2530" i="1"/>
  <c r="S2171" i="1"/>
  <c r="S2516" i="1"/>
  <c r="S1258" i="1"/>
  <c r="S1770" i="1"/>
  <c r="S1211" i="1"/>
  <c r="S1484" i="1"/>
  <c r="S1349" i="1"/>
  <c r="S1215" i="1"/>
  <c r="S1727" i="1"/>
  <c r="S2240" i="1"/>
  <c r="S2081" i="1"/>
  <c r="S1922" i="1"/>
  <c r="S2434" i="1"/>
  <c r="S1859" i="1"/>
  <c r="S2020" i="1"/>
  <c r="S1861" i="1"/>
  <c r="S2373" i="1"/>
  <c r="S2007" i="1"/>
  <c r="S2520" i="1"/>
  <c r="S2465" i="1"/>
  <c r="S2977" i="1"/>
  <c r="S2922" i="1"/>
  <c r="S2691" i="1"/>
  <c r="S1138" i="1"/>
  <c r="S1650" i="1"/>
  <c r="S1091" i="1"/>
  <c r="S1364" i="1"/>
  <c r="S1229" i="1"/>
  <c r="S1741" i="1"/>
  <c r="S1607" i="1"/>
  <c r="S2120" i="1"/>
  <c r="S1961" i="1"/>
  <c r="S1802" i="1"/>
  <c r="S2314" i="1"/>
  <c r="S1739" i="1"/>
  <c r="S1900" i="1"/>
  <c r="S2412" i="1"/>
  <c r="S2253" i="1"/>
  <c r="S1887" i="1"/>
  <c r="S2399" i="1"/>
  <c r="S2912" i="1"/>
  <c r="S2857" i="1"/>
  <c r="S2802" i="1"/>
  <c r="S2531" i="1"/>
  <c r="S1697" i="1"/>
  <c r="S1530" i="1"/>
  <c r="S971" i="1"/>
  <c r="S1244" i="1"/>
  <c r="S1756" i="1"/>
  <c r="S1621" i="1"/>
  <c r="S1487" i="1"/>
  <c r="S2000" i="1"/>
  <c r="S1841" i="1"/>
  <c r="S2353" i="1"/>
  <c r="S2194" i="1"/>
  <c r="S1619" i="1"/>
  <c r="S1780" i="1"/>
  <c r="S2292" i="1"/>
  <c r="S2133" i="1"/>
  <c r="S862" i="1"/>
  <c r="S2279" i="1"/>
  <c r="S2792" i="1"/>
  <c r="S2737" i="1"/>
  <c r="S2682" i="1"/>
  <c r="S2371" i="1"/>
  <c r="S1577" i="1"/>
  <c r="S1410" i="1"/>
  <c r="S851" i="1"/>
  <c r="S1363" i="1"/>
  <c r="S1636" i="1"/>
  <c r="S1501" i="1"/>
  <c r="S1367" i="1"/>
  <c r="S1880" i="1"/>
  <c r="S2392" i="1"/>
  <c r="S2233" i="1"/>
  <c r="S2074" i="1"/>
  <c r="S1499" i="1"/>
  <c r="S2011" i="1"/>
  <c r="S2172" i="1"/>
  <c r="S2013" i="1"/>
  <c r="S742" i="1"/>
  <c r="S2159" i="1"/>
  <c r="S2672" i="1"/>
  <c r="S2617" i="1"/>
  <c r="S2562" i="1"/>
  <c r="S2211" i="1"/>
  <c r="S2644" i="1"/>
  <c r="S1290" i="1"/>
  <c r="S731" i="1"/>
  <c r="S1243" i="1"/>
  <c r="S1516" i="1"/>
  <c r="S1381" i="1"/>
  <c r="S1247" i="1"/>
  <c r="S1759" i="1"/>
  <c r="S2272" i="1"/>
  <c r="S2113" i="1"/>
  <c r="S1954" i="1"/>
  <c r="S1379" i="1"/>
  <c r="S1891" i="1"/>
  <c r="S2052" i="1"/>
  <c r="S749" i="1"/>
  <c r="S807" i="1"/>
  <c r="S1320" i="1"/>
  <c r="S1185" i="1"/>
  <c r="S1067" i="1"/>
  <c r="S2290" i="1"/>
  <c r="S2833" i="1"/>
  <c r="S383" i="1"/>
  <c r="S224" i="1"/>
  <c r="S65" i="1"/>
  <c r="S577" i="1"/>
  <c r="S426" i="1"/>
  <c r="S236" i="1"/>
  <c r="S77" i="1"/>
  <c r="S589" i="1"/>
  <c r="S430" i="1"/>
  <c r="S944" i="1"/>
  <c r="S993" i="1"/>
  <c r="S1042" i="1"/>
  <c r="S483" i="1"/>
  <c r="S956" i="1"/>
  <c r="S1013" i="1"/>
  <c r="S1071" i="1"/>
  <c r="S1584" i="1"/>
  <c r="S1449" i="1"/>
  <c r="S1647" i="1"/>
  <c r="S2293" i="1"/>
  <c r="S71" i="1"/>
  <c r="S583" i="1"/>
  <c r="S424" i="1"/>
  <c r="S265" i="1"/>
  <c r="S114" i="1"/>
  <c r="S626" i="1"/>
  <c r="S436" i="1"/>
  <c r="S277" i="1"/>
  <c r="S118" i="1"/>
  <c r="S630" i="1"/>
  <c r="S681" i="1"/>
  <c r="S730" i="1"/>
  <c r="S171" i="1"/>
  <c r="S683" i="1"/>
  <c r="S701" i="1"/>
  <c r="S759" i="1"/>
  <c r="S1272" i="1"/>
  <c r="S1137" i="1"/>
  <c r="S1754" i="1"/>
  <c r="S1906" i="1"/>
  <c r="S3016" i="1"/>
  <c r="S271" i="1"/>
  <c r="S112" i="1"/>
  <c r="S624" i="1"/>
  <c r="S465" i="1"/>
  <c r="S314" i="1"/>
  <c r="S124" i="1"/>
  <c r="S636" i="1"/>
  <c r="S477" i="1"/>
  <c r="S318" i="1"/>
  <c r="S832" i="1"/>
  <c r="S881" i="1"/>
  <c r="S930" i="1"/>
  <c r="S371" i="1"/>
  <c r="S844" i="1"/>
  <c r="S901" i="1"/>
  <c r="S959" i="1"/>
  <c r="S1472" i="1"/>
  <c r="S1337" i="1"/>
  <c r="S1397" i="1"/>
  <c r="S2068" i="1"/>
  <c r="S2755" i="1"/>
  <c r="S471" i="1"/>
  <c r="S312" i="1"/>
  <c r="S153" i="1"/>
  <c r="S665" i="1"/>
  <c r="S514" i="1"/>
  <c r="S324" i="1"/>
  <c r="S165" i="1"/>
  <c r="S6" i="1"/>
  <c r="S518" i="1"/>
  <c r="S1032" i="1"/>
  <c r="S1081" i="1"/>
  <c r="S59" i="1"/>
  <c r="S571" i="1"/>
  <c r="S1044" i="1"/>
  <c r="S1101" i="1"/>
  <c r="S1160" i="1"/>
  <c r="S1672" i="1"/>
  <c r="S1537" i="1"/>
  <c r="S2352" i="1"/>
  <c r="S2119" i="1"/>
  <c r="S159" i="1"/>
  <c r="S671" i="1"/>
  <c r="S512" i="1"/>
  <c r="S353" i="1"/>
  <c r="S202" i="1"/>
  <c r="S12" i="1"/>
  <c r="S524" i="1"/>
  <c r="S365" i="1"/>
  <c r="S206" i="1"/>
  <c r="S720" i="1"/>
  <c r="S769" i="1"/>
  <c r="S818" i="1"/>
  <c r="S259" i="1"/>
  <c r="S732" i="1"/>
  <c r="S789" i="1"/>
  <c r="S847" i="1"/>
  <c r="S1360" i="1"/>
  <c r="S1225" i="1"/>
  <c r="S1148" i="1"/>
  <c r="S1523" i="1"/>
  <c r="S2586" i="1"/>
  <c r="S1186" i="1"/>
  <c r="S1698" i="1"/>
  <c r="S1139" i="1"/>
  <c r="S1412" i="1"/>
  <c r="S1277" i="1"/>
  <c r="S1143" i="1"/>
  <c r="S1655" i="1"/>
  <c r="S2168" i="1"/>
  <c r="S2009" i="1"/>
  <c r="S1850" i="1"/>
  <c r="S2362" i="1"/>
  <c r="S1787" i="1"/>
  <c r="S1948" i="1"/>
  <c r="S1789" i="1"/>
  <c r="S2301" i="1"/>
  <c r="S1935" i="1"/>
  <c r="S2447" i="1"/>
  <c r="S2960" i="1"/>
  <c r="S2905" i="1"/>
  <c r="S2850" i="1"/>
  <c r="S2595" i="1"/>
  <c r="S1745" i="1"/>
  <c r="S1578" i="1"/>
  <c r="S1019" i="1"/>
  <c r="S1292" i="1"/>
  <c r="S1157" i="1"/>
  <c r="S1669" i="1"/>
  <c r="S1535" i="1"/>
  <c r="S2048" i="1"/>
  <c r="S1889" i="1"/>
  <c r="S2401" i="1"/>
  <c r="S2242" i="1"/>
  <c r="S1667" i="1"/>
  <c r="S1828" i="1"/>
  <c r="S2340" i="1"/>
  <c r="S2181" i="1"/>
  <c r="S1815" i="1"/>
  <c r="S2327" i="1"/>
  <c r="S2840" i="1"/>
  <c r="S2785" i="1"/>
  <c r="S2730" i="1"/>
  <c r="S2435" i="1"/>
  <c r="S1625" i="1"/>
  <c r="S1458" i="1"/>
  <c r="S899" i="1"/>
  <c r="S1172" i="1"/>
  <c r="S1684" i="1"/>
  <c r="S1549" i="1"/>
  <c r="S1415" i="1"/>
  <c r="S1928" i="1"/>
  <c r="S2440" i="1"/>
  <c r="S2281" i="1"/>
  <c r="S2122" i="1"/>
  <c r="S1547" i="1"/>
  <c r="S2059" i="1"/>
  <c r="S2220" i="1"/>
  <c r="S2061" i="1"/>
  <c r="S790" i="1"/>
  <c r="S2207" i="1"/>
  <c r="S2720" i="1"/>
  <c r="S2665" i="1"/>
  <c r="S2610" i="1"/>
  <c r="S2275" i="1"/>
  <c r="S2836" i="1"/>
  <c r="S1338" i="1"/>
  <c r="S779" i="1"/>
  <c r="S1291" i="1"/>
  <c r="S1564" i="1"/>
  <c r="S1429" i="1"/>
  <c r="S1295" i="1"/>
  <c r="S1808" i="1"/>
  <c r="S2320" i="1"/>
  <c r="S2161" i="1"/>
  <c r="S2002" i="1"/>
  <c r="S1427" i="1"/>
  <c r="S1939" i="1"/>
  <c r="S2100" i="1"/>
  <c r="S1941" i="1"/>
  <c r="S2453" i="1"/>
  <c r="S2087" i="1"/>
  <c r="S2600" i="1"/>
  <c r="S2545" i="1"/>
  <c r="S2490" i="1"/>
  <c r="S3010" i="1"/>
  <c r="S2795" i="1"/>
  <c r="S1218" i="1"/>
  <c r="S1730" i="1"/>
  <c r="S1171" i="1"/>
  <c r="S1444" i="1"/>
  <c r="S1309" i="1"/>
  <c r="S1175" i="1"/>
  <c r="S1687" i="1"/>
  <c r="S2200" i="1"/>
  <c r="S2041" i="1"/>
  <c r="S1882" i="1"/>
  <c r="S2394" i="1"/>
  <c r="S1819" i="1"/>
  <c r="S1980" i="1"/>
  <c r="S1821" i="1"/>
  <c r="S2333" i="1"/>
  <c r="S1967" i="1"/>
  <c r="S2480" i="1"/>
  <c r="S2992" i="1"/>
  <c r="S2937" i="1"/>
  <c r="S2882" i="1"/>
  <c r="S2635" i="1"/>
  <c r="S1777" i="1"/>
  <c r="S1610" i="1"/>
  <c r="S1051" i="1"/>
  <c r="S1324" i="1"/>
  <c r="S1189" i="1"/>
  <c r="S1701" i="1"/>
  <c r="S1567" i="1"/>
  <c r="S2080" i="1"/>
  <c r="S1921" i="1"/>
  <c r="S2433" i="1"/>
  <c r="S2274" i="1"/>
  <c r="S1699" i="1"/>
  <c r="S1860" i="1"/>
  <c r="S2372" i="1"/>
  <c r="S2213" i="1"/>
  <c r="S1847" i="1"/>
  <c r="S2359" i="1"/>
  <c r="S2872" i="1"/>
  <c r="S2817" i="1"/>
  <c r="S2762" i="1"/>
  <c r="S2475" i="1"/>
  <c r="S1657" i="1"/>
  <c r="S1490" i="1"/>
  <c r="S931" i="1"/>
  <c r="S1204" i="1"/>
  <c r="S1716" i="1"/>
  <c r="S1581" i="1"/>
  <c r="S1447" i="1"/>
  <c r="S1960" i="1"/>
  <c r="S1801" i="1"/>
  <c r="S2313" i="1"/>
  <c r="S2154" i="1"/>
  <c r="S1579" i="1"/>
  <c r="S2091" i="1"/>
  <c r="S2252" i="1"/>
  <c r="S2093" i="1"/>
  <c r="S822" i="1"/>
  <c r="S2239" i="1"/>
  <c r="S2752" i="1"/>
  <c r="S2697" i="1"/>
  <c r="S2642" i="1"/>
  <c r="S2315" i="1"/>
  <c r="S1893" i="1"/>
  <c r="S2405" i="1"/>
  <c r="S2039" i="1"/>
  <c r="S2552" i="1"/>
  <c r="S2497" i="1"/>
  <c r="S3009" i="1"/>
  <c r="S2954" i="1"/>
  <c r="S2731" i="1"/>
  <c r="S1170" i="1"/>
  <c r="S1682" i="1"/>
  <c r="S1123" i="1"/>
  <c r="S1396" i="1"/>
  <c r="S1261" i="1"/>
  <c r="S1773" i="1"/>
  <c r="S1639" i="1"/>
  <c r="S2152" i="1"/>
  <c r="S1993" i="1"/>
  <c r="S1834" i="1"/>
  <c r="S2346" i="1"/>
  <c r="S1771" i="1"/>
  <c r="S1932" i="1"/>
  <c r="S2444" i="1"/>
  <c r="S2285" i="1"/>
  <c r="S1919" i="1"/>
  <c r="S2431" i="1"/>
  <c r="S2944" i="1"/>
  <c r="S2889" i="1"/>
  <c r="S2834" i="1"/>
  <c r="S2571" i="1"/>
  <c r="S2557" i="1"/>
  <c r="S918" i="1"/>
  <c r="S1430" i="1"/>
  <c r="S2839" i="1"/>
  <c r="S3376" i="1"/>
  <c r="S3233" i="1"/>
  <c r="S3082" i="1"/>
  <c r="S3594" i="1"/>
  <c r="S3267" i="1"/>
  <c r="S3164" i="1"/>
  <c r="S3029" i="1"/>
  <c r="S3541" i="1"/>
  <c r="S1926" i="1"/>
  <c r="S3127" i="1"/>
  <c r="S3639" i="1"/>
  <c r="S4152" i="1"/>
  <c r="S3993" i="1"/>
  <c r="S3962" i="1"/>
  <c r="S3923" i="1"/>
  <c r="S2684" i="1"/>
  <c r="S2629" i="1"/>
  <c r="S990" i="1"/>
  <c r="S1502" i="1"/>
  <c r="S2911" i="1"/>
  <c r="S3448" i="1"/>
  <c r="S3305" i="1"/>
  <c r="S3154" i="1"/>
  <c r="S3666" i="1"/>
  <c r="S3339" i="1"/>
  <c r="S3236" i="1"/>
  <c r="S3101" i="1"/>
  <c r="S3613" i="1"/>
  <c r="S1998" i="1"/>
  <c r="S3199" i="1"/>
  <c r="S3712" i="1"/>
  <c r="S4224" i="1"/>
  <c r="S4065" i="1"/>
  <c r="S4058" i="1"/>
  <c r="S4019" i="1"/>
  <c r="S2451" i="1"/>
  <c r="S2564" i="1"/>
  <c r="S2509" i="1"/>
  <c r="S3021" i="1"/>
  <c r="S1382" i="1"/>
  <c r="S2791" i="1"/>
  <c r="S3328" i="1"/>
  <c r="S3185" i="1"/>
  <c r="S3034" i="1"/>
  <c r="S3546" i="1"/>
  <c r="S3219" i="1"/>
  <c r="S3116" i="1"/>
  <c r="S3628" i="1"/>
  <c r="S3493" i="1"/>
  <c r="S1878" i="1"/>
  <c r="S3079" i="1"/>
  <c r="S3591" i="1"/>
  <c r="S4104" i="1"/>
  <c r="S3945" i="1"/>
  <c r="S3898" i="1"/>
  <c r="S3859" i="1"/>
  <c r="S2636" i="1"/>
  <c r="S2581" i="1"/>
  <c r="S942" i="1"/>
  <c r="S1454" i="1"/>
  <c r="S2863" i="1"/>
  <c r="S3400" i="1"/>
  <c r="S3257" i="1"/>
  <c r="S3106" i="1"/>
  <c r="S3618" i="1"/>
  <c r="S3291" i="1"/>
  <c r="S3188" i="1"/>
  <c r="S3053" i="1"/>
  <c r="S3565" i="1"/>
  <c r="S1950" i="1"/>
  <c r="S3151" i="1"/>
  <c r="S3663" i="1"/>
  <c r="S4176" i="1"/>
  <c r="S4017" i="1"/>
  <c r="S3994" i="1"/>
  <c r="S3955" i="1"/>
  <c r="S2717" i="1"/>
  <c r="S1078" i="1"/>
  <c r="S2487" i="1"/>
  <c r="S3024" i="1"/>
  <c r="S3536" i="1"/>
  <c r="S3393" i="1"/>
  <c r="S3242" i="1"/>
  <c r="S2915" i="1"/>
  <c r="S3427" i="1"/>
  <c r="S3324" i="1"/>
  <c r="S3189" i="1"/>
  <c r="S1574" i="1"/>
  <c r="S2086" i="1"/>
  <c r="S3287" i="1"/>
  <c r="S3800" i="1"/>
  <c r="S4312" i="1"/>
  <c r="S4161" i="1"/>
  <c r="S4178" i="1"/>
  <c r="S4139" i="1"/>
  <c r="S2844" i="1"/>
  <c r="S2789" i="1"/>
  <c r="S1150" i="1"/>
  <c r="S2559" i="1"/>
  <c r="S3096" i="1"/>
  <c r="S3608" i="1"/>
  <c r="S3465" i="1"/>
  <c r="S3314" i="1"/>
  <c r="S2987" i="1"/>
  <c r="S3499" i="1"/>
  <c r="S3396" i="1"/>
  <c r="S3261" i="1"/>
  <c r="S1646" i="1"/>
  <c r="S2158" i="1"/>
  <c r="S3359" i="1"/>
  <c r="S3872" i="1"/>
  <c r="S3713" i="1"/>
  <c r="S4257" i="1"/>
  <c r="S4266" i="1"/>
  <c r="S4235" i="1"/>
  <c r="S2547" i="1"/>
  <c r="S2660" i="1"/>
  <c r="S2605" i="1"/>
  <c r="S966" i="1"/>
  <c r="S1478" i="1"/>
  <c r="S2887" i="1"/>
  <c r="S3424" i="1"/>
  <c r="S3281" i="1"/>
  <c r="S3130" i="1"/>
  <c r="S3642" i="1"/>
  <c r="S3315" i="1"/>
  <c r="S3212" i="1"/>
  <c r="S3077" i="1"/>
  <c r="S3589" i="1"/>
  <c r="S1974" i="1"/>
  <c r="S3175" i="1"/>
  <c r="S3688" i="1"/>
  <c r="S4200" i="1"/>
  <c r="S4041" i="1"/>
  <c r="S4026" i="1"/>
  <c r="S3987" i="1"/>
  <c r="S2732" i="1"/>
  <c r="S2677" i="1"/>
  <c r="S1038" i="1"/>
  <c r="S1550" i="1"/>
  <c r="S2959" i="1"/>
  <c r="S3496" i="1"/>
  <c r="S3353" i="1"/>
  <c r="S3202" i="1"/>
  <c r="S2875" i="1"/>
  <c r="S3387" i="1"/>
  <c r="S3284" i="1"/>
  <c r="S3149" i="1"/>
  <c r="S3661" i="1"/>
  <c r="S2046" i="1"/>
  <c r="S3247" i="1"/>
  <c r="S3760" i="1"/>
  <c r="S4272" i="1"/>
  <c r="S4113" i="1"/>
  <c r="S4122" i="1"/>
  <c r="S4083" i="1"/>
  <c r="S3916" i="1"/>
  <c r="S3757" i="1"/>
  <c r="S4269" i="1"/>
  <c r="S2734" i="1"/>
  <c r="S3895" i="1"/>
  <c r="S4424" i="1"/>
  <c r="S4936" i="1"/>
  <c r="S4753" i="1"/>
  <c r="S4586" i="1"/>
  <c r="S4427" i="1"/>
  <c r="S4939" i="1"/>
  <c r="S4764" i="1"/>
  <c r="S4597" i="1"/>
  <c r="S4399" i="1"/>
  <c r="S4911" i="1"/>
  <c r="S4462" i="1"/>
  <c r="S3358" i="1"/>
  <c r="S4110" i="1"/>
  <c r="S4329" i="1"/>
  <c r="S4170" i="1"/>
  <c r="S3963" i="1"/>
  <c r="S3796" i="1"/>
  <c r="S4308" i="1"/>
  <c r="S4149" i="1"/>
  <c r="S2614" i="1"/>
  <c r="S3775" i="1"/>
  <c r="S4287" i="1"/>
  <c r="S4816" i="1"/>
  <c r="S4633" i="1"/>
  <c r="S4466" i="1"/>
  <c r="S4978" i="1"/>
  <c r="S4819" i="1"/>
  <c r="S4644" i="1"/>
  <c r="S4477" i="1"/>
  <c r="S4989" i="1"/>
  <c r="S4791" i="1"/>
  <c r="S3502" i="1"/>
  <c r="S4150" i="1"/>
  <c r="S4782" i="1"/>
  <c r="S3676" i="1"/>
  <c r="S4188" i="1"/>
  <c r="S4029" i="1"/>
  <c r="S2494" i="1"/>
  <c r="S3006" i="1"/>
  <c r="S4167" i="1"/>
  <c r="S4696" i="1"/>
  <c r="S4513" i="1"/>
  <c r="S3198" i="1"/>
  <c r="S4858" i="1"/>
  <c r="S4699" i="1"/>
  <c r="S4524" i="1"/>
  <c r="S4357" i="1"/>
  <c r="S4869" i="1"/>
  <c r="S4671" i="1"/>
  <c r="S4294" i="1"/>
  <c r="S4902" i="1"/>
  <c r="S3806" i="1"/>
  <c r="S4662" i="1"/>
  <c r="S4068" i="1"/>
  <c r="S3909" i="1"/>
  <c r="S2374" i="1"/>
  <c r="S2886" i="1"/>
  <c r="S4047" i="1"/>
  <c r="S4576" i="1"/>
  <c r="S4393" i="1"/>
  <c r="S4905" i="1"/>
  <c r="S4738" i="1"/>
  <c r="S4579" i="1"/>
  <c r="S4404" i="1"/>
  <c r="S4916" i="1"/>
  <c r="S4749" i="1"/>
  <c r="S4551" i="1"/>
  <c r="S3366" i="1"/>
  <c r="S3934" i="1"/>
  <c r="S4558" i="1"/>
  <c r="S3654" i="1"/>
  <c r="S3884" i="1"/>
  <c r="S3725" i="1"/>
  <c r="S4237" i="1"/>
  <c r="S2702" i="1"/>
  <c r="S3863" i="1"/>
  <c r="S4392" i="1"/>
  <c r="S4904" i="1"/>
  <c r="S4721" i="1"/>
  <c r="S4554" i="1"/>
  <c r="S4395" i="1"/>
  <c r="S4907" i="1"/>
  <c r="S4732" i="1"/>
  <c r="S4565" i="1"/>
  <c r="S4367" i="1"/>
  <c r="S4879" i="1"/>
  <c r="S4198" i="1"/>
  <c r="S4870" i="1"/>
  <c r="S3838" i="1"/>
  <c r="S3764" i="1"/>
  <c r="S4276" i="1"/>
  <c r="S4117" i="1"/>
  <c r="S2582" i="1"/>
  <c r="S3743" i="1"/>
  <c r="S4255" i="1"/>
  <c r="S4784" i="1"/>
  <c r="S4601" i="1"/>
  <c r="S4434" i="1"/>
  <c r="S4946" i="1"/>
  <c r="S4787" i="1"/>
  <c r="S4612" i="1"/>
  <c r="S4445" i="1"/>
  <c r="S4957" i="1"/>
  <c r="S4759" i="1"/>
  <c r="S4942" i="1"/>
  <c r="S3910" i="1"/>
  <c r="S4518" i="1"/>
  <c r="S4177" i="1"/>
  <c r="S4018" i="1"/>
  <c r="S3811" i="1"/>
  <c r="S4323" i="1"/>
  <c r="S4156" i="1"/>
  <c r="S3997" i="1"/>
  <c r="S2462" i="1"/>
  <c r="S2974" i="1"/>
  <c r="S4135" i="1"/>
  <c r="S4664" i="1"/>
  <c r="S4481" i="1"/>
  <c r="S4993" i="1"/>
  <c r="S4826" i="1"/>
  <c r="S4667" i="1"/>
  <c r="S4492" i="1"/>
  <c r="S3038" i="1"/>
  <c r="S4837" i="1"/>
  <c r="S4639" i="1"/>
  <c r="S4022" i="1"/>
  <c r="S4638" i="1"/>
  <c r="S3550" i="1"/>
  <c r="S4382" i="1"/>
  <c r="S4036" i="1"/>
  <c r="S3877" i="1"/>
  <c r="S2342" i="1"/>
  <c r="S2854" i="1"/>
  <c r="S4015" i="1"/>
  <c r="S4544" i="1"/>
  <c r="S4361" i="1"/>
  <c r="S4873" i="1"/>
  <c r="S4706" i="1"/>
  <c r="S4547" i="1"/>
  <c r="S4372" i="1"/>
  <c r="S4884" i="1"/>
  <c r="S4717" i="1"/>
  <c r="S4519" i="1"/>
  <c r="S3222" i="1"/>
  <c r="S3702" i="1"/>
  <c r="S4278" i="1"/>
  <c r="S3278" i="1"/>
  <c r="S799" i="1"/>
  <c r="S1312" i="1"/>
  <c r="S1177" i="1"/>
  <c r="S1003" i="1"/>
  <c r="S2226" i="1"/>
  <c r="S2769" i="1"/>
  <c r="S375" i="1"/>
  <c r="S216" i="1"/>
  <c r="S57" i="1"/>
  <c r="S569" i="1"/>
  <c r="S418" i="1"/>
  <c r="S228" i="1"/>
  <c r="S69" i="1"/>
  <c r="S581" i="1"/>
  <c r="S422" i="1"/>
  <c r="S936" i="1"/>
  <c r="S985" i="1"/>
  <c r="S1034" i="1"/>
  <c r="S475" i="1"/>
  <c r="S948" i="1"/>
  <c r="S1005" i="1"/>
  <c r="S1063" i="1"/>
  <c r="S1576" i="1"/>
  <c r="S1441" i="1"/>
  <c r="S1583" i="1"/>
  <c r="S2229" i="1"/>
  <c r="S127" i="1"/>
  <c r="S639" i="1"/>
  <c r="S480" i="1"/>
  <c r="S321" i="1"/>
  <c r="S170" i="1"/>
  <c r="S11" i="1"/>
  <c r="S492" i="1"/>
  <c r="S333" i="1"/>
  <c r="S174" i="1"/>
  <c r="S688" i="1"/>
  <c r="S737" i="1"/>
  <c r="S786" i="1"/>
  <c r="S227" i="1"/>
  <c r="S700" i="1"/>
  <c r="S757" i="1"/>
  <c r="S815" i="1"/>
  <c r="S1328" i="1"/>
  <c r="S1193" i="1"/>
  <c r="S1131" i="1"/>
  <c r="S2354" i="1"/>
  <c r="S2897" i="1"/>
  <c r="S327" i="1"/>
  <c r="S168" i="1"/>
  <c r="S9" i="1"/>
  <c r="S521" i="1"/>
  <c r="S370" i="1"/>
  <c r="S180" i="1"/>
  <c r="S21" i="1"/>
  <c r="S533" i="1"/>
  <c r="S374" i="1"/>
  <c r="S888" i="1"/>
  <c r="S937" i="1"/>
  <c r="S986" i="1"/>
  <c r="S427" i="1"/>
  <c r="S900" i="1"/>
  <c r="S957" i="1"/>
  <c r="S1015" i="1"/>
  <c r="S1528" i="1"/>
  <c r="S1393" i="1"/>
  <c r="S1199" i="1"/>
  <c r="S1845" i="1"/>
  <c r="S15" i="1"/>
  <c r="S527" i="1"/>
  <c r="S368" i="1"/>
  <c r="S209" i="1"/>
  <c r="S58" i="1"/>
  <c r="S570" i="1"/>
  <c r="S380" i="1"/>
  <c r="S221" i="1"/>
  <c r="S62" i="1"/>
  <c r="S574" i="1"/>
  <c r="S1088" i="1"/>
  <c r="S674" i="1"/>
  <c r="S115" i="1"/>
  <c r="S627" i="1"/>
  <c r="S1100" i="1"/>
  <c r="S703" i="1"/>
  <c r="S1216" i="1"/>
  <c r="S1728" i="1"/>
  <c r="S1306" i="1"/>
  <c r="S2129" i="1"/>
  <c r="S2568" i="1"/>
  <c r="S215" i="1"/>
  <c r="S56" i="1"/>
  <c r="S568" i="1"/>
  <c r="S409" i="1"/>
  <c r="S258" i="1"/>
  <c r="S68" i="1"/>
  <c r="S580" i="1"/>
  <c r="S421" i="1"/>
  <c r="S262" i="1"/>
  <c r="S776" i="1"/>
  <c r="S825" i="1"/>
  <c r="S874" i="1"/>
  <c r="S315" i="1"/>
  <c r="S788" i="1"/>
  <c r="S845" i="1"/>
  <c r="S903" i="1"/>
  <c r="S1416" i="1"/>
  <c r="S1281" i="1"/>
  <c r="S1596" i="1"/>
  <c r="S1971" i="1"/>
  <c r="S2155" i="1"/>
  <c r="S415" i="1"/>
  <c r="S256" i="1"/>
  <c r="S97" i="1"/>
  <c r="S609" i="1"/>
  <c r="S458" i="1"/>
  <c r="S268" i="1"/>
  <c r="S109" i="1"/>
  <c r="S621" i="1"/>
  <c r="S462" i="1"/>
  <c r="S976" i="1"/>
  <c r="S1025" i="1"/>
  <c r="S1074" i="1"/>
  <c r="S515" i="1"/>
  <c r="S988" i="1"/>
  <c r="S1045" i="1"/>
  <c r="S1103" i="1"/>
  <c r="S1616" i="1"/>
  <c r="S1481" i="1"/>
  <c r="S1904" i="1"/>
  <c r="S766" i="1"/>
  <c r="S1609" i="1"/>
  <c r="S1442" i="1"/>
  <c r="S883" i="1"/>
  <c r="S1156" i="1"/>
  <c r="S1668" i="1"/>
  <c r="S1533" i="1"/>
  <c r="S1399" i="1"/>
  <c r="S1912" i="1"/>
  <c r="S2424" i="1"/>
  <c r="S2265" i="1"/>
  <c r="S2106" i="1"/>
  <c r="S1531" i="1"/>
  <c r="S2043" i="1"/>
  <c r="S2204" i="1"/>
  <c r="S2045" i="1"/>
  <c r="S774" i="1"/>
  <c r="S2191" i="1"/>
  <c r="S2704" i="1"/>
  <c r="S2649" i="1"/>
  <c r="S2594" i="1"/>
  <c r="S2251" i="1"/>
  <c r="S2772" i="1"/>
  <c r="S1322" i="1"/>
  <c r="S763" i="1"/>
  <c r="S1275" i="1"/>
  <c r="S1548" i="1"/>
  <c r="S1413" i="1"/>
  <c r="S1279" i="1"/>
  <c r="S1792" i="1"/>
  <c r="S2304" i="1"/>
  <c r="S2145" i="1"/>
  <c r="S1986" i="1"/>
  <c r="S1411" i="1"/>
  <c r="S1923" i="1"/>
  <c r="S2084" i="1"/>
  <c r="S1925" i="1"/>
  <c r="S2437" i="1"/>
  <c r="S2071" i="1"/>
  <c r="S2584" i="1"/>
  <c r="S2529" i="1"/>
  <c r="S2474" i="1"/>
  <c r="S2986" i="1"/>
  <c r="S2779" i="1"/>
  <c r="S1202" i="1"/>
  <c r="S1714" i="1"/>
  <c r="S1155" i="1"/>
  <c r="S1428" i="1"/>
  <c r="S1293" i="1"/>
  <c r="S1159" i="1"/>
  <c r="S1671" i="1"/>
  <c r="S2184" i="1"/>
  <c r="S2025" i="1"/>
  <c r="S1866" i="1"/>
  <c r="S2378" i="1"/>
  <c r="S1803" i="1"/>
  <c r="S1964" i="1"/>
  <c r="S1805" i="1"/>
  <c r="S2317" i="1"/>
  <c r="S1951" i="1"/>
  <c r="S2464" i="1"/>
  <c r="S2976" i="1"/>
  <c r="S2921" i="1"/>
  <c r="S2866" i="1"/>
  <c r="S2619" i="1"/>
  <c r="S1761" i="1"/>
  <c r="S1594" i="1"/>
  <c r="S1035" i="1"/>
  <c r="S1308" i="1"/>
  <c r="S1173" i="1"/>
  <c r="S1685" i="1"/>
  <c r="S1551" i="1"/>
  <c r="S2064" i="1"/>
  <c r="S1905" i="1"/>
  <c r="S2417" i="1"/>
  <c r="S2258" i="1"/>
  <c r="S1683" i="1"/>
  <c r="S1844" i="1"/>
  <c r="S2356" i="1"/>
  <c r="S2197" i="1"/>
  <c r="S1831" i="1"/>
  <c r="S2343" i="1"/>
  <c r="S2856" i="1"/>
  <c r="S2801" i="1"/>
  <c r="S2746" i="1"/>
  <c r="S2459" i="1"/>
  <c r="S1641" i="1"/>
  <c r="S1474" i="1"/>
  <c r="S915" i="1"/>
  <c r="S1188" i="1"/>
  <c r="S1700" i="1"/>
  <c r="S1565" i="1"/>
  <c r="S1431" i="1"/>
  <c r="S1944" i="1"/>
  <c r="S1785" i="1"/>
  <c r="S2297" i="1"/>
  <c r="S2138" i="1"/>
  <c r="S1563" i="1"/>
  <c r="S2075" i="1"/>
  <c r="S2236" i="1"/>
  <c r="S2077" i="1"/>
  <c r="S806" i="1"/>
  <c r="S2223" i="1"/>
  <c r="S2736" i="1"/>
  <c r="S2681" i="1"/>
  <c r="S2626" i="1"/>
  <c r="S2299" i="1"/>
  <c r="S2900" i="1"/>
  <c r="S1354" i="1"/>
  <c r="S795" i="1"/>
  <c r="S1307" i="1"/>
  <c r="S1580" i="1"/>
  <c r="S1445" i="1"/>
  <c r="S1311" i="1"/>
  <c r="S1824" i="1"/>
  <c r="S2336" i="1"/>
  <c r="S2177" i="1"/>
  <c r="S2018" i="1"/>
  <c r="S1443" i="1"/>
  <c r="S1955" i="1"/>
  <c r="S2116" i="1"/>
  <c r="S1957" i="1"/>
  <c r="S686" i="1"/>
  <c r="S2103" i="1"/>
  <c r="S2616" i="1"/>
  <c r="S2561" i="1"/>
  <c r="S2506" i="1"/>
  <c r="S2139" i="1"/>
  <c r="S2819" i="1"/>
  <c r="S1234" i="1"/>
  <c r="S1746" i="1"/>
  <c r="S1187" i="1"/>
  <c r="S1460" i="1"/>
  <c r="S1325" i="1"/>
  <c r="S1191" i="1"/>
  <c r="S1703" i="1"/>
  <c r="S2216" i="1"/>
  <c r="S2057" i="1"/>
  <c r="S1898" i="1"/>
  <c r="S2410" i="1"/>
  <c r="S1835" i="1"/>
  <c r="S1996" i="1"/>
  <c r="S1837" i="1"/>
  <c r="S2349" i="1"/>
  <c r="S1983" i="1"/>
  <c r="S2496" i="1"/>
  <c r="S3008" i="1"/>
  <c r="S2953" i="1"/>
  <c r="S2898" i="1"/>
  <c r="S2659" i="1"/>
  <c r="S482" i="1"/>
  <c r="S292" i="1"/>
  <c r="S133" i="1"/>
  <c r="S645" i="1"/>
  <c r="S486" i="1"/>
  <c r="S1000" i="1"/>
  <c r="S1049" i="1"/>
  <c r="S1098" i="1"/>
  <c r="S539" i="1"/>
  <c r="S1012" i="1"/>
  <c r="S1069" i="1"/>
  <c r="S1127" i="1"/>
  <c r="S1640" i="1"/>
  <c r="S1505" i="1"/>
  <c r="S2096" i="1"/>
  <c r="S1863" i="1"/>
  <c r="S191" i="1"/>
  <c r="S32" i="1"/>
  <c r="S544" i="1"/>
  <c r="S385" i="1"/>
  <c r="S234" i="1"/>
  <c r="S44" i="1"/>
  <c r="S556" i="1"/>
  <c r="S397" i="1"/>
  <c r="S238" i="1"/>
  <c r="S752" i="1"/>
  <c r="S801" i="1"/>
  <c r="S850" i="1"/>
  <c r="S291" i="1"/>
  <c r="S764" i="1"/>
  <c r="S821" i="1"/>
  <c r="S879" i="1"/>
  <c r="S1392" i="1"/>
  <c r="S1257" i="1"/>
  <c r="S1404" i="1"/>
  <c r="S1779" i="1"/>
  <c r="S2842" i="1"/>
  <c r="S391" i="1"/>
  <c r="S232" i="1"/>
  <c r="S73" i="1"/>
  <c r="S585" i="1"/>
  <c r="S434" i="1"/>
  <c r="S244" i="1"/>
  <c r="S85" i="1"/>
  <c r="S597" i="1"/>
  <c r="S438" i="1"/>
  <c r="S952" i="1"/>
  <c r="S1001" i="1"/>
  <c r="S1050" i="1"/>
  <c r="S491" i="1"/>
  <c r="S964" i="1"/>
  <c r="S1021" i="1"/>
  <c r="S1079" i="1"/>
  <c r="S1592" i="1"/>
  <c r="S1457" i="1"/>
  <c r="S1711" i="1"/>
  <c r="S2357" i="1"/>
  <c r="S79" i="1"/>
  <c r="S591" i="1"/>
  <c r="S432" i="1"/>
  <c r="S273" i="1"/>
  <c r="S122" i="1"/>
  <c r="S634" i="1"/>
  <c r="S444" i="1"/>
  <c r="S285" i="1"/>
  <c r="S126" i="1"/>
  <c r="S638" i="1"/>
  <c r="S689" i="1"/>
  <c r="S738" i="1"/>
  <c r="S179" i="1"/>
  <c r="S691" i="1"/>
  <c r="S709" i="1"/>
  <c r="S767" i="1"/>
  <c r="S1280" i="1"/>
  <c r="S1145" i="1"/>
  <c r="S747" i="1"/>
  <c r="S1970" i="1"/>
  <c r="S2513" i="1"/>
  <c r="S279" i="1"/>
  <c r="S120" i="1"/>
  <c r="S632" i="1"/>
  <c r="S473" i="1"/>
  <c r="S322" i="1"/>
  <c r="S132" i="1"/>
  <c r="S644" i="1"/>
  <c r="S485" i="1"/>
  <c r="S326" i="1"/>
  <c r="S840" i="1"/>
  <c r="S889" i="1"/>
  <c r="S938" i="1"/>
  <c r="S379" i="1"/>
  <c r="S852" i="1"/>
  <c r="S909" i="1"/>
  <c r="S967" i="1"/>
  <c r="S1480" i="1"/>
  <c r="S1345" i="1"/>
  <c r="S1461" i="1"/>
  <c r="S2132" i="1"/>
  <c r="S2484" i="1"/>
  <c r="S479" i="1"/>
  <c r="S320" i="1"/>
  <c r="S161" i="1"/>
  <c r="S10" i="1"/>
  <c r="S522" i="1"/>
  <c r="S332" i="1"/>
  <c r="S173" i="1"/>
  <c r="S14" i="1"/>
  <c r="S526" i="1"/>
  <c r="S1040" i="1"/>
  <c r="S1089" i="1"/>
  <c r="S67" i="1"/>
  <c r="S579" i="1"/>
  <c r="S1052" i="1"/>
  <c r="S1109" i="1"/>
  <c r="S1168" i="1"/>
  <c r="S1680" i="1"/>
  <c r="S1601" i="1"/>
  <c r="S2416" i="1"/>
  <c r="S2183" i="1"/>
  <c r="S1673" i="1"/>
  <c r="S1506" i="1"/>
  <c r="S947" i="1"/>
  <c r="S1220" i="1"/>
  <c r="S1732" i="1"/>
  <c r="S1597" i="1"/>
  <c r="S1463" i="1"/>
  <c r="S1976" i="1"/>
  <c r="S1817" i="1"/>
  <c r="S2329" i="1"/>
  <c r="S2170" i="1"/>
  <c r="S1595" i="1"/>
  <c r="S2107" i="1"/>
  <c r="S2268" i="1"/>
  <c r="S2109" i="1"/>
  <c r="S838" i="1"/>
  <c r="S2255" i="1"/>
  <c r="S2768" i="1"/>
  <c r="S2713" i="1"/>
  <c r="S2658" i="1"/>
  <c r="S2339" i="1"/>
  <c r="S1553" i="1"/>
  <c r="S1386" i="1"/>
  <c r="S827" i="1"/>
  <c r="S1339" i="1"/>
  <c r="S1612" i="1"/>
  <c r="S1477" i="1"/>
  <c r="S1343" i="1"/>
  <c r="S1856" i="1"/>
  <c r="S2368" i="1"/>
  <c r="S2209" i="1"/>
  <c r="S2050" i="1"/>
  <c r="S1475" i="1"/>
  <c r="S1987" i="1"/>
  <c r="S2148" i="1"/>
  <c r="S1989" i="1"/>
  <c r="S718" i="1"/>
  <c r="S2135" i="1"/>
  <c r="S2648" i="1"/>
  <c r="S2593" i="1"/>
  <c r="S2538" i="1"/>
  <c r="S2179" i="1"/>
  <c r="S2548" i="1"/>
  <c r="S1266" i="1"/>
  <c r="S1778" i="1"/>
  <c r="S1219" i="1"/>
  <c r="S1492" i="1"/>
  <c r="S1357" i="1"/>
  <c r="S1223" i="1"/>
  <c r="S1735" i="1"/>
  <c r="S2248" i="1"/>
  <c r="S2089" i="1"/>
  <c r="S1930" i="1"/>
  <c r="S2442" i="1"/>
  <c r="S1867" i="1"/>
  <c r="S2028" i="1"/>
  <c r="S1869" i="1"/>
  <c r="S2381" i="1"/>
  <c r="S2015" i="1"/>
  <c r="S2528" i="1"/>
  <c r="S2473" i="1"/>
  <c r="S2985" i="1"/>
  <c r="S2930" i="1"/>
  <c r="S2699" i="1"/>
  <c r="S1146" i="1"/>
  <c r="S1658" i="1"/>
  <c r="S1099" i="1"/>
  <c r="S1372" i="1"/>
  <c r="S1237" i="1"/>
  <c r="S1749" i="1"/>
  <c r="S1615" i="1"/>
  <c r="S2128" i="1"/>
  <c r="S1969" i="1"/>
  <c r="S1810" i="1"/>
  <c r="S2322" i="1"/>
  <c r="S1747" i="1"/>
  <c r="S1908" i="1"/>
  <c r="S2420" i="1"/>
  <c r="S2261" i="1"/>
  <c r="S1895" i="1"/>
  <c r="S2407" i="1"/>
  <c r="S2920" i="1"/>
  <c r="S2865" i="1"/>
  <c r="S2810" i="1"/>
  <c r="S2539" i="1"/>
  <c r="S1705" i="1"/>
  <c r="S1538" i="1"/>
  <c r="S979" i="1"/>
  <c r="S1252" i="1"/>
  <c r="S1764" i="1"/>
  <c r="S1629" i="1"/>
  <c r="S1495" i="1"/>
  <c r="S2008" i="1"/>
  <c r="S1849" i="1"/>
  <c r="S2361" i="1"/>
  <c r="S2202" i="1"/>
  <c r="S1627" i="1"/>
  <c r="S1788" i="1"/>
  <c r="S2300" i="1"/>
  <c r="S2141" i="1"/>
  <c r="S870" i="1"/>
  <c r="S2287" i="1"/>
  <c r="S2800" i="1"/>
  <c r="S2745" i="1"/>
  <c r="S2690" i="1"/>
  <c r="S2379" i="1"/>
  <c r="S1585" i="1"/>
  <c r="S1418" i="1"/>
  <c r="S859" i="1"/>
  <c r="S1132" i="1"/>
  <c r="S1644" i="1"/>
  <c r="S1509" i="1"/>
  <c r="S1375" i="1"/>
  <c r="S1888" i="1"/>
  <c r="S2400" i="1"/>
  <c r="S2241" i="1"/>
  <c r="S2082" i="1"/>
  <c r="S1507" i="1"/>
  <c r="S2019" i="1"/>
  <c r="S2180" i="1"/>
  <c r="S2021" i="1"/>
  <c r="S750" i="1"/>
  <c r="S2167" i="1"/>
  <c r="S2680" i="1"/>
  <c r="S2625" i="1"/>
  <c r="S2570" i="1"/>
  <c r="S2219" i="1"/>
  <c r="S2676" i="1"/>
  <c r="S1298" i="1"/>
  <c r="S739" i="1"/>
  <c r="S1251" i="1"/>
  <c r="S1524" i="1"/>
  <c r="S1389" i="1"/>
  <c r="S1255" i="1"/>
  <c r="S1767" i="1"/>
  <c r="S2280" i="1"/>
  <c r="S2121" i="1"/>
  <c r="S1962" i="1"/>
  <c r="S1387" i="1"/>
  <c r="S1899" i="1"/>
  <c r="S2060" i="1"/>
  <c r="S1901" i="1"/>
  <c r="S2413" i="1"/>
  <c r="S2047" i="1"/>
  <c r="S2560" i="1"/>
  <c r="S2505" i="1"/>
  <c r="S3017" i="1"/>
  <c r="S2962" i="1"/>
  <c r="S2747" i="1"/>
  <c r="S2685" i="1"/>
  <c r="S1046" i="1"/>
  <c r="S2455" i="1"/>
  <c r="S2967" i="1"/>
  <c r="S3504" i="1"/>
  <c r="S3361" i="1"/>
  <c r="S3210" i="1"/>
  <c r="S2883" i="1"/>
  <c r="S3395" i="1"/>
  <c r="S3292" i="1"/>
  <c r="S3157" i="1"/>
  <c r="S3669" i="1"/>
  <c r="S2054" i="1"/>
  <c r="S3255" i="1"/>
  <c r="S3768" i="1"/>
  <c r="S4280" i="1"/>
  <c r="S4121" i="1"/>
  <c r="S4130" i="1"/>
  <c r="S4099" i="1"/>
  <c r="S2812" i="1"/>
  <c r="S2757" i="1"/>
  <c r="S1118" i="1"/>
  <c r="S2527" i="1"/>
  <c r="S3064" i="1"/>
  <c r="S3576" i="1"/>
  <c r="S3433" i="1"/>
  <c r="S3282" i="1"/>
  <c r="S2955" i="1"/>
  <c r="S3467" i="1"/>
  <c r="S3364" i="1"/>
  <c r="S3229" i="1"/>
  <c r="S1614" i="1"/>
  <c r="S2126" i="1"/>
  <c r="S3327" i="1"/>
  <c r="S433" i="1"/>
  <c r="S282" i="1"/>
  <c r="S92" i="1"/>
  <c r="S604" i="1"/>
  <c r="S445" i="1"/>
  <c r="S286" i="1"/>
  <c r="S800" i="1"/>
  <c r="S849" i="1"/>
  <c r="S898" i="1"/>
  <c r="S339" i="1"/>
  <c r="S812" i="1"/>
  <c r="S869" i="1"/>
  <c r="S927" i="1"/>
  <c r="S1440" i="1"/>
  <c r="S1305" i="1"/>
  <c r="S1141" i="1"/>
  <c r="S1812" i="1"/>
  <c r="S2411" i="1"/>
  <c r="S503" i="1"/>
  <c r="S344" i="1"/>
  <c r="S185" i="1"/>
  <c r="S34" i="1"/>
  <c r="S546" i="1"/>
  <c r="S356" i="1"/>
  <c r="S197" i="1"/>
  <c r="S38" i="1"/>
  <c r="S550" i="1"/>
  <c r="S1064" i="1"/>
  <c r="S1113" i="1"/>
  <c r="S91" i="1"/>
  <c r="S603" i="1"/>
  <c r="S1076" i="1"/>
  <c r="S679" i="1"/>
  <c r="S1192" i="1"/>
  <c r="S1704" i="1"/>
  <c r="S1114" i="1"/>
  <c r="S1937" i="1"/>
  <c r="S2375" i="1"/>
  <c r="S255" i="1"/>
  <c r="S96" i="1"/>
  <c r="S608" i="1"/>
  <c r="S449" i="1"/>
  <c r="S298" i="1"/>
  <c r="S108" i="1"/>
  <c r="S620" i="1"/>
  <c r="S461" i="1"/>
  <c r="S302" i="1"/>
  <c r="S816" i="1"/>
  <c r="S865" i="1"/>
  <c r="S914" i="1"/>
  <c r="S355" i="1"/>
  <c r="S828" i="1"/>
  <c r="S885" i="1"/>
  <c r="S943" i="1"/>
  <c r="S1456" i="1"/>
  <c r="S1321" i="1"/>
  <c r="S1269" i="1"/>
  <c r="S1940" i="1"/>
  <c r="S2587" i="1"/>
  <c r="S455" i="1"/>
  <c r="S296" i="1"/>
  <c r="S137" i="1"/>
  <c r="S649" i="1"/>
  <c r="S498" i="1"/>
  <c r="S308" i="1"/>
  <c r="S149" i="1"/>
  <c r="S661" i="1"/>
  <c r="S502" i="1"/>
  <c r="S1016" i="1"/>
  <c r="S1065" i="1"/>
  <c r="S43" i="1"/>
  <c r="S555" i="1"/>
  <c r="S1028" i="1"/>
  <c r="S1085" i="1"/>
  <c r="S1144" i="1"/>
  <c r="S1656" i="1"/>
  <c r="S1521" i="1"/>
  <c r="S2224" i="1"/>
  <c r="S1991" i="1"/>
  <c r="S143" i="1"/>
  <c r="S655" i="1"/>
  <c r="S496" i="1"/>
  <c r="S337" i="1"/>
  <c r="S186" i="1"/>
  <c r="S27" i="1"/>
  <c r="S508" i="1"/>
  <c r="S349" i="1"/>
  <c r="S190" i="1"/>
  <c r="S704" i="1"/>
  <c r="S753" i="1"/>
  <c r="S802" i="1"/>
  <c r="S243" i="1"/>
  <c r="S716" i="1"/>
  <c r="S773" i="1"/>
  <c r="S831" i="1"/>
  <c r="S1344" i="1"/>
  <c r="S1209" i="1"/>
  <c r="S1259" i="1"/>
  <c r="S1395" i="1"/>
  <c r="S2458" i="1"/>
  <c r="S343" i="1"/>
  <c r="S184" i="1"/>
  <c r="S25" i="1"/>
  <c r="S537" i="1"/>
  <c r="S386" i="1"/>
  <c r="S196" i="1"/>
  <c r="S37" i="1"/>
  <c r="S549" i="1"/>
  <c r="S390" i="1"/>
  <c r="S904" i="1"/>
  <c r="S953" i="1"/>
  <c r="S1002" i="1"/>
  <c r="S443" i="1"/>
  <c r="S916" i="1"/>
  <c r="S973" i="1"/>
  <c r="S1031" i="1"/>
  <c r="S1544" i="1"/>
  <c r="S1409" i="1"/>
  <c r="S1327" i="1"/>
  <c r="S1973" i="1"/>
  <c r="S31" i="1"/>
  <c r="S543" i="1"/>
  <c r="S384" i="1"/>
  <c r="S225" i="1"/>
  <c r="S74" i="1"/>
  <c r="S586" i="1"/>
  <c r="S396" i="1"/>
  <c r="S237" i="1"/>
  <c r="S78" i="1"/>
  <c r="S590" i="1"/>
  <c r="S1104" i="1"/>
  <c r="S690" i="1"/>
  <c r="S131" i="1"/>
  <c r="S643" i="1"/>
  <c r="S1116" i="1"/>
  <c r="S719" i="1"/>
  <c r="S1232" i="1"/>
  <c r="S1744" i="1"/>
  <c r="S1434" i="1"/>
  <c r="S2257" i="1"/>
  <c r="S2696" i="1"/>
  <c r="S1737" i="1"/>
  <c r="S1570" i="1"/>
  <c r="S1011" i="1"/>
  <c r="S1284" i="1"/>
  <c r="S1149" i="1"/>
  <c r="S1661" i="1"/>
  <c r="S1527" i="1"/>
  <c r="S2040" i="1"/>
  <c r="S1881" i="1"/>
  <c r="S2393" i="1"/>
  <c r="S2234" i="1"/>
  <c r="S1659" i="1"/>
  <c r="S1820" i="1"/>
  <c r="S2332" i="1"/>
  <c r="S2173" i="1"/>
  <c r="S1807" i="1"/>
  <c r="S2319" i="1"/>
  <c r="S2832" i="1"/>
  <c r="S2777" i="1"/>
  <c r="S2722" i="1"/>
  <c r="S2427" i="1"/>
  <c r="S1617" i="1"/>
  <c r="S1450" i="1"/>
  <c r="S891" i="1"/>
  <c r="S1164" i="1"/>
  <c r="S1676" i="1"/>
  <c r="S1541" i="1"/>
  <c r="S1407" i="1"/>
  <c r="S1920" i="1"/>
  <c r="S2432" i="1"/>
  <c r="S2273" i="1"/>
  <c r="S2114" i="1"/>
  <c r="S1539" i="1"/>
  <c r="S2051" i="1"/>
  <c r="S2212" i="1"/>
  <c r="S2053" i="1"/>
  <c r="S782" i="1"/>
  <c r="S2199" i="1"/>
  <c r="S2712" i="1"/>
  <c r="S2657" i="1"/>
  <c r="S2602" i="1"/>
  <c r="S2267" i="1"/>
  <c r="S2804" i="1"/>
  <c r="S1330" i="1"/>
  <c r="S771" i="1"/>
  <c r="S1283" i="1"/>
  <c r="S1556" i="1"/>
  <c r="S1421" i="1"/>
  <c r="S1287" i="1"/>
  <c r="S1800" i="1"/>
  <c r="S2312" i="1"/>
  <c r="S2153" i="1"/>
  <c r="S1994" i="1"/>
  <c r="S1419" i="1"/>
  <c r="S1931" i="1"/>
  <c r="S2092" i="1"/>
  <c r="S1933" i="1"/>
  <c r="S2445" i="1"/>
  <c r="S2079" i="1"/>
  <c r="S2592" i="1"/>
  <c r="S2537" i="1"/>
  <c r="S2482" i="1"/>
  <c r="S3002" i="1"/>
  <c r="S2787" i="1"/>
  <c r="S1210" i="1"/>
  <c r="S1722" i="1"/>
  <c r="S1163" i="1"/>
  <c r="S1436" i="1"/>
  <c r="S1301" i="1"/>
  <c r="S1167" i="1"/>
  <c r="S1679" i="1"/>
  <c r="S2192" i="1"/>
  <c r="S2033" i="1"/>
  <c r="S1874" i="1"/>
  <c r="S2386" i="1"/>
  <c r="S1811" i="1"/>
  <c r="S1972" i="1"/>
  <c r="S1813" i="1"/>
  <c r="S2325" i="1"/>
  <c r="S1959" i="1"/>
  <c r="S2472" i="1"/>
  <c r="S2984" i="1"/>
  <c r="S2929" i="1"/>
  <c r="S2874" i="1"/>
  <c r="S2627" i="1"/>
  <c r="S1769" i="1"/>
  <c r="S1602" i="1"/>
  <c r="S1043" i="1"/>
  <c r="S1316" i="1"/>
  <c r="S1181" i="1"/>
  <c r="S1693" i="1"/>
  <c r="S1559" i="1"/>
  <c r="S2072" i="1"/>
  <c r="S1913" i="1"/>
  <c r="S2425" i="1"/>
  <c r="S2266" i="1"/>
  <c r="S1691" i="1"/>
  <c r="S1852" i="1"/>
  <c r="S2364" i="1"/>
  <c r="S2205" i="1"/>
  <c r="S1839" i="1"/>
  <c r="S2351" i="1"/>
  <c r="S2864" i="1"/>
  <c r="S2809" i="1"/>
  <c r="S2754" i="1"/>
  <c r="S2467" i="1"/>
  <c r="S1649" i="1"/>
  <c r="S1482" i="1"/>
  <c r="S923" i="1"/>
  <c r="S1196" i="1"/>
  <c r="S1708" i="1"/>
  <c r="S1573" i="1"/>
  <c r="S1439" i="1"/>
  <c r="S1952" i="1"/>
  <c r="S1793" i="1"/>
  <c r="S2305" i="1"/>
  <c r="S2146" i="1"/>
  <c r="S1571" i="1"/>
  <c r="S2083" i="1"/>
  <c r="S2244" i="1"/>
  <c r="S2085" i="1"/>
  <c r="S814" i="1"/>
  <c r="S2231" i="1"/>
  <c r="S2744" i="1"/>
  <c r="S2689" i="1"/>
  <c r="S2634" i="1"/>
  <c r="S2307" i="1"/>
  <c r="S2932" i="1"/>
  <c r="S1362" i="1"/>
  <c r="S803" i="1"/>
  <c r="S1315" i="1"/>
  <c r="S1588" i="1"/>
  <c r="S1453" i="1"/>
  <c r="S1319" i="1"/>
  <c r="S1832" i="1"/>
  <c r="S2344" i="1"/>
  <c r="S2185" i="1"/>
  <c r="S991" i="1"/>
  <c r="S1504" i="1"/>
  <c r="S1369" i="1"/>
  <c r="S1653" i="1"/>
  <c r="S2324" i="1"/>
  <c r="S55" i="1"/>
  <c r="S567" i="1"/>
  <c r="S408" i="1"/>
  <c r="S249" i="1"/>
  <c r="S98" i="1"/>
  <c r="S610" i="1"/>
  <c r="S420" i="1"/>
  <c r="S261" i="1"/>
  <c r="S102" i="1"/>
  <c r="S614" i="1"/>
  <c r="S1128" i="1"/>
  <c r="S714" i="1"/>
  <c r="S155" i="1"/>
  <c r="S667" i="1"/>
  <c r="S685" i="1"/>
  <c r="S743" i="1"/>
  <c r="S1256" i="1"/>
  <c r="S1768" i="1"/>
  <c r="S1626" i="1"/>
  <c r="S2449" i="1"/>
  <c r="S2888" i="1"/>
  <c r="S319" i="1"/>
  <c r="S160" i="1"/>
  <c r="S672" i="1"/>
  <c r="S513" i="1"/>
  <c r="S362" i="1"/>
  <c r="S172" i="1"/>
  <c r="S13" i="1"/>
  <c r="S525" i="1"/>
  <c r="S366" i="1"/>
  <c r="S880" i="1"/>
  <c r="S929" i="1"/>
  <c r="S978" i="1"/>
  <c r="S419" i="1"/>
  <c r="S892" i="1"/>
  <c r="S949" i="1"/>
  <c r="S1007" i="1"/>
  <c r="S1520" i="1"/>
  <c r="S1385" i="1"/>
  <c r="S1135" i="1"/>
  <c r="S1781" i="1"/>
  <c r="S7" i="1"/>
  <c r="S519" i="1"/>
  <c r="S360" i="1"/>
  <c r="S201" i="1"/>
  <c r="S50" i="1"/>
  <c r="S562" i="1"/>
  <c r="S372" i="1"/>
  <c r="S213" i="1"/>
  <c r="S54" i="1"/>
  <c r="S566" i="1"/>
  <c r="S1080" i="1"/>
  <c r="S1129" i="1"/>
  <c r="S107" i="1"/>
  <c r="S619" i="1"/>
  <c r="S1092" i="1"/>
  <c r="S695" i="1"/>
  <c r="S1208" i="1"/>
  <c r="S1720" i="1"/>
  <c r="S1242" i="1"/>
  <c r="S2065" i="1"/>
  <c r="S2504" i="1"/>
  <c r="S207" i="1"/>
  <c r="S48" i="1"/>
  <c r="S560" i="1"/>
  <c r="S401" i="1"/>
  <c r="S250" i="1"/>
  <c r="S60" i="1"/>
  <c r="S572" i="1"/>
  <c r="S413" i="1"/>
  <c r="S254" i="1"/>
  <c r="S768" i="1"/>
  <c r="S817" i="1"/>
  <c r="S866" i="1"/>
  <c r="S307" i="1"/>
  <c r="S780" i="1"/>
  <c r="S837" i="1"/>
  <c r="S895" i="1"/>
  <c r="S1408" i="1"/>
  <c r="S1273" i="1"/>
  <c r="S1532" i="1"/>
  <c r="S1907" i="1"/>
  <c r="S2970" i="1"/>
  <c r="S407" i="1"/>
  <c r="S248" i="1"/>
  <c r="S89" i="1"/>
  <c r="S601" i="1"/>
  <c r="S450" i="1"/>
  <c r="S260" i="1"/>
  <c r="S101" i="1"/>
  <c r="S613" i="1"/>
  <c r="S454" i="1"/>
  <c r="S968" i="1"/>
  <c r="S1017" i="1"/>
  <c r="S1066" i="1"/>
  <c r="S507" i="1"/>
  <c r="S980" i="1"/>
  <c r="S1037" i="1"/>
  <c r="S1095" i="1"/>
  <c r="S1608" i="1"/>
  <c r="S1473" i="1"/>
  <c r="S1840" i="1"/>
  <c r="S702" i="1"/>
  <c r="S95" i="1"/>
  <c r="S607" i="1"/>
  <c r="S448" i="1"/>
  <c r="S289" i="1"/>
  <c r="S138" i="1"/>
  <c r="S650" i="1"/>
  <c r="S460" i="1"/>
  <c r="S301" i="1"/>
  <c r="S142" i="1"/>
  <c r="S654" i="1"/>
  <c r="S705" i="1"/>
  <c r="S754" i="1"/>
  <c r="S195" i="1"/>
  <c r="S707" i="1"/>
  <c r="S725" i="1"/>
  <c r="S783" i="1"/>
  <c r="S1296" i="1"/>
  <c r="S1161" i="1"/>
  <c r="S875" i="1"/>
  <c r="S2098" i="1"/>
  <c r="S2641" i="1"/>
  <c r="S1122" i="1"/>
  <c r="S1634" i="1"/>
  <c r="S1075" i="1"/>
  <c r="S1348" i="1"/>
  <c r="S1213" i="1"/>
  <c r="S1725" i="1"/>
  <c r="S1591" i="1"/>
  <c r="S2104" i="1"/>
  <c r="S1945" i="1"/>
  <c r="S1786" i="1"/>
  <c r="S2298" i="1"/>
  <c r="S1723" i="1"/>
  <c r="S1884" i="1"/>
  <c r="S2396" i="1"/>
  <c r="S2237" i="1"/>
  <c r="S1871" i="1"/>
  <c r="S2383" i="1"/>
  <c r="S2896" i="1"/>
  <c r="S2841" i="1"/>
  <c r="S2786" i="1"/>
  <c r="S2507" i="1"/>
  <c r="S1681" i="1"/>
  <c r="S1514" i="1"/>
  <c r="S955" i="1"/>
  <c r="S1228" i="1"/>
  <c r="S1740" i="1"/>
  <c r="S1605" i="1"/>
  <c r="S1471" i="1"/>
  <c r="S1984" i="1"/>
  <c r="S1825" i="1"/>
  <c r="S2337" i="1"/>
  <c r="S2178" i="1"/>
  <c r="S1603" i="1"/>
  <c r="S2115" i="1"/>
  <c r="S2276" i="1"/>
  <c r="S2117" i="1"/>
  <c r="S846" i="1"/>
  <c r="S2263" i="1"/>
  <c r="S2776" i="1"/>
  <c r="S2721" i="1"/>
  <c r="S2666" i="1"/>
  <c r="S2347" i="1"/>
  <c r="S1561" i="1"/>
  <c r="S1394" i="1"/>
  <c r="S835" i="1"/>
  <c r="S1347" i="1"/>
  <c r="S1620" i="1"/>
  <c r="S1485" i="1"/>
  <c r="S1351" i="1"/>
  <c r="S1864" i="1"/>
  <c r="S2376" i="1"/>
  <c r="S2217" i="1"/>
  <c r="S2058" i="1"/>
  <c r="S1483" i="1"/>
  <c r="S1995" i="1"/>
  <c r="S2156" i="1"/>
  <c r="S1997" i="1"/>
  <c r="S726" i="1"/>
  <c r="S2143" i="1"/>
  <c r="S2656" i="1"/>
  <c r="S2601" i="1"/>
  <c r="S2546" i="1"/>
  <c r="S2187" i="1"/>
  <c r="S2580" i="1"/>
  <c r="S1274" i="1"/>
  <c r="S715" i="1"/>
  <c r="S1227" i="1"/>
  <c r="S1500" i="1"/>
  <c r="S1365" i="1"/>
  <c r="S1231" i="1"/>
  <c r="S1743" i="1"/>
  <c r="S2256" i="1"/>
  <c r="S2097" i="1"/>
  <c r="S1938" i="1"/>
  <c r="S2450" i="1"/>
  <c r="S1875" i="1"/>
  <c r="S2036" i="1"/>
  <c r="S1877" i="1"/>
  <c r="S2389" i="1"/>
  <c r="S2023" i="1"/>
  <c r="S2536" i="1"/>
  <c r="S2481" i="1"/>
  <c r="S2993" i="1"/>
  <c r="S2938" i="1"/>
  <c r="S2715" i="1"/>
  <c r="S1154" i="1"/>
  <c r="S1666" i="1"/>
  <c r="S1107" i="1"/>
  <c r="S1380" i="1"/>
  <c r="S1245" i="1"/>
  <c r="S1757" i="1"/>
  <c r="S1623" i="1"/>
  <c r="S2136" i="1"/>
  <c r="S1977" i="1"/>
  <c r="S1818" i="1"/>
  <c r="S2330" i="1"/>
  <c r="S1755" i="1"/>
  <c r="S1916" i="1"/>
  <c r="S2428" i="1"/>
  <c r="S2269" i="1"/>
  <c r="S1903" i="1"/>
  <c r="S2415" i="1"/>
  <c r="S2928" i="1"/>
  <c r="S2873" i="1"/>
  <c r="S2818" i="1"/>
  <c r="S2555" i="1"/>
  <c r="S1713" i="1"/>
  <c r="S1546" i="1"/>
  <c r="S987" i="1"/>
  <c r="S1260" i="1"/>
  <c r="S1772" i="1"/>
  <c r="S1637" i="1"/>
  <c r="S1503" i="1"/>
  <c r="S2016" i="1"/>
  <c r="S1857" i="1"/>
  <c r="S2369" i="1"/>
  <c r="S2210" i="1"/>
  <c r="S1635" i="1"/>
  <c r="S1796" i="1"/>
  <c r="S2308" i="1"/>
  <c r="S2149" i="1"/>
  <c r="S1783" i="1"/>
  <c r="S2295" i="1"/>
  <c r="S2808" i="1"/>
  <c r="S2753" i="1"/>
  <c r="S2698" i="1"/>
  <c r="S2395" i="1"/>
  <c r="S1593" i="1"/>
  <c r="S1426" i="1"/>
  <c r="S867" i="1"/>
  <c r="S1140" i="1"/>
  <c r="S1652" i="1"/>
  <c r="S1517" i="1"/>
  <c r="S1383" i="1"/>
  <c r="S1896" i="1"/>
  <c r="S2408" i="1"/>
  <c r="S2249" i="1"/>
  <c r="S2090" i="1"/>
  <c r="S1515" i="1"/>
  <c r="S2027" i="1"/>
  <c r="S2188" i="1"/>
  <c r="S2029" i="1"/>
  <c r="S758" i="1"/>
  <c r="S2175" i="1"/>
  <c r="S2688" i="1"/>
  <c r="S2633" i="1"/>
  <c r="S2578" i="1"/>
  <c r="S2235" i="1"/>
  <c r="S2708" i="1"/>
  <c r="S2813" i="1"/>
  <c r="S1174" i="1"/>
  <c r="S2583" i="1"/>
  <c r="S3120" i="1"/>
  <c r="S3632" i="1"/>
  <c r="S3489" i="1"/>
  <c r="S3338" i="1"/>
  <c r="S3011" i="1"/>
  <c r="S3523" i="1"/>
  <c r="S3420" i="1"/>
  <c r="S3169" i="1"/>
  <c r="S3681" i="1"/>
  <c r="S3530" i="1"/>
  <c r="S3203" i="1"/>
  <c r="S3100" i="1"/>
  <c r="S3612" i="1"/>
  <c r="S3477" i="1"/>
  <c r="S1862" i="1"/>
  <c r="S3063" i="1"/>
  <c r="S3575" i="1"/>
  <c r="S4088" i="1"/>
  <c r="S3929" i="1"/>
  <c r="S3874" i="1"/>
  <c r="S3843" i="1"/>
  <c r="S2620" i="1"/>
  <c r="S2565" i="1"/>
  <c r="S926" i="1"/>
  <c r="S1438" i="1"/>
  <c r="S2847" i="1"/>
  <c r="S3384" i="1"/>
  <c r="S3241" i="1"/>
  <c r="S3090" i="1"/>
  <c r="S3602" i="1"/>
  <c r="S3275" i="1"/>
  <c r="S3172" i="1"/>
  <c r="S3037" i="1"/>
  <c r="S3549" i="1"/>
  <c r="S1934" i="1"/>
  <c r="S3135" i="1"/>
  <c r="S3647" i="1"/>
  <c r="S4160" i="1"/>
  <c r="S4001" i="1"/>
  <c r="S3970" i="1"/>
  <c r="S3931" i="1"/>
  <c r="S2387" i="1"/>
  <c r="S2500" i="1"/>
  <c r="S3012" i="1"/>
  <c r="S2957" i="1"/>
  <c r="S1318" i="1"/>
  <c r="S2727" i="1"/>
  <c r="S3264" i="1"/>
  <c r="S3121" i="1"/>
  <c r="S3633" i="1"/>
  <c r="S3482" i="1"/>
  <c r="S3155" i="1"/>
  <c r="S3052" i="1"/>
  <c r="S3564" i="1"/>
  <c r="S3429" i="1"/>
  <c r="S1814" i="1"/>
  <c r="S3015" i="1"/>
  <c r="S3527" i="1"/>
  <c r="S4040" i="1"/>
  <c r="S3881" i="1"/>
  <c r="S3810" i="1"/>
  <c r="S3779" i="1"/>
  <c r="S2572" i="1"/>
  <c r="S2517" i="1"/>
  <c r="S878" i="1"/>
  <c r="S1390" i="1"/>
  <c r="S2799" i="1"/>
  <c r="S3336" i="1"/>
  <c r="S3193" i="1"/>
  <c r="S3042" i="1"/>
  <c r="S3554" i="1"/>
  <c r="S3227" i="1"/>
  <c r="S3124" i="1"/>
  <c r="S3636" i="1"/>
  <c r="S3501" i="1"/>
  <c r="S1886" i="1"/>
  <c r="S3087" i="1"/>
  <c r="S3599" i="1"/>
  <c r="S4112" i="1"/>
  <c r="S3953" i="1"/>
  <c r="S3906" i="1"/>
  <c r="S3867" i="1"/>
  <c r="S2653" i="1"/>
  <c r="S1014" i="1"/>
  <c r="S1526" i="1"/>
  <c r="S2935" i="1"/>
  <c r="S3472" i="1"/>
  <c r="S3329" i="1"/>
  <c r="S3178" i="1"/>
  <c r="S2851" i="1"/>
  <c r="S3363" i="1"/>
  <c r="S3260" i="1"/>
  <c r="S3125" i="1"/>
  <c r="S3637" i="1"/>
  <c r="S2022" i="1"/>
  <c r="S3223" i="1"/>
  <c r="S3736" i="1"/>
  <c r="S4248" i="1"/>
  <c r="S4089" i="1"/>
  <c r="S4090" i="1"/>
  <c r="S4051" i="1"/>
  <c r="S2780" i="1"/>
  <c r="S2725" i="1"/>
  <c r="S1086" i="1"/>
  <c r="S2495" i="1"/>
  <c r="S3032" i="1"/>
  <c r="S3544" i="1"/>
  <c r="S3401" i="1"/>
  <c r="S3250" i="1"/>
  <c r="S2923" i="1"/>
  <c r="S3435" i="1"/>
  <c r="S3332" i="1"/>
  <c r="S3197" i="1"/>
  <c r="S1582" i="1"/>
  <c r="S2094" i="1"/>
  <c r="S3295" i="1"/>
  <c r="S3808" i="1"/>
  <c r="S4320" i="1"/>
  <c r="S4169" i="1"/>
  <c r="S4186" i="1"/>
  <c r="S4147" i="1"/>
  <c r="S2483" i="1"/>
  <c r="S2596" i="1"/>
  <c r="S2541" i="1"/>
  <c r="S902" i="1"/>
  <c r="S1414" i="1"/>
  <c r="S2823" i="1"/>
  <c r="S3360" i="1"/>
  <c r="S3217" i="1"/>
  <c r="S3066" i="1"/>
  <c r="S3578" i="1"/>
  <c r="S3251" i="1"/>
  <c r="S3148" i="1"/>
  <c r="S3660" i="1"/>
  <c r="S3525" i="1"/>
  <c r="S1910" i="1"/>
  <c r="S3111" i="1"/>
  <c r="S3623" i="1"/>
  <c r="S4136" i="1"/>
  <c r="S3977" i="1"/>
  <c r="S3938" i="1"/>
  <c r="S3907" i="1"/>
  <c r="S2668" i="1"/>
  <c r="S2613" i="1"/>
  <c r="S974" i="1"/>
  <c r="S1486" i="1"/>
  <c r="S2895" i="1"/>
  <c r="S3432" i="1"/>
  <c r="S3289" i="1"/>
  <c r="S3138" i="1"/>
  <c r="S3650" i="1"/>
  <c r="S3323" i="1"/>
  <c r="S3220" i="1"/>
  <c r="S3085" i="1"/>
  <c r="S3597" i="1"/>
  <c r="S1982" i="1"/>
  <c r="S3183" i="1"/>
  <c r="S3696" i="1"/>
  <c r="S4208" i="1"/>
  <c r="S4049" i="1"/>
  <c r="S4034" i="1"/>
  <c r="S3995" i="1"/>
  <c r="S3852" i="1"/>
  <c r="S3693" i="1"/>
  <c r="S4205" i="1"/>
  <c r="S2670" i="1"/>
  <c r="S3831" i="1"/>
  <c r="S4360" i="1"/>
  <c r="S4872" i="1"/>
  <c r="S4689" i="1"/>
  <c r="S4522" i="1"/>
  <c r="S4363" i="1"/>
  <c r="S4875" i="1"/>
  <c r="S4700" i="1"/>
  <c r="S4533" i="1"/>
  <c r="S3030" i="1"/>
  <c r="S4847" i="1"/>
  <c r="S3950" i="1"/>
  <c r="S4614" i="1"/>
  <c r="S3574" i="1"/>
  <c r="S4265" i="1"/>
  <c r="S4106" i="1"/>
  <c r="S3899" i="1"/>
  <c r="S3732" i="1"/>
  <c r="S4244" i="1"/>
  <c r="S4085" i="1"/>
  <c r="S2550" i="1"/>
  <c r="S3711" i="1"/>
  <c r="S4223" i="1"/>
  <c r="S4752" i="1"/>
  <c r="S4569" i="1"/>
  <c r="S4402" i="1"/>
  <c r="S4914" i="1"/>
  <c r="S4755" i="1"/>
  <c r="S4580" i="1"/>
  <c r="S4413" i="1"/>
  <c r="S4925" i="1"/>
  <c r="S4727" i="1"/>
  <c r="S4694" i="1"/>
  <c r="S3662" i="1"/>
  <c r="S4270" i="1"/>
  <c r="S4291" i="1"/>
  <c r="S4124" i="1"/>
  <c r="S3965" i="1"/>
  <c r="S2430" i="1"/>
  <c r="S2942" i="1"/>
  <c r="S4103" i="1"/>
  <c r="S4632" i="1"/>
  <c r="S4449" i="1"/>
  <c r="S4961" i="1"/>
  <c r="S4794" i="1"/>
  <c r="S4635" i="1"/>
  <c r="S4460" i="1"/>
  <c r="S4972" i="1"/>
  <c r="S4805" i="1"/>
  <c r="S4607" i="1"/>
  <c r="S3766" i="1"/>
  <c r="S4374" i="1"/>
  <c r="S3302" i="1"/>
  <c r="S4126" i="1"/>
  <c r="S4004" i="1"/>
  <c r="S3845" i="1"/>
  <c r="S2310" i="1"/>
  <c r="S2822" i="1"/>
  <c r="S3983" i="1"/>
  <c r="S4512" i="1"/>
  <c r="S3094" i="1"/>
  <c r="S4841" i="1"/>
  <c r="S4674" i="1"/>
  <c r="S4515" i="1"/>
  <c r="S3214" i="1"/>
  <c r="S4852" i="1"/>
  <c r="S4685" i="1"/>
  <c r="S4487" i="1"/>
  <c r="S4999" i="1"/>
  <c r="S3462" i="1"/>
  <c r="S4046" i="1"/>
  <c r="S4766" i="1"/>
  <c r="S3820" i="1"/>
  <c r="S4332" i="1"/>
  <c r="S4173" i="1"/>
  <c r="S2638" i="1"/>
  <c r="S3799" i="1"/>
  <c r="S4311" i="1"/>
  <c r="S4840" i="1"/>
  <c r="S4657" i="1"/>
  <c r="S4490" i="1"/>
  <c r="S4843" i="1"/>
  <c r="S4668" i="1"/>
  <c r="S4501" i="1"/>
  <c r="S3110" i="1"/>
  <c r="S4815" i="1"/>
  <c r="S3686" i="1"/>
  <c r="S4350" i="1"/>
  <c r="S4974" i="1"/>
  <c r="S3700" i="1"/>
  <c r="S4212" i="1"/>
  <c r="S4053" i="1"/>
  <c r="S2518" i="1"/>
  <c r="S3679" i="1"/>
  <c r="S4191" i="1"/>
  <c r="S4720" i="1"/>
  <c r="S4537" i="1"/>
  <c r="S4370" i="1"/>
  <c r="S4882" i="1"/>
  <c r="S4723" i="1"/>
  <c r="S4548" i="1"/>
  <c r="S4381" i="1"/>
  <c r="S4893" i="1"/>
  <c r="S4695" i="1"/>
  <c r="S4470" i="1"/>
  <c r="S3406" i="1"/>
  <c r="S4006" i="1"/>
  <c r="S4854" i="1"/>
  <c r="S3954" i="1"/>
  <c r="S3747" i="1"/>
  <c r="S4259" i="1"/>
  <c r="S4092" i="1"/>
  <c r="S3933" i="1"/>
  <c r="S2398" i="1"/>
  <c r="S2910" i="1"/>
  <c r="S4071" i="1"/>
  <c r="S4600" i="1"/>
  <c r="S4417" i="1"/>
  <c r="S4929" i="1"/>
  <c r="S4762" i="1"/>
  <c r="S4603" i="1"/>
  <c r="S4428" i="1"/>
  <c r="S4940" i="1"/>
  <c r="S4773" i="1"/>
  <c r="S4575" i="1"/>
  <c r="S3494" i="1"/>
  <c r="S4118" i="1"/>
  <c r="S4750" i="1"/>
  <c r="S3862" i="1"/>
  <c r="S3972" i="1"/>
  <c r="S3813" i="1"/>
  <c r="S4325" i="1"/>
  <c r="S2790" i="1"/>
  <c r="S3951" i="1"/>
  <c r="S4480" i="1"/>
  <c r="S4992" i="1"/>
  <c r="S4809" i="1"/>
  <c r="S4642" i="1"/>
  <c r="S4483" i="1"/>
  <c r="S4995" i="1"/>
  <c r="S4820" i="1"/>
  <c r="S4653" i="1"/>
  <c r="S4455" i="1"/>
  <c r="S4967" i="1"/>
  <c r="S4926" i="1"/>
  <c r="S3790" i="1"/>
  <c r="S4542" i="1"/>
  <c r="S2621" i="1"/>
  <c r="S982" i="1"/>
  <c r="S1494" i="1"/>
  <c r="S2903" i="1"/>
  <c r="S3440" i="1"/>
  <c r="S3297" i="1"/>
  <c r="S3146" i="1"/>
  <c r="S3658" i="1"/>
  <c r="S3331" i="1"/>
  <c r="S3228" i="1"/>
  <c r="S3093" i="1"/>
  <c r="S3605" i="1"/>
  <c r="S1990" i="1"/>
  <c r="S3191" i="1"/>
  <c r="S3704" i="1"/>
  <c r="S4216" i="1"/>
  <c r="S4057" i="1"/>
  <c r="S4050" i="1"/>
  <c r="S4011" i="1"/>
  <c r="S2748" i="1"/>
  <c r="S2693" i="1"/>
  <c r="S1054" i="1"/>
  <c r="S2463" i="1"/>
  <c r="S2975" i="1"/>
  <c r="S3512" i="1"/>
  <c r="S3369" i="1"/>
  <c r="S3218" i="1"/>
  <c r="S2891" i="1"/>
  <c r="S3403" i="1"/>
  <c r="S3300" i="1"/>
  <c r="S3165" i="1"/>
  <c r="S3677" i="1"/>
  <c r="S2062" i="1"/>
  <c r="S3263" i="1"/>
  <c r="S3776" i="1"/>
  <c r="S4288" i="1"/>
  <c r="S4129" i="1"/>
  <c r="S4138" i="1"/>
  <c r="S4107" i="1"/>
  <c r="S2515" i="1"/>
  <c r="S2628" i="1"/>
  <c r="S2573" i="1"/>
  <c r="S934" i="1"/>
  <c r="S1446" i="1"/>
  <c r="S2855" i="1"/>
  <c r="S3392" i="1"/>
  <c r="S3249" i="1"/>
  <c r="S3098" i="1"/>
  <c r="S3610" i="1"/>
  <c r="S3283" i="1"/>
  <c r="S3180" i="1"/>
  <c r="S3045" i="1"/>
  <c r="S3557" i="1"/>
  <c r="S1942" i="1"/>
  <c r="S3143" i="1"/>
  <c r="S3655" i="1"/>
  <c r="S4168" i="1"/>
  <c r="S4009" i="1"/>
  <c r="S3986" i="1"/>
  <c r="S3947" i="1"/>
  <c r="S2700" i="1"/>
  <c r="S2645" i="1"/>
  <c r="S1006" i="1"/>
  <c r="S1518" i="1"/>
  <c r="S2927" i="1"/>
  <c r="S3464" i="1"/>
  <c r="S3321" i="1"/>
  <c r="S3170" i="1"/>
  <c r="S3682" i="1"/>
  <c r="S3355" i="1"/>
  <c r="S3252" i="1"/>
  <c r="S3117" i="1"/>
  <c r="S3629" i="1"/>
  <c r="S2014" i="1"/>
  <c r="S3215" i="1"/>
  <c r="S3728" i="1"/>
  <c r="S4240" i="1"/>
  <c r="S4081" i="1"/>
  <c r="S4074" i="1"/>
  <c r="S4043" i="1"/>
  <c r="S2781" i="1"/>
  <c r="S1142" i="1"/>
  <c r="S2551" i="1"/>
  <c r="S3088" i="1"/>
  <c r="S3600" i="1"/>
  <c r="S3457" i="1"/>
  <c r="S3306" i="1"/>
  <c r="S2979" i="1"/>
  <c r="S3491" i="1"/>
  <c r="S3388" i="1"/>
  <c r="S3253" i="1"/>
  <c r="S1638" i="1"/>
  <c r="S2150" i="1"/>
  <c r="S3351" i="1"/>
  <c r="S3864" i="1"/>
  <c r="S3705" i="1"/>
  <c r="S4249" i="1"/>
  <c r="S4258" i="1"/>
  <c r="S4227" i="1"/>
  <c r="S2908" i="1"/>
  <c r="S2853" i="1"/>
  <c r="S1214" i="1"/>
  <c r="S2623" i="1"/>
  <c r="S3160" i="1"/>
  <c r="S3672" i="1"/>
  <c r="S3529" i="1"/>
  <c r="S3378" i="1"/>
  <c r="S3051" i="1"/>
  <c r="S3563" i="1"/>
  <c r="S3460" i="1"/>
  <c r="S3325" i="1"/>
  <c r="S1710" i="1"/>
  <c r="S2222" i="1"/>
  <c r="S3423" i="1"/>
  <c r="S3936" i="1"/>
  <c r="S3777" i="1"/>
  <c r="S4345" i="1"/>
  <c r="S4354" i="1"/>
  <c r="S2994" i="1"/>
  <c r="S2611" i="1"/>
  <c r="S2724" i="1"/>
  <c r="S2669" i="1"/>
  <c r="S1030" i="1"/>
  <c r="S1542" i="1"/>
  <c r="S2951" i="1"/>
  <c r="S3488" i="1"/>
  <c r="S3345" i="1"/>
  <c r="S3194" i="1"/>
  <c r="S2867" i="1"/>
  <c r="S3379" i="1"/>
  <c r="S3276" i="1"/>
  <c r="S3141" i="1"/>
  <c r="S3653" i="1"/>
  <c r="S2038" i="1"/>
  <c r="S3239" i="1"/>
  <c r="S3752" i="1"/>
  <c r="S4264" i="1"/>
  <c r="S4105" i="1"/>
  <c r="S4114" i="1"/>
  <c r="S4075" i="1"/>
  <c r="S2796" i="1"/>
  <c r="S2741" i="1"/>
  <c r="S1102" i="1"/>
  <c r="S2511" i="1"/>
  <c r="S3048" i="1"/>
  <c r="S3560" i="1"/>
  <c r="S3417" i="1"/>
  <c r="S3266" i="1"/>
  <c r="S2939" i="1"/>
  <c r="S3451" i="1"/>
  <c r="S3348" i="1"/>
  <c r="S3213" i="1"/>
  <c r="S1598" i="1"/>
  <c r="S2110" i="1"/>
  <c r="S3311" i="1"/>
  <c r="S3824" i="1"/>
  <c r="S4336" i="1"/>
  <c r="S4193" i="1"/>
  <c r="S4202" i="1"/>
  <c r="S4171" i="1"/>
  <c r="S3980" i="1"/>
  <c r="S3821" i="1"/>
  <c r="S4333" i="1"/>
  <c r="S2798" i="1"/>
  <c r="S3959" i="1"/>
  <c r="S4488" i="1"/>
  <c r="S5000" i="1"/>
  <c r="S4817" i="1"/>
  <c r="S4650" i="1"/>
  <c r="S4491" i="1"/>
  <c r="S3046" i="1"/>
  <c r="S4828" i="1"/>
  <c r="S4661" i="1"/>
  <c r="S4463" i="1"/>
  <c r="S4975" i="1"/>
  <c r="S4990" i="1"/>
  <c r="S3854" i="1"/>
  <c r="S4598" i="1"/>
  <c r="S3722" i="1"/>
  <c r="S4234" i="1"/>
  <c r="S4027" i="1"/>
  <c r="S3860" i="1"/>
  <c r="S3701" i="1"/>
  <c r="S4213" i="1"/>
  <c r="S2678" i="1"/>
  <c r="S3839" i="1"/>
  <c r="S4368" i="1"/>
  <c r="S4880" i="1"/>
  <c r="S4697" i="1"/>
  <c r="S4530" i="1"/>
  <c r="S4371" i="1"/>
  <c r="S4883" i="1"/>
  <c r="S4708" i="1"/>
  <c r="S4541" i="1"/>
  <c r="S4343" i="1"/>
  <c r="S4855" i="1"/>
  <c r="S4014" i="1"/>
  <c r="S4678" i="1"/>
  <c r="S3638" i="1"/>
  <c r="S3740" i="1"/>
  <c r="S4252" i="1"/>
  <c r="S4093" i="1"/>
  <c r="S2558" i="1"/>
  <c r="S3719" i="1"/>
  <c r="S4231" i="1"/>
  <c r="S4760" i="1"/>
  <c r="S4577" i="1"/>
  <c r="S4410" i="1"/>
  <c r="S4922" i="1"/>
  <c r="S4763" i="1"/>
  <c r="S4588" i="1"/>
  <c r="S4421" i="1"/>
  <c r="S4933" i="1"/>
  <c r="S4735" i="1"/>
  <c r="S4758" i="1"/>
  <c r="S3718" i="1"/>
  <c r="S4334" i="1"/>
  <c r="S4299" i="1"/>
  <c r="S4132" i="1"/>
  <c r="S3973" i="1"/>
  <c r="S2438" i="1"/>
  <c r="S2950" i="1"/>
  <c r="S4111" i="1"/>
  <c r="S4640" i="1"/>
  <c r="S4457" i="1"/>
  <c r="S4969" i="1"/>
  <c r="S4802" i="1"/>
  <c r="S4643" i="1"/>
  <c r="S4468" i="1"/>
  <c r="S4980" i="1"/>
  <c r="S4813" i="1"/>
  <c r="S4615" i="1"/>
  <c r="S3830" i="1"/>
  <c r="S4438" i="1"/>
  <c r="S3374" i="1"/>
  <c r="S4190" i="1"/>
  <c r="S3948" i="1"/>
  <c r="S3789" i="1"/>
  <c r="S4301" i="1"/>
  <c r="S2766" i="1"/>
  <c r="S3927" i="1"/>
  <c r="S4456" i="1"/>
  <c r="S4968" i="1"/>
  <c r="S4785" i="1"/>
  <c r="S4618" i="1"/>
  <c r="S4459" i="1"/>
  <c r="S4971" i="1"/>
  <c r="S4796" i="1"/>
  <c r="S4629" i="1"/>
  <c r="S4431" i="1"/>
  <c r="S4943" i="1"/>
  <c r="S4734" i="1"/>
  <c r="S3606" i="1"/>
  <c r="S4366" i="1"/>
  <c r="S3828" i="1"/>
  <c r="S4340" i="1"/>
  <c r="S4181" i="1"/>
  <c r="S2646" i="1"/>
  <c r="S3807" i="1"/>
  <c r="S4319" i="1"/>
  <c r="S4848" i="1"/>
  <c r="S4665" i="1"/>
  <c r="S4498" i="1"/>
  <c r="S3078" i="1"/>
  <c r="S4851" i="1"/>
  <c r="S4676" i="1"/>
  <c r="S4509" i="1"/>
  <c r="S3150" i="1"/>
  <c r="S4823" i="1"/>
  <c r="S3750" i="1"/>
  <c r="S4414" i="1"/>
  <c r="S3334" i="1"/>
  <c r="S4241" i="1"/>
  <c r="S4082" i="1"/>
  <c r="S3875" i="1"/>
  <c r="S3708" i="1"/>
  <c r="S4220" i="1"/>
  <c r="S4061" i="1"/>
  <c r="S2526" i="1"/>
  <c r="S3687" i="1"/>
  <c r="S4199" i="1"/>
  <c r="S4728" i="1"/>
  <c r="S4545" i="1"/>
  <c r="S4378" i="1"/>
  <c r="S4890" i="1"/>
  <c r="S4731" i="1"/>
  <c r="S4556" i="1"/>
  <c r="S4389" i="1"/>
  <c r="S4901" i="1"/>
  <c r="S4703" i="1"/>
  <c r="S4534" i="1"/>
  <c r="S3470" i="1"/>
  <c r="S4070" i="1"/>
  <c r="S4918" i="1"/>
  <c r="S4100" i="1"/>
  <c r="S3941" i="1"/>
  <c r="S2406" i="1"/>
  <c r="S2918" i="1"/>
  <c r="S4079" i="1"/>
  <c r="S4608" i="1"/>
  <c r="S4425" i="1"/>
  <c r="S4937" i="1"/>
  <c r="S4770" i="1"/>
  <c r="S4611" i="1"/>
  <c r="S4436" i="1"/>
  <c r="S4948" i="1"/>
  <c r="S4781" i="1"/>
  <c r="S4583" i="1"/>
  <c r="S3558" i="1"/>
  <c r="S4182" i="1"/>
  <c r="S4814" i="1"/>
  <c r="S3926" i="1"/>
  <c r="S3840" i="1"/>
  <c r="S4352" i="1"/>
  <c r="S4217" i="1"/>
  <c r="S4226" i="1"/>
  <c r="S4187" i="1"/>
  <c r="S2579" i="1"/>
  <c r="S2692" i="1"/>
  <c r="S2637" i="1"/>
  <c r="S998" i="1"/>
  <c r="S1510" i="1"/>
  <c r="S2919" i="1"/>
  <c r="S3456" i="1"/>
  <c r="S3313" i="1"/>
  <c r="S3162" i="1"/>
  <c r="S3674" i="1"/>
  <c r="S3347" i="1"/>
  <c r="S3244" i="1"/>
  <c r="S3109" i="1"/>
  <c r="S3621" i="1"/>
  <c r="S2006" i="1"/>
  <c r="S3207" i="1"/>
  <c r="S3720" i="1"/>
  <c r="S4232" i="1"/>
  <c r="S4073" i="1"/>
  <c r="S4066" i="1"/>
  <c r="S4035" i="1"/>
  <c r="S2764" i="1"/>
  <c r="S2709" i="1"/>
  <c r="S1070" i="1"/>
  <c r="S2479" i="1"/>
  <c r="S2991" i="1"/>
  <c r="S3528" i="1"/>
  <c r="S3385" i="1"/>
  <c r="S3234" i="1"/>
  <c r="S2907" i="1"/>
  <c r="S3419" i="1"/>
  <c r="S3316" i="1"/>
  <c r="S3181" i="1"/>
  <c r="S1566" i="1"/>
  <c r="S2078" i="1"/>
  <c r="S3279" i="1"/>
  <c r="S3792" i="1"/>
  <c r="S4304" i="1"/>
  <c r="S4153" i="1"/>
  <c r="S4162" i="1"/>
  <c r="S4123" i="1"/>
  <c r="S2845" i="1"/>
  <c r="S1206" i="1"/>
  <c r="S2615" i="1"/>
  <c r="S3152" i="1"/>
  <c r="S3664" i="1"/>
  <c r="S3521" i="1"/>
  <c r="S3370" i="1"/>
  <c r="S3043" i="1"/>
  <c r="S3555" i="1"/>
  <c r="S3452" i="1"/>
  <c r="S3317" i="1"/>
  <c r="S1702" i="1"/>
  <c r="S2214" i="1"/>
  <c r="S3415" i="1"/>
  <c r="S3928" i="1"/>
  <c r="S3769" i="1"/>
  <c r="S4337" i="1"/>
  <c r="S4346" i="1"/>
  <c r="S2460" i="1"/>
  <c r="S2972" i="1"/>
  <c r="S2917" i="1"/>
  <c r="S1278" i="1"/>
  <c r="S2687" i="1"/>
  <c r="S3224" i="1"/>
  <c r="S3081" i="1"/>
  <c r="S3593" i="1"/>
  <c r="S3442" i="1"/>
  <c r="S3115" i="1"/>
  <c r="S3627" i="1"/>
  <c r="S3524" i="1"/>
  <c r="S3389" i="1"/>
  <c r="S1774" i="1"/>
  <c r="S2286" i="1"/>
  <c r="S3487" i="1"/>
  <c r="S4000" i="1"/>
  <c r="S3841" i="1"/>
  <c r="S3754" i="1"/>
  <c r="S3723" i="1"/>
  <c r="S2163" i="1"/>
  <c r="S2675" i="1"/>
  <c r="S2788" i="1"/>
  <c r="S2733" i="1"/>
  <c r="S1094" i="1"/>
  <c r="S2503" i="1"/>
  <c r="S3040" i="1"/>
  <c r="S3552" i="1"/>
  <c r="S3409" i="1"/>
  <c r="S3258" i="1"/>
  <c r="S2931" i="1"/>
  <c r="S3443" i="1"/>
  <c r="S3340" i="1"/>
  <c r="S3205" i="1"/>
  <c r="S1590" i="1"/>
  <c r="S2102" i="1"/>
  <c r="S3303" i="1"/>
  <c r="S3816" i="1"/>
  <c r="S4328" i="1"/>
  <c r="S4185" i="1"/>
  <c r="S4194" i="1"/>
  <c r="S4163" i="1"/>
  <c r="S2860" i="1"/>
  <c r="S2805" i="1"/>
  <c r="S1166" i="1"/>
  <c r="S2575" i="1"/>
  <c r="S3112" i="1"/>
  <c r="S3624" i="1"/>
  <c r="S3481" i="1"/>
  <c r="S3330" i="1"/>
  <c r="S3003" i="1"/>
  <c r="S3515" i="1"/>
  <c r="S3412" i="1"/>
  <c r="S3277" i="1"/>
  <c r="S1662" i="1"/>
  <c r="S2174" i="1"/>
  <c r="S3375" i="1"/>
  <c r="S3888" i="1"/>
  <c r="S3729" i="1"/>
  <c r="S4281" i="1"/>
  <c r="S4290" i="1"/>
  <c r="S4267" i="1"/>
  <c r="S4044" i="1"/>
  <c r="S3885" i="1"/>
  <c r="S2350" i="1"/>
  <c r="S2862" i="1"/>
  <c r="S4023" i="1"/>
  <c r="S4552" i="1"/>
  <c r="S4369" i="1"/>
  <c r="S4881" i="1"/>
  <c r="S4714" i="1"/>
  <c r="S4555" i="1"/>
  <c r="S4380" i="1"/>
  <c r="S4892" i="1"/>
  <c r="S4725" i="1"/>
  <c r="S4527" i="1"/>
  <c r="S3294" i="1"/>
  <c r="S3758" i="1"/>
  <c r="S4342" i="1"/>
  <c r="S3414" i="1"/>
  <c r="S3786" i="1"/>
  <c r="S4298" i="1"/>
  <c r="S4091" i="1"/>
  <c r="S3924" i="1"/>
  <c r="S3765" i="1"/>
  <c r="S4277" i="1"/>
  <c r="S2742" i="1"/>
  <c r="S3903" i="1"/>
  <c r="S4432" i="1"/>
  <c r="S4944" i="1"/>
  <c r="S4761" i="1"/>
  <c r="S4594" i="1"/>
  <c r="S4435" i="1"/>
  <c r="S4947" i="1"/>
  <c r="S4772" i="1"/>
  <c r="S4605" i="1"/>
  <c r="S4407" i="1"/>
  <c r="S4919" i="1"/>
  <c r="S4526" i="1"/>
  <c r="S3422" i="1"/>
  <c r="S4174" i="1"/>
  <c r="S3804" i="1"/>
  <c r="S4316" i="1"/>
  <c r="S4157" i="1"/>
  <c r="S2622" i="1"/>
  <c r="S3783" i="1"/>
  <c r="S4295" i="1"/>
  <c r="S4824" i="1"/>
  <c r="S4641" i="1"/>
  <c r="S4474" i="1"/>
  <c r="S4986" i="1"/>
  <c r="S4827" i="1"/>
  <c r="S4652" i="1"/>
  <c r="S4485" i="1"/>
  <c r="S4997" i="1"/>
  <c r="S4799" i="1"/>
  <c r="S3566" i="1"/>
  <c r="S4222" i="1"/>
  <c r="S4846" i="1"/>
  <c r="S3684" i="1"/>
  <c r="S4196" i="1"/>
  <c r="S4037" i="1"/>
  <c r="S2502" i="1"/>
  <c r="S3014" i="1"/>
  <c r="S4175" i="1"/>
  <c r="S4704" i="1"/>
  <c r="S4521" i="1"/>
  <c r="S3254" i="1"/>
  <c r="S4866" i="1"/>
  <c r="S4707" i="1"/>
  <c r="S4532" i="1"/>
  <c r="S4365" i="1"/>
  <c r="S4877" i="1"/>
  <c r="S4679" i="1"/>
  <c r="S4358" i="1"/>
  <c r="S4966" i="1"/>
  <c r="S3878" i="1"/>
  <c r="S4726" i="1"/>
  <c r="S4012" i="1"/>
  <c r="S3853" i="1"/>
  <c r="S2318" i="1"/>
  <c r="S2830" i="1"/>
  <c r="S3991" i="1"/>
  <c r="S4520" i="1"/>
  <c r="S3142" i="1"/>
  <c r="S4849" i="1"/>
  <c r="S4682" i="1"/>
  <c r="S4523" i="1"/>
  <c r="S3270" i="1"/>
  <c r="S4860" i="1"/>
  <c r="S4693" i="1"/>
  <c r="S4495" i="1"/>
  <c r="S3070" i="1"/>
  <c r="S3526" i="1"/>
  <c r="S4102" i="1"/>
  <c r="S4830" i="1"/>
  <c r="S3892" i="1"/>
  <c r="S3733" i="1"/>
  <c r="S4245" i="1"/>
  <c r="S2710" i="1"/>
  <c r="S3871" i="1"/>
  <c r="S4400" i="1"/>
  <c r="S4912" i="1"/>
  <c r="S4729" i="1"/>
  <c r="S4562" i="1"/>
  <c r="S4403" i="1"/>
  <c r="S4915" i="1"/>
  <c r="S4740" i="1"/>
  <c r="S4573" i="1"/>
  <c r="S4375" i="1"/>
  <c r="S4887" i="1"/>
  <c r="S4262" i="1"/>
  <c r="S4934" i="1"/>
  <c r="S3902" i="1"/>
  <c r="S4305" i="1"/>
  <c r="S4146" i="1"/>
  <c r="S3939" i="1"/>
  <c r="S3772" i="1"/>
  <c r="S4284" i="1"/>
  <c r="S4125" i="1"/>
  <c r="S2590" i="1"/>
  <c r="S3751" i="1"/>
  <c r="S4263" i="1"/>
  <c r="S4792" i="1"/>
  <c r="S4609" i="1"/>
  <c r="S4442" i="1"/>
  <c r="S4954" i="1"/>
  <c r="S4795" i="1"/>
  <c r="S4620" i="1"/>
  <c r="S4453" i="1"/>
  <c r="S4965" i="1"/>
  <c r="S4767" i="1"/>
  <c r="S3310" i="1"/>
  <c r="S3974" i="1"/>
  <c r="S4574" i="1"/>
  <c r="S4331" i="1"/>
  <c r="S4164" i="1"/>
  <c r="S4005" i="1"/>
  <c r="S2470" i="1"/>
  <c r="S2982" i="1"/>
  <c r="S4143" i="1"/>
  <c r="S4672" i="1"/>
  <c r="S4489" i="1"/>
  <c r="S3062" i="1"/>
  <c r="S4834" i="1"/>
  <c r="S4675" i="1"/>
  <c r="S4500" i="1"/>
  <c r="S3126" i="1"/>
  <c r="S4845" i="1"/>
  <c r="S4647" i="1"/>
  <c r="S4094" i="1"/>
  <c r="S4710" i="1"/>
  <c r="S3614" i="1"/>
  <c r="S4446" i="1"/>
  <c r="S2026" i="1"/>
  <c r="S1451" i="1"/>
  <c r="S1963" i="1"/>
  <c r="S2124" i="1"/>
  <c r="S1965" i="1"/>
  <c r="S694" i="1"/>
  <c r="S2111" i="1"/>
  <c r="S2624" i="1"/>
  <c r="S2569" i="1"/>
  <c r="S2514" i="1"/>
  <c r="S2147" i="1"/>
  <c r="S2452" i="1"/>
  <c r="S2749" i="1"/>
  <c r="S1110" i="1"/>
  <c r="S2519" i="1"/>
  <c r="S3056" i="1"/>
  <c r="S3568" i="1"/>
  <c r="S3425" i="1"/>
  <c r="S3274" i="1"/>
  <c r="S2947" i="1"/>
  <c r="S3459" i="1"/>
  <c r="S3356" i="1"/>
  <c r="S3221" i="1"/>
  <c r="S1606" i="1"/>
  <c r="S2118" i="1"/>
  <c r="S3319" i="1"/>
  <c r="S3832" i="1"/>
  <c r="S4344" i="1"/>
  <c r="S4209" i="1"/>
  <c r="S4218" i="1"/>
  <c r="S4179" i="1"/>
  <c r="S2876" i="1"/>
  <c r="S2821" i="1"/>
  <c r="S1182" i="1"/>
  <c r="S2591" i="1"/>
  <c r="S3128" i="1"/>
  <c r="S3640" i="1"/>
  <c r="S3497" i="1"/>
  <c r="S3346" i="1"/>
  <c r="S3019" i="1"/>
  <c r="S3531" i="1"/>
  <c r="S3428" i="1"/>
  <c r="S3293" i="1"/>
  <c r="S1678" i="1"/>
  <c r="S2190" i="1"/>
  <c r="S3391" i="1"/>
  <c r="S3904" i="1"/>
  <c r="S3745" i="1"/>
  <c r="S4297" i="1"/>
  <c r="S4314" i="1"/>
  <c r="S2131" i="1"/>
  <c r="S2643" i="1"/>
  <c r="S2756" i="1"/>
  <c r="S2701" i="1"/>
  <c r="S1062" i="1"/>
  <c r="S2471" i="1"/>
  <c r="S2983" i="1"/>
  <c r="S3520" i="1"/>
  <c r="S3377" i="1"/>
  <c r="S3226" i="1"/>
  <c r="S2899" i="1"/>
  <c r="S3411" i="1"/>
  <c r="S3308" i="1"/>
  <c r="S3173" i="1"/>
  <c r="S1558" i="1"/>
  <c r="S2070" i="1"/>
  <c r="S3271" i="1"/>
  <c r="S3784" i="1"/>
  <c r="S4296" i="1"/>
  <c r="S4145" i="1"/>
  <c r="S4154" i="1"/>
  <c r="S4115" i="1"/>
  <c r="S2828" i="1"/>
  <c r="S2773" i="1"/>
  <c r="S1134" i="1"/>
  <c r="S2543" i="1"/>
  <c r="S3080" i="1"/>
  <c r="S3592" i="1"/>
  <c r="S3449" i="1"/>
  <c r="S3298" i="1"/>
  <c r="S2971" i="1"/>
  <c r="S3483" i="1"/>
  <c r="S3380" i="1"/>
  <c r="S3245" i="1"/>
  <c r="S1630" i="1"/>
  <c r="S2142" i="1"/>
  <c r="S3343" i="1"/>
  <c r="S3856" i="1"/>
  <c r="S3697" i="1"/>
  <c r="S4233" i="1"/>
  <c r="S4250" i="1"/>
  <c r="S4211" i="1"/>
  <c r="S2909" i="1"/>
  <c r="S1270" i="1"/>
  <c r="S2679" i="1"/>
  <c r="S3216" i="1"/>
  <c r="S3073" i="1"/>
  <c r="S3585" i="1"/>
  <c r="S3434" i="1"/>
  <c r="S3107" i="1"/>
  <c r="S3619" i="1"/>
  <c r="S3516" i="1"/>
  <c r="S3381" i="1"/>
  <c r="S1766" i="1"/>
  <c r="S2278" i="1"/>
  <c r="S3479" i="1"/>
  <c r="S3992" i="1"/>
  <c r="S3833" i="1"/>
  <c r="S3746" i="1"/>
  <c r="S3715" i="1"/>
  <c r="S2524" i="1"/>
  <c r="S2469" i="1"/>
  <c r="S2981" i="1"/>
  <c r="S1342" i="1"/>
  <c r="S2751" i="1"/>
  <c r="S3288" i="1"/>
  <c r="S3145" i="1"/>
  <c r="S3657" i="1"/>
  <c r="S3506" i="1"/>
  <c r="S3179" i="1"/>
  <c r="S3076" i="1"/>
  <c r="S3588" i="1"/>
  <c r="S3453" i="1"/>
  <c r="S1838" i="1"/>
  <c r="S3039" i="1"/>
  <c r="S3551" i="1"/>
  <c r="S4064" i="1"/>
  <c r="S3905" i="1"/>
  <c r="S3842" i="1"/>
  <c r="S3803" i="1"/>
  <c r="S2227" i="1"/>
  <c r="S2739" i="1"/>
  <c r="S2852" i="1"/>
  <c r="S2797" i="1"/>
  <c r="S1158" i="1"/>
  <c r="S2567" i="1"/>
  <c r="S3104" i="1"/>
  <c r="S3616" i="1"/>
  <c r="S3473" i="1"/>
  <c r="S3322" i="1"/>
  <c r="S2995" i="1"/>
  <c r="S3507" i="1"/>
  <c r="S3404" i="1"/>
  <c r="S3269" i="1"/>
  <c r="S1654" i="1"/>
  <c r="S2166" i="1"/>
  <c r="S3367" i="1"/>
  <c r="S3880" i="1"/>
  <c r="S3721" i="1"/>
  <c r="S4273" i="1"/>
  <c r="S4282" i="1"/>
  <c r="S4251" i="1"/>
  <c r="S2924" i="1"/>
  <c r="S2869" i="1"/>
  <c r="S1230" i="1"/>
  <c r="S2639" i="1"/>
  <c r="S3176" i="1"/>
  <c r="S3033" i="1"/>
  <c r="S3545" i="1"/>
  <c r="S3394" i="1"/>
  <c r="S3067" i="1"/>
  <c r="S3579" i="1"/>
  <c r="S3476" i="1"/>
  <c r="S3341" i="1"/>
  <c r="S1726" i="1"/>
  <c r="S2238" i="1"/>
  <c r="S3439" i="1"/>
  <c r="S3952" i="1"/>
  <c r="S3793" i="1"/>
  <c r="S3690" i="1"/>
  <c r="S3659" i="1"/>
  <c r="S4275" i="1"/>
  <c r="S4108" i="1"/>
  <c r="S3949" i="1"/>
  <c r="S2414" i="1"/>
  <c r="S2926" i="1"/>
  <c r="S4087" i="1"/>
  <c r="S4616" i="1"/>
  <c r="S4433" i="1"/>
  <c r="S4945" i="1"/>
  <c r="S4778" i="1"/>
  <c r="S4619" i="1"/>
  <c r="S4444" i="1"/>
  <c r="S4956" i="1"/>
  <c r="S4789" i="1"/>
  <c r="S4591" i="1"/>
  <c r="S3630" i="1"/>
  <c r="S4246" i="1"/>
  <c r="S4894" i="1"/>
  <c r="S3998" i="1"/>
  <c r="S3850" i="1"/>
  <c r="S3643" i="1"/>
  <c r="S4155" i="1"/>
  <c r="S3988" i="1"/>
  <c r="S3829" i="1"/>
  <c r="S4341" i="1"/>
  <c r="S2806" i="1"/>
  <c r="S3967" i="1"/>
  <c r="S4496" i="1"/>
  <c r="S5001" i="1"/>
  <c r="S4825" i="1"/>
  <c r="S4658" i="1"/>
  <c r="S4499" i="1"/>
  <c r="S3118" i="1"/>
  <c r="S4836" i="1"/>
  <c r="S4669" i="1"/>
  <c r="S4471" i="1"/>
  <c r="S4983" i="1"/>
  <c r="S3326" i="1"/>
  <c r="S3918" i="1"/>
  <c r="S4654" i="1"/>
  <c r="S3868" i="1"/>
  <c r="S3709" i="1"/>
  <c r="S4221" i="1"/>
  <c r="S2686" i="1"/>
  <c r="S3847" i="1"/>
  <c r="S4376" i="1"/>
  <c r="S4888" i="1"/>
  <c r="S4705" i="1"/>
  <c r="S4538" i="1"/>
  <c r="S4379" i="1"/>
  <c r="S4891" i="1"/>
  <c r="S4716" i="1"/>
  <c r="S4549" i="1"/>
  <c r="S4351" i="1"/>
  <c r="S4863" i="1"/>
  <c r="S4078" i="1"/>
  <c r="S4742" i="1"/>
  <c r="S3710" i="1"/>
  <c r="S3748" i="1"/>
  <c r="S4260" i="1"/>
  <c r="S4101" i="1"/>
  <c r="S2566" i="1"/>
  <c r="S3727" i="1"/>
  <c r="S4239" i="1"/>
  <c r="S4768" i="1"/>
  <c r="S4585" i="1"/>
  <c r="S4418" i="1"/>
  <c r="S4930" i="1"/>
  <c r="S4771" i="1"/>
  <c r="S4596" i="1"/>
  <c r="S4429" i="1"/>
  <c r="S4941" i="1"/>
  <c r="S4743" i="1"/>
  <c r="S4822" i="1"/>
  <c r="S3782" i="1"/>
  <c r="S4398" i="1"/>
  <c r="S4243" i="1"/>
  <c r="S4076" i="1"/>
  <c r="S3917" i="1"/>
  <c r="S2382" i="1"/>
  <c r="S2894" i="1"/>
  <c r="S4055" i="1"/>
  <c r="S4584" i="1"/>
  <c r="S4401" i="1"/>
  <c r="S4913" i="1"/>
  <c r="S4746" i="1"/>
  <c r="S4587" i="1"/>
  <c r="S4412" i="1"/>
  <c r="S4924" i="1"/>
  <c r="S4757" i="1"/>
  <c r="S4559" i="1"/>
  <c r="S3398" i="1"/>
  <c r="S3990" i="1"/>
  <c r="S4622" i="1"/>
  <c r="S3734" i="1"/>
  <c r="S3956" i="1"/>
  <c r="S3797" i="1"/>
  <c r="S4309" i="1"/>
  <c r="S2774" i="1"/>
  <c r="S3935" i="1"/>
  <c r="S4464" i="1"/>
  <c r="S4976" i="1"/>
  <c r="S4793" i="1"/>
  <c r="S4626" i="1"/>
  <c r="S4467" i="1"/>
  <c r="S4979" i="1"/>
  <c r="S4804" i="1"/>
  <c r="S4637" i="1"/>
  <c r="S4439" i="1"/>
  <c r="S4951" i="1"/>
  <c r="S4798" i="1"/>
  <c r="S3670" i="1"/>
  <c r="S4430" i="1"/>
  <c r="S3698" i="1"/>
  <c r="S4210" i="1"/>
  <c r="S4003" i="1"/>
  <c r="S3836" i="1"/>
  <c r="S4348" i="1"/>
  <c r="S4189" i="1"/>
  <c r="S2654" i="1"/>
  <c r="S3815" i="1"/>
  <c r="S4327" i="1"/>
  <c r="S4856" i="1"/>
  <c r="S4673" i="1"/>
  <c r="S4506" i="1"/>
  <c r="S3246" i="1"/>
  <c r="S4859" i="1"/>
  <c r="S4684" i="1"/>
  <c r="S4517" i="1"/>
  <c r="S3206" i="1"/>
  <c r="S4831" i="1"/>
  <c r="S3822" i="1"/>
  <c r="S4478" i="1"/>
  <c r="S3454" i="1"/>
  <c r="S3716" i="1"/>
  <c r="S4228" i="1"/>
  <c r="S4069" i="1"/>
  <c r="S2534" i="1"/>
  <c r="S3695" i="1"/>
  <c r="S4207" i="1"/>
  <c r="S4736" i="1"/>
  <c r="S4553" i="1"/>
  <c r="S4386" i="1"/>
  <c r="S4898" i="1"/>
  <c r="S4739" i="1"/>
  <c r="S4564" i="1"/>
  <c r="S4397" i="1"/>
  <c r="S4909" i="1"/>
  <c r="S4711" i="1"/>
  <c r="S4590" i="1"/>
  <c r="S3542" i="1"/>
  <c r="S4142" i="1"/>
  <c r="S4982" i="1"/>
  <c r="S3285" i="1"/>
  <c r="S1670" i="1"/>
  <c r="S2182" i="1"/>
  <c r="S3383" i="1"/>
  <c r="S3896" i="1"/>
  <c r="S3737" i="1"/>
  <c r="S4289" i="1"/>
  <c r="S4306" i="1"/>
  <c r="S2827" i="1"/>
  <c r="S2940" i="1"/>
  <c r="S2885" i="1"/>
  <c r="S1246" i="1"/>
  <c r="S2655" i="1"/>
  <c r="S3192" i="1"/>
  <c r="S3049" i="1"/>
  <c r="S3561" i="1"/>
  <c r="S3410" i="1"/>
  <c r="S3083" i="1"/>
  <c r="S3595" i="1"/>
  <c r="S3492" i="1"/>
  <c r="S3357" i="1"/>
  <c r="S1742" i="1"/>
  <c r="S2254" i="1"/>
  <c r="S3455" i="1"/>
  <c r="S3968" i="1"/>
  <c r="S3809" i="1"/>
  <c r="S3714" i="1"/>
  <c r="S3675" i="1"/>
  <c r="S2195" i="1"/>
  <c r="S2707" i="1"/>
  <c r="S2820" i="1"/>
  <c r="S2765" i="1"/>
  <c r="S1126" i="1"/>
  <c r="S2535" i="1"/>
  <c r="S3072" i="1"/>
  <c r="S3584" i="1"/>
  <c r="S3441" i="1"/>
  <c r="S3290" i="1"/>
  <c r="S2963" i="1"/>
  <c r="S3475" i="1"/>
  <c r="S3372" i="1"/>
  <c r="S3237" i="1"/>
  <c r="S1622" i="1"/>
  <c r="S2134" i="1"/>
  <c r="S3335" i="1"/>
  <c r="S3848" i="1"/>
  <c r="S3689" i="1"/>
  <c r="S4225" i="1"/>
  <c r="S4242" i="1"/>
  <c r="S4203" i="1"/>
  <c r="S2892" i="1"/>
  <c r="S2837" i="1"/>
  <c r="S1198" i="1"/>
  <c r="S2607" i="1"/>
  <c r="S3144" i="1"/>
  <c r="S3656" i="1"/>
  <c r="S3513" i="1"/>
  <c r="S3362" i="1"/>
  <c r="S3035" i="1"/>
  <c r="S3547" i="1"/>
  <c r="S3444" i="1"/>
  <c r="S3309" i="1"/>
  <c r="S1694" i="1"/>
  <c r="S2206" i="1"/>
  <c r="S3407" i="1"/>
  <c r="S3920" i="1"/>
  <c r="S3761" i="1"/>
  <c r="S4321" i="1"/>
  <c r="S4330" i="1"/>
  <c r="S2461" i="1"/>
  <c r="S2973" i="1"/>
  <c r="S1334" i="1"/>
  <c r="S2743" i="1"/>
  <c r="S3280" i="1"/>
  <c r="S3137" i="1"/>
  <c r="S3649" i="1"/>
  <c r="S3498" i="1"/>
  <c r="S3171" i="1"/>
  <c r="S3068" i="1"/>
  <c r="S3580" i="1"/>
  <c r="S3445" i="1"/>
  <c r="S1830" i="1"/>
  <c r="S3031" i="1"/>
  <c r="S3543" i="1"/>
  <c r="S4056" i="1"/>
  <c r="S3897" i="1"/>
  <c r="S3834" i="1"/>
  <c r="S3795" i="1"/>
  <c r="S2588" i="1"/>
  <c r="S2533" i="1"/>
  <c r="S894" i="1"/>
  <c r="S1406" i="1"/>
  <c r="S2815" i="1"/>
  <c r="S3352" i="1"/>
  <c r="S3209" i="1"/>
  <c r="S3058" i="1"/>
  <c r="S3570" i="1"/>
  <c r="S3243" i="1"/>
  <c r="S3140" i="1"/>
  <c r="S3652" i="1"/>
  <c r="S3517" i="1"/>
  <c r="S1902" i="1"/>
  <c r="S3103" i="1"/>
  <c r="S3615" i="1"/>
  <c r="S4128" i="1"/>
  <c r="S3969" i="1"/>
  <c r="S3930" i="1"/>
  <c r="S3891" i="1"/>
  <c r="S2291" i="1"/>
  <c r="S2803" i="1"/>
  <c r="S2916" i="1"/>
  <c r="S2861" i="1"/>
  <c r="S1222" i="1"/>
  <c r="S2631" i="1"/>
  <c r="S3168" i="1"/>
  <c r="S3025" i="1"/>
  <c r="S3537" i="1"/>
  <c r="S3386" i="1"/>
  <c r="S3059" i="1"/>
  <c r="S3571" i="1"/>
  <c r="S3468" i="1"/>
  <c r="S3333" i="1"/>
  <c r="S1718" i="1"/>
  <c r="S2230" i="1"/>
  <c r="S3431" i="1"/>
  <c r="S3944" i="1"/>
  <c r="S3785" i="1"/>
  <c r="S4353" i="1"/>
  <c r="S3651" i="1"/>
  <c r="S2476" i="1"/>
  <c r="S2988" i="1"/>
  <c r="S2933" i="1"/>
  <c r="S1294" i="1"/>
  <c r="S2703" i="1"/>
  <c r="S3240" i="1"/>
  <c r="S3097" i="1"/>
  <c r="S3609" i="1"/>
  <c r="S3458" i="1"/>
  <c r="S3131" i="1"/>
  <c r="S3028" i="1"/>
  <c r="S3540" i="1"/>
  <c r="S3405" i="1"/>
  <c r="S1790" i="1"/>
  <c r="S2302" i="1"/>
  <c r="S3503" i="1"/>
  <c r="S4016" i="1"/>
  <c r="S3857" i="1"/>
  <c r="S3778" i="1"/>
  <c r="S3739" i="1"/>
  <c r="S4339" i="1"/>
  <c r="S4172" i="1"/>
  <c r="S4013" i="1"/>
  <c r="S2478" i="1"/>
  <c r="S2990" i="1"/>
  <c r="S4151" i="1"/>
  <c r="S4680" i="1"/>
  <c r="S4497" i="1"/>
  <c r="S3134" i="1"/>
  <c r="S4842" i="1"/>
  <c r="S4683" i="1"/>
  <c r="S4508" i="1"/>
  <c r="S3182" i="1"/>
  <c r="S4853" i="1"/>
  <c r="S4655" i="1"/>
  <c r="S4166" i="1"/>
  <c r="S4774" i="1"/>
  <c r="S3678" i="1"/>
  <c r="S4510" i="1"/>
  <c r="S3914" i="1"/>
  <c r="S3707" i="1"/>
  <c r="S4219" i="1"/>
  <c r="S4052" i="1"/>
  <c r="S3893" i="1"/>
  <c r="S2358" i="1"/>
  <c r="S2870" i="1"/>
  <c r="S4031" i="1"/>
  <c r="S4560" i="1"/>
  <c r="S4377" i="1"/>
  <c r="S4889" i="1"/>
  <c r="S4722" i="1"/>
  <c r="S4563" i="1"/>
  <c r="S4388" i="1"/>
  <c r="S4900" i="1"/>
  <c r="S4733" i="1"/>
  <c r="S4535" i="1"/>
  <c r="S3342" i="1"/>
  <c r="S3814" i="1"/>
  <c r="S4406" i="1"/>
  <c r="S3510" i="1"/>
  <c r="S3932" i="1"/>
  <c r="S3773" i="1"/>
  <c r="S4285" i="1"/>
  <c r="S2750" i="1"/>
  <c r="S3911" i="1"/>
  <c r="S4440" i="1"/>
  <c r="S4952" i="1"/>
  <c r="S4769" i="1"/>
  <c r="S4602" i="1"/>
  <c r="S4443" i="1"/>
  <c r="S4955" i="1"/>
  <c r="S4780" i="1"/>
  <c r="S4613" i="1"/>
  <c r="S4415" i="1"/>
  <c r="S4927" i="1"/>
  <c r="S4606" i="1"/>
  <c r="S3478" i="1"/>
  <c r="S4238" i="1"/>
  <c r="S3812" i="1"/>
  <c r="S4324" i="1"/>
  <c r="S4165" i="1"/>
  <c r="S2630" i="1"/>
  <c r="S3791" i="1"/>
  <c r="S4303" i="1"/>
  <c r="S4832" i="1"/>
  <c r="S4649" i="1"/>
  <c r="S4482" i="1"/>
  <c r="S4994" i="1"/>
  <c r="S4835" i="1"/>
  <c r="S4660" i="1"/>
  <c r="S4493" i="1"/>
  <c r="S3054" i="1"/>
  <c r="S4807" i="1"/>
  <c r="S3622" i="1"/>
  <c r="S4286" i="1"/>
  <c r="S4910" i="1"/>
  <c r="S4307" i="1"/>
  <c r="S4140" i="1"/>
  <c r="S3981" i="1"/>
  <c r="S2446" i="1"/>
  <c r="S2958" i="1"/>
  <c r="S4119" i="1"/>
  <c r="S4648" i="1"/>
  <c r="S4465" i="1"/>
  <c r="S4977" i="1"/>
  <c r="S4810" i="1"/>
  <c r="S4651" i="1"/>
  <c r="S4476" i="1"/>
  <c r="S4988" i="1"/>
  <c r="S4821" i="1"/>
  <c r="S4623" i="1"/>
  <c r="S3894" i="1"/>
  <c r="S4502" i="1"/>
  <c r="S3430" i="1"/>
  <c r="S4254" i="1"/>
  <c r="S4020" i="1"/>
  <c r="S3861" i="1"/>
  <c r="S2326" i="1"/>
  <c r="S2838" i="1"/>
  <c r="S3999" i="1"/>
  <c r="S4528" i="1"/>
  <c r="S3190" i="1"/>
  <c r="S4857" i="1"/>
  <c r="S4690" i="1"/>
  <c r="S4531" i="1"/>
  <c r="S4356" i="1"/>
  <c r="S4868" i="1"/>
  <c r="S4701" i="1"/>
  <c r="S4503" i="1"/>
  <c r="S3102" i="1"/>
  <c r="S3582" i="1"/>
  <c r="S4158" i="1"/>
  <c r="S4886" i="1"/>
  <c r="S3762" i="1"/>
  <c r="S4274" i="1"/>
  <c r="S4067" i="1"/>
  <c r="S3900" i="1"/>
  <c r="S3741" i="1"/>
  <c r="S4253" i="1"/>
  <c r="S2718" i="1"/>
  <c r="S3879" i="1"/>
  <c r="S4408" i="1"/>
  <c r="S4920" i="1"/>
  <c r="S4737" i="1"/>
  <c r="S4570" i="1"/>
  <c r="S4411" i="1"/>
  <c r="S4923" i="1"/>
  <c r="S4748" i="1"/>
  <c r="S4581" i="1"/>
  <c r="S4383" i="1"/>
  <c r="S4895" i="1"/>
  <c r="S4326" i="1"/>
  <c r="S4998" i="1"/>
  <c r="S3966" i="1"/>
  <c r="S3780" i="1"/>
  <c r="S4292" i="1"/>
  <c r="S4133" i="1"/>
  <c r="S2598" i="1"/>
  <c r="S3759" i="1"/>
  <c r="S4271" i="1"/>
  <c r="S4800" i="1"/>
  <c r="S4617" i="1"/>
  <c r="S4450" i="1"/>
  <c r="S4962" i="1"/>
  <c r="S4803" i="1"/>
  <c r="S4628" i="1"/>
  <c r="S4461" i="1"/>
  <c r="S4973" i="1"/>
  <c r="S4775" i="1"/>
  <c r="S3382" i="1"/>
  <c r="S4030" i="1"/>
  <c r="S4646" i="1"/>
  <c r="S2964" i="1"/>
  <c r="S2877" i="1"/>
  <c r="S1238" i="1"/>
  <c r="S2647" i="1"/>
  <c r="S3184" i="1"/>
  <c r="S3041" i="1"/>
  <c r="S3553" i="1"/>
  <c r="S3402" i="1"/>
  <c r="S3075" i="1"/>
  <c r="S3587" i="1"/>
  <c r="S3484" i="1"/>
  <c r="S3349" i="1"/>
  <c r="S1734" i="1"/>
  <c r="S2246" i="1"/>
  <c r="S3447" i="1"/>
  <c r="S3960" i="1"/>
  <c r="S3801" i="1"/>
  <c r="S3706" i="1"/>
  <c r="S3667" i="1"/>
  <c r="S2492" i="1"/>
  <c r="S3004" i="1"/>
  <c r="S2949" i="1"/>
  <c r="S1310" i="1"/>
  <c r="S2719" i="1"/>
  <c r="S3256" i="1"/>
  <c r="S3113" i="1"/>
  <c r="S3625" i="1"/>
  <c r="S3474" i="1"/>
  <c r="S3147" i="1"/>
  <c r="S3044" i="1"/>
  <c r="S3556" i="1"/>
  <c r="S3421" i="1"/>
  <c r="S1806" i="1"/>
  <c r="S3007" i="1"/>
  <c r="S3519" i="1"/>
  <c r="S4032" i="1"/>
  <c r="S3873" i="1"/>
  <c r="S3802" i="1"/>
  <c r="S3763" i="1"/>
  <c r="S2259" i="1"/>
  <c r="S2771" i="1"/>
  <c r="S2884" i="1"/>
  <c r="S2829" i="1"/>
  <c r="S1190" i="1"/>
  <c r="S2599" i="1"/>
  <c r="S3136" i="1"/>
  <c r="S3648" i="1"/>
  <c r="S3505" i="1"/>
  <c r="S3354" i="1"/>
  <c r="S3027" i="1"/>
  <c r="S3539" i="1"/>
  <c r="S3436" i="1"/>
  <c r="S3301" i="1"/>
  <c r="S1686" i="1"/>
  <c r="S2198" i="1"/>
  <c r="S3399" i="1"/>
  <c r="S3912" i="1"/>
  <c r="S3753" i="1"/>
  <c r="S4313" i="1"/>
  <c r="S4322" i="1"/>
  <c r="S2843" i="1"/>
  <c r="S2956" i="1"/>
  <c r="S2901" i="1"/>
  <c r="S1262" i="1"/>
  <c r="S2671" i="1"/>
  <c r="S3208" i="1"/>
  <c r="S3065" i="1"/>
  <c r="S3577" i="1"/>
  <c r="S3426" i="1"/>
  <c r="S3099" i="1"/>
  <c r="S3611" i="1"/>
  <c r="S3508" i="1"/>
  <c r="S3373" i="1"/>
  <c r="S1758" i="1"/>
  <c r="S2270" i="1"/>
  <c r="S3471" i="1"/>
  <c r="S3984" i="1"/>
  <c r="S3825" i="1"/>
  <c r="S3738" i="1"/>
  <c r="S3699" i="1"/>
  <c r="S2525" i="1"/>
  <c r="S886" i="1"/>
  <c r="S1398" i="1"/>
  <c r="S2807" i="1"/>
  <c r="S3344" i="1"/>
  <c r="S3201" i="1"/>
  <c r="S3050" i="1"/>
  <c r="S3562" i="1"/>
  <c r="S3235" i="1"/>
  <c r="S3132" i="1"/>
  <c r="S3644" i="1"/>
  <c r="S3509" i="1"/>
  <c r="S1894" i="1"/>
  <c r="S3095" i="1"/>
  <c r="S3607" i="1"/>
  <c r="S4120" i="1"/>
  <c r="S3961" i="1"/>
  <c r="S3922" i="1"/>
  <c r="S3883" i="1"/>
  <c r="S2652" i="1"/>
  <c r="S2597" i="1"/>
  <c r="S958" i="1"/>
  <c r="S1470" i="1"/>
  <c r="S2879" i="1"/>
  <c r="S3416" i="1"/>
  <c r="S3273" i="1"/>
  <c r="S3122" i="1"/>
  <c r="S3634" i="1"/>
  <c r="S3307" i="1"/>
  <c r="S3204" i="1"/>
  <c r="S3069" i="1"/>
  <c r="S3581" i="1"/>
  <c r="S1966" i="1"/>
  <c r="S3167" i="1"/>
  <c r="S3680" i="1"/>
  <c r="S4192" i="1"/>
  <c r="S4033" i="1"/>
  <c r="S4010" i="1"/>
  <c r="S3979" i="1"/>
  <c r="S2355" i="1"/>
  <c r="S2468" i="1"/>
  <c r="S2980" i="1"/>
  <c r="S2925" i="1"/>
  <c r="S1286" i="1"/>
  <c r="S2695" i="1"/>
  <c r="S3232" i="1"/>
  <c r="S3089" i="1"/>
  <c r="S3601" i="1"/>
  <c r="S3450" i="1"/>
  <c r="S3123" i="1"/>
  <c r="S3635" i="1"/>
  <c r="S3532" i="1"/>
  <c r="S3397" i="1"/>
  <c r="S1782" i="1"/>
  <c r="S2294" i="1"/>
  <c r="S3495" i="1"/>
  <c r="S4008" i="1"/>
  <c r="S3849" i="1"/>
  <c r="S3770" i="1"/>
  <c r="S3731" i="1"/>
  <c r="S2540" i="1"/>
  <c r="S2485" i="1"/>
  <c r="S2997" i="1"/>
  <c r="S1358" i="1"/>
  <c r="S2767" i="1"/>
  <c r="S3304" i="1"/>
  <c r="S3161" i="1"/>
  <c r="S3673" i="1"/>
  <c r="S3522" i="1"/>
  <c r="S3195" i="1"/>
  <c r="S3092" i="1"/>
  <c r="S3604" i="1"/>
  <c r="S3469" i="1"/>
  <c r="S1854" i="1"/>
  <c r="S3055" i="1"/>
  <c r="S3567" i="1"/>
  <c r="S4080" i="1"/>
  <c r="S3921" i="1"/>
  <c r="S3866" i="1"/>
  <c r="S3827" i="1"/>
  <c r="S3724" i="1"/>
  <c r="S4236" i="1"/>
  <c r="S4077" i="1"/>
  <c r="S2542" i="1"/>
  <c r="S3703" i="1"/>
  <c r="S4215" i="1"/>
  <c r="S4744" i="1"/>
  <c r="S4561" i="1"/>
  <c r="S4394" i="1"/>
  <c r="S4906" i="1"/>
  <c r="S4747" i="1"/>
  <c r="S4572" i="1"/>
  <c r="S4405" i="1"/>
  <c r="S4917" i="1"/>
  <c r="S4719" i="1"/>
  <c r="S4630" i="1"/>
  <c r="S3598" i="1"/>
  <c r="S4206" i="1"/>
  <c r="S4137" i="1"/>
  <c r="S3978" i="1"/>
  <c r="S3771" i="1"/>
  <c r="S4283" i="1"/>
  <c r="S4116" i="1"/>
  <c r="S3957" i="1"/>
  <c r="S2422" i="1"/>
  <c r="S2934" i="1"/>
  <c r="S4095" i="1"/>
  <c r="S4624" i="1"/>
  <c r="S4441" i="1"/>
  <c r="S4953" i="1"/>
  <c r="S4786" i="1"/>
  <c r="S4627" i="1"/>
  <c r="S4452" i="1"/>
  <c r="S4964" i="1"/>
  <c r="S4797" i="1"/>
  <c r="S4599" i="1"/>
  <c r="S3694" i="1"/>
  <c r="S4310" i="1"/>
  <c r="S4958" i="1"/>
  <c r="S4062" i="1"/>
  <c r="S3996" i="1"/>
  <c r="S3837" i="1"/>
  <c r="S4349" i="1"/>
  <c r="S2814" i="1"/>
  <c r="S3975" i="1"/>
  <c r="S4504" i="1"/>
  <c r="S3086" i="1"/>
  <c r="S4833" i="1"/>
  <c r="S4666" i="1"/>
  <c r="S4507" i="1"/>
  <c r="S3166" i="1"/>
  <c r="S4844" i="1"/>
  <c r="S4677" i="1"/>
  <c r="S4479" i="1"/>
  <c r="S4991" i="1"/>
  <c r="S3390" i="1"/>
  <c r="S3982" i="1"/>
  <c r="S4702" i="1"/>
  <c r="S3876" i="1"/>
  <c r="S3717" i="1"/>
  <c r="S4229" i="1"/>
  <c r="S2694" i="1"/>
  <c r="S3855" i="1"/>
  <c r="S4384" i="1"/>
  <c r="S4896" i="1"/>
  <c r="S4713" i="1"/>
  <c r="S4546" i="1"/>
  <c r="S4387" i="1"/>
  <c r="S4899" i="1"/>
  <c r="S4724" i="1"/>
  <c r="S4557" i="1"/>
  <c r="S4359" i="1"/>
  <c r="S4871" i="1"/>
  <c r="S4134" i="1"/>
  <c r="S4806" i="1"/>
  <c r="S3774" i="1"/>
  <c r="S3692" i="1"/>
  <c r="S4204" i="1"/>
  <c r="S4045" i="1"/>
  <c r="S2510" i="1"/>
  <c r="S3022" i="1"/>
  <c r="S4183" i="1"/>
  <c r="S4712" i="1"/>
  <c r="S4529" i="1"/>
  <c r="S4362" i="1"/>
  <c r="S4874" i="1"/>
  <c r="S4715" i="1"/>
  <c r="S4540" i="1"/>
  <c r="S4373" i="1"/>
  <c r="S4885" i="1"/>
  <c r="S4687" i="1"/>
  <c r="S4422" i="1"/>
  <c r="S3318" i="1"/>
  <c r="S3942" i="1"/>
  <c r="S4790" i="1"/>
  <c r="S4084" i="1"/>
  <c r="S3925" i="1"/>
  <c r="S2390" i="1"/>
  <c r="S2902" i="1"/>
  <c r="S4063" i="1"/>
  <c r="S4592" i="1"/>
  <c r="S4409" i="1"/>
  <c r="S4921" i="1"/>
  <c r="S4754" i="1"/>
  <c r="S4595" i="1"/>
  <c r="S4420" i="1"/>
  <c r="S4932" i="1"/>
  <c r="S4765" i="1"/>
  <c r="S4567" i="1"/>
  <c r="S3446" i="1"/>
  <c r="S4054" i="1"/>
  <c r="S4686" i="1"/>
  <c r="S3798" i="1"/>
  <c r="S3826" i="1"/>
  <c r="S4338" i="1"/>
  <c r="S4131" i="1"/>
  <c r="S3964" i="1"/>
  <c r="S3805" i="1"/>
  <c r="S4317" i="1"/>
  <c r="S2782" i="1"/>
  <c r="S3943" i="1"/>
  <c r="S4472" i="1"/>
  <c r="S4984" i="1"/>
  <c r="S4801" i="1"/>
  <c r="S4634" i="1"/>
  <c r="S4475" i="1"/>
  <c r="S4987" i="1"/>
  <c r="S4812" i="1"/>
  <c r="S4645" i="1"/>
  <c r="S4447" i="1"/>
  <c r="S4959" i="1"/>
  <c r="S4862" i="1"/>
  <c r="S3726" i="1"/>
  <c r="S4494" i="1"/>
  <c r="S3844" i="1"/>
  <c r="S3685" i="1"/>
  <c r="S4197" i="1"/>
  <c r="S2662" i="1"/>
  <c r="S3823" i="1"/>
  <c r="S4335" i="1"/>
  <c r="S4864" i="1"/>
  <c r="S4681" i="1"/>
  <c r="S4514" i="1"/>
  <c r="S4355" i="1"/>
  <c r="S4867" i="1"/>
  <c r="S4692" i="1"/>
  <c r="S4525" i="1"/>
  <c r="S3262" i="1"/>
  <c r="S4839" i="1"/>
  <c r="S3886" i="1"/>
  <c r="S4550" i="1"/>
  <c r="S3518" i="1"/>
  <c r="S2835" i="1"/>
  <c r="S2948" i="1"/>
  <c r="S2893" i="1"/>
  <c r="S1254" i="1"/>
  <c r="S2663" i="1"/>
  <c r="S3200" i="1"/>
  <c r="S3057" i="1"/>
  <c r="S3569" i="1"/>
  <c r="S3418" i="1"/>
  <c r="S3091" i="1"/>
  <c r="S3603" i="1"/>
  <c r="S3500" i="1"/>
  <c r="S3365" i="1"/>
  <c r="S1750" i="1"/>
  <c r="S2262" i="1"/>
  <c r="S3463" i="1"/>
  <c r="S3976" i="1"/>
  <c r="S3817" i="1"/>
  <c r="S3730" i="1"/>
  <c r="S3691" i="1"/>
  <c r="S2508" i="1"/>
  <c r="S3020" i="1"/>
  <c r="S2965" i="1"/>
  <c r="S1326" i="1"/>
  <c r="S2735" i="1"/>
  <c r="S3272" i="1"/>
  <c r="S3129" i="1"/>
  <c r="S3641" i="1"/>
  <c r="S3490" i="1"/>
  <c r="S3163" i="1"/>
  <c r="S3060" i="1"/>
  <c r="S3572" i="1"/>
  <c r="S3437" i="1"/>
  <c r="S1822" i="1"/>
  <c r="S3023" i="1"/>
  <c r="S3535" i="1"/>
  <c r="S4048" i="1"/>
  <c r="S3889" i="1"/>
  <c r="S3818" i="1"/>
  <c r="S3787" i="1"/>
  <c r="S2589" i="1"/>
  <c r="S950" i="1"/>
  <c r="S1462" i="1"/>
  <c r="S2871" i="1"/>
  <c r="S3408" i="1"/>
  <c r="S3265" i="1"/>
  <c r="S3114" i="1"/>
  <c r="S3626" i="1"/>
  <c r="S3299" i="1"/>
  <c r="S3196" i="1"/>
  <c r="S3061" i="1"/>
  <c r="S3573" i="1"/>
  <c r="S1958" i="1"/>
  <c r="S3159" i="1"/>
  <c r="S3671" i="1"/>
  <c r="S4184" i="1"/>
  <c r="S4025" i="1"/>
  <c r="S4002" i="1"/>
  <c r="S3971" i="1"/>
  <c r="S2716" i="1"/>
  <c r="S2661" i="1"/>
  <c r="S1022" i="1"/>
  <c r="S1534" i="1"/>
  <c r="S2943" i="1"/>
  <c r="S3480" i="1"/>
  <c r="S3337" i="1"/>
  <c r="S3186" i="1"/>
  <c r="S2859" i="1"/>
  <c r="S3371" i="1"/>
  <c r="S3268" i="1"/>
  <c r="S3133" i="1"/>
  <c r="S3645" i="1"/>
  <c r="S2030" i="1"/>
  <c r="S3231" i="1"/>
  <c r="S3744" i="1"/>
  <c r="S4256" i="1"/>
  <c r="S4097" i="1"/>
  <c r="S4098" i="1"/>
  <c r="S4059" i="1"/>
  <c r="S2419" i="1"/>
  <c r="S2532" i="1"/>
  <c r="S2477" i="1"/>
  <c r="S2989" i="1"/>
  <c r="S1350" i="1"/>
  <c r="S2759" i="1"/>
  <c r="S3296" i="1"/>
  <c r="S3153" i="1"/>
  <c r="S3665" i="1"/>
  <c r="S3514" i="1"/>
  <c r="S3187" i="1"/>
  <c r="S3084" i="1"/>
  <c r="S3596" i="1"/>
  <c r="S3461" i="1"/>
  <c r="S1846" i="1"/>
  <c r="S3047" i="1"/>
  <c r="S3559" i="1"/>
  <c r="S4072" i="1"/>
  <c r="S3913" i="1"/>
  <c r="S3858" i="1"/>
  <c r="S3819" i="1"/>
  <c r="S2604" i="1"/>
  <c r="S2549" i="1"/>
  <c r="S910" i="1"/>
  <c r="S1422" i="1"/>
  <c r="S2831" i="1"/>
  <c r="S3368" i="1"/>
  <c r="S3225" i="1"/>
  <c r="S3074" i="1"/>
  <c r="S3586" i="1"/>
  <c r="S3259" i="1"/>
  <c r="S3156" i="1"/>
  <c r="S3668" i="1"/>
  <c r="S3533" i="1"/>
  <c r="S1918" i="1"/>
  <c r="S3119" i="1"/>
  <c r="S3631" i="1"/>
  <c r="S4144" i="1"/>
  <c r="S3985" i="1"/>
  <c r="S3946" i="1"/>
  <c r="S3915" i="1"/>
  <c r="S3788" i="1"/>
  <c r="S4300" i="1"/>
  <c r="S4141" i="1"/>
  <c r="S2606" i="1"/>
  <c r="S3767" i="1"/>
  <c r="S4279" i="1"/>
  <c r="S4808" i="1"/>
  <c r="S4625" i="1"/>
  <c r="S4458" i="1"/>
  <c r="S4970" i="1"/>
  <c r="S4811" i="1"/>
  <c r="S4636" i="1"/>
  <c r="S4469" i="1"/>
  <c r="S4981" i="1"/>
  <c r="S4783" i="1"/>
  <c r="S3438" i="1"/>
  <c r="S4086" i="1"/>
  <c r="S4718" i="1"/>
  <c r="S4201" i="1"/>
  <c r="S4042" i="1"/>
  <c r="S3835" i="1"/>
  <c r="S4347" i="1"/>
  <c r="S4180" i="1"/>
  <c r="S4021" i="1"/>
  <c r="S2486" i="1"/>
  <c r="S2998" i="1"/>
  <c r="S4159" i="1"/>
  <c r="S4688" i="1"/>
  <c r="S4505" i="1"/>
  <c r="S3158" i="1"/>
  <c r="S4850" i="1"/>
  <c r="S4691" i="1"/>
  <c r="S4516" i="1"/>
  <c r="S3230" i="1"/>
  <c r="S4861" i="1"/>
  <c r="S4663" i="1"/>
  <c r="S4230" i="1"/>
  <c r="S4838" i="1"/>
  <c r="S3742" i="1"/>
  <c r="S4582" i="1"/>
  <c r="S4060" i="1"/>
  <c r="S3901" i="1"/>
  <c r="S2366" i="1"/>
  <c r="S2878" i="1"/>
  <c r="S4039" i="1"/>
  <c r="S4568" i="1"/>
  <c r="S4385" i="1"/>
  <c r="S4897" i="1"/>
  <c r="S4730" i="1"/>
  <c r="S4571" i="1"/>
  <c r="S4396" i="1"/>
  <c r="S4908" i="1"/>
  <c r="S4741" i="1"/>
  <c r="S4543" i="1"/>
  <c r="S3350" i="1"/>
  <c r="S3870" i="1"/>
  <c r="S4486" i="1"/>
  <c r="S3590" i="1"/>
  <c r="S3940" i="1"/>
  <c r="S3781" i="1"/>
  <c r="S4293" i="1"/>
  <c r="S2758" i="1"/>
  <c r="S3919" i="1"/>
  <c r="S4448" i="1"/>
  <c r="S4960" i="1"/>
  <c r="S4777" i="1"/>
  <c r="S4610" i="1"/>
  <c r="S4451" i="1"/>
  <c r="S4963" i="1"/>
  <c r="S4788" i="1"/>
  <c r="S4621" i="1"/>
  <c r="S4423" i="1"/>
  <c r="S4935" i="1"/>
  <c r="S4670" i="1"/>
  <c r="S3534" i="1"/>
  <c r="S4302" i="1"/>
  <c r="S3756" i="1"/>
  <c r="S4268" i="1"/>
  <c r="S4109" i="1"/>
  <c r="S2574" i="1"/>
  <c r="S3735" i="1"/>
  <c r="S4247" i="1"/>
  <c r="S4776" i="1"/>
  <c r="S4593" i="1"/>
  <c r="S4426" i="1"/>
  <c r="S4938" i="1"/>
  <c r="S4779" i="1"/>
  <c r="S4604" i="1"/>
  <c r="S4437" i="1"/>
  <c r="S4949" i="1"/>
  <c r="S4751" i="1"/>
  <c r="S4878" i="1"/>
  <c r="S3846" i="1"/>
  <c r="S4454" i="1"/>
  <c r="S4315" i="1"/>
  <c r="S4148" i="1"/>
  <c r="S3989" i="1"/>
  <c r="S2454" i="1"/>
  <c r="S2966" i="1"/>
  <c r="S4127" i="1"/>
  <c r="S4656" i="1"/>
  <c r="S4473" i="1"/>
  <c r="S4985" i="1"/>
  <c r="S4818" i="1"/>
  <c r="S4659" i="1"/>
  <c r="S4484" i="1"/>
  <c r="S4996" i="1"/>
  <c r="S4829" i="1"/>
  <c r="S4631" i="1"/>
  <c r="S3958" i="1"/>
  <c r="S4566" i="1"/>
  <c r="S3486" i="1"/>
  <c r="S4318" i="1"/>
  <c r="S3890" i="1"/>
  <c r="S3683" i="1"/>
  <c r="S4195" i="1"/>
  <c r="S4028" i="1"/>
  <c r="S3869" i="1"/>
  <c r="S2334" i="1"/>
  <c r="S2846" i="1"/>
  <c r="S4007" i="1"/>
  <c r="S4536" i="1"/>
  <c r="S3238" i="1"/>
  <c r="S4865" i="1"/>
  <c r="S4698" i="1"/>
  <c r="S4539" i="1"/>
  <c r="S4364" i="1"/>
  <c r="S4876" i="1"/>
  <c r="S4709" i="1"/>
  <c r="S4511" i="1"/>
  <c r="S3174" i="1"/>
  <c r="S3646" i="1"/>
  <c r="S4214" i="1"/>
  <c r="S4950" i="1"/>
  <c r="S3908" i="1"/>
  <c r="S3749" i="1"/>
  <c r="S4261" i="1"/>
  <c r="S2726" i="1"/>
  <c r="S3887" i="1"/>
  <c r="S4416" i="1"/>
  <c r="S4928" i="1"/>
  <c r="S4745" i="1"/>
  <c r="S4578" i="1"/>
  <c r="S4419" i="1"/>
  <c r="S4931" i="1"/>
  <c r="S4756" i="1"/>
  <c r="S4589" i="1"/>
  <c r="S4391" i="1"/>
  <c r="S4903" i="1"/>
  <c r="S4390" i="1"/>
  <c r="S3286" i="1"/>
  <c r="S4038" i="1"/>
  <c r="B11" i="1"/>
  <c r="K3" i="1"/>
  <c r="K5" i="1"/>
  <c r="K7" i="1"/>
  <c r="K9" i="1"/>
  <c r="K11" i="1"/>
  <c r="K13" i="1"/>
  <c r="K15" i="1"/>
  <c r="K17" i="1"/>
  <c r="K19" i="1"/>
  <c r="K21" i="1"/>
  <c r="K23" i="1"/>
  <c r="K25" i="1"/>
  <c r="K27" i="1"/>
  <c r="K29" i="1"/>
  <c r="K31" i="1"/>
  <c r="K33" i="1"/>
  <c r="K35" i="1"/>
  <c r="K37" i="1"/>
  <c r="K39" i="1"/>
  <c r="K41" i="1"/>
  <c r="K43" i="1"/>
  <c r="K45" i="1"/>
  <c r="K47" i="1"/>
  <c r="K49" i="1"/>
  <c r="K51" i="1"/>
  <c r="K53" i="1"/>
  <c r="K55" i="1"/>
  <c r="K57" i="1"/>
  <c r="K59" i="1"/>
  <c r="K61" i="1"/>
  <c r="K63" i="1"/>
  <c r="K65" i="1"/>
  <c r="K67" i="1"/>
  <c r="K69" i="1"/>
  <c r="K71" i="1"/>
  <c r="K73" i="1"/>
  <c r="K75" i="1"/>
  <c r="K77" i="1"/>
  <c r="K79" i="1"/>
  <c r="K81" i="1"/>
  <c r="K83" i="1"/>
  <c r="K85" i="1"/>
  <c r="K87" i="1"/>
  <c r="K89" i="1"/>
  <c r="K91" i="1"/>
  <c r="K93" i="1"/>
  <c r="K95" i="1"/>
  <c r="K97" i="1"/>
  <c r="K99" i="1"/>
  <c r="K101" i="1"/>
  <c r="K103" i="1"/>
  <c r="K105" i="1"/>
  <c r="K107" i="1"/>
  <c r="K109" i="1"/>
  <c r="K111" i="1"/>
  <c r="K113" i="1"/>
  <c r="K115" i="1"/>
  <c r="K117" i="1"/>
  <c r="K119" i="1"/>
  <c r="K121" i="1"/>
  <c r="K123" i="1"/>
  <c r="K125" i="1"/>
  <c r="K127" i="1"/>
  <c r="K129" i="1"/>
  <c r="K131" i="1"/>
  <c r="K133" i="1"/>
  <c r="K135" i="1"/>
  <c r="K137" i="1"/>
  <c r="K139" i="1"/>
  <c r="K141" i="1"/>
  <c r="K143" i="1"/>
  <c r="K145" i="1"/>
  <c r="K147" i="1"/>
  <c r="K149" i="1"/>
  <c r="K151" i="1"/>
  <c r="K153" i="1"/>
  <c r="K155" i="1"/>
  <c r="K157" i="1"/>
  <c r="K159" i="1"/>
  <c r="K161" i="1"/>
  <c r="K163" i="1"/>
  <c r="K165" i="1"/>
  <c r="K167" i="1"/>
  <c r="K169" i="1"/>
  <c r="K171" i="1"/>
  <c r="K4" i="1"/>
  <c r="K8" i="1"/>
  <c r="K12" i="1"/>
  <c r="K16" i="1"/>
  <c r="K20" i="1"/>
  <c r="K24" i="1"/>
  <c r="K28" i="1"/>
  <c r="K32" i="1"/>
  <c r="K36" i="1"/>
  <c r="K40" i="1"/>
  <c r="K44" i="1"/>
  <c r="K48" i="1"/>
  <c r="K52" i="1"/>
  <c r="K56" i="1"/>
  <c r="K60" i="1"/>
  <c r="K64" i="1"/>
  <c r="K68" i="1"/>
  <c r="K72" i="1"/>
  <c r="K76" i="1"/>
  <c r="K80" i="1"/>
  <c r="K84" i="1"/>
  <c r="K88" i="1"/>
  <c r="K92" i="1"/>
  <c r="K96" i="1"/>
  <c r="K100" i="1"/>
  <c r="K104" i="1"/>
  <c r="K108" i="1"/>
  <c r="K112" i="1"/>
  <c r="K116" i="1"/>
  <c r="K120" i="1"/>
  <c r="K124" i="1"/>
  <c r="K128" i="1"/>
  <c r="K132" i="1"/>
  <c r="K136" i="1"/>
  <c r="K140" i="1"/>
  <c r="K144" i="1"/>
  <c r="K148" i="1"/>
  <c r="K152" i="1"/>
  <c r="K156" i="1"/>
  <c r="K160" i="1"/>
  <c r="K164" i="1"/>
  <c r="K168" i="1"/>
  <c r="K172" i="1"/>
  <c r="K174" i="1"/>
  <c r="K176" i="1"/>
  <c r="K178" i="1"/>
  <c r="K180" i="1"/>
  <c r="K182" i="1"/>
  <c r="K184" i="1"/>
  <c r="K186" i="1"/>
  <c r="K188" i="1"/>
  <c r="K190" i="1"/>
  <c r="K192" i="1"/>
  <c r="K194" i="1"/>
  <c r="K196" i="1"/>
  <c r="K198" i="1"/>
  <c r="K200" i="1"/>
  <c r="K202" i="1"/>
  <c r="K204" i="1"/>
  <c r="K206" i="1"/>
  <c r="K208" i="1"/>
  <c r="K210" i="1"/>
  <c r="K212" i="1"/>
  <c r="K214" i="1"/>
  <c r="K216" i="1"/>
  <c r="K218" i="1"/>
  <c r="K220" i="1"/>
  <c r="K222" i="1"/>
  <c r="K224" i="1"/>
  <c r="K226" i="1"/>
  <c r="K228" i="1"/>
  <c r="K230" i="1"/>
  <c r="K232" i="1"/>
  <c r="K234" i="1"/>
  <c r="K236" i="1"/>
  <c r="K238" i="1"/>
  <c r="K240" i="1"/>
  <c r="K242" i="1"/>
  <c r="K244" i="1"/>
  <c r="K246" i="1"/>
  <c r="K248" i="1"/>
  <c r="K250" i="1"/>
  <c r="K252" i="1"/>
  <c r="K6" i="1"/>
  <c r="K10" i="1"/>
  <c r="K14" i="1"/>
  <c r="K18" i="1"/>
  <c r="K22" i="1"/>
  <c r="K26" i="1"/>
  <c r="K30" i="1"/>
  <c r="K34" i="1"/>
  <c r="K38" i="1"/>
  <c r="K42" i="1"/>
  <c r="K46" i="1"/>
  <c r="K50" i="1"/>
  <c r="K54" i="1"/>
  <c r="K58" i="1"/>
  <c r="K62" i="1"/>
  <c r="K66" i="1"/>
  <c r="K70" i="1"/>
  <c r="K74" i="1"/>
  <c r="K78" i="1"/>
  <c r="K82" i="1"/>
  <c r="K86" i="1"/>
  <c r="K90" i="1"/>
  <c r="K94" i="1"/>
  <c r="K98" i="1"/>
  <c r="K102" i="1"/>
  <c r="K106" i="1"/>
  <c r="K110" i="1"/>
  <c r="K114" i="1"/>
  <c r="K118" i="1"/>
  <c r="K122" i="1"/>
  <c r="K126" i="1"/>
  <c r="K130" i="1"/>
  <c r="K134" i="1"/>
  <c r="K138" i="1"/>
  <c r="K142" i="1"/>
  <c r="K146" i="1"/>
  <c r="K150" i="1"/>
  <c r="K154" i="1"/>
  <c r="K158" i="1"/>
  <c r="K162" i="1"/>
  <c r="K166" i="1"/>
  <c r="K170" i="1"/>
  <c r="K173" i="1"/>
  <c r="K175" i="1"/>
  <c r="K177" i="1"/>
  <c r="K179" i="1"/>
  <c r="K181" i="1"/>
  <c r="K183" i="1"/>
  <c r="K185" i="1"/>
  <c r="K187" i="1"/>
  <c r="K189" i="1"/>
  <c r="K191" i="1"/>
  <c r="K193" i="1"/>
  <c r="K195" i="1"/>
  <c r="K197" i="1"/>
  <c r="K199" i="1"/>
  <c r="K201" i="1"/>
  <c r="K203" i="1"/>
  <c r="K205" i="1"/>
  <c r="K207" i="1"/>
  <c r="K209" i="1"/>
  <c r="K211" i="1"/>
  <c r="K213" i="1"/>
  <c r="K215" i="1"/>
  <c r="K217" i="1"/>
  <c r="K219" i="1"/>
  <c r="K221" i="1"/>
  <c r="K223" i="1"/>
  <c r="K225" i="1"/>
  <c r="K227" i="1"/>
  <c r="K229" i="1"/>
  <c r="K231" i="1"/>
  <c r="K233" i="1"/>
  <c r="K235" i="1"/>
  <c r="K237" i="1"/>
  <c r="K239" i="1"/>
  <c r="K241" i="1"/>
  <c r="K243" i="1"/>
  <c r="K245" i="1"/>
  <c r="K247" i="1"/>
  <c r="K249" i="1"/>
  <c r="K251" i="1"/>
  <c r="K2" i="1"/>
  <c r="L143" i="1"/>
  <c r="L224" i="1"/>
  <c r="L50" i="1"/>
  <c r="L90" i="1"/>
  <c r="L9" i="1"/>
  <c r="L95" i="1"/>
  <c r="L47" i="1"/>
  <c r="L159" i="1"/>
  <c r="L128" i="1"/>
  <c r="L31" i="1"/>
  <c r="L240" i="1"/>
  <c r="L216" i="1"/>
  <c r="L32" i="1"/>
  <c r="L232" i="1"/>
  <c r="L112" i="1"/>
  <c r="L34" i="1"/>
  <c r="L248" i="1"/>
  <c r="L223" i="1"/>
  <c r="L58" i="1"/>
  <c r="L160" i="1"/>
  <c r="L106" i="1"/>
  <c r="L120" i="1"/>
  <c r="L88" i="1"/>
  <c r="L41" i="1"/>
  <c r="L209" i="1"/>
  <c r="L130" i="1"/>
  <c r="L202" i="1"/>
  <c r="L138" i="1"/>
  <c r="L191" i="1"/>
  <c r="L111" i="1"/>
  <c r="L96" i="1"/>
  <c r="L170" i="1"/>
  <c r="L89" i="1"/>
  <c r="L79" i="1"/>
  <c r="L8" i="1"/>
  <c r="L168" i="1"/>
  <c r="L192" i="1"/>
  <c r="L105" i="1"/>
  <c r="L136" i="1"/>
  <c r="L18" i="1"/>
  <c r="L64" i="1"/>
  <c r="L104" i="1"/>
  <c r="L185" i="1"/>
  <c r="L152" i="1"/>
  <c r="L56" i="1"/>
  <c r="L40" i="1"/>
  <c r="L72" i="1"/>
  <c r="L15" i="1"/>
  <c r="L184" i="1"/>
  <c r="L201" i="1"/>
  <c r="L218" i="1"/>
  <c r="L80" i="1"/>
  <c r="L81" i="1"/>
  <c r="L33" i="1"/>
  <c r="L129" i="1"/>
  <c r="L208" i="1"/>
  <c r="L16" i="1"/>
  <c r="L146" i="1"/>
  <c r="L175" i="1"/>
  <c r="L24" i="1"/>
  <c r="L249" i="1"/>
  <c r="L200" i="1"/>
  <c r="L48" i="1"/>
  <c r="L250" i="1"/>
  <c r="L144" i="1"/>
  <c r="L207" i="1"/>
  <c r="L25" i="1"/>
  <c r="L63" i="1"/>
  <c r="L127" i="1"/>
  <c r="L176" i="1"/>
  <c r="B30" i="1" l="1"/>
  <c r="B19" i="1"/>
  <c r="B15" i="1"/>
</calcChain>
</file>

<file path=xl/sharedStrings.xml><?xml version="1.0" encoding="utf-8"?>
<sst xmlns="http://schemas.openxmlformats.org/spreadsheetml/2006/main" count="37" uniqueCount="36">
  <si>
    <t>Simple historical VaR example</t>
  </si>
  <si>
    <t>one year option on SPX</t>
  </si>
  <si>
    <t>Date</t>
  </si>
  <si>
    <t>current price</t>
  </si>
  <si>
    <t>strike</t>
  </si>
  <si>
    <t>volatility</t>
  </si>
  <si>
    <t>prices</t>
  </si>
  <si>
    <t>time to exp</t>
  </si>
  <si>
    <t>risk free rate</t>
  </si>
  <si>
    <t>dividend rate</t>
  </si>
  <si>
    <t>shifted current prices</t>
  </si>
  <si>
    <t>current option value</t>
  </si>
  <si>
    <t>full reval</t>
  </si>
  <si>
    <t>Delta P</t>
  </si>
  <si>
    <t xml:space="preserve">VaR (full reval) </t>
  </si>
  <si>
    <t>delta</t>
  </si>
  <si>
    <t>gamma</t>
  </si>
  <si>
    <t>D-G approx</t>
  </si>
  <si>
    <t>normalized relative shifts</t>
  </si>
  <si>
    <t>pct shifts</t>
  </si>
  <si>
    <t>VaR D-G approx</t>
  </si>
  <si>
    <t>Monte Carlo</t>
  </si>
  <si>
    <t>For Beginners</t>
  </si>
  <si>
    <t>rand</t>
  </si>
  <si>
    <t>normal</t>
  </si>
  <si>
    <t>Shifted stock price</t>
  </si>
  <si>
    <t>shift</t>
  </si>
  <si>
    <t>real-world drift</t>
  </si>
  <si>
    <t>log diffs</t>
  </si>
  <si>
    <t>Beginner VaR D-G Approx</t>
  </si>
  <si>
    <t>One dimensional grid</t>
  </si>
  <si>
    <t>Price</t>
  </si>
  <si>
    <t>Grid approx</t>
  </si>
  <si>
    <t>Grid Approx</t>
  </si>
  <si>
    <t>1-day relative shift variance</t>
  </si>
  <si>
    <t>var covar formula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</si>
</sst>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4" fontId="0" fillId="0" borderId="0" xfId="0" applyNumberFormat="1"/>
    <xf numFmtId="10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5001"/>
  <sheetViews>
    <sheetView tabSelected="1" topLeftCell="A6" workbookViewId="0">
      <selection activeCell="B20" sqref="B20"/>
    </sheetView>
  </sheetViews>
  <sheetFormatPr baseColWidth="10" defaultColWidth="8.83203125" defaultRowHeight="15" x14ac:dyDescent="0.2"/>
  <cols>
    <col min="1" max="1" width="28.6640625" customWidth="1"/>
    <col min="2" max="2" width="12" bestFit="1" customWidth="1"/>
    <col min="3" max="3" width="20" customWidth="1"/>
    <col min="4" max="4" width="10.5" customWidth="1"/>
    <col min="5" max="6" width="13.6640625" customWidth="1"/>
    <col min="7" max="7" width="20.1640625" customWidth="1"/>
    <col min="8" max="8" width="16.1640625" customWidth="1"/>
    <col min="9" max="9" width="13.1640625" customWidth="1"/>
    <col min="10" max="10" width="27.6640625" customWidth="1"/>
    <col min="11" max="13" width="14.6640625" customWidth="1"/>
    <col min="14" max="14" width="16.33203125" customWidth="1"/>
    <col min="15" max="15" width="19" customWidth="1"/>
    <col min="16" max="16" width="11.5" customWidth="1"/>
    <col min="17" max="17" width="17.6640625" customWidth="1"/>
    <col min="19" max="19" width="12.1640625" customWidth="1"/>
  </cols>
  <sheetData>
    <row r="1" spans="1:19" x14ac:dyDescent="0.2">
      <c r="A1" t="s">
        <v>0</v>
      </c>
      <c r="C1" t="s">
        <v>2</v>
      </c>
      <c r="D1" t="s">
        <v>6</v>
      </c>
      <c r="E1" t="s">
        <v>19</v>
      </c>
      <c r="F1" t="s">
        <v>28</v>
      </c>
      <c r="G1" t="s">
        <v>10</v>
      </c>
      <c r="H1" t="s">
        <v>12</v>
      </c>
      <c r="I1" t="s">
        <v>13</v>
      </c>
      <c r="J1" t="s">
        <v>18</v>
      </c>
      <c r="K1" t="s">
        <v>17</v>
      </c>
      <c r="L1" t="s">
        <v>32</v>
      </c>
      <c r="N1" t="s">
        <v>21</v>
      </c>
      <c r="O1" t="s">
        <v>23</v>
      </c>
      <c r="P1" t="s">
        <v>24</v>
      </c>
      <c r="Q1" t="s">
        <v>25</v>
      </c>
      <c r="R1" t="s">
        <v>26</v>
      </c>
      <c r="S1" t="s">
        <v>17</v>
      </c>
    </row>
    <row r="2" spans="1:19" x14ac:dyDescent="0.2">
      <c r="A2" t="s">
        <v>1</v>
      </c>
      <c r="C2" s="1">
        <v>42380</v>
      </c>
      <c r="D2" s="2">
        <v>1923.670044</v>
      </c>
      <c r="E2" s="3">
        <f>(D2-D3)/D3</f>
        <v>8.532723085774163E-4</v>
      </c>
      <c r="F2" s="3">
        <f>LN(D2/D3)</f>
        <v>8.529084787104222E-4</v>
      </c>
      <c r="G2" s="2">
        <f>$D$2*(1+E2)</f>
        <v>1925.3114583793852</v>
      </c>
      <c r="H2" s="2">
        <f>G2*EXP(-$B$9*$B$7)*_xlfn.NORM.S.DIST((LN(G2/$B$5)+($B$8-$B$9+0.5*$B$6^2)*$B$7)/($B$6*SQRT($B$7)),TRUE)-$B$5*EXP(-$B$8*$B$7)*_xlfn.NORM.S.DIST((LN(G2/$B$5)+($B$8-$B$9-0.5*$B$6^2)*$B$7)/($B$6*SQRT($B$7)),TRUE)</f>
        <v>170.91251168548865</v>
      </c>
      <c r="I2" s="2">
        <f>H2-$B$10</f>
        <v>0.83199641797921231</v>
      </c>
      <c r="J2" s="2">
        <f>E2*$B$4</f>
        <v>1.6414143793850999</v>
      </c>
      <c r="K2" s="2">
        <f>$B$12*J2+0.5*$B$13*J2^2</f>
        <v>0.83199677900830027</v>
      </c>
      <c r="L2" s="2">
        <f>linearinterp(A$22:A$28,B$22:B$28,7,1+E2)-$B$10</f>
        <v>0.95324691484995583</v>
      </c>
      <c r="M2" s="2"/>
      <c r="N2" t="s">
        <v>22</v>
      </c>
      <c r="O2" s="4">
        <f ca="1">RAND()</f>
        <v>0.98456630872430972</v>
      </c>
      <c r="P2" s="4">
        <f ca="1">NORMSINV(O2)</f>
        <v>2.1587781482632571</v>
      </c>
      <c r="Q2" s="4">
        <f ca="1">$B$4*(1+$B$17-$B$32*P2)</f>
        <v>1882.5310083075176</v>
      </c>
      <c r="R2" s="4">
        <f ca="1">Q2-$B$4</f>
        <v>-41.139035692482366</v>
      </c>
      <c r="S2" s="4">
        <f ca="1">R2*$B$12+0.5*$B$13*R2^2</f>
        <v>-20.13605061658247</v>
      </c>
    </row>
    <row r="3" spans="1:19" x14ac:dyDescent="0.2">
      <c r="C3" s="1">
        <v>42377</v>
      </c>
      <c r="D3" s="2">
        <v>1922.030029</v>
      </c>
      <c r="E3" s="3">
        <f t="shared" ref="E3:E66" si="0">(D3-D4)/D4</f>
        <v>-1.0838374634476389E-2</v>
      </c>
      <c r="F3" s="3">
        <f t="shared" ref="F3:F66" si="1">LN(D3/D4)</f>
        <v>-1.0897537692782108E-2</v>
      </c>
      <c r="G3" s="2">
        <f t="shared" ref="G3:G66" si="2">$D$2*(1+E3)</f>
        <v>1902.8205873900083</v>
      </c>
      <c r="H3" s="2">
        <f t="shared" ref="H3:H66" si="3">G3*EXP(-$B$9*$B$7)*_xlfn.NORM.S.DIST((LN(G3/$B$5)+($B$8-$B$9+0.5*$B$6^2)*$B$7)/($B$6*SQRT($B$7)),TRUE)-$B$5*EXP(-$B$8*$B$7)*_xlfn.NORM.S.DIST((LN(G3/$B$5)+($B$8-$B$9-0.5*$B$6^2)*$B$7)/($B$6*SQRT($B$7)),TRUE)</f>
        <v>159.7039833330731</v>
      </c>
      <c r="I3" s="2">
        <f t="shared" ref="I3:I66" si="4">H3-$B$10</f>
        <v>-10.376531934436343</v>
      </c>
      <c r="J3" s="2">
        <f t="shared" ref="J3:J66" si="5">E3*$B$4</f>
        <v>-20.84945660999168</v>
      </c>
      <c r="K3" s="2">
        <f t="shared" ref="K3:K66" si="6">$B$12*J3+0.5*$B$13*J3^2</f>
        <v>-10.377246226760271</v>
      </c>
      <c r="L3" s="2">
        <f t="shared" ref="L3:L66" si="7">linearinterp(A$22:A$28,B$22:B$28,7,1+E3)-$B$10</f>
        <v>-8.8795727479258915</v>
      </c>
      <c r="M3" s="2"/>
      <c r="O3" s="4">
        <f t="shared" ref="O3:O66" ca="1" si="8">RAND()</f>
        <v>5.0632570519403619E-2</v>
      </c>
      <c r="P3" s="4">
        <f t="shared" ref="P3:P66" ca="1" si="9">NORMSINV(O3)</f>
        <v>-1.6387509367110034</v>
      </c>
      <c r="Q3" s="4">
        <f t="shared" ref="Q3:Q66" ca="1" si="10">$B$4*(1+$B$17-$B$32*P3)</f>
        <v>1954.1853373618496</v>
      </c>
      <c r="R3" s="4">
        <f t="shared" ref="R3:R66" ca="1" si="11">Q3-$B$4</f>
        <v>30.515293361849672</v>
      </c>
      <c r="S3" s="4">
        <f t="shared" ref="S3:S66" ca="1" si="12">R3*$B$12+0.5*$B$13*R3^2</f>
        <v>15.826196389501396</v>
      </c>
    </row>
    <row r="4" spans="1:19" x14ac:dyDescent="0.2">
      <c r="A4" t="s">
        <v>3</v>
      </c>
      <c r="B4" s="2">
        <f>D2</f>
        <v>1923.670044</v>
      </c>
      <c r="C4" s="1">
        <v>42376</v>
      </c>
      <c r="D4" s="2">
        <v>1943.089966</v>
      </c>
      <c r="E4" s="3">
        <f t="shared" si="0"/>
        <v>-2.3700443039098174E-2</v>
      </c>
      <c r="F4" s="3">
        <f t="shared" si="1"/>
        <v>-2.3985816544630535E-2</v>
      </c>
      <c r="G4" s="2">
        <f t="shared" si="2"/>
        <v>1878.0782116961586</v>
      </c>
      <c r="H4" s="2">
        <f t="shared" si="3"/>
        <v>147.85478778310744</v>
      </c>
      <c r="I4" s="2">
        <f t="shared" si="4"/>
        <v>-22.225727484402</v>
      </c>
      <c r="J4" s="2">
        <f t="shared" si="5"/>
        <v>-45.591832303841478</v>
      </c>
      <c r="K4" s="2">
        <f t="shared" si="6"/>
        <v>-22.232891810897286</v>
      </c>
      <c r="L4" s="2">
        <f t="shared" si="7"/>
        <v>-19.417100369857593</v>
      </c>
      <c r="M4" s="2"/>
      <c r="O4" s="4">
        <f t="shared" ca="1" si="8"/>
        <v>0.27969214863346292</v>
      </c>
      <c r="P4" s="4">
        <f t="shared" ca="1" si="9"/>
        <v>-0.58375627889795845</v>
      </c>
      <c r="Q4" s="4">
        <f t="shared" ca="1" si="10"/>
        <v>1934.2789896631302</v>
      </c>
      <c r="R4" s="4">
        <f t="shared" ca="1" si="11"/>
        <v>10.608945663130271</v>
      </c>
      <c r="S4" s="4">
        <f t="shared" ca="1" si="12"/>
        <v>5.4161677389633818</v>
      </c>
    </row>
    <row r="5" spans="1:19" x14ac:dyDescent="0.2">
      <c r="A5" t="s">
        <v>4</v>
      </c>
      <c r="B5">
        <v>1950</v>
      </c>
      <c r="C5" s="1">
        <v>42375</v>
      </c>
      <c r="D5" s="2">
        <v>1990.26001</v>
      </c>
      <c r="E5" s="3">
        <f t="shared" si="0"/>
        <v>-1.31153966170151E-2</v>
      </c>
      <c r="F5" s="3">
        <f t="shared" si="1"/>
        <v>-1.3202162915856163E-2</v>
      </c>
      <c r="G5" s="2">
        <f t="shared" si="2"/>
        <v>1898.440348412669</v>
      </c>
      <c r="H5" s="2">
        <f t="shared" si="3"/>
        <v>157.56936776612372</v>
      </c>
      <c r="I5" s="2">
        <f t="shared" si="4"/>
        <v>-12.511147501385722</v>
      </c>
      <c r="J5" s="2">
        <f t="shared" si="5"/>
        <v>-25.229695587330887</v>
      </c>
      <c r="K5" s="2">
        <f t="shared" si="6"/>
        <v>-12.512404185465247</v>
      </c>
      <c r="L5" s="2">
        <f t="shared" si="7"/>
        <v>-10.745072236960368</v>
      </c>
      <c r="M5" s="2"/>
      <c r="O5" s="4">
        <f t="shared" ca="1" si="8"/>
        <v>0.65588834083359915</v>
      </c>
      <c r="P5" s="4">
        <f t="shared" ca="1" si="9"/>
        <v>0.40126732410151</v>
      </c>
      <c r="Q5" s="4">
        <f t="shared" ca="1" si="10"/>
        <v>1915.6929028165862</v>
      </c>
      <c r="R5" s="4">
        <f t="shared" ca="1" si="11"/>
        <v>-7.977141183413778</v>
      </c>
      <c r="S5" s="4">
        <f t="shared" ca="1" si="12"/>
        <v>-4.0122032411691615</v>
      </c>
    </row>
    <row r="6" spans="1:19" x14ac:dyDescent="0.2">
      <c r="A6" t="s">
        <v>5</v>
      </c>
      <c r="B6">
        <v>0.25</v>
      </c>
      <c r="C6" s="1">
        <v>42374</v>
      </c>
      <c r="D6" s="2">
        <v>2016.709961</v>
      </c>
      <c r="E6" s="3">
        <f t="shared" si="0"/>
        <v>2.012226074739071E-3</v>
      </c>
      <c r="F6" s="3">
        <f t="shared" si="1"/>
        <v>2.0102042596295308E-3</v>
      </c>
      <c r="G6" s="2">
        <f t="shared" si="2"/>
        <v>1927.5409030217311</v>
      </c>
      <c r="H6" s="2">
        <f t="shared" si="3"/>
        <v>172.0460766100914</v>
      </c>
      <c r="I6" s="2">
        <f t="shared" si="4"/>
        <v>1.9655613425819638</v>
      </c>
      <c r="J6" s="2">
        <f t="shared" si="5"/>
        <v>3.8708590217312562</v>
      </c>
      <c r="K6" s="2">
        <f t="shared" si="6"/>
        <v>1.9655660934190833</v>
      </c>
      <c r="L6" s="2">
        <f t="shared" si="7"/>
        <v>2.2479907978303686</v>
      </c>
      <c r="M6" s="2"/>
      <c r="O6" s="4">
        <f t="shared" ca="1" si="8"/>
        <v>0.19728405741815036</v>
      </c>
      <c r="P6" s="4">
        <f t="shared" ca="1" si="9"/>
        <v>-0.8513623222740736</v>
      </c>
      <c r="Q6" s="4">
        <f t="shared" ca="1" si="10"/>
        <v>1939.3283602037982</v>
      </c>
      <c r="R6" s="4">
        <f t="shared" ca="1" si="11"/>
        <v>15.658316203798222</v>
      </c>
      <c r="S6" s="4">
        <f t="shared" ca="1" si="12"/>
        <v>8.0261994336522733</v>
      </c>
    </row>
    <row r="7" spans="1:19" x14ac:dyDescent="0.2">
      <c r="A7" t="s">
        <v>7</v>
      </c>
      <c r="B7">
        <v>1</v>
      </c>
      <c r="C7" s="1">
        <v>42373</v>
      </c>
      <c r="D7" s="2">
        <v>2012.660034</v>
      </c>
      <c r="E7" s="3">
        <f t="shared" si="0"/>
        <v>-1.530373098179018E-2</v>
      </c>
      <c r="F7" s="3">
        <f t="shared" si="1"/>
        <v>-1.5422041688326272E-2</v>
      </c>
      <c r="G7" s="2">
        <f t="shared" si="2"/>
        <v>1894.2307151488956</v>
      </c>
      <c r="H7" s="2">
        <f t="shared" si="3"/>
        <v>155.53281768074419</v>
      </c>
      <c r="I7" s="2">
        <f t="shared" si="4"/>
        <v>-14.547697586765253</v>
      </c>
      <c r="J7" s="2">
        <f t="shared" si="5"/>
        <v>-29.439328851104477</v>
      </c>
      <c r="K7" s="2">
        <f t="shared" si="6"/>
        <v>-14.54968027186062</v>
      </c>
      <c r="L7" s="2">
        <f t="shared" si="7"/>
        <v>-12.537912477691236</v>
      </c>
      <c r="M7" s="2"/>
      <c r="O7" s="4">
        <f t="shared" ca="1" si="8"/>
        <v>0.37665524368822378</v>
      </c>
      <c r="P7" s="4">
        <f t="shared" ca="1" si="9"/>
        <v>-0.31427723420156123</v>
      </c>
      <c r="Q7" s="4">
        <f t="shared" ca="1" si="10"/>
        <v>1929.1942780757124</v>
      </c>
      <c r="R7" s="4">
        <f t="shared" ca="1" si="11"/>
        <v>5.5242340757124566</v>
      </c>
      <c r="S7" s="4">
        <f t="shared" ca="1" si="12"/>
        <v>2.8088439960331448</v>
      </c>
    </row>
    <row r="8" spans="1:19" x14ac:dyDescent="0.2">
      <c r="A8" t="s">
        <v>8</v>
      </c>
      <c r="B8">
        <v>0.01</v>
      </c>
      <c r="C8" s="1">
        <v>42369</v>
      </c>
      <c r="D8" s="2">
        <v>2043.9399410000001</v>
      </c>
      <c r="E8" s="3">
        <f t="shared" si="0"/>
        <v>-9.4119130897784096E-3</v>
      </c>
      <c r="F8" s="3">
        <f t="shared" si="1"/>
        <v>-9.4564850357659186E-3</v>
      </c>
      <c r="G8" s="2">
        <f t="shared" si="2"/>
        <v>1905.5646287324619</v>
      </c>
      <c r="H8" s="2">
        <f t="shared" si="3"/>
        <v>161.04928630667303</v>
      </c>
      <c r="I8" s="2">
        <f t="shared" si="4"/>
        <v>-9.0312289608364154</v>
      </c>
      <c r="J8" s="2">
        <f t="shared" si="5"/>
        <v>-18.105415267538209</v>
      </c>
      <c r="K8" s="2">
        <f t="shared" si="6"/>
        <v>-9.0316987894060716</v>
      </c>
      <c r="L8" s="2">
        <f t="shared" si="7"/>
        <v>-7.7109132869424286</v>
      </c>
      <c r="M8" s="2"/>
      <c r="O8" s="4">
        <f t="shared" ca="1" si="8"/>
        <v>0.32467173520785797</v>
      </c>
      <c r="P8" s="4">
        <f t="shared" ca="1" si="9"/>
        <v>-0.45467444217737663</v>
      </c>
      <c r="Q8" s="4">
        <f t="shared" ca="1" si="10"/>
        <v>1931.8433868813338</v>
      </c>
      <c r="R8" s="4">
        <f t="shared" ca="1" si="11"/>
        <v>8.1733428813338378</v>
      </c>
      <c r="S8" s="4">
        <f t="shared" ca="1" si="12"/>
        <v>4.1646198864547559</v>
      </c>
    </row>
    <row r="9" spans="1:19" x14ac:dyDescent="0.2">
      <c r="A9" t="s">
        <v>9</v>
      </c>
      <c r="B9">
        <v>1.7999999999999999E-2</v>
      </c>
      <c r="C9" s="1">
        <v>42368</v>
      </c>
      <c r="D9" s="2">
        <v>2063.360107</v>
      </c>
      <c r="E9" s="3">
        <f t="shared" si="0"/>
        <v>-7.2172285974309268E-3</v>
      </c>
      <c r="F9" s="3">
        <f t="shared" si="1"/>
        <v>-7.2433987852541376E-3</v>
      </c>
      <c r="G9" s="2">
        <f t="shared" si="2"/>
        <v>1909.786477546422</v>
      </c>
      <c r="H9" s="2">
        <f t="shared" si="3"/>
        <v>163.13119520163161</v>
      </c>
      <c r="I9" s="2">
        <f t="shared" si="4"/>
        <v>-6.9493200658778278</v>
      </c>
      <c r="J9" s="2">
        <f t="shared" si="5"/>
        <v>-13.883566453578009</v>
      </c>
      <c r="K9" s="2">
        <f t="shared" si="6"/>
        <v>-6.9495333426149601</v>
      </c>
      <c r="L9" s="2">
        <f t="shared" si="7"/>
        <v>-5.9128705669062924</v>
      </c>
      <c r="M9" s="2"/>
      <c r="O9" s="4">
        <f t="shared" ca="1" si="8"/>
        <v>0.65195280124204047</v>
      </c>
      <c r="P9" s="4">
        <f t="shared" ca="1" si="9"/>
        <v>0.39059800904733555</v>
      </c>
      <c r="Q9" s="4">
        <f t="shared" ca="1" si="10"/>
        <v>1915.8942186181428</v>
      </c>
      <c r="R9" s="4">
        <f t="shared" ca="1" si="11"/>
        <v>-7.775825381857203</v>
      </c>
      <c r="S9" s="4">
        <f t="shared" ca="1" si="12"/>
        <v>-3.9115861577730326</v>
      </c>
    </row>
    <row r="10" spans="1:19" x14ac:dyDescent="0.2">
      <c r="A10" t="s">
        <v>11</v>
      </c>
      <c r="B10" s="2">
        <f>$B$4*EXP(-$B$9*$B$7)*_xlfn.NORM.S.DIST((LN($B$4/$B$5)+($B$8-$B$9+0.5*$B$6^2)*$B$7)/($B$6*SQRT($B$7)),TRUE)-$B$5*EXP(-$B$8*$B$7)*_xlfn.NORM.S.DIST((LN($B$4/$B$5)+($B$8-$B$9-0.5*$B$6^2)*B7)/($B$6*SQRT($B$7)),TRUE)</f>
        <v>170.08051526750944</v>
      </c>
      <c r="C10" s="1">
        <v>42367</v>
      </c>
      <c r="D10" s="2">
        <v>2078.360107</v>
      </c>
      <c r="E10" s="3">
        <f t="shared" si="0"/>
        <v>1.0629762703622645E-2</v>
      </c>
      <c r="F10" s="3">
        <f t="shared" si="1"/>
        <v>1.0573663970038498E-2</v>
      </c>
      <c r="G10" s="2">
        <f t="shared" si="2"/>
        <v>1944.1182000877875</v>
      </c>
      <c r="H10" s="2">
        <f t="shared" si="3"/>
        <v>180.60106125220534</v>
      </c>
      <c r="I10" s="2">
        <f t="shared" si="4"/>
        <v>10.5205459846959</v>
      </c>
      <c r="J10" s="2">
        <f t="shared" si="5"/>
        <v>20.448156087787332</v>
      </c>
      <c r="K10" s="2">
        <f t="shared" si="6"/>
        <v>10.521263569114867</v>
      </c>
      <c r="L10" s="2">
        <f t="shared" si="7"/>
        <v>11.875210763265244</v>
      </c>
      <c r="M10" s="2"/>
      <c r="O10" s="4">
        <f t="shared" ca="1" si="8"/>
        <v>0.62614861388184861</v>
      </c>
      <c r="P10" s="4">
        <f t="shared" ca="1" si="9"/>
        <v>0.3216699144105149</v>
      </c>
      <c r="Q10" s="4">
        <f t="shared" ca="1" si="10"/>
        <v>1917.1948001972903</v>
      </c>
      <c r="R10" s="4">
        <f t="shared" ca="1" si="11"/>
        <v>-6.4752438027096559</v>
      </c>
      <c r="S10" s="4">
        <f t="shared" ca="1" si="12"/>
        <v>-3.2607639203838845</v>
      </c>
    </row>
    <row r="11" spans="1:19" x14ac:dyDescent="0.2">
      <c r="A11" t="s">
        <v>14</v>
      </c>
      <c r="B11">
        <f>SMALL(I2:I252,2)</f>
        <v>-29.470764608522813</v>
      </c>
      <c r="C11" s="1">
        <v>42366</v>
      </c>
      <c r="D11" s="2">
        <v>2056.5</v>
      </c>
      <c r="E11" s="3">
        <f t="shared" si="0"/>
        <v>-2.1785598289101996E-3</v>
      </c>
      <c r="F11" s="3">
        <f t="shared" si="1"/>
        <v>-2.1809363425864849E-3</v>
      </c>
      <c r="G11" s="2">
        <f t="shared" si="2"/>
        <v>1919.4792137180636</v>
      </c>
      <c r="H11" s="2">
        <f t="shared" si="3"/>
        <v>167.96623126613588</v>
      </c>
      <c r="I11" s="2">
        <f t="shared" si="4"/>
        <v>-2.1142840013735622</v>
      </c>
      <c r="J11" s="2">
        <f t="shared" si="5"/>
        <v>-4.1908302819363161</v>
      </c>
      <c r="K11" s="2">
        <f t="shared" si="6"/>
        <v>-2.1142899568970086</v>
      </c>
      <c r="L11" s="2">
        <f t="shared" si="7"/>
        <v>-1.7848322408954971</v>
      </c>
      <c r="M11" s="2"/>
      <c r="O11" s="4">
        <f t="shared" ca="1" si="8"/>
        <v>0.19458799873271526</v>
      </c>
      <c r="P11" s="4">
        <f t="shared" ca="1" si="9"/>
        <v>-0.86111265949421878</v>
      </c>
      <c r="Q11" s="4">
        <f t="shared" ca="1" si="10"/>
        <v>1939.5123361144313</v>
      </c>
      <c r="R11" s="4">
        <f t="shared" ca="1" si="11"/>
        <v>15.842292114431302</v>
      </c>
      <c r="S11" s="4">
        <f t="shared" ca="1" si="12"/>
        <v>8.1216889515409889</v>
      </c>
    </row>
    <row r="12" spans="1:19" x14ac:dyDescent="0.2">
      <c r="A12" t="s">
        <v>15</v>
      </c>
      <c r="B12">
        <f>EXP(-$B$9*$B$7)*_xlfn.NORM.S.DIST((LN($B$4/$B$5)+($B$8-$B$9+0.5*$B$6^2)*$B$7)/($B$6*SQRT($B$7)),TRUE)</f>
        <v>0.50620979490545137</v>
      </c>
      <c r="C12" s="1">
        <v>42362</v>
      </c>
      <c r="D12" s="2">
        <v>2060.98999</v>
      </c>
      <c r="E12" s="3">
        <f t="shared" si="0"/>
        <v>-1.5986363048084951E-3</v>
      </c>
      <c r="F12" s="3">
        <f t="shared" si="1"/>
        <v>-1.5999154873061849E-3</v>
      </c>
      <c r="G12" s="2">
        <f t="shared" si="2"/>
        <v>1920.594795229189</v>
      </c>
      <c r="H12" s="2">
        <f t="shared" si="3"/>
        <v>168.52764629196759</v>
      </c>
      <c r="I12" s="2">
        <f t="shared" si="4"/>
        <v>-1.5528689755418554</v>
      </c>
      <c r="J12" s="2">
        <f t="shared" si="5"/>
        <v>-3.0752487708109553</v>
      </c>
      <c r="K12" s="2">
        <f t="shared" si="6"/>
        <v>-1.5528713327910166</v>
      </c>
      <c r="L12" s="2">
        <f t="shared" si="7"/>
        <v>-1.3097173556695907</v>
      </c>
      <c r="M12" s="2"/>
      <c r="O12" s="4">
        <f t="shared" ca="1" si="8"/>
        <v>0.5393522478224928</v>
      </c>
      <c r="P12" s="4">
        <f t="shared" ca="1" si="9"/>
        <v>9.8801969949888616E-2</v>
      </c>
      <c r="Q12" s="4">
        <f t="shared" ca="1" si="10"/>
        <v>1921.400022243181</v>
      </c>
      <c r="R12" s="4">
        <f t="shared" ca="1" si="11"/>
        <v>-2.2700217568190055</v>
      </c>
      <c r="S12" s="4">
        <f t="shared" ca="1" si="12"/>
        <v>-1.1470096207281442</v>
      </c>
    </row>
    <row r="13" spans="1:19" x14ac:dyDescent="0.2">
      <c r="A13" t="s">
        <v>16</v>
      </c>
      <c r="B13">
        <f>EXP(-$B$9*$B$7)*_xlfn.NORM.S.DIST((LN($B$4/$B$5)+($B$8-$B$9+0.5*$B$6^2)*$B$7)/($B$6*SQRT($B$7)),FALSE)/($B$6*SQRT($B$7)*$B$4)</f>
        <v>8.141384514628124E-4</v>
      </c>
      <c r="C13" s="1">
        <v>42361</v>
      </c>
      <c r="D13" s="2">
        <v>2064.290039</v>
      </c>
      <c r="E13" s="3">
        <f t="shared" si="0"/>
        <v>1.2418068122691342E-2</v>
      </c>
      <c r="F13" s="3">
        <f t="shared" si="1"/>
        <v>1.2341596351676601E-2</v>
      </c>
      <c r="G13" s="2">
        <f t="shared" si="2"/>
        <v>1947.5583096519726</v>
      </c>
      <c r="H13" s="2">
        <f t="shared" si="3"/>
        <v>182.40413334666709</v>
      </c>
      <c r="I13" s="2">
        <f t="shared" si="4"/>
        <v>12.323618079157654</v>
      </c>
      <c r="J13" s="2">
        <f t="shared" si="5"/>
        <v>23.888265651972652</v>
      </c>
      <c r="K13" s="2">
        <f t="shared" si="6"/>
        <v>12.324767798937446</v>
      </c>
      <c r="L13" s="2">
        <f t="shared" si="7"/>
        <v>13.873044990862041</v>
      </c>
      <c r="M13" s="2"/>
      <c r="O13" s="4">
        <f t="shared" ca="1" si="8"/>
        <v>0.62450320729828579</v>
      </c>
      <c r="P13" s="4">
        <f t="shared" ca="1" si="9"/>
        <v>0.31732951320053321</v>
      </c>
      <c r="Q13" s="4">
        <f t="shared" ca="1" si="10"/>
        <v>1917.2766978021721</v>
      </c>
      <c r="R13" s="4">
        <f t="shared" ca="1" si="11"/>
        <v>-6.3933461978278956</v>
      </c>
      <c r="S13" s="4">
        <f t="shared" ca="1" si="12"/>
        <v>-3.2197355635974976</v>
      </c>
    </row>
    <row r="14" spans="1:19" x14ac:dyDescent="0.2">
      <c r="C14" s="1">
        <v>42360</v>
      </c>
      <c r="D14" s="2">
        <v>2038.969971</v>
      </c>
      <c r="E14" s="3">
        <f t="shared" si="0"/>
        <v>8.8167364066983073E-3</v>
      </c>
      <c r="F14" s="3">
        <f t="shared" si="1"/>
        <v>8.7780959420341153E-3</v>
      </c>
      <c r="G14" s="2">
        <f t="shared" si="2"/>
        <v>1940.6305357114095</v>
      </c>
      <c r="H14" s="2">
        <f t="shared" si="3"/>
        <v>178.78277170716603</v>
      </c>
      <c r="I14" s="2">
        <f t="shared" si="4"/>
        <v>8.702256439656594</v>
      </c>
      <c r="J14" s="2">
        <f t="shared" si="5"/>
        <v>16.960491711409734</v>
      </c>
      <c r="K14" s="2">
        <f t="shared" si="6"/>
        <v>8.7026638636738642</v>
      </c>
      <c r="L14" s="2">
        <f t="shared" si="7"/>
        <v>9.8497592084546284</v>
      </c>
      <c r="M14" s="2"/>
      <c r="O14" s="4">
        <f t="shared" ca="1" si="8"/>
        <v>0.32536737420086248</v>
      </c>
      <c r="P14" s="4">
        <f t="shared" ca="1" si="9"/>
        <v>-0.45274170017296955</v>
      </c>
      <c r="Q14" s="4">
        <f t="shared" ca="1" si="10"/>
        <v>1931.8069186072375</v>
      </c>
      <c r="R14" s="4">
        <f t="shared" ca="1" si="11"/>
        <v>8.136874607237587</v>
      </c>
      <c r="S14" s="4">
        <f t="shared" ca="1" si="12"/>
        <v>4.1459171618969419</v>
      </c>
    </row>
    <row r="15" spans="1:19" x14ac:dyDescent="0.2">
      <c r="A15" t="s">
        <v>20</v>
      </c>
      <c r="B15">
        <f>SMALL(K2:K252,2)</f>
        <v>-29.487672280140536</v>
      </c>
      <c r="C15" s="1">
        <v>42359</v>
      </c>
      <c r="D15" s="2">
        <v>2021.150024</v>
      </c>
      <c r="E15" s="3">
        <f t="shared" si="0"/>
        <v>7.7784022432042963E-3</v>
      </c>
      <c r="F15" s="3">
        <f t="shared" si="1"/>
        <v>7.7483064365918945E-3</v>
      </c>
      <c r="G15" s="2">
        <f t="shared" si="2"/>
        <v>1938.6331233854346</v>
      </c>
      <c r="H15" s="2">
        <f t="shared" si="3"/>
        <v>177.74583391147371</v>
      </c>
      <c r="I15" s="2">
        <f t="shared" si="4"/>
        <v>7.6653186439642695</v>
      </c>
      <c r="J15" s="2">
        <f t="shared" si="5"/>
        <v>14.963079385434508</v>
      </c>
      <c r="K15" s="2">
        <f t="shared" si="6"/>
        <v>7.6655976001538138</v>
      </c>
      <c r="L15" s="2">
        <f t="shared" si="7"/>
        <v>8.6897674590634608</v>
      </c>
      <c r="M15" s="2"/>
      <c r="O15" s="4">
        <f t="shared" ca="1" si="8"/>
        <v>7.2899856832192578E-2</v>
      </c>
      <c r="P15" s="4">
        <f t="shared" ca="1" si="9"/>
        <v>-1.4545289483277315</v>
      </c>
      <c r="Q15" s="4">
        <f t="shared" ca="1" si="10"/>
        <v>1950.709313168411</v>
      </c>
      <c r="R15" s="4">
        <f t="shared" ca="1" si="11"/>
        <v>27.03926916841101</v>
      </c>
      <c r="S15" s="4">
        <f t="shared" ca="1" si="12"/>
        <v>13.985160198000017</v>
      </c>
    </row>
    <row r="16" spans="1:19" x14ac:dyDescent="0.2">
      <c r="C16" s="1">
        <v>42356</v>
      </c>
      <c r="D16" s="2">
        <v>2005.5500489999999</v>
      </c>
      <c r="E16" s="3">
        <f t="shared" si="0"/>
        <v>-1.7797220091700192E-2</v>
      </c>
      <c r="F16" s="3">
        <f t="shared" si="1"/>
        <v>-1.7957495093582236E-2</v>
      </c>
      <c r="G16" s="2">
        <f t="shared" si="2"/>
        <v>1889.4340648431214</v>
      </c>
      <c r="H16" s="2">
        <f t="shared" si="3"/>
        <v>153.23014739624819</v>
      </c>
      <c r="I16" s="2">
        <f t="shared" si="4"/>
        <v>-16.850367871261255</v>
      </c>
      <c r="J16" s="2">
        <f t="shared" si="5"/>
        <v>-34.235979156878592</v>
      </c>
      <c r="K16" s="2">
        <f t="shared" si="6"/>
        <v>-16.853461224340077</v>
      </c>
      <c r="L16" s="2">
        <f t="shared" si="7"/>
        <v>-14.580757340903233</v>
      </c>
      <c r="M16" s="2"/>
      <c r="O16" s="4">
        <f t="shared" ca="1" si="8"/>
        <v>0.97771551784292732</v>
      </c>
      <c r="P16" s="4">
        <f t="shared" ca="1" si="9"/>
        <v>2.0086999473775746</v>
      </c>
      <c r="Q16" s="4">
        <f t="shared" ca="1" si="10"/>
        <v>1885.3627845887563</v>
      </c>
      <c r="R16" s="4">
        <f t="shared" ca="1" si="11"/>
        <v>-38.307259411243649</v>
      </c>
      <c r="S16" s="4">
        <f t="shared" ca="1" si="12"/>
        <v>-18.794157772619034</v>
      </c>
    </row>
    <row r="17" spans="1:19" x14ac:dyDescent="0.2">
      <c r="A17" t="s">
        <v>27</v>
      </c>
      <c r="B17" s="3">
        <f>AVERAGE(F2:F252)</f>
        <v>-2.1093005910675637E-4</v>
      </c>
      <c r="C17" s="1">
        <v>42355</v>
      </c>
      <c r="D17" s="2">
        <v>2041.8900149999999</v>
      </c>
      <c r="E17" s="3">
        <f t="shared" si="0"/>
        <v>-1.5040520569611564E-2</v>
      </c>
      <c r="F17" s="3">
        <f t="shared" si="1"/>
        <v>-1.5154776290347281E-2</v>
      </c>
      <c r="G17" s="2">
        <f t="shared" si="2"/>
        <v>1894.7370451340723</v>
      </c>
      <c r="H17" s="2">
        <f t="shared" si="3"/>
        <v>155.7769967111301</v>
      </c>
      <c r="I17" s="2">
        <f t="shared" si="4"/>
        <v>-14.303518556379345</v>
      </c>
      <c r="J17" s="2">
        <f t="shared" si="5"/>
        <v>-28.932998865927583</v>
      </c>
      <c r="K17" s="2">
        <f t="shared" si="6"/>
        <v>-14.30540227347179</v>
      </c>
      <c r="L17" s="2">
        <f t="shared" si="7"/>
        <v>-12.322271656832669</v>
      </c>
      <c r="M17" s="2"/>
      <c r="O17" s="4">
        <f t="shared" ca="1" si="8"/>
        <v>0.6328505484454926</v>
      </c>
      <c r="P17" s="4">
        <f t="shared" ca="1" si="9"/>
        <v>0.33941263296084667</v>
      </c>
      <c r="Q17" s="4">
        <f t="shared" ca="1" si="10"/>
        <v>1916.8600186683341</v>
      </c>
      <c r="R17" s="4">
        <f t="shared" ca="1" si="11"/>
        <v>-6.8100253316658836</v>
      </c>
      <c r="S17" s="4">
        <f t="shared" ca="1" si="12"/>
        <v>-3.4284231028778911</v>
      </c>
    </row>
    <row r="18" spans="1:19" x14ac:dyDescent="0.2">
      <c r="C18" s="1">
        <v>42354</v>
      </c>
      <c r="D18" s="2">
        <v>2073.070068</v>
      </c>
      <c r="E18" s="3">
        <f t="shared" si="0"/>
        <v>1.4514969343641774E-2</v>
      </c>
      <c r="F18" s="3">
        <f t="shared" si="1"/>
        <v>1.4410635565352437E-2</v>
      </c>
      <c r="G18" s="2">
        <f t="shared" si="2"/>
        <v>1951.5920557159418</v>
      </c>
      <c r="H18" s="2">
        <f t="shared" si="3"/>
        <v>184.53043154485215</v>
      </c>
      <c r="I18" s="2">
        <f t="shared" si="4"/>
        <v>14.449916277342709</v>
      </c>
      <c r="J18" s="2">
        <f t="shared" si="5"/>
        <v>27.922011715942023</v>
      </c>
      <c r="K18" s="2">
        <f t="shared" si="6"/>
        <v>14.451762761610448</v>
      </c>
      <c r="L18" s="2">
        <f t="shared" si="7"/>
        <v>16.215631993302623</v>
      </c>
      <c r="M18" s="2"/>
      <c r="O18" s="4">
        <f t="shared" ca="1" si="8"/>
        <v>0.7768252518276112</v>
      </c>
      <c r="P18" s="4">
        <f t="shared" ca="1" si="9"/>
        <v>0.76151504460444497</v>
      </c>
      <c r="Q18" s="4">
        <f t="shared" ca="1" si="10"/>
        <v>1908.8955068971907</v>
      </c>
      <c r="R18" s="4">
        <f t="shared" ca="1" si="11"/>
        <v>-14.77453710280929</v>
      </c>
      <c r="S18" s="4">
        <f t="shared" ca="1" si="12"/>
        <v>-7.3901574982954061</v>
      </c>
    </row>
    <row r="19" spans="1:19" x14ac:dyDescent="0.2">
      <c r="A19" t="s">
        <v>29</v>
      </c>
      <c r="B19">
        <f ca="1">SMALL(S2:S5001,50)</f>
        <v>-22.473616991767134</v>
      </c>
      <c r="C19" s="1">
        <v>42353</v>
      </c>
      <c r="D19" s="2">
        <v>2043.410034</v>
      </c>
      <c r="E19" s="3">
        <f t="shared" si="0"/>
        <v>1.0618561196917325E-2</v>
      </c>
      <c r="F19" s="3">
        <f t="shared" si="1"/>
        <v>1.0562580218900188E-2</v>
      </c>
      <c r="G19" s="2">
        <f t="shared" si="2"/>
        <v>1944.0966520848908</v>
      </c>
      <c r="H19" s="2">
        <f t="shared" si="3"/>
        <v>180.58979719612125</v>
      </c>
      <c r="I19" s="2">
        <f t="shared" si="4"/>
        <v>10.509281928611813</v>
      </c>
      <c r="J19" s="2">
        <f t="shared" si="5"/>
        <v>20.426608084890642</v>
      </c>
      <c r="K19" s="2">
        <f t="shared" si="6"/>
        <v>10.509997224814521</v>
      </c>
      <c r="L19" s="2">
        <f t="shared" si="7"/>
        <v>11.862696819473626</v>
      </c>
      <c r="M19" s="2"/>
      <c r="O19" s="4">
        <f t="shared" ca="1" si="8"/>
        <v>0.71916522445466136</v>
      </c>
      <c r="P19" s="4">
        <f t="shared" ca="1" si="9"/>
        <v>0.58036344472294876</v>
      </c>
      <c r="Q19" s="4">
        <f t="shared" ca="1" si="10"/>
        <v>1912.3135969384193</v>
      </c>
      <c r="R19" s="4">
        <f t="shared" ca="1" si="11"/>
        <v>-11.356447061580639</v>
      </c>
      <c r="S19" s="4">
        <f t="shared" ca="1" si="12"/>
        <v>-5.6962454717575906</v>
      </c>
    </row>
    <row r="20" spans="1:19" x14ac:dyDescent="0.2">
      <c r="A20" t="s">
        <v>35</v>
      </c>
      <c r="B20">
        <f>B12*B17*B4+B12*NORMSINV(0.01)*B4*B32</f>
        <v>-22.425526122328165</v>
      </c>
      <c r="C20" s="1">
        <v>42352</v>
      </c>
      <c r="D20" s="2">
        <v>2021.9399410000001</v>
      </c>
      <c r="E20" s="3">
        <f t="shared" si="0"/>
        <v>4.7555598740678263E-3</v>
      </c>
      <c r="F20" s="3">
        <f t="shared" si="1"/>
        <v>4.7442879213808178E-3</v>
      </c>
      <c r="G20" s="2">
        <f t="shared" si="2"/>
        <v>1932.8181720721927</v>
      </c>
      <c r="H20" s="2">
        <f t="shared" si="3"/>
        <v>174.74539100588561</v>
      </c>
      <c r="I20" s="2">
        <f t="shared" si="4"/>
        <v>4.6648757383761676</v>
      </c>
      <c r="J20" s="2">
        <f t="shared" si="5"/>
        <v>9.148128072192689</v>
      </c>
      <c r="K20" s="2">
        <f t="shared" si="6"/>
        <v>4.66493894519426</v>
      </c>
      <c r="L20" s="2">
        <f t="shared" si="7"/>
        <v>5.3127503761336357</v>
      </c>
      <c r="M20" s="2"/>
      <c r="O20" s="4">
        <f t="shared" ca="1" si="8"/>
        <v>0.82284090718720404</v>
      </c>
      <c r="P20" s="4">
        <f t="shared" ca="1" si="9"/>
        <v>0.92624593510626774</v>
      </c>
      <c r="Q20" s="4">
        <f t="shared" ca="1" si="10"/>
        <v>1905.787253828074</v>
      </c>
      <c r="R20" s="4">
        <f t="shared" ca="1" si="11"/>
        <v>-17.88279017192599</v>
      </c>
      <c r="S20" s="4">
        <f t="shared" ca="1" si="12"/>
        <v>-8.9222651742579817</v>
      </c>
    </row>
    <row r="21" spans="1:19" x14ac:dyDescent="0.2">
      <c r="A21" t="s">
        <v>30</v>
      </c>
      <c r="B21" t="s">
        <v>31</v>
      </c>
      <c r="C21" s="1">
        <v>42349</v>
      </c>
      <c r="D21" s="2">
        <v>2012.369995</v>
      </c>
      <c r="E21" s="3">
        <f t="shared" si="0"/>
        <v>-1.9422767130611768E-2</v>
      </c>
      <c r="F21" s="3">
        <f t="shared" si="1"/>
        <v>-1.961386758563884E-2</v>
      </c>
      <c r="G21" s="2">
        <f t="shared" si="2"/>
        <v>1886.3070486992542</v>
      </c>
      <c r="H21" s="2">
        <f t="shared" si="3"/>
        <v>151.73926652480964</v>
      </c>
      <c r="I21" s="2">
        <f t="shared" si="4"/>
        <v>-18.341248742699804</v>
      </c>
      <c r="J21" s="2">
        <f t="shared" si="5"/>
        <v>-37.362995300745695</v>
      </c>
      <c r="K21" s="2">
        <f t="shared" si="6"/>
        <v>-18.345248228516109</v>
      </c>
      <c r="L21" s="2">
        <f t="shared" si="7"/>
        <v>-15.912521897304202</v>
      </c>
      <c r="M21" s="2"/>
      <c r="O21" s="4">
        <f t="shared" ca="1" si="8"/>
        <v>0.55076345829343665</v>
      </c>
      <c r="P21" s="4">
        <f t="shared" ca="1" si="9"/>
        <v>0.12759045725506479</v>
      </c>
      <c r="Q21" s="4">
        <f t="shared" ca="1" si="10"/>
        <v>1920.8568217314316</v>
      </c>
      <c r="R21" s="4">
        <f t="shared" ca="1" si="11"/>
        <v>-2.8132222685683246</v>
      </c>
      <c r="S21" s="4">
        <f t="shared" ca="1" si="12"/>
        <v>-1.4208590323781105</v>
      </c>
    </row>
    <row r="22" spans="1:19" x14ac:dyDescent="0.2">
      <c r="A22">
        <v>0.7</v>
      </c>
      <c r="B22">
        <f>$B$4*A22*EXP(-$B$9*$B$7)*_xlfn.NORM.S.DIST((LN($B$4*A22/$B$5)+($B$8-$B$9+0.5*$B$6^2)*$B$7)/($B$6*SQRT($B$7)),TRUE)-$B$5*EXP(-$B$8*$B$7)*_xlfn.NORM.S.DIST((LN($B$4*A22/$B$5)+($B$8-$B$9-0.5*$B$6^2)*B$7)/($B$6*SQRT($B$7)),TRUE)</f>
        <v>11.298586134446396</v>
      </c>
      <c r="C22" s="1">
        <v>42348</v>
      </c>
      <c r="D22" s="2">
        <v>2052.2299800000001</v>
      </c>
      <c r="E22" s="3">
        <f t="shared" si="0"/>
        <v>2.2513869815966765E-3</v>
      </c>
      <c r="F22" s="3">
        <f t="shared" si="1"/>
        <v>2.2488564074157492E-3</v>
      </c>
      <c r="G22" s="2">
        <f t="shared" si="2"/>
        <v>1928.0009696939492</v>
      </c>
      <c r="H22" s="2">
        <f t="shared" si="3"/>
        <v>172.2805009799074</v>
      </c>
      <c r="I22" s="2">
        <f t="shared" si="4"/>
        <v>2.1999857123979609</v>
      </c>
      <c r="J22" s="2">
        <f t="shared" si="5"/>
        <v>4.3309256939491059</v>
      </c>
      <c r="K22" s="2">
        <f t="shared" si="6"/>
        <v>2.1999923711142193</v>
      </c>
      <c r="L22" s="2">
        <f t="shared" si="7"/>
        <v>2.5151732603608821</v>
      </c>
      <c r="M22" s="2"/>
      <c r="O22" s="4">
        <f t="shared" ca="1" si="8"/>
        <v>0.5591513184283603</v>
      </c>
      <c r="P22" s="4">
        <f t="shared" ca="1" si="9"/>
        <v>0.14881785263261904</v>
      </c>
      <c r="Q22" s="4">
        <f t="shared" ca="1" si="10"/>
        <v>1920.4562889799199</v>
      </c>
      <c r="R22" s="4">
        <f t="shared" ca="1" si="11"/>
        <v>-3.2137550200800433</v>
      </c>
      <c r="S22" s="4">
        <f t="shared" ca="1" si="12"/>
        <v>-1.6226299685314685</v>
      </c>
    </row>
    <row r="23" spans="1:19" x14ac:dyDescent="0.2">
      <c r="A23">
        <v>0.8</v>
      </c>
      <c r="B23">
        <f t="shared" ref="B23:B28" si="13">$B$4*A23*EXP(-$B$9*$B$7)*_xlfn.NORM.S.DIST((LN($B$4*A23/$B$5)+($B$8-$B$9+0.5*$B$6^2)*$B$7)/($B$6*SQRT($B$7)),TRUE)-$B$5*EXP(-$B$8*$B$7)*_xlfn.NORM.S.DIST((LN($B$4*A23/$B$5)+($B$8-$B$9-0.5*$B$6^2)*B$7)/($B$6*SQRT($B$7)),TRUE)</f>
        <v>36.847880329018153</v>
      </c>
      <c r="C23" s="1">
        <v>42347</v>
      </c>
      <c r="D23" s="2">
        <v>2047.619995</v>
      </c>
      <c r="E23" s="3">
        <f t="shared" si="0"/>
        <v>-7.7389851273601904E-3</v>
      </c>
      <c r="F23" s="3">
        <f t="shared" si="1"/>
        <v>-7.769086475925991E-3</v>
      </c>
      <c r="G23" s="2">
        <f t="shared" si="2"/>
        <v>1908.7827901395358</v>
      </c>
      <c r="H23" s="2">
        <f t="shared" si="3"/>
        <v>162.63492296769232</v>
      </c>
      <c r="I23" s="2">
        <f t="shared" si="4"/>
        <v>-7.4455922998171218</v>
      </c>
      <c r="J23" s="2">
        <f t="shared" si="5"/>
        <v>-14.887253860464323</v>
      </c>
      <c r="K23" s="2">
        <f t="shared" si="6"/>
        <v>-7.4458548375946059</v>
      </c>
      <c r="L23" s="2">
        <f t="shared" si="7"/>
        <v>-6.3403308845700508</v>
      </c>
      <c r="M23" s="2"/>
      <c r="O23" s="4">
        <f t="shared" ca="1" si="8"/>
        <v>9.2556550962319961E-2</v>
      </c>
      <c r="P23" s="4">
        <f t="shared" ca="1" si="9"/>
        <v>-1.3251750399093343</v>
      </c>
      <c r="Q23" s="4">
        <f t="shared" ca="1" si="10"/>
        <v>1948.2685767551075</v>
      </c>
      <c r="R23" s="4">
        <f t="shared" ca="1" si="11"/>
        <v>24.598532755107499</v>
      </c>
      <c r="S23" s="4">
        <f t="shared" ca="1" si="12"/>
        <v>12.69833084876203</v>
      </c>
    </row>
    <row r="24" spans="1:19" x14ac:dyDescent="0.2">
      <c r="A24">
        <v>0.9</v>
      </c>
      <c r="B24">
        <f t="shared" si="13"/>
        <v>88.153353240092372</v>
      </c>
      <c r="C24" s="1">
        <v>42346</v>
      </c>
      <c r="D24" s="2">
        <v>2063.5900879999999</v>
      </c>
      <c r="E24" s="3">
        <f t="shared" si="0"/>
        <v>-6.4899014278222552E-3</v>
      </c>
      <c r="F24" s="3">
        <f t="shared" si="1"/>
        <v>-6.5110523995720879E-3</v>
      </c>
      <c r="G24" s="2">
        <f t="shared" si="2"/>
        <v>1911.1856150347855</v>
      </c>
      <c r="H24" s="2">
        <f t="shared" si="3"/>
        <v>163.8243766649091</v>
      </c>
      <c r="I24" s="2">
        <f t="shared" si="4"/>
        <v>-6.2561386026003447</v>
      </c>
      <c r="J24" s="2">
        <f t="shared" si="5"/>
        <v>-12.4844289652145</v>
      </c>
      <c r="K24" s="2">
        <f t="shared" si="6"/>
        <v>-6.2562940230023916</v>
      </c>
      <c r="L24" s="2">
        <f t="shared" si="7"/>
        <v>-5.3169920581915733</v>
      </c>
      <c r="M24" s="2"/>
      <c r="O24" s="4">
        <f t="shared" ca="1" si="8"/>
        <v>0.81409257006763669</v>
      </c>
      <c r="P24" s="4">
        <f t="shared" ca="1" si="9"/>
        <v>0.8930790152453264</v>
      </c>
      <c r="Q24" s="4">
        <f t="shared" ca="1" si="10"/>
        <v>1906.4130695456779</v>
      </c>
      <c r="R24" s="4">
        <f t="shared" ca="1" si="11"/>
        <v>-17.256974454322062</v>
      </c>
      <c r="S24" s="4">
        <f t="shared" ca="1" si="12"/>
        <v>-8.6144229944708428</v>
      </c>
    </row>
    <row r="25" spans="1:19" x14ac:dyDescent="0.2">
      <c r="A25">
        <v>1</v>
      </c>
      <c r="B25">
        <f t="shared" si="13"/>
        <v>170.08051526750944</v>
      </c>
      <c r="C25" s="1">
        <v>42345</v>
      </c>
      <c r="D25" s="2">
        <v>2077.070068</v>
      </c>
      <c r="E25" s="3">
        <f t="shared" si="0"/>
        <v>-6.989502943734861E-3</v>
      </c>
      <c r="F25" s="3">
        <f t="shared" si="1"/>
        <v>-7.0140439391970736E-3</v>
      </c>
      <c r="G25" s="2">
        <f t="shared" si="2"/>
        <v>1910.2245465646872</v>
      </c>
      <c r="H25" s="2">
        <f t="shared" si="3"/>
        <v>163.34805716641301</v>
      </c>
      <c r="I25" s="2">
        <f t="shared" si="4"/>
        <v>-6.7324581010964266</v>
      </c>
      <c r="J25" s="2">
        <f t="shared" si="5"/>
        <v>-13.44549743531257</v>
      </c>
      <c r="K25" s="2">
        <f t="shared" si="6"/>
        <v>-6.7326519540844396</v>
      </c>
      <c r="L25" s="2">
        <f t="shared" si="7"/>
        <v>-5.7263014016247951</v>
      </c>
      <c r="M25" s="2"/>
      <c r="O25" s="4">
        <f t="shared" ca="1" si="8"/>
        <v>5.9885993115897151E-2</v>
      </c>
      <c r="P25" s="4">
        <f t="shared" ca="1" si="9"/>
        <v>-1.5557313595978186</v>
      </c>
      <c r="Q25" s="4">
        <f t="shared" ca="1" si="10"/>
        <v>1952.6188682280233</v>
      </c>
      <c r="R25" s="4">
        <f t="shared" ca="1" si="11"/>
        <v>28.948824228023341</v>
      </c>
      <c r="S25" s="4">
        <f t="shared" ca="1" si="12"/>
        <v>14.995316399410905</v>
      </c>
    </row>
    <row r="26" spans="1:19" x14ac:dyDescent="0.2">
      <c r="A26">
        <v>1.1000000000000001</v>
      </c>
      <c r="B26">
        <f t="shared" si="13"/>
        <v>281.79712733466408</v>
      </c>
      <c r="C26" s="1">
        <v>42342</v>
      </c>
      <c r="D26" s="2">
        <v>2091.6899410000001</v>
      </c>
      <c r="E26" s="3">
        <f t="shared" si="0"/>
        <v>2.0525668952536026E-2</v>
      </c>
      <c r="F26" s="3">
        <f t="shared" si="1"/>
        <v>2.0317856261110587E-2</v>
      </c>
      <c r="G26" s="2">
        <f t="shared" si="2"/>
        <v>1963.1546584970542</v>
      </c>
      <c r="H26" s="2">
        <f t="shared" si="3"/>
        <v>190.69734375942346</v>
      </c>
      <c r="I26" s="2">
        <f t="shared" si="4"/>
        <v>20.616828491914021</v>
      </c>
      <c r="J26" s="2">
        <f t="shared" si="5"/>
        <v>39.484614497054409</v>
      </c>
      <c r="K26" s="2">
        <f t="shared" si="6"/>
        <v>20.622133688064061</v>
      </c>
      <c r="L26" s="2">
        <f t="shared" si="7"/>
        <v>22.930581957892969</v>
      </c>
      <c r="M26" s="2"/>
      <c r="O26" s="4">
        <f t="shared" ca="1" si="8"/>
        <v>0.54884927475232614</v>
      </c>
      <c r="P26" s="4">
        <f t="shared" ca="1" si="9"/>
        <v>0.12275456934708663</v>
      </c>
      <c r="Q26" s="4">
        <f t="shared" ca="1" si="10"/>
        <v>1920.9480685120814</v>
      </c>
      <c r="R26" s="4">
        <f t="shared" ca="1" si="11"/>
        <v>-2.7219754879185984</v>
      </c>
      <c r="S26" s="4">
        <f t="shared" ca="1" si="12"/>
        <v>-1.3748746162964436</v>
      </c>
    </row>
    <row r="27" spans="1:19" x14ac:dyDescent="0.2">
      <c r="A27">
        <v>1.2</v>
      </c>
      <c r="B27">
        <f t="shared" si="13"/>
        <v>418.501151385502</v>
      </c>
      <c r="C27" s="1">
        <v>42341</v>
      </c>
      <c r="D27" s="2">
        <v>2049.6201169999999</v>
      </c>
      <c r="E27" s="3">
        <f t="shared" si="0"/>
        <v>-1.4373526867514348E-2</v>
      </c>
      <c r="F27" s="3">
        <f t="shared" si="1"/>
        <v>-1.4477826648337327E-2</v>
      </c>
      <c r="G27" s="2">
        <f t="shared" si="2"/>
        <v>1896.0201209383333</v>
      </c>
      <c r="H27" s="2">
        <f t="shared" si="3"/>
        <v>156.39671279188133</v>
      </c>
      <c r="I27" s="2">
        <f t="shared" si="4"/>
        <v>-13.683802475628113</v>
      </c>
      <c r="J27" s="2">
        <f t="shared" si="5"/>
        <v>-27.649923061666506</v>
      </c>
      <c r="K27" s="2">
        <f t="shared" si="6"/>
        <v>-13.685450032019363</v>
      </c>
      <c r="L27" s="2">
        <f t="shared" si="7"/>
        <v>-11.775822645802805</v>
      </c>
      <c r="M27" s="2"/>
      <c r="O27" s="4">
        <f t="shared" ca="1" si="8"/>
        <v>0.1299186683040856</v>
      </c>
      <c r="P27" s="4">
        <f t="shared" ca="1" si="9"/>
        <v>-1.1267756773461841</v>
      </c>
      <c r="Q27" s="4">
        <f t="shared" ca="1" si="10"/>
        <v>1944.5250443446464</v>
      </c>
      <c r="R27" s="4">
        <f t="shared" ca="1" si="11"/>
        <v>20.855000344646442</v>
      </c>
      <c r="S27" s="4">
        <f t="shared" ca="1" si="12"/>
        <v>10.734052488661613</v>
      </c>
    </row>
    <row r="28" spans="1:19" x14ac:dyDescent="0.2">
      <c r="A28">
        <v>1.3</v>
      </c>
      <c r="B28">
        <f t="shared" si="13"/>
        <v>573.96147471300173</v>
      </c>
      <c r="C28" s="1">
        <v>42340</v>
      </c>
      <c r="D28" s="2">
        <v>2079.51001</v>
      </c>
      <c r="E28" s="3">
        <f t="shared" si="0"/>
        <v>-1.099569314929217E-2</v>
      </c>
      <c r="F28" s="3">
        <f t="shared" si="1"/>
        <v>-1.1056592615916112E-2</v>
      </c>
      <c r="G28" s="2">
        <f t="shared" si="2"/>
        <v>1902.5179584756906</v>
      </c>
      <c r="H28" s="2">
        <f t="shared" si="3"/>
        <v>159.55599501270376</v>
      </c>
      <c r="I28" s="2">
        <f t="shared" si="4"/>
        <v>-10.52452025480568</v>
      </c>
      <c r="J28" s="2">
        <f t="shared" si="5"/>
        <v>-21.152085524309367</v>
      </c>
      <c r="K28" s="2">
        <f t="shared" si="6"/>
        <v>-10.525265738883467</v>
      </c>
      <c r="L28" s="2">
        <f t="shared" si="7"/>
        <v>-9.0084593424581954</v>
      </c>
      <c r="M28" s="2"/>
      <c r="O28" s="4">
        <f t="shared" ca="1" si="8"/>
        <v>0.12221217003932705</v>
      </c>
      <c r="P28" s="4">
        <f t="shared" ca="1" si="9"/>
        <v>-1.163999189876562</v>
      </c>
      <c r="Q28" s="4">
        <f t="shared" ca="1" si="10"/>
        <v>1945.2274025769937</v>
      </c>
      <c r="R28" s="4">
        <f t="shared" ca="1" si="11"/>
        <v>21.557358576993693</v>
      </c>
      <c r="S28" s="4">
        <f t="shared" ca="1" si="12"/>
        <v>11.101719156013544</v>
      </c>
    </row>
    <row r="29" spans="1:19" x14ac:dyDescent="0.2">
      <c r="C29" s="1">
        <v>42339</v>
      </c>
      <c r="D29" s="2">
        <v>2102.6298830000001</v>
      </c>
      <c r="E29" s="3">
        <f t="shared" si="0"/>
        <v>1.0680573511899315E-2</v>
      </c>
      <c r="F29" s="3">
        <f t="shared" si="1"/>
        <v>1.0623939088487118E-2</v>
      </c>
      <c r="G29" s="2">
        <f t="shared" si="2"/>
        <v>1944.2159433175805</v>
      </c>
      <c r="H29" s="2">
        <f t="shared" si="3"/>
        <v>180.65216047331489</v>
      </c>
      <c r="I29" s="2">
        <f t="shared" si="4"/>
        <v>10.571645205805453</v>
      </c>
      <c r="J29" s="2">
        <f t="shared" si="5"/>
        <v>20.545899317580588</v>
      </c>
      <c r="K29" s="2">
        <f t="shared" si="6"/>
        <v>10.572373231592595</v>
      </c>
      <c r="L29" s="2">
        <f t="shared" si="7"/>
        <v>11.931974876835852</v>
      </c>
      <c r="M29" s="2"/>
      <c r="O29" s="4">
        <f t="shared" ca="1" si="8"/>
        <v>0.99016809554979224</v>
      </c>
      <c r="P29" s="4">
        <f t="shared" ca="1" si="9"/>
        <v>2.3327016622107797</v>
      </c>
      <c r="Q29" s="4">
        <f t="shared" ca="1" si="10"/>
        <v>1879.2493026458039</v>
      </c>
      <c r="R29" s="4">
        <f t="shared" ca="1" si="11"/>
        <v>-44.420741354196025</v>
      </c>
      <c r="S29" s="4">
        <f t="shared" ca="1" si="12"/>
        <v>-21.682984453266094</v>
      </c>
    </row>
    <row r="30" spans="1:19" x14ac:dyDescent="0.2">
      <c r="A30" t="s">
        <v>33</v>
      </c>
      <c r="B30">
        <f>SMALL(L2:L252,2)</f>
        <v>-26.094591967482216</v>
      </c>
      <c r="C30" s="1">
        <v>42338</v>
      </c>
      <c r="D30" s="2">
        <v>2080.4099120000001</v>
      </c>
      <c r="E30" s="3">
        <f t="shared" si="0"/>
        <v>-4.6409971261862784E-3</v>
      </c>
      <c r="F30" s="3">
        <f t="shared" si="1"/>
        <v>-4.6517999903487525E-3</v>
      </c>
      <c r="G30" s="2">
        <f t="shared" si="2"/>
        <v>1914.7422968540654</v>
      </c>
      <c r="H30" s="2">
        <f t="shared" si="3"/>
        <v>165.59370468869906</v>
      </c>
      <c r="I30" s="2">
        <f t="shared" si="4"/>
        <v>-4.4868105788103776</v>
      </c>
      <c r="J30" s="2">
        <f t="shared" si="5"/>
        <v>-8.9277471459346316</v>
      </c>
      <c r="K30" s="2">
        <f t="shared" si="6"/>
        <v>-4.4868677337728737</v>
      </c>
      <c r="L30" s="2">
        <f t="shared" si="7"/>
        <v>-3.8022372352583886</v>
      </c>
      <c r="M30" s="2"/>
      <c r="O30" s="4">
        <f t="shared" ca="1" si="8"/>
        <v>0.19936936244198478</v>
      </c>
      <c r="P30" s="4">
        <f t="shared" ca="1" si="9"/>
        <v>-0.84387595677623961</v>
      </c>
      <c r="Q30" s="4">
        <f t="shared" ca="1" si="10"/>
        <v>1939.187102432021</v>
      </c>
      <c r="R30" s="4">
        <f t="shared" ca="1" si="11"/>
        <v>15.517058432021031</v>
      </c>
      <c r="S30" s="4">
        <f t="shared" ca="1" si="12"/>
        <v>7.9529007291885225</v>
      </c>
    </row>
    <row r="31" spans="1:19" x14ac:dyDescent="0.2">
      <c r="C31" s="1">
        <v>42335</v>
      </c>
      <c r="D31" s="2">
        <v>2090.110107</v>
      </c>
      <c r="E31" s="3">
        <f t="shared" si="0"/>
        <v>5.9361756861211026E-4</v>
      </c>
      <c r="F31" s="3">
        <f t="shared" si="1"/>
        <v>5.934414473988609E-4</v>
      </c>
      <c r="G31" s="2">
        <f t="shared" si="2"/>
        <v>1924.8119683343311</v>
      </c>
      <c r="H31" s="2">
        <f t="shared" si="3"/>
        <v>170.65909924380026</v>
      </c>
      <c r="I31" s="2">
        <f t="shared" si="4"/>
        <v>0.57858397629081537</v>
      </c>
      <c r="J31" s="2">
        <f t="shared" si="5"/>
        <v>1.1419243343312311</v>
      </c>
      <c r="K31" s="2">
        <f t="shared" si="6"/>
        <v>0.57858409776153263</v>
      </c>
      <c r="L31" s="2">
        <f t="shared" si="7"/>
        <v>0.66316943628885383</v>
      </c>
      <c r="M31" s="2"/>
      <c r="O31" s="4">
        <f t="shared" ca="1" si="8"/>
        <v>0.906405505077295</v>
      </c>
      <c r="P31" s="4">
        <f t="shared" ca="1" si="9"/>
        <v>1.3189405452877914</v>
      </c>
      <c r="Q31" s="4">
        <f t="shared" ca="1" si="10"/>
        <v>1898.3776282041006</v>
      </c>
      <c r="R31" s="4">
        <f t="shared" ca="1" si="11"/>
        <v>-25.292415795899387</v>
      </c>
      <c r="S31" s="4">
        <f t="shared" ca="1" si="12"/>
        <v>-12.542863865774734</v>
      </c>
    </row>
    <row r="32" spans="1:19" x14ac:dyDescent="0.2">
      <c r="A32" t="s">
        <v>34</v>
      </c>
      <c r="B32">
        <f>SQRT(VAR(F2:F252))</f>
        <v>9.8086839900596145E-3</v>
      </c>
      <c r="C32" s="1">
        <v>42333</v>
      </c>
      <c r="D32" s="2">
        <v>2088.8701169999999</v>
      </c>
      <c r="E32" s="3">
        <f t="shared" si="0"/>
        <v>-1.2913256833782199E-4</v>
      </c>
      <c r="F32" s="3">
        <f t="shared" si="1"/>
        <v>-1.2914090666574113E-4</v>
      </c>
      <c r="G32" s="2">
        <f t="shared" si="2"/>
        <v>1923.4216355465837</v>
      </c>
      <c r="H32" s="2">
        <f t="shared" si="3"/>
        <v>169.95479359542321</v>
      </c>
      <c r="I32" s="2">
        <f t="shared" si="4"/>
        <v>-0.12572167208622886</v>
      </c>
      <c r="J32" s="2">
        <f t="shared" si="5"/>
        <v>-0.24840845341625103</v>
      </c>
      <c r="K32" s="2">
        <f t="shared" si="6"/>
        <v>-0.12572167333371567</v>
      </c>
      <c r="L32" s="2">
        <f t="shared" si="7"/>
        <v>-0.10579464849229225</v>
      </c>
      <c r="M32" s="2"/>
      <c r="O32" s="4">
        <f t="shared" ca="1" si="8"/>
        <v>0.9680308484922634</v>
      </c>
      <c r="P32" s="4">
        <f t="shared" ca="1" si="9"/>
        <v>1.8526098263087678</v>
      </c>
      <c r="Q32" s="4">
        <f t="shared" ca="1" si="10"/>
        <v>1888.3079978173921</v>
      </c>
      <c r="R32" s="4">
        <f t="shared" ca="1" si="11"/>
        <v>-35.362046182607855</v>
      </c>
      <c r="S32" s="4">
        <f t="shared" ca="1" si="12"/>
        <v>-17.39158453627639</v>
      </c>
    </row>
    <row r="33" spans="3:19" x14ac:dyDescent="0.2">
      <c r="C33" s="1">
        <v>42332</v>
      </c>
      <c r="D33" s="2">
        <v>2089.139893</v>
      </c>
      <c r="E33" s="3">
        <f t="shared" si="0"/>
        <v>1.2219961240418323E-3</v>
      </c>
      <c r="F33" s="3">
        <f t="shared" si="1"/>
        <v>1.2212500944798874E-3</v>
      </c>
      <c r="G33" s="2">
        <f t="shared" si="2"/>
        <v>1926.0207613377033</v>
      </c>
      <c r="H33" s="2">
        <f t="shared" si="3"/>
        <v>171.27271975976214</v>
      </c>
      <c r="I33" s="2">
        <f t="shared" si="4"/>
        <v>1.1922044922526993</v>
      </c>
      <c r="J33" s="2">
        <f t="shared" si="5"/>
        <v>2.3507173377033808</v>
      </c>
      <c r="K33" s="2">
        <f t="shared" si="6"/>
        <v>1.1922055538367722</v>
      </c>
      <c r="L33" s="2">
        <f t="shared" si="7"/>
        <v>1.365172669371475</v>
      </c>
      <c r="M33" s="2"/>
      <c r="O33" s="4">
        <f t="shared" ca="1" si="8"/>
        <v>0.74276640137537753</v>
      </c>
      <c r="P33" s="4">
        <f t="shared" ca="1" si="9"/>
        <v>0.65189765584551629</v>
      </c>
      <c r="Q33" s="4">
        <f t="shared" ca="1" si="10"/>
        <v>1910.9638414032479</v>
      </c>
      <c r="R33" s="4">
        <f t="shared" ca="1" si="11"/>
        <v>-12.706202596752064</v>
      </c>
      <c r="S33" s="4">
        <f t="shared" ca="1" si="12"/>
        <v>-6.3662838673389679</v>
      </c>
    </row>
    <row r="34" spans="3:19" x14ac:dyDescent="0.2">
      <c r="C34" s="1">
        <v>42331</v>
      </c>
      <c r="D34" s="2">
        <v>2086.5900879999999</v>
      </c>
      <c r="E34" s="3">
        <f t="shared" si="0"/>
        <v>-1.2348607802712369E-3</v>
      </c>
      <c r="F34" s="3">
        <f t="shared" si="1"/>
        <v>-1.2356238490984315E-3</v>
      </c>
      <c r="G34" s="2">
        <f t="shared" si="2"/>
        <v>1921.2945793084816</v>
      </c>
      <c r="H34" s="2">
        <f t="shared" si="3"/>
        <v>168.88032988428586</v>
      </c>
      <c r="I34" s="2">
        <f t="shared" si="4"/>
        <v>-1.2001853832235838</v>
      </c>
      <c r="J34" s="2">
        <f t="shared" si="5"/>
        <v>-2.3754646915182445</v>
      </c>
      <c r="K34" s="2">
        <f t="shared" si="6"/>
        <v>-1.2001864708416203</v>
      </c>
      <c r="L34" s="2">
        <f t="shared" si="7"/>
        <v>-1.0116863922658581</v>
      </c>
      <c r="M34" s="2"/>
      <c r="O34" s="4">
        <f t="shared" ca="1" si="8"/>
        <v>9.4249868425744565E-2</v>
      </c>
      <c r="P34" s="4">
        <f t="shared" ca="1" si="9"/>
        <v>-1.3150302481686382</v>
      </c>
      <c r="Q34" s="4">
        <f t="shared" ca="1" si="10"/>
        <v>1948.07715801168</v>
      </c>
      <c r="R34" s="4">
        <f t="shared" ca="1" si="11"/>
        <v>24.407114011680051</v>
      </c>
      <c r="S34" s="4">
        <f t="shared" ca="1" si="12"/>
        <v>12.597614252606459</v>
      </c>
    </row>
    <row r="35" spans="3:19" x14ac:dyDescent="0.2">
      <c r="C35" s="1">
        <v>42328</v>
      </c>
      <c r="D35" s="2">
        <v>2089.169922</v>
      </c>
      <c r="E35" s="3">
        <f t="shared" si="0"/>
        <v>3.8101958630921791E-3</v>
      </c>
      <c r="F35" s="3">
        <f t="shared" si="1"/>
        <v>3.8029554525950086E-3</v>
      </c>
      <c r="G35" s="2">
        <f t="shared" si="2"/>
        <v>1930.9996036436032</v>
      </c>
      <c r="H35" s="2">
        <f t="shared" si="3"/>
        <v>173.81264648419005</v>
      </c>
      <c r="I35" s="2">
        <f t="shared" si="4"/>
        <v>3.7321312166806138</v>
      </c>
      <c r="J35" s="2">
        <f t="shared" si="5"/>
        <v>7.32955964360315</v>
      </c>
      <c r="K35" s="2">
        <f t="shared" si="6"/>
        <v>3.7321636378507805</v>
      </c>
      <c r="L35" s="2">
        <f t="shared" si="7"/>
        <v>4.2566217313695631</v>
      </c>
      <c r="M35" s="2"/>
      <c r="O35" s="4">
        <f t="shared" ca="1" si="8"/>
        <v>3.2613175963132734E-2</v>
      </c>
      <c r="P35" s="4">
        <f t="shared" ca="1" si="9"/>
        <v>-1.8437035737582173</v>
      </c>
      <c r="Q35" s="4">
        <f t="shared" ca="1" si="10"/>
        <v>1958.0525213562109</v>
      </c>
      <c r="R35" s="4">
        <f t="shared" ca="1" si="11"/>
        <v>34.382477356210984</v>
      </c>
      <c r="S35" s="4">
        <f t="shared" ca="1" si="12"/>
        <v>17.88596562926023</v>
      </c>
    </row>
    <row r="36" spans="3:19" x14ac:dyDescent="0.2">
      <c r="C36" s="1">
        <v>42327</v>
      </c>
      <c r="D36" s="2">
        <v>2081.23999</v>
      </c>
      <c r="E36" s="3">
        <f t="shared" si="0"/>
        <v>-1.1231092218188907E-3</v>
      </c>
      <c r="F36" s="3">
        <f t="shared" si="1"/>
        <v>-1.1237403815994775E-3</v>
      </c>
      <c r="G36" s="2">
        <f t="shared" si="2"/>
        <v>1921.5095524338467</v>
      </c>
      <c r="H36" s="2">
        <f t="shared" si="3"/>
        <v>168.98875418015234</v>
      </c>
      <c r="I36" s="2">
        <f t="shared" si="4"/>
        <v>-1.0917610873570993</v>
      </c>
      <c r="J36" s="2">
        <f t="shared" si="5"/>
        <v>-2.160491566153151</v>
      </c>
      <c r="K36" s="2">
        <f t="shared" si="6"/>
        <v>-1.0917619058811299</v>
      </c>
      <c r="L36" s="2">
        <f t="shared" si="7"/>
        <v>-0.92013151190442954</v>
      </c>
      <c r="M36" s="2"/>
      <c r="O36" s="4">
        <f t="shared" ca="1" si="8"/>
        <v>0.17178547814298506</v>
      </c>
      <c r="P36" s="4">
        <f t="shared" ca="1" si="9"/>
        <v>-0.94713310723311173</v>
      </c>
      <c r="Q36" s="4">
        <f t="shared" ca="1" si="10"/>
        <v>1941.135427690496</v>
      </c>
      <c r="R36" s="4">
        <f t="shared" ca="1" si="11"/>
        <v>17.465383690496083</v>
      </c>
      <c r="S36" s="4">
        <f t="shared" ca="1" si="12"/>
        <v>8.9653205408770482</v>
      </c>
    </row>
    <row r="37" spans="3:19" x14ac:dyDescent="0.2">
      <c r="C37" s="1">
        <v>42326</v>
      </c>
      <c r="D37" s="2">
        <v>2083.580078</v>
      </c>
      <c r="E37" s="3">
        <f t="shared" si="0"/>
        <v>1.6162451938893374E-2</v>
      </c>
      <c r="F37" s="3">
        <f t="shared" si="1"/>
        <v>1.6033230015307577E-2</v>
      </c>
      <c r="G37" s="2">
        <f t="shared" si="2"/>
        <v>1954.7612686324389</v>
      </c>
      <c r="H37" s="2">
        <f t="shared" si="3"/>
        <v>186.21013640726915</v>
      </c>
      <c r="I37" s="2">
        <f t="shared" si="4"/>
        <v>16.129621139759706</v>
      </c>
      <c r="J37" s="2">
        <f t="shared" si="5"/>
        <v>31.091224632438902</v>
      </c>
      <c r="K37" s="2">
        <f t="shared" si="6"/>
        <v>16.132181711987808</v>
      </c>
      <c r="L37" s="2">
        <f t="shared" si="7"/>
        <v>18.056143733113885</v>
      </c>
      <c r="M37" s="2"/>
      <c r="O37" s="4">
        <f t="shared" ca="1" si="8"/>
        <v>0.16756740659519964</v>
      </c>
      <c r="P37" s="4">
        <f t="shared" ca="1" si="9"/>
        <v>-0.96382272124357349</v>
      </c>
      <c r="Q37" s="4">
        <f t="shared" ca="1" si="10"/>
        <v>1941.4503385357684</v>
      </c>
      <c r="R37" s="4">
        <f t="shared" ca="1" si="11"/>
        <v>17.780294535768462</v>
      </c>
      <c r="S37" s="4">
        <f t="shared" ca="1" si="12"/>
        <v>9.129249656882557</v>
      </c>
    </row>
    <row r="38" spans="3:19" x14ac:dyDescent="0.2">
      <c r="C38" s="1">
        <v>42325</v>
      </c>
      <c r="D38" s="2">
        <v>2050.4399410000001</v>
      </c>
      <c r="E38" s="3">
        <f t="shared" si="0"/>
        <v>-1.3393792484004772E-3</v>
      </c>
      <c r="F38" s="3">
        <f t="shared" si="1"/>
        <v>-1.3402770185119402E-3</v>
      </c>
      <c r="G38" s="2">
        <f t="shared" si="2"/>
        <v>1921.0935202622968</v>
      </c>
      <c r="H38" s="2">
        <f t="shared" si="3"/>
        <v>168.77895742077408</v>
      </c>
      <c r="I38" s="2">
        <f t="shared" si="4"/>
        <v>-1.3015578467353635</v>
      </c>
      <c r="J38" s="2">
        <f t="shared" si="5"/>
        <v>-2.5765237377032326</v>
      </c>
      <c r="K38" s="2">
        <f t="shared" si="6"/>
        <v>-1.301559234128147</v>
      </c>
      <c r="L38" s="2">
        <f t="shared" si="7"/>
        <v>-1.0973154069986037</v>
      </c>
      <c r="M38" s="2"/>
      <c r="O38" s="4">
        <f t="shared" ca="1" si="8"/>
        <v>0.41290236668807245</v>
      </c>
      <c r="P38" s="4">
        <f t="shared" ca="1" si="9"/>
        <v>-0.22008528673534339</v>
      </c>
      <c r="Q38" s="4">
        <f t="shared" ca="1" si="10"/>
        <v>1927.4170011551178</v>
      </c>
      <c r="R38" s="4">
        <f t="shared" ca="1" si="11"/>
        <v>3.7469571551177978</v>
      </c>
      <c r="S38" s="4">
        <f t="shared" ca="1" si="12"/>
        <v>1.9024615379037306</v>
      </c>
    </row>
    <row r="39" spans="3:19" x14ac:dyDescent="0.2">
      <c r="C39" s="1">
        <v>42324</v>
      </c>
      <c r="D39" s="2">
        <v>2053.1899410000001</v>
      </c>
      <c r="E39" s="3">
        <f t="shared" si="0"/>
        <v>1.4903265095486383E-2</v>
      </c>
      <c r="F39" s="3">
        <f t="shared" si="1"/>
        <v>1.4793302627265626E-2</v>
      </c>
      <c r="G39" s="2">
        <f t="shared" si="2"/>
        <v>1952.3390086219779</v>
      </c>
      <c r="H39" s="2">
        <f t="shared" si="3"/>
        <v>184.92559928501134</v>
      </c>
      <c r="I39" s="2">
        <f t="shared" si="4"/>
        <v>14.845084017501904</v>
      </c>
      <c r="J39" s="2">
        <f t="shared" si="5"/>
        <v>28.668964621977956</v>
      </c>
      <c r="K39" s="2">
        <f t="shared" si="6"/>
        <v>14.847084778457601</v>
      </c>
      <c r="L39" s="2">
        <f t="shared" si="7"/>
        <v>16.649422852064106</v>
      </c>
      <c r="M39" s="2"/>
      <c r="O39" s="4">
        <f t="shared" ca="1" si="8"/>
        <v>0.12709842169041274</v>
      </c>
      <c r="P39" s="4">
        <f t="shared" ca="1" si="9"/>
        <v>-1.1402147512012035</v>
      </c>
      <c r="Q39" s="4">
        <f t="shared" ca="1" si="10"/>
        <v>1944.7786218153242</v>
      </c>
      <c r="R39" s="4">
        <f t="shared" ca="1" si="11"/>
        <v>21.108577815324225</v>
      </c>
      <c r="S39" s="4">
        <f t="shared" ca="1" si="12"/>
        <v>10.866747519048541</v>
      </c>
    </row>
    <row r="40" spans="3:19" x14ac:dyDescent="0.2">
      <c r="C40" s="1">
        <v>42321</v>
      </c>
      <c r="D40" s="2">
        <v>2023.040039</v>
      </c>
      <c r="E40" s="3">
        <f t="shared" si="0"/>
        <v>-1.1207364880723368E-2</v>
      </c>
      <c r="F40" s="3">
        <f t="shared" si="1"/>
        <v>-1.1270640608151911E-2</v>
      </c>
      <c r="G40" s="2">
        <f t="shared" si="2"/>
        <v>1902.1107719067747</v>
      </c>
      <c r="H40" s="2">
        <f t="shared" si="3"/>
        <v>159.35699608953257</v>
      </c>
      <c r="I40" s="2">
        <f t="shared" si="4"/>
        <v>-10.723519177976868</v>
      </c>
      <c r="J40" s="2">
        <f t="shared" si="5"/>
        <v>-21.559272093225175</v>
      </c>
      <c r="K40" s="2">
        <f t="shared" si="6"/>
        <v>-10.724308027580955</v>
      </c>
      <c r="L40" s="2">
        <f t="shared" si="7"/>
        <v>-9.1818759848341074</v>
      </c>
      <c r="M40" s="2"/>
      <c r="O40" s="4">
        <f t="shared" ca="1" si="8"/>
        <v>4.2299324843897756E-2</v>
      </c>
      <c r="P40" s="4">
        <f t="shared" ca="1" si="9"/>
        <v>-1.7246051778253908</v>
      </c>
      <c r="Q40" s="4">
        <f t="shared" ca="1" si="10"/>
        <v>1955.8052928397053</v>
      </c>
      <c r="R40" s="4">
        <f t="shared" ca="1" si="11"/>
        <v>32.135248839705355</v>
      </c>
      <c r="S40" s="4">
        <f t="shared" ca="1" si="12"/>
        <v>16.687547618732779</v>
      </c>
    </row>
    <row r="41" spans="3:19" x14ac:dyDescent="0.2">
      <c r="C41" s="1">
        <v>42320</v>
      </c>
      <c r="D41" s="2">
        <v>2045.969971</v>
      </c>
      <c r="E41" s="3">
        <f t="shared" si="0"/>
        <v>-1.3990375421686753E-2</v>
      </c>
      <c r="F41" s="3">
        <f t="shared" si="1"/>
        <v>-1.4089163191530417E-2</v>
      </c>
      <c r="G41" s="2">
        <f t="shared" si="2"/>
        <v>1896.7571778969873</v>
      </c>
      <c r="H41" s="2">
        <f t="shared" si="3"/>
        <v>156.75332117132848</v>
      </c>
      <c r="I41" s="2">
        <f t="shared" si="4"/>
        <v>-13.327194096180961</v>
      </c>
      <c r="J41" s="2">
        <f t="shared" si="5"/>
        <v>-26.912866103012675</v>
      </c>
      <c r="K41" s="2">
        <f t="shared" si="6"/>
        <v>-13.328715228678535</v>
      </c>
      <c r="L41" s="2">
        <f t="shared" si="7"/>
        <v>-11.461917539969278</v>
      </c>
      <c r="M41" s="2"/>
      <c r="O41" s="4">
        <f t="shared" ca="1" si="8"/>
        <v>0.69663033221613968</v>
      </c>
      <c r="P41" s="4">
        <f t="shared" ca="1" si="9"/>
        <v>0.51473339263684392</v>
      </c>
      <c r="Q41" s="4">
        <f t="shared" ca="1" si="10"/>
        <v>1913.5519488358777</v>
      </c>
      <c r="R41" s="4">
        <f t="shared" ca="1" si="11"/>
        <v>-10.118095164122224</v>
      </c>
      <c r="S41" s="4">
        <f t="shared" ca="1" si="12"/>
        <v>-5.0802048199727272</v>
      </c>
    </row>
    <row r="42" spans="3:19" x14ac:dyDescent="0.2">
      <c r="C42" s="1">
        <v>42319</v>
      </c>
      <c r="D42" s="2">
        <v>2075</v>
      </c>
      <c r="E42" s="3">
        <f t="shared" si="0"/>
        <v>-3.2280859546982687E-3</v>
      </c>
      <c r="F42" s="3">
        <f t="shared" si="1"/>
        <v>-3.2333074641793741E-3</v>
      </c>
      <c r="G42" s="2">
        <f t="shared" si="2"/>
        <v>1917.4602717494897</v>
      </c>
      <c r="H42" s="2">
        <f t="shared" si="3"/>
        <v>166.95278415194446</v>
      </c>
      <c r="I42" s="2">
        <f t="shared" si="4"/>
        <v>-3.1277311155649841</v>
      </c>
      <c r="J42" s="2">
        <f t="shared" si="5"/>
        <v>-6.2097722505102002</v>
      </c>
      <c r="K42" s="2">
        <f t="shared" si="6"/>
        <v>-3.1277504304470094</v>
      </c>
      <c r="L42" s="2">
        <f t="shared" si="7"/>
        <v>-2.6446792104899544</v>
      </c>
      <c r="M42" s="2"/>
      <c r="O42" s="4">
        <f t="shared" ca="1" si="8"/>
        <v>0.21977855648077482</v>
      </c>
      <c r="P42" s="4">
        <f t="shared" ca="1" si="9"/>
        <v>-0.77294131384246323</v>
      </c>
      <c r="Q42" s="4">
        <f t="shared" ca="1" si="10"/>
        <v>1937.8486599520832</v>
      </c>
      <c r="R42" s="4">
        <f t="shared" ca="1" si="11"/>
        <v>14.178615952083192</v>
      </c>
      <c r="S42" s="4">
        <f t="shared" ca="1" si="12"/>
        <v>7.2591886819929448</v>
      </c>
    </row>
    <row r="43" spans="3:19" x14ac:dyDescent="0.2">
      <c r="C43" s="1">
        <v>42318</v>
      </c>
      <c r="D43" s="2">
        <v>2081.719971</v>
      </c>
      <c r="E43" s="3">
        <f t="shared" si="0"/>
        <v>1.5105951573543511E-3</v>
      </c>
      <c r="F43" s="3">
        <f t="shared" si="1"/>
        <v>1.5094553561973928E-3</v>
      </c>
      <c r="G43" s="2">
        <f t="shared" si="2"/>
        <v>1926.5759306528141</v>
      </c>
      <c r="H43" s="2">
        <f t="shared" si="3"/>
        <v>171.55493891171341</v>
      </c>
      <c r="I43" s="2">
        <f t="shared" si="4"/>
        <v>1.4744236442039664</v>
      </c>
      <c r="J43" s="2">
        <f t="shared" si="5"/>
        <v>2.9058866528140315</v>
      </c>
      <c r="K43" s="2">
        <f t="shared" si="6"/>
        <v>1.4744256512300991</v>
      </c>
      <c r="L43" s="2">
        <f t="shared" si="7"/>
        <v>1.6875857318468377</v>
      </c>
      <c r="M43" s="2"/>
      <c r="O43" s="4">
        <f t="shared" ca="1" si="8"/>
        <v>0.67461329674091386</v>
      </c>
      <c r="P43" s="4">
        <f t="shared" ca="1" si="9"/>
        <v>0.45268802108636891</v>
      </c>
      <c r="Q43" s="4">
        <f t="shared" ca="1" si="10"/>
        <v>1914.7226625736516</v>
      </c>
      <c r="R43" s="4">
        <f t="shared" ca="1" si="11"/>
        <v>-8.9473814263483291</v>
      </c>
      <c r="S43" s="4">
        <f t="shared" ca="1" si="12"/>
        <v>-4.4966639316666441</v>
      </c>
    </row>
    <row r="44" spans="3:19" x14ac:dyDescent="0.2">
      <c r="C44" s="1">
        <v>42317</v>
      </c>
      <c r="D44" s="2">
        <v>2078.580078</v>
      </c>
      <c r="E44" s="3">
        <f t="shared" si="0"/>
        <v>-9.8227293641929472E-3</v>
      </c>
      <c r="F44" s="3">
        <f t="shared" si="1"/>
        <v>-9.871290634763304E-3</v>
      </c>
      <c r="G44" s="2">
        <f t="shared" si="2"/>
        <v>1904.7743537717829</v>
      </c>
      <c r="H44" s="2">
        <f t="shared" si="3"/>
        <v>160.66120807943037</v>
      </c>
      <c r="I44" s="2">
        <f t="shared" si="4"/>
        <v>-9.419307188079074</v>
      </c>
      <c r="J44" s="2">
        <f t="shared" si="5"/>
        <v>-18.895690228217138</v>
      </c>
      <c r="K44" s="2">
        <f t="shared" si="6"/>
        <v>-9.4198405847307569</v>
      </c>
      <c r="L44" s="2">
        <f t="shared" si="7"/>
        <v>-8.0474834017170167</v>
      </c>
      <c r="M44" s="2"/>
      <c r="O44" s="4">
        <f t="shared" ca="1" si="8"/>
        <v>2.788826097257413E-2</v>
      </c>
      <c r="P44" s="4">
        <f t="shared" ca="1" si="9"/>
        <v>-1.9127776625459501</v>
      </c>
      <c r="Q44" s="4">
        <f t="shared" ca="1" si="10"/>
        <v>1959.3558576510425</v>
      </c>
      <c r="R44" s="4">
        <f t="shared" ca="1" si="11"/>
        <v>35.685813651042508</v>
      </c>
      <c r="S44" s="4">
        <f t="shared" ca="1" si="12"/>
        <v>18.582901826171959</v>
      </c>
    </row>
    <row r="45" spans="3:19" x14ac:dyDescent="0.2">
      <c r="C45" s="1">
        <v>42314</v>
      </c>
      <c r="D45" s="2">
        <v>2099.1999510000001</v>
      </c>
      <c r="E45" s="3">
        <f t="shared" si="0"/>
        <v>-3.4762159864291725E-4</v>
      </c>
      <c r="F45" s="3">
        <f t="shared" si="1"/>
        <v>-3.4768203303673869E-4</v>
      </c>
      <c r="G45" s="2">
        <f t="shared" si="2"/>
        <v>1923.0013347440433</v>
      </c>
      <c r="H45" s="2">
        <f t="shared" si="3"/>
        <v>169.74219014651442</v>
      </c>
      <c r="I45" s="2">
        <f t="shared" si="4"/>
        <v>-0.3383251209950231</v>
      </c>
      <c r="J45" s="2">
        <f t="shared" si="5"/>
        <v>-0.668709255956771</v>
      </c>
      <c r="K45" s="2">
        <f t="shared" si="6"/>
        <v>-0.3383251453213566</v>
      </c>
      <c r="L45" s="2">
        <f t="shared" si="7"/>
        <v>-0.28479651036244036</v>
      </c>
      <c r="M45" s="2"/>
      <c r="O45" s="4">
        <f t="shared" ca="1" si="8"/>
        <v>0.83905722251126591</v>
      </c>
      <c r="P45" s="4">
        <f t="shared" ca="1" si="9"/>
        <v>0.9905905479113829</v>
      </c>
      <c r="Q45" s="4">
        <f t="shared" ca="1" si="10"/>
        <v>1904.5731564622224</v>
      </c>
      <c r="R45" s="4">
        <f t="shared" ca="1" si="11"/>
        <v>-19.096887537777548</v>
      </c>
      <c r="S45" s="4">
        <f t="shared" ca="1" si="12"/>
        <v>-9.5185769945741416</v>
      </c>
    </row>
    <row r="46" spans="3:19" x14ac:dyDescent="0.2">
      <c r="C46" s="1">
        <v>42313</v>
      </c>
      <c r="D46" s="2">
        <v>2099.929932</v>
      </c>
      <c r="E46" s="3">
        <f t="shared" si="0"/>
        <v>-1.1321484144598778E-3</v>
      </c>
      <c r="F46" s="3">
        <f t="shared" si="1"/>
        <v>-1.1327897786013324E-3</v>
      </c>
      <c r="G46" s="2">
        <f t="shared" si="2"/>
        <v>1921.4921640097414</v>
      </c>
      <c r="H46" s="2">
        <f t="shared" si="3"/>
        <v>168.97998271771496</v>
      </c>
      <c r="I46" s="2">
        <f t="shared" si="4"/>
        <v>-1.1005325497944796</v>
      </c>
      <c r="J46" s="2">
        <f t="shared" si="5"/>
        <v>-2.1778799902585635</v>
      </c>
      <c r="K46" s="2">
        <f t="shared" si="6"/>
        <v>-1.1005333882191157</v>
      </c>
      <c r="L46" s="2">
        <f t="shared" si="7"/>
        <v>-0.9275370659053408</v>
      </c>
      <c r="M46" s="2"/>
      <c r="O46" s="4">
        <f t="shared" ca="1" si="8"/>
        <v>0.18039697099490637</v>
      </c>
      <c r="P46" s="4">
        <f t="shared" ca="1" si="9"/>
        <v>-0.91385328712295644</v>
      </c>
      <c r="Q46" s="4">
        <f t="shared" ca="1" si="10"/>
        <v>1940.5074816951703</v>
      </c>
      <c r="R46" s="4">
        <f t="shared" ca="1" si="11"/>
        <v>16.837437695170365</v>
      </c>
      <c r="S46" s="4">
        <f t="shared" ca="1" si="12"/>
        <v>8.6386797262649342</v>
      </c>
    </row>
    <row r="47" spans="3:19" x14ac:dyDescent="0.2">
      <c r="C47" s="1">
        <v>42312</v>
      </c>
      <c r="D47" s="2">
        <v>2102.3100589999999</v>
      </c>
      <c r="E47" s="3">
        <f t="shared" si="0"/>
        <v>-3.5453670089111975E-3</v>
      </c>
      <c r="F47" s="3">
        <f t="shared" si="1"/>
        <v>-3.5516667167835828E-3</v>
      </c>
      <c r="G47" s="2">
        <f t="shared" si="2"/>
        <v>1916.8499276899718</v>
      </c>
      <c r="H47" s="2">
        <f t="shared" si="3"/>
        <v>166.64706556546685</v>
      </c>
      <c r="I47" s="2">
        <f t="shared" si="4"/>
        <v>-3.4334497020425943</v>
      </c>
      <c r="J47" s="2">
        <f t="shared" si="5"/>
        <v>-6.8201163100283519</v>
      </c>
      <c r="K47" s="2">
        <f t="shared" si="6"/>
        <v>-3.433475266067739</v>
      </c>
      <c r="L47" s="2">
        <f t="shared" si="7"/>
        <v>-2.904618573857249</v>
      </c>
      <c r="M47" s="2"/>
      <c r="O47" s="4">
        <f t="shared" ca="1" si="8"/>
        <v>2.7528315202378417E-2</v>
      </c>
      <c r="P47" s="4">
        <f t="shared" ca="1" si="9"/>
        <v>-1.9184290506288171</v>
      </c>
      <c r="Q47" s="4">
        <f t="shared" ca="1" si="10"/>
        <v>1959.4624918366515</v>
      </c>
      <c r="R47" s="4">
        <f t="shared" ca="1" si="11"/>
        <v>35.79244783665149</v>
      </c>
      <c r="S47" s="4">
        <f t="shared" ca="1" si="12"/>
        <v>18.639983787703741</v>
      </c>
    </row>
    <row r="48" spans="3:19" x14ac:dyDescent="0.2">
      <c r="C48" s="1">
        <v>42311</v>
      </c>
      <c r="D48" s="2">
        <v>2109.790039</v>
      </c>
      <c r="E48" s="3">
        <f t="shared" si="0"/>
        <v>2.7280672352485635E-3</v>
      </c>
      <c r="F48" s="3">
        <f t="shared" si="1"/>
        <v>2.7243528137560241E-3</v>
      </c>
      <c r="G48" s="2">
        <f t="shared" si="2"/>
        <v>1928.9179452184655</v>
      </c>
      <c r="H48" s="2">
        <f t="shared" si="3"/>
        <v>172.74825328043687</v>
      </c>
      <c r="I48" s="2">
        <f t="shared" si="4"/>
        <v>2.6677380129274297</v>
      </c>
      <c r="J48" s="2">
        <f t="shared" si="5"/>
        <v>5.2479012184655627</v>
      </c>
      <c r="K48" s="2">
        <f t="shared" si="6"/>
        <v>2.6677498761424063</v>
      </c>
      <c r="L48" s="2">
        <f t="shared" si="7"/>
        <v>3.0477042901337654</v>
      </c>
      <c r="M48" s="2"/>
      <c r="O48" s="4">
        <f t="shared" ca="1" si="8"/>
        <v>5.8831045113402092E-2</v>
      </c>
      <c r="P48" s="4">
        <f t="shared" ca="1" si="9"/>
        <v>-1.5646623955301315</v>
      </c>
      <c r="Q48" s="4">
        <f t="shared" ca="1" si="10"/>
        <v>1952.7873850117453</v>
      </c>
      <c r="R48" s="4">
        <f t="shared" ca="1" si="11"/>
        <v>29.117341011745339</v>
      </c>
      <c r="S48" s="4">
        <f t="shared" ca="1" si="12"/>
        <v>15.084604468546845</v>
      </c>
    </row>
    <row r="49" spans="3:19" x14ac:dyDescent="0.2">
      <c r="C49" s="1">
        <v>42310</v>
      </c>
      <c r="D49" s="2">
        <v>2104.0500489999999</v>
      </c>
      <c r="E49" s="3">
        <f t="shared" si="0"/>
        <v>1.1873817294504811E-2</v>
      </c>
      <c r="F49" s="3">
        <f t="shared" si="1"/>
        <v>1.1803876623389281E-2</v>
      </c>
      <c r="G49" s="2">
        <f t="shared" si="2"/>
        <v>1946.511350637368</v>
      </c>
      <c r="H49" s="2">
        <f t="shared" si="3"/>
        <v>181.8543831365015</v>
      </c>
      <c r="I49" s="2">
        <f t="shared" si="4"/>
        <v>11.773867868992056</v>
      </c>
      <c r="J49" s="2">
        <f t="shared" si="5"/>
        <v>22.841306637368032</v>
      </c>
      <c r="K49" s="2">
        <f t="shared" si="6"/>
        <v>11.774871457672539</v>
      </c>
      <c r="L49" s="2">
        <f t="shared" si="7"/>
        <v>13.265026404464578</v>
      </c>
      <c r="M49" s="2"/>
      <c r="O49" s="4">
        <f t="shared" ca="1" si="8"/>
        <v>0.94262215001709904</v>
      </c>
      <c r="P49" s="4">
        <f t="shared" ca="1" si="9"/>
        <v>1.5771731035533842</v>
      </c>
      <c r="Q49" s="4">
        <f t="shared" ca="1" si="10"/>
        <v>1893.5051228753807</v>
      </c>
      <c r="R49" s="4">
        <f t="shared" ca="1" si="11"/>
        <v>-30.164921124619241</v>
      </c>
      <c r="S49" s="4">
        <f t="shared" ca="1" si="12"/>
        <v>-14.899377101937379</v>
      </c>
    </row>
    <row r="50" spans="3:19" x14ac:dyDescent="0.2">
      <c r="C50" s="1">
        <v>42307</v>
      </c>
      <c r="D50" s="2">
        <v>2079.360107</v>
      </c>
      <c r="E50" s="3">
        <f t="shared" si="0"/>
        <v>-4.8098771534879677E-3</v>
      </c>
      <c r="F50" s="3">
        <f t="shared" si="1"/>
        <v>-4.8214818389651134E-3</v>
      </c>
      <c r="G50" s="2">
        <f t="shared" si="2"/>
        <v>1914.4174274045151</v>
      </c>
      <c r="H50" s="2">
        <f t="shared" si="3"/>
        <v>165.4316632786398</v>
      </c>
      <c r="I50" s="2">
        <f t="shared" si="4"/>
        <v>-4.6488519888696374</v>
      </c>
      <c r="J50" s="2">
        <f t="shared" si="5"/>
        <v>-9.2526165954847936</v>
      </c>
      <c r="K50" s="2">
        <f t="shared" si="6"/>
        <v>-4.6489155807187474</v>
      </c>
      <c r="L50" s="2">
        <f t="shared" si="7"/>
        <v>-3.9405958488578392</v>
      </c>
      <c r="M50" s="2"/>
      <c r="O50" s="4">
        <f t="shared" ca="1" si="8"/>
        <v>0.14425789615304863</v>
      </c>
      <c r="P50" s="4">
        <f t="shared" ca="1" si="9"/>
        <v>-1.0613831919042653</v>
      </c>
      <c r="Q50" s="4">
        <f t="shared" ca="1" si="10"/>
        <v>1943.2911750141716</v>
      </c>
      <c r="R50" s="4">
        <f t="shared" ca="1" si="11"/>
        <v>19.621131014171624</v>
      </c>
      <c r="S50" s="4">
        <f t="shared" ca="1" si="12"/>
        <v>10.089125792012887</v>
      </c>
    </row>
    <row r="51" spans="3:19" x14ac:dyDescent="0.2">
      <c r="C51" s="1">
        <v>42306</v>
      </c>
      <c r="D51" s="2">
        <v>2089.4099120000001</v>
      </c>
      <c r="E51" s="3">
        <f t="shared" si="0"/>
        <v>-4.497744186006742E-4</v>
      </c>
      <c r="F51" s="3">
        <f t="shared" si="1"/>
        <v>-4.4987559745411469E-4</v>
      </c>
      <c r="G51" s="2">
        <f t="shared" si="2"/>
        <v>1922.8048264243803</v>
      </c>
      <c r="H51" s="2">
        <f t="shared" si="3"/>
        <v>169.64283844129579</v>
      </c>
      <c r="I51" s="2">
        <f t="shared" si="4"/>
        <v>-0.43767682621364656</v>
      </c>
      <c r="J51" s="2">
        <f t="shared" si="5"/>
        <v>-0.86521757561963331</v>
      </c>
      <c r="K51" s="2">
        <f t="shared" si="6"/>
        <v>-0.43767687888908674</v>
      </c>
      <c r="L51" s="2">
        <f t="shared" si="7"/>
        <v>-0.36848741668489993</v>
      </c>
      <c r="M51" s="2"/>
      <c r="O51" s="4">
        <f t="shared" ca="1" si="8"/>
        <v>0.76401970164130717</v>
      </c>
      <c r="P51" s="4">
        <f t="shared" ca="1" si="9"/>
        <v>0.71929269367501514</v>
      </c>
      <c r="Q51" s="4">
        <f t="shared" ca="1" si="10"/>
        <v>1909.6921865694846</v>
      </c>
      <c r="R51" s="4">
        <f t="shared" ca="1" si="11"/>
        <v>-13.977857430515314</v>
      </c>
      <c r="S51" s="4">
        <f t="shared" ca="1" si="12"/>
        <v>-6.996194954933336</v>
      </c>
    </row>
    <row r="52" spans="3:19" x14ac:dyDescent="0.2">
      <c r="C52" s="1">
        <v>42305</v>
      </c>
      <c r="D52" s="2">
        <v>2090.3500979999999</v>
      </c>
      <c r="E52" s="3">
        <f t="shared" si="0"/>
        <v>1.1840033238402537E-2</v>
      </c>
      <c r="F52" s="3">
        <f t="shared" si="1"/>
        <v>1.1770488448379798E-2</v>
      </c>
      <c r="G52" s="2">
        <f t="shared" si="2"/>
        <v>1946.4463612606792</v>
      </c>
      <c r="H52" s="2">
        <f t="shared" si="3"/>
        <v>181.82028668918576</v>
      </c>
      <c r="I52" s="2">
        <f t="shared" si="4"/>
        <v>11.739771421676323</v>
      </c>
      <c r="J52" s="2">
        <f t="shared" si="5"/>
        <v>22.776317260679271</v>
      </c>
      <c r="K52" s="2">
        <f t="shared" si="6"/>
        <v>11.740766376393202</v>
      </c>
      <c r="L52" s="2">
        <f t="shared" si="7"/>
        <v>13.227284001568336</v>
      </c>
      <c r="M52" s="2"/>
      <c r="O52" s="4">
        <f t="shared" ca="1" si="8"/>
        <v>0.26167206447892655</v>
      </c>
      <c r="P52" s="4">
        <f t="shared" ca="1" si="9"/>
        <v>-0.63819902938695383</v>
      </c>
      <c r="Q52" s="4">
        <f t="shared" ca="1" si="10"/>
        <v>1935.3062520410788</v>
      </c>
      <c r="R52" s="4">
        <f t="shared" ca="1" si="11"/>
        <v>11.636208041078817</v>
      </c>
      <c r="S52" s="4">
        <f t="shared" ca="1" si="12"/>
        <v>5.9454802036014325</v>
      </c>
    </row>
    <row r="53" spans="3:19" x14ac:dyDescent="0.2">
      <c r="C53" s="1">
        <v>42304</v>
      </c>
      <c r="D53" s="2">
        <v>2065.889893</v>
      </c>
      <c r="E53" s="3">
        <f t="shared" si="0"/>
        <v>-2.5541185091011104E-3</v>
      </c>
      <c r="F53" s="3">
        <f t="shared" si="1"/>
        <v>-2.5573858343901608E-3</v>
      </c>
      <c r="G53" s="2">
        <f t="shared" si="2"/>
        <v>1918.7567627352162</v>
      </c>
      <c r="H53" s="2">
        <f t="shared" si="3"/>
        <v>167.60320053902171</v>
      </c>
      <c r="I53" s="2">
        <f t="shared" si="4"/>
        <v>-2.4773147284877268</v>
      </c>
      <c r="J53" s="2">
        <f t="shared" si="5"/>
        <v>-4.9132812647837474</v>
      </c>
      <c r="K53" s="2">
        <f t="shared" si="6"/>
        <v>-2.4773243147825257</v>
      </c>
      <c r="L53" s="2">
        <f t="shared" si="7"/>
        <v>-2.0925168093235413</v>
      </c>
      <c r="M53" s="2"/>
      <c r="O53" s="4">
        <f t="shared" ca="1" si="8"/>
        <v>0.4905578916424912</v>
      </c>
      <c r="P53" s="4">
        <f t="shared" ca="1" si="9"/>
        <v>-2.3670065874584287E-2</v>
      </c>
      <c r="Q53" s="4">
        <f t="shared" ca="1" si="10"/>
        <v>1923.7109068627731</v>
      </c>
      <c r="R53" s="4">
        <f t="shared" ca="1" si="11"/>
        <v>4.0862862773110464E-2</v>
      </c>
      <c r="S53" s="4">
        <f t="shared" ca="1" si="12"/>
        <v>2.0685861097053632E-2</v>
      </c>
    </row>
    <row r="54" spans="3:19" x14ac:dyDescent="0.2">
      <c r="C54" s="1">
        <v>42303</v>
      </c>
      <c r="D54" s="2">
        <v>2071.179932</v>
      </c>
      <c r="E54" s="3">
        <f t="shared" si="0"/>
        <v>-1.9131003481598617E-3</v>
      </c>
      <c r="F54" s="3">
        <f t="shared" si="1"/>
        <v>-1.9149326619372631E-3</v>
      </c>
      <c r="G54" s="2">
        <f t="shared" si="2"/>
        <v>1919.9898701690788</v>
      </c>
      <c r="H54" s="2">
        <f t="shared" si="3"/>
        <v>168.22309247857834</v>
      </c>
      <c r="I54" s="2">
        <f t="shared" si="4"/>
        <v>-1.8574227889311032</v>
      </c>
      <c r="J54" s="2">
        <f t="shared" si="5"/>
        <v>-3.6801738309210963</v>
      </c>
      <c r="K54" s="2">
        <f t="shared" si="6"/>
        <v>-1.857426825069564</v>
      </c>
      <c r="L54" s="2">
        <f t="shared" si="7"/>
        <v>-1.567348821983984</v>
      </c>
      <c r="M54" s="2"/>
      <c r="O54" s="4">
        <f t="shared" ca="1" si="8"/>
        <v>0.95037359129591359</v>
      </c>
      <c r="P54" s="4">
        <f t="shared" ca="1" si="9"/>
        <v>1.6484867990254368</v>
      </c>
      <c r="Q54" s="4">
        <f t="shared" ca="1" si="10"/>
        <v>1892.1595281775935</v>
      </c>
      <c r="R54" s="4">
        <f t="shared" ca="1" si="11"/>
        <v>-31.510515822406433</v>
      </c>
      <c r="S54" s="4">
        <f t="shared" ca="1" si="12"/>
        <v>-15.546747585514462</v>
      </c>
    </row>
    <row r="55" spans="3:19" x14ac:dyDescent="0.2">
      <c r="C55" s="1">
        <v>42300</v>
      </c>
      <c r="D55" s="2">
        <v>2075.1499020000001</v>
      </c>
      <c r="E55" s="3">
        <f t="shared" si="0"/>
        <v>1.1030344256396657E-2</v>
      </c>
      <c r="F55" s="3">
        <f t="shared" si="1"/>
        <v>1.0969953689202727E-2</v>
      </c>
      <c r="G55" s="2">
        <f t="shared" si="2"/>
        <v>1944.8887868210375</v>
      </c>
      <c r="H55" s="2">
        <f t="shared" si="3"/>
        <v>181.00412486084269</v>
      </c>
      <c r="I55" s="2">
        <f t="shared" si="4"/>
        <v>10.923609593333254</v>
      </c>
      <c r="J55" s="2">
        <f t="shared" si="5"/>
        <v>21.218742821037704</v>
      </c>
      <c r="K55" s="2">
        <f t="shared" si="6"/>
        <v>10.924412283529914</v>
      </c>
      <c r="L55" s="2">
        <f t="shared" si="7"/>
        <v>12.322726902590261</v>
      </c>
      <c r="M55" s="2"/>
      <c r="O55" s="4">
        <f t="shared" ca="1" si="8"/>
        <v>0.13649784705790413</v>
      </c>
      <c r="P55" s="4">
        <f t="shared" ca="1" si="9"/>
        <v>-1.0961898647003383</v>
      </c>
      <c r="Q55" s="4">
        <f t="shared" ca="1" si="10"/>
        <v>1943.9479306913524</v>
      </c>
      <c r="R55" s="4">
        <f t="shared" ca="1" si="11"/>
        <v>20.277886691352478</v>
      </c>
      <c r="S55" s="4">
        <f t="shared" ca="1" si="12"/>
        <v>10.432248752547746</v>
      </c>
    </row>
    <row r="56" spans="3:19" x14ac:dyDescent="0.2">
      <c r="C56" s="1">
        <v>42299</v>
      </c>
      <c r="D56" s="2">
        <v>2052.51001</v>
      </c>
      <c r="E56" s="3">
        <f t="shared" si="0"/>
        <v>1.6627571884764589E-2</v>
      </c>
      <c r="F56" s="3">
        <f t="shared" si="1"/>
        <v>1.6490847328002923E-2</v>
      </c>
      <c r="G56" s="2">
        <f t="shared" si="2"/>
        <v>1955.6560059391782</v>
      </c>
      <c r="H56" s="2">
        <f t="shared" si="3"/>
        <v>186.68580422671494</v>
      </c>
      <c r="I56" s="2">
        <f t="shared" si="4"/>
        <v>16.605288959205495</v>
      </c>
      <c r="J56" s="2">
        <f t="shared" si="5"/>
        <v>31.98596193917826</v>
      </c>
      <c r="K56" s="2">
        <f t="shared" si="6"/>
        <v>16.608080474850766</v>
      </c>
      <c r="L56" s="2">
        <f t="shared" si="7"/>
        <v>18.575759978689717</v>
      </c>
      <c r="M56" s="2"/>
      <c r="O56" s="4">
        <f t="shared" ca="1" si="8"/>
        <v>0.23480193253056814</v>
      </c>
      <c r="P56" s="4">
        <f t="shared" ca="1" si="9"/>
        <v>-0.72312374039168537</v>
      </c>
      <c r="Q56" s="4">
        <f t="shared" ca="1" si="10"/>
        <v>1936.908668520588</v>
      </c>
      <c r="R56" s="4">
        <f t="shared" ca="1" si="11"/>
        <v>13.238624520588019</v>
      </c>
      <c r="S56" s="4">
        <f t="shared" ca="1" si="12"/>
        <v>6.7728648359136825</v>
      </c>
    </row>
    <row r="57" spans="3:19" x14ac:dyDescent="0.2">
      <c r="C57" s="1">
        <v>42298</v>
      </c>
      <c r="D57" s="2">
        <v>2018.9399410000001</v>
      </c>
      <c r="E57" s="3">
        <f t="shared" si="0"/>
        <v>-5.8254154254255936E-3</v>
      </c>
      <c r="F57" s="3">
        <f t="shared" si="1"/>
        <v>-5.8424493431773871E-3</v>
      </c>
      <c r="G57" s="2">
        <f t="shared" si="2"/>
        <v>1912.4638668522532</v>
      </c>
      <c r="H57" s="2">
        <f t="shared" si="3"/>
        <v>164.4590703652749</v>
      </c>
      <c r="I57" s="2">
        <f t="shared" si="4"/>
        <v>-5.6214449022345434</v>
      </c>
      <c r="J57" s="2">
        <f t="shared" si="5"/>
        <v>-11.206177147746731</v>
      </c>
      <c r="K57" s="2">
        <f t="shared" si="6"/>
        <v>-5.6215575310274666</v>
      </c>
      <c r="L57" s="2">
        <f t="shared" si="7"/>
        <v>-4.7725975343585674</v>
      </c>
      <c r="M57" s="2"/>
      <c r="O57" s="4">
        <f t="shared" ca="1" si="8"/>
        <v>4.2399200608940757E-2</v>
      </c>
      <c r="P57" s="4">
        <f t="shared" ca="1" si="9"/>
        <v>-1.7234985829054881</v>
      </c>
      <c r="Q57" s="4">
        <f t="shared" ca="1" si="10"/>
        <v>1955.7844128636088</v>
      </c>
      <c r="R57" s="4">
        <f t="shared" ca="1" si="11"/>
        <v>32.114368863608888</v>
      </c>
      <c r="S57" s="4">
        <f t="shared" ca="1" si="12"/>
        <v>16.676431874540814</v>
      </c>
    </row>
    <row r="58" spans="3:19" x14ac:dyDescent="0.2">
      <c r="C58" s="1">
        <v>42297</v>
      </c>
      <c r="D58" s="2">
        <v>2030.7700199999999</v>
      </c>
      <c r="E58" s="3">
        <f t="shared" si="0"/>
        <v>-1.4210900306260651E-3</v>
      </c>
      <c r="F58" s="3">
        <f t="shared" si="1"/>
        <v>-1.4221007367133545E-3</v>
      </c>
      <c r="G58" s="2">
        <f t="shared" si="2"/>
        <v>1920.9363356782576</v>
      </c>
      <c r="H58" s="2">
        <f t="shared" si="3"/>
        <v>168.69972908928651</v>
      </c>
      <c r="I58" s="2">
        <f t="shared" si="4"/>
        <v>-1.3807861782229338</v>
      </c>
      <c r="J58" s="2">
        <f t="shared" si="5"/>
        <v>-2.7337083217424039</v>
      </c>
      <c r="K58" s="2">
        <f t="shared" si="6"/>
        <v>-1.3807878349418348</v>
      </c>
      <c r="L58" s="2">
        <f t="shared" si="7"/>
        <v>-1.1642587319464894</v>
      </c>
      <c r="M58" s="2"/>
      <c r="O58" s="4">
        <f t="shared" ca="1" si="8"/>
        <v>0.54801721213588306</v>
      </c>
      <c r="P58" s="4">
        <f t="shared" ca="1" si="9"/>
        <v>0.12065339360940416</v>
      </c>
      <c r="Q58" s="4">
        <f t="shared" ca="1" si="10"/>
        <v>1920.9877149069712</v>
      </c>
      <c r="R58" s="4">
        <f t="shared" ca="1" si="11"/>
        <v>-2.682329093028784</v>
      </c>
      <c r="S58" s="4">
        <f t="shared" ca="1" si="12"/>
        <v>-1.354892442008681</v>
      </c>
    </row>
    <row r="59" spans="3:19" x14ac:dyDescent="0.2">
      <c r="C59" s="1">
        <v>42296</v>
      </c>
      <c r="D59" s="2">
        <v>2033.660034</v>
      </c>
      <c r="E59" s="3">
        <f t="shared" si="0"/>
        <v>2.7054561930152761E-4</v>
      </c>
      <c r="F59" s="3">
        <f t="shared" si="1"/>
        <v>2.7050902843496526E-4</v>
      </c>
      <c r="G59" s="2">
        <f t="shared" si="2"/>
        <v>1924.1904845033857</v>
      </c>
      <c r="H59" s="2">
        <f t="shared" si="3"/>
        <v>170.34407759458588</v>
      </c>
      <c r="I59" s="2">
        <f t="shared" si="4"/>
        <v>0.26356232707644267</v>
      </c>
      <c r="J59" s="2">
        <f t="shared" si="5"/>
        <v>0.52044050338577685</v>
      </c>
      <c r="K59" s="2">
        <f t="shared" si="6"/>
        <v>0.26356233856501787</v>
      </c>
      <c r="L59" s="2">
        <f t="shared" si="7"/>
        <v>0.30224439997974173</v>
      </c>
      <c r="M59" s="2"/>
      <c r="O59" s="4">
        <f t="shared" ca="1" si="8"/>
        <v>0.66529516973886016</v>
      </c>
      <c r="P59" s="4">
        <f t="shared" ca="1" si="9"/>
        <v>0.4269583551571135</v>
      </c>
      <c r="Q59" s="4">
        <f t="shared" ca="1" si="10"/>
        <v>1915.2081471894899</v>
      </c>
      <c r="R59" s="4">
        <f t="shared" ca="1" si="11"/>
        <v>-8.4618968105100976</v>
      </c>
      <c r="S59" s="4">
        <f t="shared" ca="1" si="12"/>
        <v>-4.2543473872049589</v>
      </c>
    </row>
    <row r="60" spans="3:19" x14ac:dyDescent="0.2">
      <c r="C60" s="1">
        <v>42293</v>
      </c>
      <c r="D60" s="2">
        <v>2033.1099850000001</v>
      </c>
      <c r="E60" s="3">
        <f t="shared" si="0"/>
        <v>4.5704742761639213E-3</v>
      </c>
      <c r="F60" s="3">
        <f t="shared" si="1"/>
        <v>4.5600613744872197E-3</v>
      </c>
      <c r="G60" s="2">
        <f t="shared" si="2"/>
        <v>1932.4621284519289</v>
      </c>
      <c r="H60" s="2">
        <f t="shared" si="3"/>
        <v>174.56256521001387</v>
      </c>
      <c r="I60" s="2">
        <f t="shared" si="4"/>
        <v>4.4820499425044318</v>
      </c>
      <c r="J60" s="2">
        <f t="shared" si="5"/>
        <v>8.792084451929119</v>
      </c>
      <c r="K60" s="2">
        <f t="shared" si="6"/>
        <v>4.4821060232503465</v>
      </c>
      <c r="L60" s="2">
        <f t="shared" si="7"/>
        <v>5.1059790167310837</v>
      </c>
      <c r="M60" s="2"/>
      <c r="O60" s="4">
        <f t="shared" ca="1" si="8"/>
        <v>0.3477404347259847</v>
      </c>
      <c r="P60" s="4">
        <f t="shared" ca="1" si="9"/>
        <v>-0.39142803998695602</v>
      </c>
      <c r="Q60" s="4">
        <f t="shared" ca="1" si="10"/>
        <v>1930.6500112908782</v>
      </c>
      <c r="R60" s="4">
        <f t="shared" ca="1" si="11"/>
        <v>6.9799672908782213</v>
      </c>
      <c r="S60" s="4">
        <f t="shared" ca="1" si="12"/>
        <v>3.5531602003923024</v>
      </c>
    </row>
    <row r="61" spans="3:19" x14ac:dyDescent="0.2">
      <c r="C61" s="1">
        <v>42292</v>
      </c>
      <c r="D61" s="2">
        <v>2023.8599850000001</v>
      </c>
      <c r="E61" s="3">
        <f t="shared" si="0"/>
        <v>1.4852773562122789E-2</v>
      </c>
      <c r="F61" s="3">
        <f t="shared" si="1"/>
        <v>1.474355129517228E-2</v>
      </c>
      <c r="G61" s="2">
        <f t="shared" si="2"/>
        <v>1952.2418795717708</v>
      </c>
      <c r="H61" s="2">
        <f t="shared" si="3"/>
        <v>184.87418894288896</v>
      </c>
      <c r="I61" s="2">
        <f t="shared" si="4"/>
        <v>14.793673675379523</v>
      </c>
      <c r="J61" s="2">
        <f t="shared" si="5"/>
        <v>28.57183557177078</v>
      </c>
      <c r="K61" s="2">
        <f t="shared" si="6"/>
        <v>14.795653900961224</v>
      </c>
      <c r="L61" s="2">
        <f t="shared" si="7"/>
        <v>16.593015421609692</v>
      </c>
      <c r="M61" s="2"/>
      <c r="O61" s="4">
        <f t="shared" ca="1" si="8"/>
        <v>0.83185186071004069</v>
      </c>
      <c r="P61" s="4">
        <f t="shared" ca="1" si="9"/>
        <v>0.96150904745441423</v>
      </c>
      <c r="Q61" s="4">
        <f t="shared" ca="1" si="10"/>
        <v>1905.1218857428967</v>
      </c>
      <c r="R61" s="4">
        <f t="shared" ca="1" si="11"/>
        <v>-18.548158257103296</v>
      </c>
      <c r="S61" s="4">
        <f t="shared" ca="1" si="12"/>
        <v>-9.2492136620694048</v>
      </c>
    </row>
    <row r="62" spans="3:19" x14ac:dyDescent="0.2">
      <c r="C62" s="1">
        <v>42291</v>
      </c>
      <c r="D62" s="2">
        <v>1994.23999</v>
      </c>
      <c r="E62" s="3">
        <f t="shared" si="0"/>
        <v>-4.7162741133909072E-3</v>
      </c>
      <c r="F62" s="3">
        <f t="shared" si="1"/>
        <v>-4.7274308267142729E-3</v>
      </c>
      <c r="G62" s="2">
        <f t="shared" si="2"/>
        <v>1914.5974887687771</v>
      </c>
      <c r="H62" s="2">
        <f t="shared" si="3"/>
        <v>165.52146529278514</v>
      </c>
      <c r="I62" s="2">
        <f t="shared" si="4"/>
        <v>-4.559049974724303</v>
      </c>
      <c r="J62" s="2">
        <f t="shared" si="5"/>
        <v>-9.0725552312227471</v>
      </c>
      <c r="K62" s="2">
        <f t="shared" si="6"/>
        <v>-4.5591099426301795</v>
      </c>
      <c r="L62" s="2">
        <f t="shared" si="7"/>
        <v>-3.8639095345349119</v>
      </c>
      <c r="M62" s="2"/>
      <c r="O62" s="4">
        <f t="shared" ca="1" si="8"/>
        <v>0.91528794399534752</v>
      </c>
      <c r="P62" s="4">
        <f t="shared" ca="1" si="9"/>
        <v>1.3740565986195625</v>
      </c>
      <c r="Q62" s="4">
        <f t="shared" ca="1" si="10"/>
        <v>1897.3376614959489</v>
      </c>
      <c r="R62" s="4">
        <f t="shared" ca="1" si="11"/>
        <v>-26.332382504051111</v>
      </c>
      <c r="S62" s="4">
        <f t="shared" ca="1" si="12"/>
        <v>-13.047450438101068</v>
      </c>
    </row>
    <row r="63" spans="3:19" x14ac:dyDescent="0.2">
      <c r="C63" s="1">
        <v>42290</v>
      </c>
      <c r="D63" s="2">
        <v>2003.6899410000001</v>
      </c>
      <c r="E63" s="3">
        <f t="shared" si="0"/>
        <v>-6.8254241800042997E-3</v>
      </c>
      <c r="F63" s="3">
        <f t="shared" si="1"/>
        <v>-6.8488239238575872E-3</v>
      </c>
      <c r="G63" s="2">
        <f t="shared" si="2"/>
        <v>1910.5401799673325</v>
      </c>
      <c r="H63" s="2">
        <f t="shared" si="3"/>
        <v>163.50440611663737</v>
      </c>
      <c r="I63" s="2">
        <f t="shared" si="4"/>
        <v>-6.576109150872071</v>
      </c>
      <c r="J63" s="2">
        <f t="shared" si="5"/>
        <v>-13.129864032667536</v>
      </c>
      <c r="K63" s="2">
        <f t="shared" si="6"/>
        <v>-6.5762897599456211</v>
      </c>
      <c r="L63" s="2">
        <f t="shared" si="7"/>
        <v>-5.591876327010624</v>
      </c>
      <c r="M63" s="2"/>
      <c r="O63" s="4">
        <f t="shared" ca="1" si="8"/>
        <v>0.19236657203406526</v>
      </c>
      <c r="P63" s="4">
        <f t="shared" ca="1" si="9"/>
        <v>-0.869208417692657</v>
      </c>
      <c r="Q63" s="4">
        <f t="shared" ca="1" si="10"/>
        <v>1939.6650923169288</v>
      </c>
      <c r="R63" s="4">
        <f t="shared" ca="1" si="11"/>
        <v>15.995048316928887</v>
      </c>
      <c r="S63" s="4">
        <f t="shared" ca="1" si="12"/>
        <v>8.2009953580941914</v>
      </c>
    </row>
    <row r="64" spans="3:19" x14ac:dyDescent="0.2">
      <c r="C64" s="1">
        <v>42289</v>
      </c>
      <c r="D64" s="2">
        <v>2017.459961</v>
      </c>
      <c r="E64" s="3">
        <f t="shared" si="0"/>
        <v>1.275477063694751E-3</v>
      </c>
      <c r="F64" s="3">
        <f t="shared" si="1"/>
        <v>1.2746643338301428E-3</v>
      </c>
      <c r="G64" s="2">
        <f t="shared" si="2"/>
        <v>1926.1236410192384</v>
      </c>
      <c r="H64" s="2">
        <f t="shared" si="3"/>
        <v>171.32499951710656</v>
      </c>
      <c r="I64" s="2">
        <f t="shared" si="4"/>
        <v>1.2444842495971216</v>
      </c>
      <c r="J64" s="2">
        <f t="shared" si="5"/>
        <v>2.4535970192386722</v>
      </c>
      <c r="K64" s="2">
        <f t="shared" si="6"/>
        <v>1.2444854569393708</v>
      </c>
      <c r="L64" s="2">
        <f t="shared" si="7"/>
        <v>1.4249197632533139</v>
      </c>
      <c r="M64" s="2"/>
      <c r="O64" s="4">
        <f t="shared" ca="1" si="8"/>
        <v>0.44232687291841</v>
      </c>
      <c r="P64" s="4">
        <f t="shared" ca="1" si="9"/>
        <v>-0.14507235377558936</v>
      </c>
      <c r="Q64" s="4">
        <f t="shared" ca="1" si="10"/>
        <v>1926.0016067601423</v>
      </c>
      <c r="R64" s="4">
        <f t="shared" ca="1" si="11"/>
        <v>2.331562760142333</v>
      </c>
      <c r="S64" s="4">
        <f t="shared" ca="1" si="12"/>
        <v>1.1824728102008391</v>
      </c>
    </row>
    <row r="65" spans="3:19" x14ac:dyDescent="0.2">
      <c r="C65" s="1">
        <v>42286</v>
      </c>
      <c r="D65" s="2">
        <v>2014.8900149999999</v>
      </c>
      <c r="E65" s="3">
        <f t="shared" si="0"/>
        <v>7.2511135765534833E-4</v>
      </c>
      <c r="F65" s="3">
        <f t="shared" si="1"/>
        <v>7.2484859143041565E-4</v>
      </c>
      <c r="G65" s="2">
        <f t="shared" si="2"/>
        <v>1925.0649189972858</v>
      </c>
      <c r="H65" s="2">
        <f t="shared" si="3"/>
        <v>170.78740645725395</v>
      </c>
      <c r="I65" s="2">
        <f t="shared" si="4"/>
        <v>0.70689118974451048</v>
      </c>
      <c r="J65" s="2">
        <f t="shared" si="5"/>
        <v>1.3948749972857637</v>
      </c>
      <c r="K65" s="2">
        <f t="shared" si="6"/>
        <v>0.70689141122265797</v>
      </c>
      <c r="L65" s="2">
        <f t="shared" si="7"/>
        <v>0.81006984248676872</v>
      </c>
      <c r="M65" s="2"/>
      <c r="O65" s="4">
        <f t="shared" ca="1" si="8"/>
        <v>0.21321085386052785</v>
      </c>
      <c r="P65" s="4">
        <f t="shared" ca="1" si="9"/>
        <v>-0.79532975800619576</v>
      </c>
      <c r="Q65" s="4">
        <f t="shared" ca="1" si="10"/>
        <v>1938.2711001518094</v>
      </c>
      <c r="R65" s="4">
        <f t="shared" ca="1" si="11"/>
        <v>14.601056151809416</v>
      </c>
      <c r="S65" s="4">
        <f t="shared" ca="1" si="12"/>
        <v>7.4779810704868579</v>
      </c>
    </row>
    <row r="66" spans="3:19" x14ac:dyDescent="0.2">
      <c r="C66" s="1">
        <v>42285</v>
      </c>
      <c r="D66" s="2">
        <v>2013.4300539999999</v>
      </c>
      <c r="E66" s="3">
        <f t="shared" si="0"/>
        <v>8.8184356322988707E-3</v>
      </c>
      <c r="F66" s="3">
        <f t="shared" si="1"/>
        <v>8.7797803155266266E-3</v>
      </c>
      <c r="G66" s="2">
        <f t="shared" si="2"/>
        <v>1940.6338044607955</v>
      </c>
      <c r="H66" s="2">
        <f t="shared" si="3"/>
        <v>178.78447128244159</v>
      </c>
      <c r="I66" s="2">
        <f t="shared" si="4"/>
        <v>8.703956014932146</v>
      </c>
      <c r="J66" s="2">
        <f t="shared" si="5"/>
        <v>16.963760460795537</v>
      </c>
      <c r="K66" s="2">
        <f t="shared" si="6"/>
        <v>8.7043636764870111</v>
      </c>
      <c r="L66" s="2">
        <f t="shared" si="7"/>
        <v>9.8516575257270915</v>
      </c>
      <c r="M66" s="2"/>
      <c r="O66" s="4">
        <f t="shared" ca="1" si="8"/>
        <v>0.98607955814438419</v>
      </c>
      <c r="P66" s="4">
        <f t="shared" ca="1" si="9"/>
        <v>2.1995211955286504</v>
      </c>
      <c r="Q66" s="4">
        <f t="shared" ca="1" si="10"/>
        <v>1881.7622411302016</v>
      </c>
      <c r="R66" s="4">
        <f t="shared" ca="1" si="11"/>
        <v>-41.907802869798388</v>
      </c>
      <c r="S66" s="4">
        <f t="shared" ca="1" si="12"/>
        <v>-20.499219292863675</v>
      </c>
    </row>
    <row r="67" spans="3:19" x14ac:dyDescent="0.2">
      <c r="C67" s="1">
        <v>42284</v>
      </c>
      <c r="D67" s="2">
        <v>1995.829956</v>
      </c>
      <c r="E67" s="3">
        <f t="shared" ref="E67:E130" si="14">(D67-D68)/D68</f>
        <v>8.0356335844035103E-3</v>
      </c>
      <c r="F67" s="3">
        <f t="shared" ref="F67:F130" si="15">LN(D67/D68)</f>
        <v>8.0035198025308167E-3</v>
      </c>
      <c r="G67" s="2">
        <f t="shared" ref="G67:G130" si="16">$D$2*(1+E67)</f>
        <v>1939.1279516108771</v>
      </c>
      <c r="H67" s="2">
        <f t="shared" ref="H67:H130" si="17">G67*EXP(-$B$9*$B$7)*_xlfn.NORM.S.DIST((LN(G67/$B$5)+($B$8-$B$9+0.5*$B$6^2)*$B$7)/($B$6*SQRT($B$7)),TRUE)-$B$5*EXP(-$B$8*$B$7)*_xlfn.NORM.S.DIST((LN(G67/$B$5)+($B$8-$B$9-0.5*$B$6^2)*$B$7)/($B$6*SQRT($B$7)),TRUE)</f>
        <v>178.0024196635776</v>
      </c>
      <c r="I67" s="2">
        <f t="shared" ref="I67:I130" si="18">H67-$B$10</f>
        <v>7.9219043960681574</v>
      </c>
      <c r="J67" s="2">
        <f t="shared" ref="J67:J130" si="19">E67*$B$4</f>
        <v>15.457907610877378</v>
      </c>
      <c r="K67" s="2">
        <f t="shared" ref="K67:K130" si="20">$B$12*J67+0.5*$B$13*J67^2</f>
        <v>7.9222121740806202</v>
      </c>
      <c r="L67" s="2">
        <f t="shared" ref="L67:L130" si="21">linearinterp(A$22:A$28,B$22:B$28,7,1+E67)-$B$10</f>
        <v>8.9771375986259443</v>
      </c>
      <c r="M67" s="2"/>
      <c r="O67" s="4">
        <f t="shared" ref="O67:O130" ca="1" si="22">RAND()</f>
        <v>0.37306932348492305</v>
      </c>
      <c r="P67" s="4">
        <f t="shared" ref="P67:P130" ca="1" si="23">NORMSINV(O67)</f>
        <v>-0.32373503100562123</v>
      </c>
      <c r="Q67" s="4">
        <f t="shared" ref="Q67:Q130" ca="1" si="24">$B$4*(1+$B$17-$B$32*P67)</f>
        <v>1929.3727341373158</v>
      </c>
      <c r="R67" s="4">
        <f t="shared" ref="R67:R130" ca="1" si="25">Q67-$B$4</f>
        <v>5.7026901373158125</v>
      </c>
      <c r="S67" s="4">
        <f t="shared" ref="S67:S130" ca="1" si="26">R67*$B$12+0.5*$B$13*R67^2</f>
        <v>2.8999957707319881</v>
      </c>
    </row>
    <row r="68" spans="3:19" x14ac:dyDescent="0.2">
      <c r="C68" s="1">
        <v>42283</v>
      </c>
      <c r="D68" s="2">
        <v>1979.920044</v>
      </c>
      <c r="E68" s="3">
        <f t="shared" si="14"/>
        <v>-3.588236241753558E-3</v>
      </c>
      <c r="F68" s="3">
        <f t="shared" si="15"/>
        <v>-3.5946894030197459E-3</v>
      </c>
      <c r="G68" s="2">
        <f t="shared" si="16"/>
        <v>1916.7674614309435</v>
      </c>
      <c r="H68" s="2">
        <f t="shared" si="17"/>
        <v>166.60578193640742</v>
      </c>
      <c r="I68" s="2">
        <f t="shared" si="18"/>
        <v>-3.4747333311020157</v>
      </c>
      <c r="J68" s="2">
        <f t="shared" si="19"/>
        <v>-6.9025825690564613</v>
      </c>
      <c r="K68" s="2">
        <f t="shared" si="20"/>
        <v>-3.4747598303233986</v>
      </c>
      <c r="L68" s="2">
        <f t="shared" si="21"/>
        <v>-2.9397401197079205</v>
      </c>
      <c r="M68" s="2"/>
      <c r="O68" s="4">
        <f t="shared" ca="1" si="22"/>
        <v>0.2195830017455922</v>
      </c>
      <c r="P68" s="4">
        <f t="shared" ca="1" si="23"/>
        <v>-0.77360231362117882</v>
      </c>
      <c r="Q68" s="4">
        <f t="shared" ca="1" si="24"/>
        <v>1937.8611321398109</v>
      </c>
      <c r="R68" s="4">
        <f t="shared" ca="1" si="25"/>
        <v>14.191088139810972</v>
      </c>
      <c r="S68" s="4">
        <f t="shared" ca="1" si="26"/>
        <v>7.2656462598149583</v>
      </c>
    </row>
    <row r="69" spans="3:19" x14ac:dyDescent="0.2">
      <c r="C69" s="1">
        <v>42282</v>
      </c>
      <c r="D69" s="2">
        <v>1987.0500489999999</v>
      </c>
      <c r="E69" s="3">
        <f t="shared" si="14"/>
        <v>1.8289841072045912E-2</v>
      </c>
      <c r="F69" s="3">
        <f t="shared" si="15"/>
        <v>1.8124593785162658E-2</v>
      </c>
      <c r="G69" s="2">
        <f t="shared" si="16"/>
        <v>1958.8536633798158</v>
      </c>
      <c r="H69" s="2">
        <f t="shared" si="17"/>
        <v>188.3909821462579</v>
      </c>
      <c r="I69" s="2">
        <f t="shared" si="18"/>
        <v>18.310466878748457</v>
      </c>
      <c r="J69" s="2">
        <f t="shared" si="19"/>
        <v>35.183619379815568</v>
      </c>
      <c r="K69" s="2">
        <f t="shared" si="20"/>
        <v>18.314198482500046</v>
      </c>
      <c r="L69" s="2">
        <f t="shared" si="21"/>
        <v>20.432790798156759</v>
      </c>
      <c r="M69" s="2"/>
      <c r="O69" s="4">
        <f t="shared" ca="1" si="22"/>
        <v>4.3569561171412419E-2</v>
      </c>
      <c r="P69" s="4">
        <f t="shared" ca="1" si="23"/>
        <v>-1.7106858438491508</v>
      </c>
      <c r="Q69" s="4">
        <f t="shared" ca="1" si="24"/>
        <v>1955.5426534985359</v>
      </c>
      <c r="R69" s="4">
        <f t="shared" ca="1" si="25"/>
        <v>31.872609498535894</v>
      </c>
      <c r="S69" s="4">
        <f t="shared" ca="1" si="26"/>
        <v>16.547753778383122</v>
      </c>
    </row>
    <row r="70" spans="3:19" x14ac:dyDescent="0.2">
      <c r="C70" s="1">
        <v>42279</v>
      </c>
      <c r="D70" s="2">
        <v>1951.3599850000001</v>
      </c>
      <c r="E70" s="3">
        <f t="shared" si="14"/>
        <v>1.4315289254205485E-2</v>
      </c>
      <c r="F70" s="3">
        <f t="shared" si="15"/>
        <v>1.4213792986497257E-2</v>
      </c>
      <c r="G70" s="2">
        <f t="shared" si="16"/>
        <v>1951.2079371095103</v>
      </c>
      <c r="H70" s="2">
        <f t="shared" si="17"/>
        <v>184.32739118904271</v>
      </c>
      <c r="I70" s="2">
        <f t="shared" si="18"/>
        <v>14.246875921533274</v>
      </c>
      <c r="J70" s="2">
        <f t="shared" si="19"/>
        <v>27.537893109510193</v>
      </c>
      <c r="K70" s="2">
        <f t="shared" si="20"/>
        <v>14.248646291089674</v>
      </c>
      <c r="L70" s="2">
        <f t="shared" si="21"/>
        <v>15.992556162411859</v>
      </c>
      <c r="M70" s="2"/>
      <c r="O70" s="4">
        <f t="shared" ca="1" si="22"/>
        <v>0.76933816535219568</v>
      </c>
      <c r="P70" s="4">
        <f t="shared" ca="1" si="23"/>
        <v>0.73666898978873219</v>
      </c>
      <c r="Q70" s="4">
        <f t="shared" ca="1" si="24"/>
        <v>1909.3643189451382</v>
      </c>
      <c r="R70" s="4">
        <f t="shared" ca="1" si="25"/>
        <v>-14.305725054861796</v>
      </c>
      <c r="S70" s="4">
        <f t="shared" ca="1" si="26"/>
        <v>-7.1583898945649613</v>
      </c>
    </row>
    <row r="71" spans="3:19" x14ac:dyDescent="0.2">
      <c r="C71" s="1">
        <v>42278</v>
      </c>
      <c r="D71" s="2">
        <v>1923.8199460000001</v>
      </c>
      <c r="E71" s="3">
        <f t="shared" si="14"/>
        <v>1.9738842324116897E-3</v>
      </c>
      <c r="F71" s="3">
        <f t="shared" si="15"/>
        <v>1.9719386827028343E-3</v>
      </c>
      <c r="G71" s="2">
        <f t="shared" si="16"/>
        <v>1927.4671459682143</v>
      </c>
      <c r="H71" s="2">
        <f t="shared" si="17"/>
        <v>172.00851010948804</v>
      </c>
      <c r="I71" s="2">
        <f t="shared" si="18"/>
        <v>1.9279948419786024</v>
      </c>
      <c r="J71" s="2">
        <f t="shared" si="19"/>
        <v>3.7971019682143012</v>
      </c>
      <c r="K71" s="2">
        <f t="shared" si="20"/>
        <v>1.9279993258865962</v>
      </c>
      <c r="L71" s="2">
        <f t="shared" si="21"/>
        <v>2.2051565905781558</v>
      </c>
      <c r="M71" s="2"/>
      <c r="O71" s="4">
        <f t="shared" ca="1" si="22"/>
        <v>0.24484079056498587</v>
      </c>
      <c r="P71" s="4">
        <f t="shared" ca="1" si="23"/>
        <v>-0.69081536078408734</v>
      </c>
      <c r="Q71" s="4">
        <f t="shared" ca="1" si="24"/>
        <v>1936.2990523170477</v>
      </c>
      <c r="R71" s="4">
        <f t="shared" ca="1" si="25"/>
        <v>12.629008317047692</v>
      </c>
      <c r="S71" s="4">
        <f t="shared" ca="1" si="26"/>
        <v>6.4578519343583238</v>
      </c>
    </row>
    <row r="72" spans="3:19" x14ac:dyDescent="0.2">
      <c r="C72" s="1">
        <v>42277</v>
      </c>
      <c r="D72" s="2">
        <v>1920.030029</v>
      </c>
      <c r="E72" s="3">
        <f t="shared" si="14"/>
        <v>1.9075555652102023E-2</v>
      </c>
      <c r="F72" s="3">
        <f t="shared" si="15"/>
        <v>1.8895898353574289E-2</v>
      </c>
      <c r="G72" s="2">
        <f t="shared" si="16"/>
        <v>1960.3651189806035</v>
      </c>
      <c r="H72" s="2">
        <f t="shared" si="17"/>
        <v>189.19980973588963</v>
      </c>
      <c r="I72" s="2">
        <f t="shared" si="18"/>
        <v>19.11929446838019</v>
      </c>
      <c r="J72" s="2">
        <f t="shared" si="19"/>
        <v>36.695074980603543</v>
      </c>
      <c r="K72" s="2">
        <f t="shared" si="20"/>
        <v>19.123536705221348</v>
      </c>
      <c r="L72" s="2">
        <f t="shared" si="21"/>
        <v>21.31056450751305</v>
      </c>
      <c r="M72" s="2"/>
      <c r="O72" s="4">
        <f t="shared" ca="1" si="22"/>
        <v>0.48596334450195022</v>
      </c>
      <c r="P72" s="4">
        <f t="shared" ca="1" si="23"/>
        <v>-3.5191940246048568E-2</v>
      </c>
      <c r="Q72" s="4">
        <f t="shared" ca="1" si="24"/>
        <v>1923.9283093260751</v>
      </c>
      <c r="R72" s="4">
        <f t="shared" ca="1" si="25"/>
        <v>0.25826532607516128</v>
      </c>
      <c r="S72" s="4">
        <f t="shared" ca="1" si="26"/>
        <v>0.13076358965943261</v>
      </c>
    </row>
    <row r="73" spans="3:19" x14ac:dyDescent="0.2">
      <c r="C73" s="1">
        <v>42276</v>
      </c>
      <c r="D73" s="2">
        <v>1884.089966</v>
      </c>
      <c r="E73" s="3">
        <f t="shared" si="14"/>
        <v>1.2328530985949457E-3</v>
      </c>
      <c r="F73" s="3">
        <f t="shared" si="15"/>
        <v>1.2320937592521393E-3</v>
      </c>
      <c r="G73" s="2">
        <f t="shared" si="16"/>
        <v>1926.0416465744197</v>
      </c>
      <c r="H73" s="2">
        <f t="shared" si="17"/>
        <v>171.28333219049762</v>
      </c>
      <c r="I73" s="2">
        <f t="shared" si="18"/>
        <v>1.2028169229881769</v>
      </c>
      <c r="J73" s="2">
        <f t="shared" si="19"/>
        <v>2.3716025744196756</v>
      </c>
      <c r="K73" s="2">
        <f t="shared" si="20"/>
        <v>1.2028180131540602</v>
      </c>
      <c r="L73" s="2">
        <f t="shared" si="21"/>
        <v>1.3773017135152656</v>
      </c>
      <c r="M73" s="2"/>
      <c r="O73" s="4">
        <f t="shared" ca="1" si="22"/>
        <v>0.87811655004327449</v>
      </c>
      <c r="P73" s="4">
        <f t="shared" ca="1" si="23"/>
        <v>1.1656230112449846</v>
      </c>
      <c r="Q73" s="4">
        <f t="shared" ca="1" si="24"/>
        <v>1901.2705263987634</v>
      </c>
      <c r="R73" s="4">
        <f t="shared" ca="1" si="25"/>
        <v>-22.399517601236539</v>
      </c>
      <c r="S73" s="4">
        <f t="shared" ca="1" si="26"/>
        <v>-11.134612953467441</v>
      </c>
    </row>
    <row r="74" spans="3:19" x14ac:dyDescent="0.2">
      <c r="C74" s="1">
        <v>42275</v>
      </c>
      <c r="D74" s="2">
        <v>1881.7700199999999</v>
      </c>
      <c r="E74" s="3">
        <f t="shared" si="14"/>
        <v>-2.5666090316902847E-2</v>
      </c>
      <c r="F74" s="3">
        <f t="shared" si="15"/>
        <v>-2.6001211006746214E-2</v>
      </c>
      <c r="G74" s="2">
        <f t="shared" si="16"/>
        <v>1874.2969549107756</v>
      </c>
      <c r="H74" s="2">
        <f t="shared" si="17"/>
        <v>146.08872596433901</v>
      </c>
      <c r="I74" s="2">
        <f t="shared" si="18"/>
        <v>-23.991789303170435</v>
      </c>
      <c r="J74" s="2">
        <f t="shared" si="19"/>
        <v>-49.373089089224472</v>
      </c>
      <c r="K74" s="2">
        <f t="shared" si="20"/>
        <v>-24.000827866037621</v>
      </c>
      <c r="L74" s="2">
        <f t="shared" si="21"/>
        <v>-21.027499400032184</v>
      </c>
      <c r="M74" s="2"/>
      <c r="O74" s="4">
        <f t="shared" ca="1" si="22"/>
        <v>0.48550332705442434</v>
      </c>
      <c r="P74" s="4">
        <f t="shared" ca="1" si="23"/>
        <v>-3.6345770926535806E-2</v>
      </c>
      <c r="Q74" s="4">
        <f t="shared" ca="1" si="24"/>
        <v>1923.9500805782245</v>
      </c>
      <c r="R74" s="4">
        <f t="shared" ca="1" si="25"/>
        <v>0.28003657822455352</v>
      </c>
      <c r="S74" s="4">
        <f t="shared" ca="1" si="26"/>
        <v>0.14178918139524457</v>
      </c>
    </row>
    <row r="75" spans="3:19" x14ac:dyDescent="0.2">
      <c r="C75" s="1">
        <v>42272</v>
      </c>
      <c r="D75" s="2">
        <v>1931.339966</v>
      </c>
      <c r="E75" s="3">
        <f t="shared" si="14"/>
        <v>-4.6579307159460578E-4</v>
      </c>
      <c r="F75" s="3">
        <f t="shared" si="15"/>
        <v>-4.6590158688575067E-4</v>
      </c>
      <c r="G75" s="2">
        <f t="shared" si="16"/>
        <v>1922.7740118214708</v>
      </c>
      <c r="H75" s="2">
        <f t="shared" si="17"/>
        <v>169.62726188585225</v>
      </c>
      <c r="I75" s="2">
        <f t="shared" si="18"/>
        <v>-0.45325338165719131</v>
      </c>
      <c r="J75" s="2">
        <f t="shared" si="19"/>
        <v>-0.8960321785292904</v>
      </c>
      <c r="K75" s="2">
        <f t="shared" si="20"/>
        <v>-0.45325344016084146</v>
      </c>
      <c r="L75" s="2">
        <f t="shared" si="21"/>
        <v>-0.38161104447775074</v>
      </c>
      <c r="M75" s="2"/>
      <c r="O75" s="4">
        <f t="shared" ca="1" si="22"/>
        <v>0.59202671168599141</v>
      </c>
      <c r="P75" s="4">
        <f t="shared" ca="1" si="23"/>
        <v>0.23276154346586508</v>
      </c>
      <c r="Q75" s="4">
        <f t="shared" ca="1" si="24"/>
        <v>1918.8723830478232</v>
      </c>
      <c r="R75" s="4">
        <f t="shared" ca="1" si="25"/>
        <v>-4.7976609521767841</v>
      </c>
      <c r="S75" s="4">
        <f t="shared" ca="1" si="26"/>
        <v>-2.4192532301214253</v>
      </c>
    </row>
    <row r="76" spans="3:19" x14ac:dyDescent="0.2">
      <c r="C76" s="1">
        <v>42271</v>
      </c>
      <c r="D76" s="2">
        <v>1932.23999</v>
      </c>
      <c r="E76" s="3">
        <f t="shared" si="14"/>
        <v>-3.3629845707411365E-3</v>
      </c>
      <c r="F76" s="3">
        <f t="shared" si="15"/>
        <v>-3.3686521134926087E-3</v>
      </c>
      <c r="G76" s="2">
        <f t="shared" si="16"/>
        <v>1917.2007713228311</v>
      </c>
      <c r="H76" s="2">
        <f t="shared" si="17"/>
        <v>166.82276435577262</v>
      </c>
      <c r="I76" s="2">
        <f t="shared" si="18"/>
        <v>-3.2577509117368209</v>
      </c>
      <c r="J76" s="2">
        <f t="shared" si="19"/>
        <v>-6.4692726771689228</v>
      </c>
      <c r="K76" s="2">
        <f t="shared" si="20"/>
        <v>-3.2577727418857592</v>
      </c>
      <c r="L76" s="2">
        <f t="shared" si="21"/>
        <v>-2.7551978182281118</v>
      </c>
      <c r="M76" s="2"/>
      <c r="O76" s="4">
        <f t="shared" ca="1" si="22"/>
        <v>1.2786976349632995E-2</v>
      </c>
      <c r="P76" s="4">
        <f t="shared" ca="1" si="23"/>
        <v>-2.2326209297380122</v>
      </c>
      <c r="Q76" s="4">
        <f t="shared" ca="1" si="24"/>
        <v>1965.3908752112429</v>
      </c>
      <c r="R76" s="4">
        <f t="shared" ca="1" si="25"/>
        <v>41.720831211242967</v>
      </c>
      <c r="S76" s="4">
        <f t="shared" ca="1" si="26"/>
        <v>21.828049404039348</v>
      </c>
    </row>
    <row r="77" spans="3:19" x14ac:dyDescent="0.2">
      <c r="C77" s="1">
        <v>42270</v>
      </c>
      <c r="D77" s="2">
        <v>1938.76001</v>
      </c>
      <c r="E77" s="3">
        <f t="shared" si="14"/>
        <v>-2.0486426492924916E-3</v>
      </c>
      <c r="F77" s="3">
        <f t="shared" si="15"/>
        <v>-2.0507439880633901E-3</v>
      </c>
      <c r="G77" s="2">
        <f t="shared" si="16"/>
        <v>1919.7291315046953</v>
      </c>
      <c r="H77" s="2">
        <f t="shared" si="17"/>
        <v>168.09191382295069</v>
      </c>
      <c r="I77" s="2">
        <f t="shared" si="18"/>
        <v>-1.9886014445587534</v>
      </c>
      <c r="J77" s="2">
        <f t="shared" si="19"/>
        <v>-3.9409124953047638</v>
      </c>
      <c r="K77" s="2">
        <f t="shared" si="20"/>
        <v>-1.9886063988008391</v>
      </c>
      <c r="L77" s="2">
        <f t="shared" si="21"/>
        <v>-1.6783947826486099</v>
      </c>
      <c r="M77" s="2"/>
      <c r="O77" s="4">
        <f t="shared" ca="1" si="22"/>
        <v>0.25981070027041486</v>
      </c>
      <c r="P77" s="4">
        <f t="shared" ca="1" si="23"/>
        <v>-0.64392911559641741</v>
      </c>
      <c r="Q77" s="4">
        <f t="shared" ca="1" si="24"/>
        <v>1935.4143711557915</v>
      </c>
      <c r="R77" s="4">
        <f t="shared" ca="1" si="25"/>
        <v>11.744327155791552</v>
      </c>
      <c r="S77" s="4">
        <f t="shared" ca="1" si="26"/>
        <v>6.0012401817662262</v>
      </c>
    </row>
    <row r="78" spans="3:19" x14ac:dyDescent="0.2">
      <c r="C78" s="1">
        <v>42269</v>
      </c>
      <c r="D78" s="2">
        <v>1942.73999</v>
      </c>
      <c r="E78" s="3">
        <f t="shared" si="14"/>
        <v>-1.2318429542511786E-2</v>
      </c>
      <c r="F78" s="3">
        <f t="shared" si="15"/>
        <v>-1.2394930290949867E-2</v>
      </c>
      <c r="G78" s="2">
        <f t="shared" si="16"/>
        <v>1899.9734500999452</v>
      </c>
      <c r="H78" s="2">
        <f t="shared" si="17"/>
        <v>158.31469217669803</v>
      </c>
      <c r="I78" s="2">
        <f t="shared" si="18"/>
        <v>-11.765823090811409</v>
      </c>
      <c r="J78" s="2">
        <f t="shared" si="19"/>
        <v>-23.696593900054548</v>
      </c>
      <c r="K78" s="2">
        <f t="shared" si="20"/>
        <v>-11.766866940956051</v>
      </c>
      <c r="L78" s="2">
        <f t="shared" si="21"/>
        <v>-10.092139730526867</v>
      </c>
      <c r="M78" s="2"/>
      <c r="O78" s="4">
        <f t="shared" ca="1" si="22"/>
        <v>0.98197451782603118</v>
      </c>
      <c r="P78" s="4">
        <f t="shared" ca="1" si="23"/>
        <v>2.0963521434391299</v>
      </c>
      <c r="Q78" s="4">
        <f t="shared" ca="1" si="24"/>
        <v>1883.708904089518</v>
      </c>
      <c r="R78" s="4">
        <f t="shared" ca="1" si="25"/>
        <v>-39.961139910481961</v>
      </c>
      <c r="S78" s="4">
        <f t="shared" ca="1" si="26"/>
        <v>-19.578674562109121</v>
      </c>
    </row>
    <row r="79" spans="3:19" x14ac:dyDescent="0.2">
      <c r="C79" s="1">
        <v>42268</v>
      </c>
      <c r="D79" s="2">
        <v>1966.969971</v>
      </c>
      <c r="E79" s="3">
        <f t="shared" si="14"/>
        <v>4.5657839091291959E-3</v>
      </c>
      <c r="F79" s="3">
        <f t="shared" si="15"/>
        <v>4.5553923362219801E-3</v>
      </c>
      <c r="G79" s="2">
        <f t="shared" si="16"/>
        <v>1932.4531057333688</v>
      </c>
      <c r="H79" s="2">
        <f t="shared" si="17"/>
        <v>174.5579334434824</v>
      </c>
      <c r="I79" s="2">
        <f t="shared" si="18"/>
        <v>4.4774181759729572</v>
      </c>
      <c r="J79" s="2">
        <f t="shared" si="19"/>
        <v>8.7830617333690526</v>
      </c>
      <c r="K79" s="2">
        <f t="shared" si="20"/>
        <v>4.4774740834927975</v>
      </c>
      <c r="L79" s="2">
        <f t="shared" si="21"/>
        <v>5.1007390975863132</v>
      </c>
      <c r="M79" s="2"/>
      <c r="O79" s="4">
        <f t="shared" ca="1" si="22"/>
        <v>0.35464902558394062</v>
      </c>
      <c r="P79" s="4">
        <f t="shared" ca="1" si="23"/>
        <v>-0.37279899463138561</v>
      </c>
      <c r="Q79" s="4">
        <f t="shared" ca="1" si="24"/>
        <v>1930.2985059525363</v>
      </c>
      <c r="R79" s="4">
        <f t="shared" ca="1" si="25"/>
        <v>6.6284619525363269</v>
      </c>
      <c r="S79" s="4">
        <f t="shared" ca="1" si="26"/>
        <v>3.3732775657663758</v>
      </c>
    </row>
    <row r="80" spans="3:19" x14ac:dyDescent="0.2">
      <c r="C80" s="1">
        <v>42265</v>
      </c>
      <c r="D80" s="2">
        <v>1958.030029</v>
      </c>
      <c r="E80" s="3">
        <f t="shared" si="14"/>
        <v>-1.6164165808483653E-2</v>
      </c>
      <c r="F80" s="3">
        <f t="shared" si="15"/>
        <v>-1.6296231019642143E-2</v>
      </c>
      <c r="G80" s="2">
        <f t="shared" si="16"/>
        <v>1892.5755224479708</v>
      </c>
      <c r="H80" s="2">
        <f t="shared" si="17"/>
        <v>154.73607644164792</v>
      </c>
      <c r="I80" s="2">
        <f t="shared" si="18"/>
        <v>-15.344438825861516</v>
      </c>
      <c r="J80" s="2">
        <f t="shared" si="19"/>
        <v>-31.094521552029043</v>
      </c>
      <c r="K80" s="2">
        <f t="shared" si="20"/>
        <v>-15.346768652189645</v>
      </c>
      <c r="L80" s="2">
        <f t="shared" si="21"/>
        <v>-13.242842312296773</v>
      </c>
      <c r="M80" s="2"/>
      <c r="O80" s="4">
        <f t="shared" ca="1" si="22"/>
        <v>0.28496602969322515</v>
      </c>
      <c r="P80" s="4">
        <f t="shared" ca="1" si="23"/>
        <v>-0.56815156084194296</v>
      </c>
      <c r="Q80" s="4">
        <f t="shared" ca="1" si="24"/>
        <v>1933.9845493633018</v>
      </c>
      <c r="R80" s="4">
        <f t="shared" ca="1" si="25"/>
        <v>10.314505363301805</v>
      </c>
      <c r="S80" s="4">
        <f t="shared" ca="1" si="26"/>
        <v>5.2646113408680293</v>
      </c>
    </row>
    <row r="81" spans="3:19" x14ac:dyDescent="0.2">
      <c r="C81" s="1">
        <v>42264</v>
      </c>
      <c r="D81" s="2">
        <v>1990.1999510000001</v>
      </c>
      <c r="E81" s="3">
        <f t="shared" si="14"/>
        <v>-2.5610596092323188E-3</v>
      </c>
      <c r="F81" s="3">
        <f t="shared" si="15"/>
        <v>-2.5643447325231369E-3</v>
      </c>
      <c r="G81" s="2">
        <f t="shared" si="16"/>
        <v>1918.7434103488213</v>
      </c>
      <c r="H81" s="2">
        <f t="shared" si="17"/>
        <v>167.59649499175032</v>
      </c>
      <c r="I81" s="2">
        <f t="shared" si="18"/>
        <v>-2.4840202757591214</v>
      </c>
      <c r="J81" s="2">
        <f t="shared" si="19"/>
        <v>-4.9266336511785571</v>
      </c>
      <c r="K81" s="2">
        <f t="shared" si="20"/>
        <v>-2.4840299402227823</v>
      </c>
      <c r="L81" s="2">
        <f t="shared" si="21"/>
        <v>-2.0982034556745361</v>
      </c>
      <c r="M81" s="2"/>
      <c r="O81" s="4">
        <f t="shared" ca="1" si="22"/>
        <v>6.7725617830190266E-2</v>
      </c>
      <c r="P81" s="4">
        <f t="shared" ca="1" si="23"/>
        <v>-1.4929463323785113</v>
      </c>
      <c r="Q81" s="4">
        <f t="shared" ca="1" si="24"/>
        <v>1951.4341981703644</v>
      </c>
      <c r="R81" s="4">
        <f t="shared" ca="1" si="25"/>
        <v>27.764154170364463</v>
      </c>
      <c r="S81" s="4">
        <f t="shared" ca="1" si="26"/>
        <v>14.368275391353786</v>
      </c>
    </row>
    <row r="82" spans="3:19" x14ac:dyDescent="0.2">
      <c r="C82" s="1">
        <v>42263</v>
      </c>
      <c r="D82" s="2">
        <v>1995.3100589999999</v>
      </c>
      <c r="E82" s="3">
        <f t="shared" si="14"/>
        <v>8.7054144634389728E-3</v>
      </c>
      <c r="F82" s="3">
        <f t="shared" si="15"/>
        <v>8.6677408281392605E-3</v>
      </c>
      <c r="G82" s="2">
        <f t="shared" si="16"/>
        <v>1940.4163890239217</v>
      </c>
      <c r="H82" s="2">
        <f t="shared" si="17"/>
        <v>178.67144560640565</v>
      </c>
      <c r="I82" s="2">
        <f t="shared" si="18"/>
        <v>8.5909303388962144</v>
      </c>
      <c r="J82" s="2">
        <f t="shared" si="19"/>
        <v>16.746345023921887</v>
      </c>
      <c r="K82" s="2">
        <f t="shared" si="20"/>
        <v>8.5913224028102171</v>
      </c>
      <c r="L82" s="2">
        <f t="shared" si="21"/>
        <v>9.7253941049579566</v>
      </c>
      <c r="M82" s="2"/>
      <c r="O82" s="4">
        <f t="shared" ca="1" si="22"/>
        <v>0.7889941394179607</v>
      </c>
      <c r="P82" s="4">
        <f t="shared" ca="1" si="23"/>
        <v>0.80293601006279769</v>
      </c>
      <c r="Q82" s="4">
        <f t="shared" ca="1" si="24"/>
        <v>1908.1139483041454</v>
      </c>
      <c r="R82" s="4">
        <f t="shared" ca="1" si="25"/>
        <v>-15.556095695854538</v>
      </c>
      <c r="S82" s="4">
        <f t="shared" ca="1" si="26"/>
        <v>-7.7761404695345382</v>
      </c>
    </row>
    <row r="83" spans="3:19" x14ac:dyDescent="0.2">
      <c r="C83" s="1">
        <v>42262</v>
      </c>
      <c r="D83" s="2">
        <v>1978.089966</v>
      </c>
      <c r="E83" s="3">
        <f t="shared" si="14"/>
        <v>1.2831311668480234E-2</v>
      </c>
      <c r="F83" s="3">
        <f t="shared" si="15"/>
        <v>1.2749687874278685E-2</v>
      </c>
      <c r="G83" s="2">
        <f t="shared" si="16"/>
        <v>1948.3532538818829</v>
      </c>
      <c r="H83" s="2">
        <f t="shared" si="17"/>
        <v>182.82213943273382</v>
      </c>
      <c r="I83" s="2">
        <f t="shared" si="18"/>
        <v>12.74162416522438</v>
      </c>
      <c r="J83" s="2">
        <f t="shared" si="19"/>
        <v>24.683209881883087</v>
      </c>
      <c r="K83" s="2">
        <f t="shared" si="20"/>
        <v>12.742893954423959</v>
      </c>
      <c r="L83" s="2">
        <f t="shared" si="21"/>
        <v>14.334706679803531</v>
      </c>
      <c r="M83" s="2"/>
      <c r="O83" s="4">
        <f t="shared" ca="1" si="22"/>
        <v>0.25774386059244192</v>
      </c>
      <c r="P83" s="4">
        <f t="shared" ca="1" si="23"/>
        <v>-0.65031662380466293</v>
      </c>
      <c r="Q83" s="4">
        <f t="shared" ca="1" si="24"/>
        <v>1935.5348949502775</v>
      </c>
      <c r="R83" s="4">
        <f t="shared" ca="1" si="25"/>
        <v>11.864850950277514</v>
      </c>
      <c r="S83" s="4">
        <f t="shared" ca="1" si="26"/>
        <v>6.0634088093999017</v>
      </c>
    </row>
    <row r="84" spans="3:19" x14ac:dyDescent="0.2">
      <c r="C84" s="1">
        <v>42261</v>
      </c>
      <c r="D84" s="2">
        <v>1953.030029</v>
      </c>
      <c r="E84" s="3">
        <f t="shared" si="14"/>
        <v>-4.0896559494183167E-3</v>
      </c>
      <c r="F84" s="3">
        <f t="shared" si="15"/>
        <v>-4.0980414626955409E-3</v>
      </c>
      <c r="G84" s="2">
        <f t="shared" si="16"/>
        <v>1915.8028953598375</v>
      </c>
      <c r="H84" s="2">
        <f t="shared" si="17"/>
        <v>166.12332108177429</v>
      </c>
      <c r="I84" s="2">
        <f t="shared" si="18"/>
        <v>-3.9571941857351476</v>
      </c>
      <c r="J84" s="2">
        <f t="shared" si="19"/>
        <v>-7.8671486401623953</v>
      </c>
      <c r="K84" s="2">
        <f t="shared" si="20"/>
        <v>-3.9572333598217706</v>
      </c>
      <c r="L84" s="2">
        <f t="shared" si="21"/>
        <v>-3.350539056043857</v>
      </c>
      <c r="M84" s="2"/>
      <c r="O84" s="4">
        <f t="shared" ca="1" si="22"/>
        <v>0.91120373690721201</v>
      </c>
      <c r="P84" s="4">
        <f t="shared" ca="1" si="23"/>
        <v>1.3482047845188856</v>
      </c>
      <c r="Q84" s="4">
        <f t="shared" ca="1" si="24"/>
        <v>1897.8254508855155</v>
      </c>
      <c r="R84" s="4">
        <f t="shared" ca="1" si="25"/>
        <v>-25.844593114484496</v>
      </c>
      <c r="S84" s="4">
        <f t="shared" ca="1" si="26"/>
        <v>-12.810887142801716</v>
      </c>
    </row>
    <row r="85" spans="3:19" x14ac:dyDescent="0.2">
      <c r="C85" s="1">
        <v>42258</v>
      </c>
      <c r="D85" s="2">
        <v>1961.0500489999999</v>
      </c>
      <c r="E85" s="3">
        <f t="shared" si="14"/>
        <v>4.4870433311676424E-3</v>
      </c>
      <c r="F85" s="3">
        <f t="shared" si="15"/>
        <v>4.4770065646443351E-3</v>
      </c>
      <c r="G85" s="2">
        <f t="shared" si="16"/>
        <v>1932.3016348422973</v>
      </c>
      <c r="H85" s="2">
        <f t="shared" si="17"/>
        <v>174.48018647712991</v>
      </c>
      <c r="I85" s="2">
        <f t="shared" si="18"/>
        <v>4.3996712096204647</v>
      </c>
      <c r="J85" s="2">
        <f t="shared" si="19"/>
        <v>8.6315908422971646</v>
      </c>
      <c r="K85" s="2">
        <f t="shared" si="20"/>
        <v>4.3997242623166795</v>
      </c>
      <c r="L85" s="2">
        <f t="shared" si="21"/>
        <v>5.012772791565709</v>
      </c>
      <c r="M85" s="2"/>
      <c r="O85" s="4">
        <f t="shared" ca="1" si="22"/>
        <v>0.5313542907079758</v>
      </c>
      <c r="P85" s="4">
        <f t="shared" ca="1" si="23"/>
        <v>7.8674638371250008E-2</v>
      </c>
      <c r="Q85" s="4">
        <f t="shared" ca="1" si="24"/>
        <v>1921.7797982521727</v>
      </c>
      <c r="R85" s="4">
        <f t="shared" ca="1" si="25"/>
        <v>-1.8902457478272936</v>
      </c>
      <c r="S85" s="4">
        <f t="shared" ca="1" si="26"/>
        <v>-0.95540644218522897</v>
      </c>
    </row>
    <row r="86" spans="3:19" x14ac:dyDescent="0.2">
      <c r="C86" s="1">
        <v>42257</v>
      </c>
      <c r="D86" s="2">
        <v>1952.290039</v>
      </c>
      <c r="E86" s="3">
        <f t="shared" si="14"/>
        <v>5.2779550339641578E-3</v>
      </c>
      <c r="F86" s="3">
        <f t="shared" si="15"/>
        <v>5.2640754451046302E-3</v>
      </c>
      <c r="G86" s="2">
        <f t="shared" si="16"/>
        <v>1933.8230879924158</v>
      </c>
      <c r="H86" s="2">
        <f t="shared" si="17"/>
        <v>175.26196149486179</v>
      </c>
      <c r="I86" s="2">
        <f t="shared" si="18"/>
        <v>5.1814462273523532</v>
      </c>
      <c r="J86" s="2">
        <f t="shared" si="19"/>
        <v>10.153043992415853</v>
      </c>
      <c r="K86" s="2">
        <f t="shared" si="20"/>
        <v>5.1815327641940341</v>
      </c>
      <c r="L86" s="2">
        <f t="shared" si="21"/>
        <v>5.8963525503725123</v>
      </c>
      <c r="M86" s="2"/>
      <c r="O86" s="4">
        <f t="shared" ca="1" si="22"/>
        <v>0.36026530694141723</v>
      </c>
      <c r="P86" s="4">
        <f t="shared" ca="1" si="23"/>
        <v>-0.35774972959348811</v>
      </c>
      <c r="Q86" s="4">
        <f t="shared" ca="1" si="24"/>
        <v>1930.0145463132758</v>
      </c>
      <c r="R86" s="4">
        <f t="shared" ca="1" si="25"/>
        <v>6.3445023132758251</v>
      </c>
      <c r="S86" s="4">
        <f t="shared" ca="1" si="26"/>
        <v>3.2280348541122676</v>
      </c>
    </row>
    <row r="87" spans="3:19" x14ac:dyDescent="0.2">
      <c r="C87" s="1">
        <v>42256</v>
      </c>
      <c r="D87" s="2">
        <v>1942.040039</v>
      </c>
      <c r="E87" s="3">
        <f t="shared" si="14"/>
        <v>-1.3897560450837034E-2</v>
      </c>
      <c r="F87" s="3">
        <f t="shared" si="15"/>
        <v>-1.3995035710028114E-2</v>
      </c>
      <c r="G87" s="2">
        <f t="shared" si="16"/>
        <v>1896.9357232760456</v>
      </c>
      <c r="H87" s="2">
        <f t="shared" si="17"/>
        <v>156.83977386089828</v>
      </c>
      <c r="I87" s="2">
        <f t="shared" si="18"/>
        <v>-13.240741406611164</v>
      </c>
      <c r="J87" s="2">
        <f t="shared" si="19"/>
        <v>-26.734320723954337</v>
      </c>
      <c r="K87" s="2">
        <f t="shared" si="20"/>
        <v>-13.242232904163934</v>
      </c>
      <c r="L87" s="2">
        <f t="shared" si="21"/>
        <v>-11.385876868415494</v>
      </c>
      <c r="M87" s="2"/>
      <c r="O87" s="4">
        <f t="shared" ca="1" si="22"/>
        <v>0.38804369037706565</v>
      </c>
      <c r="P87" s="4">
        <f t="shared" ca="1" si="23"/>
        <v>-0.2844215048203087</v>
      </c>
      <c r="Q87" s="4">
        <f t="shared" ca="1" si="24"/>
        <v>1928.630940123752</v>
      </c>
      <c r="R87" s="4">
        <f t="shared" ca="1" si="25"/>
        <v>4.9608961237520361</v>
      </c>
      <c r="S87" s="4">
        <f t="shared" ca="1" si="26"/>
        <v>2.5212723826036796</v>
      </c>
    </row>
    <row r="88" spans="3:19" x14ac:dyDescent="0.2">
      <c r="C88" s="1">
        <v>42255</v>
      </c>
      <c r="D88" s="2">
        <v>1969.410034</v>
      </c>
      <c r="E88" s="3">
        <f t="shared" si="14"/>
        <v>2.5083053334552293E-2</v>
      </c>
      <c r="F88" s="3">
        <f t="shared" si="15"/>
        <v>2.477363695127497E-2</v>
      </c>
      <c r="G88" s="2">
        <f t="shared" si="16"/>
        <v>1971.9215623117325</v>
      </c>
      <c r="H88" s="2">
        <f t="shared" si="17"/>
        <v>195.44385295510131</v>
      </c>
      <c r="I88" s="2">
        <f t="shared" si="18"/>
        <v>25.363337687591866</v>
      </c>
      <c r="J88" s="2">
        <f t="shared" si="19"/>
        <v>48.251518311732553</v>
      </c>
      <c r="K88" s="2">
        <f t="shared" si="20"/>
        <v>25.373133431321698</v>
      </c>
      <c r="L88" s="2">
        <f t="shared" si="21"/>
        <v>28.021937388359277</v>
      </c>
      <c r="M88" s="2"/>
      <c r="O88" s="4">
        <f t="shared" ca="1" si="22"/>
        <v>0.52872070968049822</v>
      </c>
      <c r="P88" s="4">
        <f t="shared" ca="1" si="23"/>
        <v>7.205444365117368E-2</v>
      </c>
      <c r="Q88" s="4">
        <f t="shared" ca="1" si="24"/>
        <v>1921.9047125320271</v>
      </c>
      <c r="R88" s="4">
        <f t="shared" ca="1" si="25"/>
        <v>-1.7653314679728282</v>
      </c>
      <c r="S88" s="4">
        <f t="shared" ca="1" si="26"/>
        <v>-0.89235949176485962</v>
      </c>
    </row>
    <row r="89" spans="3:19" x14ac:dyDescent="0.2">
      <c r="C89" s="1">
        <v>42251</v>
      </c>
      <c r="D89" s="2">
        <v>1921.219971</v>
      </c>
      <c r="E89" s="3">
        <f t="shared" si="14"/>
        <v>-1.5329595630917478E-2</v>
      </c>
      <c r="F89" s="3">
        <f t="shared" si="15"/>
        <v>-1.5448308659813455E-2</v>
      </c>
      <c r="G89" s="2">
        <f t="shared" si="16"/>
        <v>1894.1809600981708</v>
      </c>
      <c r="H89" s="2">
        <f t="shared" si="17"/>
        <v>155.50883461295041</v>
      </c>
      <c r="I89" s="2">
        <f t="shared" si="18"/>
        <v>-14.571680654559032</v>
      </c>
      <c r="J89" s="2">
        <f t="shared" si="19"/>
        <v>-29.489083901829233</v>
      </c>
      <c r="K89" s="2">
        <f t="shared" si="20"/>
        <v>-14.573673244545203</v>
      </c>
      <c r="L89" s="2">
        <f t="shared" si="21"/>
        <v>-12.559102650689653</v>
      </c>
      <c r="M89" s="2"/>
      <c r="O89" s="4">
        <f t="shared" ca="1" si="22"/>
        <v>0.89531224839244516</v>
      </c>
      <c r="P89" s="4">
        <f t="shared" ca="1" si="23"/>
        <v>1.2552844908214305</v>
      </c>
      <c r="Q89" s="4">
        <f t="shared" ca="1" si="24"/>
        <v>1899.5787333888061</v>
      </c>
      <c r="R89" s="4">
        <f t="shared" ca="1" si="25"/>
        <v>-24.091310611193876</v>
      </c>
      <c r="S89" s="4">
        <f t="shared" ca="1" si="26"/>
        <v>-11.958997987972639</v>
      </c>
    </row>
    <row r="90" spans="3:19" x14ac:dyDescent="0.2">
      <c r="C90" s="1">
        <v>42250</v>
      </c>
      <c r="D90" s="2">
        <v>1951.130005</v>
      </c>
      <c r="E90" s="3">
        <f t="shared" si="14"/>
        <v>1.1647937858398438E-3</v>
      </c>
      <c r="F90" s="3">
        <f t="shared" si="15"/>
        <v>1.1641159398742432E-3</v>
      </c>
      <c r="G90" s="2">
        <f t="shared" si="16"/>
        <v>1925.9107229132576</v>
      </c>
      <c r="H90" s="2">
        <f t="shared" si="17"/>
        <v>171.21681171026603</v>
      </c>
      <c r="I90" s="2">
        <f t="shared" si="18"/>
        <v>1.1362964427565885</v>
      </c>
      <c r="J90" s="2">
        <f t="shared" si="19"/>
        <v>2.2406789132574589</v>
      </c>
      <c r="K90" s="2">
        <f t="shared" si="20"/>
        <v>1.136297361977515</v>
      </c>
      <c r="L90" s="2">
        <f t="shared" si="21"/>
        <v>1.3012681551090566</v>
      </c>
      <c r="M90" s="2"/>
      <c r="O90" s="4">
        <f t="shared" ca="1" si="22"/>
        <v>8.4566270360839746E-2</v>
      </c>
      <c r="P90" s="4">
        <f t="shared" ca="1" si="23"/>
        <v>-1.374996464743157</v>
      </c>
      <c r="Q90" s="4">
        <f t="shared" ca="1" si="24"/>
        <v>1949.2086408570842</v>
      </c>
      <c r="R90" s="4">
        <f t="shared" ca="1" si="25"/>
        <v>25.538596857084258</v>
      </c>
      <c r="S90" s="4">
        <f t="shared" ca="1" si="26"/>
        <v>13.19338653887675</v>
      </c>
    </row>
    <row r="91" spans="3:19" x14ac:dyDescent="0.2">
      <c r="C91" s="1">
        <v>42249</v>
      </c>
      <c r="D91" s="2">
        <v>1948.8599850000001</v>
      </c>
      <c r="E91" s="3">
        <f t="shared" si="14"/>
        <v>1.8292974600429224E-2</v>
      </c>
      <c r="F91" s="3">
        <f t="shared" si="15"/>
        <v>1.8127671026470109E-2</v>
      </c>
      <c r="G91" s="2">
        <f t="shared" si="16"/>
        <v>1958.8596912544986</v>
      </c>
      <c r="H91" s="2">
        <f t="shared" si="17"/>
        <v>188.39420424559694</v>
      </c>
      <c r="I91" s="2">
        <f t="shared" si="18"/>
        <v>18.313688978087498</v>
      </c>
      <c r="J91" s="2">
        <f t="shared" si="19"/>
        <v>35.189647254498567</v>
      </c>
      <c r="K91" s="2">
        <f t="shared" si="20"/>
        <v>18.31742253097423</v>
      </c>
      <c r="L91" s="2">
        <f t="shared" si="21"/>
        <v>20.436291469904631</v>
      </c>
      <c r="M91" s="2"/>
      <c r="O91" s="4">
        <f t="shared" ca="1" si="22"/>
        <v>0.72038685910483247</v>
      </c>
      <c r="P91" s="4">
        <f t="shared" ca="1" si="23"/>
        <v>0.58399112691900257</v>
      </c>
      <c r="Q91" s="4">
        <f t="shared" ca="1" si="24"/>
        <v>1912.245147394528</v>
      </c>
      <c r="R91" s="4">
        <f t="shared" ca="1" si="25"/>
        <v>-11.424896605471986</v>
      </c>
      <c r="S91" s="4">
        <f t="shared" ca="1" si="26"/>
        <v>-5.7302605287421144</v>
      </c>
    </row>
    <row r="92" spans="3:19" x14ac:dyDescent="0.2">
      <c r="C92" s="1">
        <v>42248</v>
      </c>
      <c r="D92" s="2">
        <v>1913.849976</v>
      </c>
      <c r="E92" s="3">
        <f t="shared" si="14"/>
        <v>-2.9576446573270111E-2</v>
      </c>
      <c r="F92" s="3">
        <f t="shared" si="15"/>
        <v>-3.0022649772647417E-2</v>
      </c>
      <c r="G92" s="2">
        <f t="shared" si="16"/>
        <v>1866.7747197190338</v>
      </c>
      <c r="H92" s="2">
        <f t="shared" si="17"/>
        <v>142.61090596554777</v>
      </c>
      <c r="I92" s="2">
        <f t="shared" si="18"/>
        <v>-27.469609301961668</v>
      </c>
      <c r="J92" s="2">
        <f t="shared" si="19"/>
        <v>-56.895324280966165</v>
      </c>
      <c r="K92" s="2">
        <f t="shared" si="20"/>
        <v>-27.483255630770277</v>
      </c>
      <c r="L92" s="2">
        <f t="shared" si="21"/>
        <v>-24.23114330603542</v>
      </c>
      <c r="M92" s="2"/>
      <c r="O92" s="4">
        <f t="shared" ca="1" si="22"/>
        <v>0.77935642155298079</v>
      </c>
      <c r="P92" s="4">
        <f t="shared" ca="1" si="23"/>
        <v>0.77002147019851552</v>
      </c>
      <c r="Q92" s="4">
        <f t="shared" ca="1" si="24"/>
        <v>1908.735001946483</v>
      </c>
      <c r="R92" s="4">
        <f t="shared" ca="1" si="25"/>
        <v>-14.935042053517009</v>
      </c>
      <c r="S92" s="4">
        <f t="shared" ca="1" si="26"/>
        <v>-7.4694655528121991</v>
      </c>
    </row>
    <row r="93" spans="3:19" x14ac:dyDescent="0.2">
      <c r="C93" s="1">
        <v>42247</v>
      </c>
      <c r="D93" s="2">
        <v>1972.1800539999999</v>
      </c>
      <c r="E93" s="3">
        <f t="shared" si="14"/>
        <v>-8.3916701654499493E-3</v>
      </c>
      <c r="F93" s="3">
        <f t="shared" si="15"/>
        <v>-8.4270784584924117E-3</v>
      </c>
      <c r="G93" s="2">
        <f t="shared" si="16"/>
        <v>1907.5272394835954</v>
      </c>
      <c r="H93" s="2">
        <f t="shared" si="17"/>
        <v>162.01528178307638</v>
      </c>
      <c r="I93" s="2">
        <f t="shared" si="18"/>
        <v>-8.0652334844330653</v>
      </c>
      <c r="J93" s="2">
        <f t="shared" si="19"/>
        <v>-16.142804516404592</v>
      </c>
      <c r="K93" s="2">
        <f t="shared" si="20"/>
        <v>-8.065567537879561</v>
      </c>
      <c r="L93" s="2">
        <f t="shared" si="21"/>
        <v>-6.8750572132545926</v>
      </c>
      <c r="M93" s="2"/>
      <c r="O93" s="4">
        <f t="shared" ca="1" si="22"/>
        <v>0.44176825208884796</v>
      </c>
      <c r="P93" s="4">
        <f t="shared" ca="1" si="23"/>
        <v>-0.14648756695419593</v>
      </c>
      <c r="Q93" s="4">
        <f t="shared" ca="1" si="24"/>
        <v>1926.0283099528006</v>
      </c>
      <c r="R93" s="4">
        <f t="shared" ca="1" si="25"/>
        <v>2.3582659528005934</v>
      </c>
      <c r="S93" s="4">
        <f t="shared" ca="1" si="26"/>
        <v>1.1960412065427313</v>
      </c>
    </row>
    <row r="94" spans="3:19" x14ac:dyDescent="0.2">
      <c r="C94" s="1">
        <v>42244</v>
      </c>
      <c r="D94" s="2">
        <v>1988.869995</v>
      </c>
      <c r="E94" s="3">
        <f t="shared" si="14"/>
        <v>6.0873639319752057E-4</v>
      </c>
      <c r="F94" s="3">
        <f t="shared" si="15"/>
        <v>6.0855118835607827E-4</v>
      </c>
      <c r="G94" s="2">
        <f t="shared" si="16"/>
        <v>1924.8410519642866</v>
      </c>
      <c r="H94" s="2">
        <f t="shared" si="17"/>
        <v>170.67384903555273</v>
      </c>
      <c r="I94" s="2">
        <f t="shared" si="18"/>
        <v>0.59333376804329419</v>
      </c>
      <c r="J94" s="2">
        <f t="shared" si="19"/>
        <v>1.1710079642866758</v>
      </c>
      <c r="K94" s="2">
        <f t="shared" si="20"/>
        <v>0.59333389903919664</v>
      </c>
      <c r="L94" s="2">
        <f t="shared" si="21"/>
        <v>0.68005967490000785</v>
      </c>
      <c r="M94" s="2"/>
      <c r="O94" s="4">
        <f t="shared" ca="1" si="22"/>
        <v>0.52268283009374539</v>
      </c>
      <c r="P94" s="4">
        <f t="shared" ca="1" si="23"/>
        <v>5.6888092434993154E-2</v>
      </c>
      <c r="Q94" s="4">
        <f t="shared" ca="1" si="24"/>
        <v>1922.1908814319304</v>
      </c>
      <c r="R94" s="4">
        <f t="shared" ca="1" si="25"/>
        <v>-1.4791625680695688</v>
      </c>
      <c r="S94" s="4">
        <f t="shared" ca="1" si="26"/>
        <v>-0.74787594453939255</v>
      </c>
    </row>
    <row r="95" spans="3:19" x14ac:dyDescent="0.2">
      <c r="C95" s="1">
        <v>42243</v>
      </c>
      <c r="D95" s="2">
        <v>1987.660034</v>
      </c>
      <c r="E95" s="3">
        <f t="shared" si="14"/>
        <v>2.4297748404812421E-2</v>
      </c>
      <c r="F95" s="3">
        <f t="shared" si="15"/>
        <v>2.4007254278508312E-2</v>
      </c>
      <c r="G95" s="2">
        <f t="shared" si="16"/>
        <v>1970.4108947429863</v>
      </c>
      <c r="H95" s="2">
        <f t="shared" si="17"/>
        <v>194.62163235007722</v>
      </c>
      <c r="I95" s="2">
        <f t="shared" si="18"/>
        <v>24.54111708256778</v>
      </c>
      <c r="J95" s="2">
        <f t="shared" si="19"/>
        <v>46.740850742986439</v>
      </c>
      <c r="K95" s="2">
        <f t="shared" si="20"/>
        <v>24.550003507430837</v>
      </c>
      <c r="L95" s="2">
        <f t="shared" si="21"/>
        <v>27.144621326457468</v>
      </c>
      <c r="M95" s="2"/>
      <c r="O95" s="4">
        <f t="shared" ca="1" si="22"/>
        <v>0.49985229697686695</v>
      </c>
      <c r="P95" s="4">
        <f t="shared" ca="1" si="23"/>
        <v>-3.70236582492151E-4</v>
      </c>
      <c r="Q95" s="4">
        <f t="shared" ca="1" si="24"/>
        <v>1923.2712700363927</v>
      </c>
      <c r="R95" s="4">
        <f t="shared" ca="1" si="25"/>
        <v>-0.3987739636072547</v>
      </c>
      <c r="S95" s="4">
        <f t="shared" ca="1" si="26"/>
        <v>-0.20179855390860107</v>
      </c>
    </row>
    <row r="96" spans="3:19" x14ac:dyDescent="0.2">
      <c r="C96" s="1">
        <v>42242</v>
      </c>
      <c r="D96" s="2">
        <v>1940.51001</v>
      </c>
      <c r="E96" s="3">
        <f t="shared" si="14"/>
        <v>3.9033859095586231E-2</v>
      </c>
      <c r="F96" s="3">
        <f t="shared" si="15"/>
        <v>3.8291299743553803E-2</v>
      </c>
      <c r="G96" s="2">
        <f t="shared" si="16"/>
        <v>1998.7583094438962</v>
      </c>
      <c r="H96" s="2">
        <f t="shared" si="17"/>
        <v>210.34789280411076</v>
      </c>
      <c r="I96" s="2">
        <f t="shared" si="18"/>
        <v>40.267377536601316</v>
      </c>
      <c r="J96" s="2">
        <f t="shared" si="19"/>
        <v>75.088265443896162</v>
      </c>
      <c r="K96" s="2">
        <f t="shared" si="20"/>
        <v>40.305572538176058</v>
      </c>
      <c r="L96" s="2">
        <f t="shared" si="21"/>
        <v>43.607304940655894</v>
      </c>
      <c r="M96" s="2"/>
      <c r="O96" s="4">
        <f t="shared" ca="1" si="22"/>
        <v>0.56367191078985945</v>
      </c>
      <c r="P96" s="4">
        <f t="shared" ca="1" si="23"/>
        <v>0.16028550266860736</v>
      </c>
      <c r="Q96" s="4">
        <f t="shared" ca="1" si="24"/>
        <v>1920.2399096577944</v>
      </c>
      <c r="R96" s="4">
        <f t="shared" ca="1" si="25"/>
        <v>-3.4301343422055197</v>
      </c>
      <c r="S96" s="4">
        <f t="shared" ca="1" si="26"/>
        <v>-1.7315780979749251</v>
      </c>
    </row>
    <row r="97" spans="3:19" x14ac:dyDescent="0.2">
      <c r="C97" s="1">
        <v>42241</v>
      </c>
      <c r="D97" s="2">
        <v>1867.6099850000001</v>
      </c>
      <c r="E97" s="3">
        <f t="shared" si="14"/>
        <v>-1.3521995197235268E-2</v>
      </c>
      <c r="F97" s="3">
        <f t="shared" si="15"/>
        <v>-1.3614249963910554E-2</v>
      </c>
      <c r="G97" s="2">
        <f t="shared" si="16"/>
        <v>1897.6581869039665</v>
      </c>
      <c r="H97" s="2">
        <f t="shared" si="17"/>
        <v>157.18986371551898</v>
      </c>
      <c r="I97" s="2">
        <f t="shared" si="18"/>
        <v>-12.890651551990459</v>
      </c>
      <c r="J97" s="2">
        <f t="shared" si="19"/>
        <v>-26.011857096033356</v>
      </c>
      <c r="K97" s="2">
        <f t="shared" si="20"/>
        <v>-12.892027005605478</v>
      </c>
      <c r="L97" s="2">
        <f t="shared" si="21"/>
        <v>-11.078186914578509</v>
      </c>
      <c r="M97" s="2"/>
      <c r="O97" s="4">
        <f t="shared" ca="1" si="22"/>
        <v>0.28622824187325824</v>
      </c>
      <c r="P97" s="4">
        <f t="shared" ca="1" si="23"/>
        <v>-0.56443741204354447</v>
      </c>
      <c r="Q97" s="4">
        <f t="shared" ca="1" si="24"/>
        <v>1933.9144683094898</v>
      </c>
      <c r="R97" s="4">
        <f t="shared" ca="1" si="25"/>
        <v>10.244424309489887</v>
      </c>
      <c r="S97" s="4">
        <f t="shared" ca="1" si="26"/>
        <v>5.2285491231284151</v>
      </c>
    </row>
    <row r="98" spans="3:19" x14ac:dyDescent="0.2">
      <c r="C98" s="1">
        <v>42240</v>
      </c>
      <c r="D98" s="2">
        <v>1893.209961</v>
      </c>
      <c r="E98" s="3">
        <f t="shared" si="14"/>
        <v>-3.9413693006101071E-2</v>
      </c>
      <c r="F98" s="3">
        <f t="shared" si="15"/>
        <v>-4.0211444491884053E-2</v>
      </c>
      <c r="G98" s="2">
        <f t="shared" si="16"/>
        <v>1847.8511034407509</v>
      </c>
      <c r="H98" s="2">
        <f t="shared" si="17"/>
        <v>134.0714415815512</v>
      </c>
      <c r="I98" s="2">
        <f t="shared" si="18"/>
        <v>-36.009073685958242</v>
      </c>
      <c r="J98" s="2">
        <f t="shared" si="19"/>
        <v>-75.818940559248944</v>
      </c>
      <c r="K98" s="2">
        <f t="shared" si="20"/>
        <v>-36.040248124272338</v>
      </c>
      <c r="L98" s="2">
        <f t="shared" si="21"/>
        <v>-32.290520130097207</v>
      </c>
      <c r="M98" s="2"/>
      <c r="O98" s="4">
        <f t="shared" ca="1" si="22"/>
        <v>0.82502691035359388</v>
      </c>
      <c r="P98" s="4">
        <f t="shared" ca="1" si="23"/>
        <v>0.93469369079375408</v>
      </c>
      <c r="Q98" s="4">
        <f t="shared" ca="1" si="24"/>
        <v>1905.6278559005646</v>
      </c>
      <c r="R98" s="4">
        <f t="shared" ca="1" si="25"/>
        <v>-18.042188099435407</v>
      </c>
      <c r="S98" s="4">
        <f t="shared" ca="1" si="26"/>
        <v>-9.0006229386364414</v>
      </c>
    </row>
    <row r="99" spans="3:19" x14ac:dyDescent="0.2">
      <c r="C99" s="1">
        <v>42237</v>
      </c>
      <c r="D99" s="2">
        <v>1970.8900149999999</v>
      </c>
      <c r="E99" s="3">
        <f t="shared" si="14"/>
        <v>-3.1850965323014069E-2</v>
      </c>
      <c r="F99" s="3">
        <f t="shared" si="15"/>
        <v>-3.236924211323932E-2</v>
      </c>
      <c r="G99" s="2">
        <f t="shared" si="16"/>
        <v>1862.3992961356348</v>
      </c>
      <c r="H99" s="2">
        <f t="shared" si="17"/>
        <v>140.60975065898663</v>
      </c>
      <c r="I99" s="2">
        <f t="shared" si="18"/>
        <v>-29.470764608522813</v>
      </c>
      <c r="J99" s="2">
        <f t="shared" si="19"/>
        <v>-61.270747864364949</v>
      </c>
      <c r="K99" s="2">
        <f t="shared" si="20"/>
        <v>-29.487672280140536</v>
      </c>
      <c r="L99" s="2">
        <f t="shared" si="21"/>
        <v>-26.094591967482216</v>
      </c>
      <c r="M99" s="2"/>
      <c r="O99" s="4">
        <f t="shared" ca="1" si="22"/>
        <v>0.83874635387026919</v>
      </c>
      <c r="P99" s="4">
        <f t="shared" ca="1" si="23"/>
        <v>0.98931858828295649</v>
      </c>
      <c r="Q99" s="4">
        <f t="shared" ca="1" si="24"/>
        <v>1904.5971566506923</v>
      </c>
      <c r="R99" s="4">
        <f t="shared" ca="1" si="25"/>
        <v>-19.072887349307621</v>
      </c>
      <c r="S99" s="4">
        <f t="shared" ca="1" si="26"/>
        <v>-9.5068007727965149</v>
      </c>
    </row>
    <row r="100" spans="3:19" x14ac:dyDescent="0.2">
      <c r="C100" s="1">
        <v>42236</v>
      </c>
      <c r="D100" s="2">
        <v>2035.7299800000001</v>
      </c>
      <c r="E100" s="3">
        <f t="shared" si="14"/>
        <v>-2.1100170100298469E-2</v>
      </c>
      <c r="F100" s="3">
        <f t="shared" si="15"/>
        <v>-2.1325960481545045E-2</v>
      </c>
      <c r="G100" s="2">
        <f t="shared" si="16"/>
        <v>1883.0802788547512</v>
      </c>
      <c r="H100" s="2">
        <f t="shared" si="17"/>
        <v>150.20933647336949</v>
      </c>
      <c r="I100" s="2">
        <f t="shared" si="18"/>
        <v>-19.871178794139951</v>
      </c>
      <c r="J100" s="2">
        <f t="shared" si="19"/>
        <v>-40.589765145248641</v>
      </c>
      <c r="K100" s="2">
        <f t="shared" si="20"/>
        <v>-19.87627832097392</v>
      </c>
      <c r="L100" s="2">
        <f t="shared" si="21"/>
        <v>-17.286770546132175</v>
      </c>
      <c r="M100" s="2"/>
      <c r="O100" s="4">
        <f t="shared" ca="1" si="22"/>
        <v>0.24575018319635622</v>
      </c>
      <c r="P100" s="4">
        <f t="shared" ca="1" si="23"/>
        <v>-0.68792443785252222</v>
      </c>
      <c r="Q100" s="4">
        <f t="shared" ca="1" si="24"/>
        <v>1936.2445044417391</v>
      </c>
      <c r="R100" s="4">
        <f t="shared" ca="1" si="25"/>
        <v>12.57446044173912</v>
      </c>
      <c r="S100" s="4">
        <f t="shared" ca="1" si="26"/>
        <v>6.4296796285764302</v>
      </c>
    </row>
    <row r="101" spans="3:19" x14ac:dyDescent="0.2">
      <c r="C101" s="1">
        <v>42235</v>
      </c>
      <c r="D101" s="2">
        <v>2079.610107</v>
      </c>
      <c r="E101" s="3">
        <f t="shared" si="14"/>
        <v>-8.2548765064382225E-3</v>
      </c>
      <c r="F101" s="3">
        <f t="shared" si="15"/>
        <v>-8.2891366720709101E-3</v>
      </c>
      <c r="G101" s="2">
        <f t="shared" si="16"/>
        <v>1907.7903853476455</v>
      </c>
      <c r="H101" s="2">
        <f t="shared" si="17"/>
        <v>162.14504265816197</v>
      </c>
      <c r="I101" s="2">
        <f t="shared" si="18"/>
        <v>-7.935472609347471</v>
      </c>
      <c r="J101" s="2">
        <f t="shared" si="19"/>
        <v>-15.879658652354582</v>
      </c>
      <c r="K101" s="2">
        <f t="shared" si="20"/>
        <v>-7.935790724891663</v>
      </c>
      <c r="L101" s="2">
        <f t="shared" si="21"/>
        <v>-6.7629860505927866</v>
      </c>
      <c r="M101" s="2"/>
      <c r="O101" s="4">
        <f t="shared" ca="1" si="22"/>
        <v>0.84096791426107431</v>
      </c>
      <c r="P101" s="4">
        <f t="shared" ca="1" si="23"/>
        <v>0.9984438661498336</v>
      </c>
      <c r="Q101" s="4">
        <f t="shared" ca="1" si="24"/>
        <v>1904.4249747797035</v>
      </c>
      <c r="R101" s="4">
        <f t="shared" ca="1" si="25"/>
        <v>-19.2450692202965</v>
      </c>
      <c r="S101" s="4">
        <f t="shared" ca="1" si="26"/>
        <v>-9.5912752190845385</v>
      </c>
    </row>
    <row r="102" spans="3:19" x14ac:dyDescent="0.2">
      <c r="C102" s="1">
        <v>42234</v>
      </c>
      <c r="D102" s="2">
        <v>2096.919922</v>
      </c>
      <c r="E102" s="3">
        <f t="shared" si="14"/>
        <v>-2.6255299342222908E-3</v>
      </c>
      <c r="F102" s="3">
        <f t="shared" si="15"/>
        <v>-2.628982682793983E-3</v>
      </c>
      <c r="G102" s="2">
        <f t="shared" si="16"/>
        <v>1918.6193907159113</v>
      </c>
      <c r="H102" s="2">
        <f t="shared" si="17"/>
        <v>167.53421948430366</v>
      </c>
      <c r="I102" s="2">
        <f t="shared" si="18"/>
        <v>-2.5462957832057782</v>
      </c>
      <c r="J102" s="2">
        <f t="shared" si="19"/>
        <v>-5.0506532840887113</v>
      </c>
      <c r="K102" s="2">
        <f t="shared" si="20"/>
        <v>-2.5463061940624803</v>
      </c>
      <c r="L102" s="2">
        <f t="shared" si="21"/>
        <v>-2.1510221632886157</v>
      </c>
      <c r="M102" s="2"/>
      <c r="O102" s="4">
        <f t="shared" ca="1" si="22"/>
        <v>0.76282218294806869</v>
      </c>
      <c r="P102" s="4">
        <f t="shared" ca="1" si="23"/>
        <v>0.71541016355248666</v>
      </c>
      <c r="Q102" s="4">
        <f t="shared" ca="1" si="24"/>
        <v>1909.765444755199</v>
      </c>
      <c r="R102" s="4">
        <f t="shared" ca="1" si="25"/>
        <v>-13.90459924480092</v>
      </c>
      <c r="S102" s="4">
        <f t="shared" ca="1" si="26"/>
        <v>-6.9599424307724886</v>
      </c>
    </row>
    <row r="103" spans="3:19" x14ac:dyDescent="0.2">
      <c r="C103" s="1">
        <v>42233</v>
      </c>
      <c r="D103" s="2">
        <v>2102.4399410000001</v>
      </c>
      <c r="E103" s="3">
        <f t="shared" si="14"/>
        <v>5.211424020938913E-3</v>
      </c>
      <c r="F103" s="3">
        <f t="shared" si="15"/>
        <v>5.1978915460573353E-3</v>
      </c>
      <c r="G103" s="2">
        <f t="shared" si="16"/>
        <v>1933.6951042756621</v>
      </c>
      <c r="H103" s="2">
        <f t="shared" si="17"/>
        <v>175.19612688745099</v>
      </c>
      <c r="I103" s="2">
        <f t="shared" si="18"/>
        <v>5.1156116199415465</v>
      </c>
      <c r="J103" s="2">
        <f t="shared" si="19"/>
        <v>10.025060275662215</v>
      </c>
      <c r="K103" s="2">
        <f t="shared" si="20"/>
        <v>5.1156949096176696</v>
      </c>
      <c r="L103" s="2">
        <f t="shared" si="21"/>
        <v>5.822026356646802</v>
      </c>
      <c r="M103" s="2"/>
      <c r="O103" s="4">
        <f t="shared" ca="1" si="22"/>
        <v>0.66591534892400661</v>
      </c>
      <c r="P103" s="4">
        <f t="shared" ca="1" si="23"/>
        <v>0.42866188512010567</v>
      </c>
      <c r="Q103" s="4">
        <f t="shared" ca="1" si="24"/>
        <v>1915.1760038421207</v>
      </c>
      <c r="R103" s="4">
        <f t="shared" ca="1" si="25"/>
        <v>-8.4940401578792262</v>
      </c>
      <c r="S103" s="4">
        <f t="shared" ca="1" si="26"/>
        <v>-4.270396803382031</v>
      </c>
    </row>
    <row r="104" spans="3:19" x14ac:dyDescent="0.2">
      <c r="C104" s="1">
        <v>42230</v>
      </c>
      <c r="D104" s="2">
        <v>2091.540039</v>
      </c>
      <c r="E104" s="3">
        <f t="shared" si="14"/>
        <v>3.9119638755010268E-3</v>
      </c>
      <c r="F104" s="3">
        <f t="shared" si="15"/>
        <v>3.904332041982352E-3</v>
      </c>
      <c r="G104" s="2">
        <f t="shared" si="16"/>
        <v>1931.1953717205113</v>
      </c>
      <c r="H104" s="2">
        <f t="shared" si="17"/>
        <v>173.91292732737372</v>
      </c>
      <c r="I104" s="2">
        <f t="shared" si="18"/>
        <v>3.8324120598642821</v>
      </c>
      <c r="J104" s="2">
        <f t="shared" si="19"/>
        <v>7.5253277205114708</v>
      </c>
      <c r="K104" s="2">
        <f t="shared" si="20"/>
        <v>3.8324471591097158</v>
      </c>
      <c r="L104" s="2">
        <f t="shared" si="21"/>
        <v>4.3703135070006169</v>
      </c>
      <c r="M104" s="2"/>
      <c r="O104" s="4">
        <f t="shared" ca="1" si="22"/>
        <v>0.31024911012569112</v>
      </c>
      <c r="P104" s="4">
        <f t="shared" ca="1" si="23"/>
        <v>-0.49514436344652268</v>
      </c>
      <c r="Q104" s="4">
        <f t="shared" ca="1" si="24"/>
        <v>1932.6070005339316</v>
      </c>
      <c r="R104" s="4">
        <f t="shared" ca="1" si="25"/>
        <v>8.9369565339316068</v>
      </c>
      <c r="S104" s="4">
        <f t="shared" ca="1" si="26"/>
        <v>4.5564872243040702</v>
      </c>
    </row>
    <row r="105" spans="3:19" x14ac:dyDescent="0.2">
      <c r="C105" s="1">
        <v>42229</v>
      </c>
      <c r="D105" s="2">
        <v>2083.389893</v>
      </c>
      <c r="E105" s="3">
        <f t="shared" si="14"/>
        <v>-1.275211973593408E-3</v>
      </c>
      <c r="F105" s="3">
        <f t="shared" si="15"/>
        <v>-1.2760257482792195E-3</v>
      </c>
      <c r="G105" s="2">
        <f t="shared" si="16"/>
        <v>1921.2169569266482</v>
      </c>
      <c r="H105" s="2">
        <f t="shared" si="17"/>
        <v>168.84118935534445</v>
      </c>
      <c r="I105" s="2">
        <f t="shared" si="18"/>
        <v>-1.2393259121649862</v>
      </c>
      <c r="J105" s="2">
        <f t="shared" si="19"/>
        <v>-2.453087073351758</v>
      </c>
      <c r="K105" s="2">
        <f t="shared" si="20"/>
        <v>-1.2393271097822367</v>
      </c>
      <c r="L105" s="2">
        <f t="shared" si="21"/>
        <v>-1.0447449797988781</v>
      </c>
      <c r="M105" s="2"/>
      <c r="O105" s="4">
        <f t="shared" ca="1" si="22"/>
        <v>0.48630369173959609</v>
      </c>
      <c r="P105" s="4">
        <f t="shared" ca="1" si="23"/>
        <v>-3.4338300506641689E-2</v>
      </c>
      <c r="Q105" s="4">
        <f t="shared" ca="1" si="24"/>
        <v>1923.9122022781994</v>
      </c>
      <c r="R105" s="4">
        <f t="shared" ca="1" si="25"/>
        <v>0.24215827819944025</v>
      </c>
      <c r="S105" s="4">
        <f t="shared" ca="1" si="26"/>
        <v>0.12260676313853862</v>
      </c>
    </row>
    <row r="106" spans="3:19" x14ac:dyDescent="0.2">
      <c r="C106" s="1">
        <v>42228</v>
      </c>
      <c r="D106" s="2">
        <v>2086.0500489999999</v>
      </c>
      <c r="E106" s="3">
        <f t="shared" si="14"/>
        <v>9.5005490957415957E-4</v>
      </c>
      <c r="F106" s="3">
        <f t="shared" si="15"/>
        <v>9.4960389304633061E-4</v>
      </c>
      <c r="G106" s="2">
        <f t="shared" si="16"/>
        <v>1925.4976361697031</v>
      </c>
      <c r="H106" s="2">
        <f t="shared" si="17"/>
        <v>171.00701947555353</v>
      </c>
      <c r="I106" s="2">
        <f t="shared" si="18"/>
        <v>0.9265042080440935</v>
      </c>
      <c r="J106" s="2">
        <f t="shared" si="19"/>
        <v>1.8275921697029396</v>
      </c>
      <c r="K106" s="2">
        <f t="shared" si="20"/>
        <v>0.92650470652399952</v>
      </c>
      <c r="L106" s="2">
        <f t="shared" si="21"/>
        <v>1.061369157754001</v>
      </c>
      <c r="M106" s="2"/>
      <c r="O106" s="4">
        <f t="shared" ca="1" si="22"/>
        <v>0.15486426347414473</v>
      </c>
      <c r="P106" s="4">
        <f t="shared" ca="1" si="23"/>
        <v>-1.0157918309219327</v>
      </c>
      <c r="Q106" s="4">
        <f t="shared" ca="1" si="24"/>
        <v>1942.4309265976974</v>
      </c>
      <c r="R106" s="4">
        <f t="shared" ca="1" si="25"/>
        <v>18.760882597697446</v>
      </c>
      <c r="S106" s="4">
        <f t="shared" ca="1" si="26"/>
        <v>9.6402189788046613</v>
      </c>
    </row>
    <row r="107" spans="3:19" x14ac:dyDescent="0.2">
      <c r="C107" s="1">
        <v>42227</v>
      </c>
      <c r="D107" s="2">
        <v>2084.070068</v>
      </c>
      <c r="E107" s="3">
        <f t="shared" si="14"/>
        <v>-9.5571028381046339E-3</v>
      </c>
      <c r="F107" s="3">
        <f t="shared" si="15"/>
        <v>-9.6030650234122886E-3</v>
      </c>
      <c r="G107" s="2">
        <f t="shared" si="16"/>
        <v>1905.2853315629106</v>
      </c>
      <c r="H107" s="2">
        <f t="shared" si="17"/>
        <v>160.9120738855288</v>
      </c>
      <c r="I107" s="2">
        <f t="shared" si="18"/>
        <v>-9.1684413819806423</v>
      </c>
      <c r="J107" s="2">
        <f t="shared" si="19"/>
        <v>-18.384712437089267</v>
      </c>
      <c r="K107" s="2">
        <f t="shared" si="20"/>
        <v>-9.1689330699224794</v>
      </c>
      <c r="L107" s="2">
        <f t="shared" si="21"/>
        <v>-7.8298631273008539</v>
      </c>
      <c r="M107" s="2"/>
      <c r="O107" s="4">
        <f t="shared" ca="1" si="22"/>
        <v>0.19779209289985378</v>
      </c>
      <c r="P107" s="4">
        <f t="shared" ca="1" si="23"/>
        <v>-0.84953406053349079</v>
      </c>
      <c r="Q107" s="4">
        <f t="shared" ca="1" si="24"/>
        <v>1939.2938633334843</v>
      </c>
      <c r="R107" s="4">
        <f t="shared" ca="1" si="25"/>
        <v>15.623819333484334</v>
      </c>
      <c r="S107" s="4">
        <f t="shared" ca="1" si="26"/>
        <v>8.0082974970423191</v>
      </c>
    </row>
    <row r="108" spans="3:19" x14ac:dyDescent="0.2">
      <c r="C108" s="1">
        <v>42226</v>
      </c>
      <c r="D108" s="2">
        <v>2104.179932</v>
      </c>
      <c r="E108" s="3">
        <f t="shared" si="14"/>
        <v>1.2808166814617401E-2</v>
      </c>
      <c r="F108" s="3">
        <f t="shared" si="15"/>
        <v>1.2726835975794628E-2</v>
      </c>
      <c r="G108" s="2">
        <f t="shared" si="16"/>
        <v>1948.3087308198344</v>
      </c>
      <c r="H108" s="2">
        <f t="shared" si="17"/>
        <v>182.79871445248455</v>
      </c>
      <c r="I108" s="2">
        <f t="shared" si="18"/>
        <v>12.718199184975106</v>
      </c>
      <c r="J108" s="2">
        <f t="shared" si="19"/>
        <v>24.638686819834394</v>
      </c>
      <c r="K108" s="2">
        <f t="shared" si="20"/>
        <v>12.719462035818706</v>
      </c>
      <c r="L108" s="2">
        <f t="shared" si="21"/>
        <v>14.308850033200144</v>
      </c>
      <c r="M108" s="2"/>
      <c r="O108" s="4">
        <f t="shared" ca="1" si="22"/>
        <v>0.84425394659972486</v>
      </c>
      <c r="P108" s="4">
        <f t="shared" ca="1" si="23"/>
        <v>1.0120961002921027</v>
      </c>
      <c r="Q108" s="4">
        <f t="shared" ca="1" si="24"/>
        <v>1904.1673752575755</v>
      </c>
      <c r="R108" s="4">
        <f t="shared" ca="1" si="25"/>
        <v>-19.502668742424476</v>
      </c>
      <c r="S108" s="4">
        <f t="shared" ca="1" si="26"/>
        <v>-9.7176115000744776</v>
      </c>
    </row>
    <row r="109" spans="3:19" x14ac:dyDescent="0.2">
      <c r="C109" s="1">
        <v>42223</v>
      </c>
      <c r="D109" s="2">
        <v>2077.570068</v>
      </c>
      <c r="E109" s="3">
        <f t="shared" si="14"/>
        <v>-2.8748828113334063E-3</v>
      </c>
      <c r="F109" s="3">
        <f t="shared" si="15"/>
        <v>-2.8790232242949477E-3</v>
      </c>
      <c r="G109" s="2">
        <f t="shared" si="16"/>
        <v>1918.1397180558274</v>
      </c>
      <c r="H109" s="2">
        <f t="shared" si="17"/>
        <v>167.29347377392833</v>
      </c>
      <c r="I109" s="2">
        <f t="shared" si="18"/>
        <v>-2.7870414935811141</v>
      </c>
      <c r="J109" s="2">
        <f t="shared" si="19"/>
        <v>-5.5303259441725769</v>
      </c>
      <c r="K109" s="2">
        <f t="shared" si="20"/>
        <v>-2.7870551511703083</v>
      </c>
      <c r="L109" s="2">
        <f t="shared" si="21"/>
        <v>-2.3553098989394812</v>
      </c>
      <c r="M109" s="2"/>
      <c r="O109" s="4">
        <f t="shared" ca="1" si="22"/>
        <v>0.62805951567395568</v>
      </c>
      <c r="P109" s="4">
        <f t="shared" ca="1" si="23"/>
        <v>0.32671828564711958</v>
      </c>
      <c r="Q109" s="4">
        <f t="shared" ca="1" si="24"/>
        <v>1917.0995441385001</v>
      </c>
      <c r="R109" s="4">
        <f t="shared" ca="1" si="25"/>
        <v>-6.5704998614999113</v>
      </c>
      <c r="S109" s="4">
        <f t="shared" ca="1" si="26"/>
        <v>-3.3084776110886911</v>
      </c>
    </row>
    <row r="110" spans="3:19" x14ac:dyDescent="0.2">
      <c r="C110" s="1">
        <v>42222</v>
      </c>
      <c r="D110" s="2">
        <v>2083.5600589999999</v>
      </c>
      <c r="E110" s="3">
        <f t="shared" si="14"/>
        <v>-7.7529851406475357E-3</v>
      </c>
      <c r="F110" s="3">
        <f t="shared" si="15"/>
        <v>-7.7831957796706099E-3</v>
      </c>
      <c r="G110" s="2">
        <f t="shared" si="16"/>
        <v>1908.7558587333592</v>
      </c>
      <c r="H110" s="2">
        <f t="shared" si="17"/>
        <v>162.62161815376487</v>
      </c>
      <c r="I110" s="2">
        <f t="shared" si="18"/>
        <v>-7.4588971137445697</v>
      </c>
      <c r="J110" s="2">
        <f t="shared" si="19"/>
        <v>-14.914185266640791</v>
      </c>
      <c r="K110" s="2">
        <f t="shared" si="20"/>
        <v>-7.4591610676041658</v>
      </c>
      <c r="L110" s="2">
        <f t="shared" si="21"/>
        <v>-6.3518006981398401</v>
      </c>
      <c r="M110" s="2"/>
      <c r="O110" s="4">
        <f t="shared" ca="1" si="22"/>
        <v>0.32489817146874622</v>
      </c>
      <c r="P110" s="4">
        <f t="shared" ca="1" si="23"/>
        <v>-0.45404513251101358</v>
      </c>
      <c r="Q110" s="4">
        <f t="shared" ca="1" si="24"/>
        <v>1931.8315126439281</v>
      </c>
      <c r="R110" s="4">
        <f t="shared" ca="1" si="25"/>
        <v>8.1614686439281741</v>
      </c>
      <c r="S110" s="4">
        <f t="shared" ca="1" si="26"/>
        <v>4.1585300746296952</v>
      </c>
    </row>
    <row r="111" spans="3:19" x14ac:dyDescent="0.2">
      <c r="C111" s="1">
        <v>42221</v>
      </c>
      <c r="D111" s="2">
        <v>2099.8400879999999</v>
      </c>
      <c r="E111" s="3">
        <f t="shared" si="14"/>
        <v>3.1146789732108618E-3</v>
      </c>
      <c r="F111" s="3">
        <f t="shared" si="15"/>
        <v>3.1098384092550632E-3</v>
      </c>
      <c r="G111" s="2">
        <f t="shared" si="16"/>
        <v>1929.6616586374423</v>
      </c>
      <c r="H111" s="2">
        <f t="shared" si="17"/>
        <v>173.12812516892245</v>
      </c>
      <c r="I111" s="2">
        <f t="shared" si="18"/>
        <v>3.0476099014130114</v>
      </c>
      <c r="J111" s="2">
        <f t="shared" si="19"/>
        <v>5.9916146374424128</v>
      </c>
      <c r="K111" s="2">
        <f t="shared" si="20"/>
        <v>3.0476275764448189</v>
      </c>
      <c r="L111" s="2">
        <f t="shared" si="21"/>
        <v>3.4796138256391487</v>
      </c>
      <c r="M111" s="2"/>
      <c r="O111" s="4">
        <f t="shared" ca="1" si="22"/>
        <v>0.36658385445792518</v>
      </c>
      <c r="P111" s="4">
        <f t="shared" ca="1" si="23"/>
        <v>-0.34091481838725912</v>
      </c>
      <c r="Q111" s="4">
        <f t="shared" ca="1" si="24"/>
        <v>1929.6968939029373</v>
      </c>
      <c r="R111" s="4">
        <f t="shared" ca="1" si="25"/>
        <v>6.0268499029373288</v>
      </c>
      <c r="S111" s="4">
        <f t="shared" ca="1" si="26"/>
        <v>3.0656363961118132</v>
      </c>
    </row>
    <row r="112" spans="3:19" x14ac:dyDescent="0.2">
      <c r="C112" s="1">
        <v>42220</v>
      </c>
      <c r="D112" s="2">
        <v>2093.320068</v>
      </c>
      <c r="E112" s="3">
        <f t="shared" si="14"/>
        <v>-2.2497049209078447E-3</v>
      </c>
      <c r="F112" s="3">
        <f t="shared" si="15"/>
        <v>-2.2522393088201631E-3</v>
      </c>
      <c r="G112" s="2">
        <f t="shared" si="16"/>
        <v>1919.3423540358101</v>
      </c>
      <c r="H112" s="2">
        <f t="shared" si="17"/>
        <v>167.89742673418789</v>
      </c>
      <c r="I112" s="2">
        <f t="shared" si="18"/>
        <v>-2.1830885333215519</v>
      </c>
      <c r="J112" s="2">
        <f t="shared" si="19"/>
        <v>-4.3276899641898101</v>
      </c>
      <c r="K112" s="2">
        <f t="shared" si="20"/>
        <v>-2.1830950901916308</v>
      </c>
      <c r="L112" s="2">
        <f t="shared" si="21"/>
        <v>-1.843119395690934</v>
      </c>
      <c r="M112" s="2"/>
      <c r="O112" s="4">
        <f t="shared" ca="1" si="22"/>
        <v>0.53803501077170779</v>
      </c>
      <c r="P112" s="4">
        <f t="shared" ca="1" si="23"/>
        <v>9.5484528651795866E-2</v>
      </c>
      <c r="Q112" s="4">
        <f t="shared" ca="1" si="24"/>
        <v>1921.4626179534635</v>
      </c>
      <c r="R112" s="4">
        <f t="shared" ca="1" si="25"/>
        <v>-2.2074260465365114</v>
      </c>
      <c r="S112" s="4">
        <f t="shared" ca="1" si="26"/>
        <v>-1.1154371479592902</v>
      </c>
    </row>
    <row r="113" spans="3:19" x14ac:dyDescent="0.2">
      <c r="C113" s="1">
        <v>42219</v>
      </c>
      <c r="D113" s="2">
        <v>2098.040039</v>
      </c>
      <c r="E113" s="3">
        <f t="shared" si="14"/>
        <v>-2.7568868152492132E-3</v>
      </c>
      <c r="F113" s="3">
        <f t="shared" si="15"/>
        <v>-2.7606940266825457E-3</v>
      </c>
      <c r="G113" s="2">
        <f t="shared" si="16"/>
        <v>1918.3667034188065</v>
      </c>
      <c r="H113" s="2">
        <f t="shared" si="17"/>
        <v>167.4073733612878</v>
      </c>
      <c r="I113" s="2">
        <f t="shared" si="18"/>
        <v>-2.6731419062216446</v>
      </c>
      <c r="J113" s="2">
        <f t="shared" si="19"/>
        <v>-5.3033405811934742</v>
      </c>
      <c r="K113" s="2">
        <f t="shared" si="20"/>
        <v>-2.6731539544395493</v>
      </c>
      <c r="L113" s="2">
        <f t="shared" si="21"/>
        <v>-2.2586391280417217</v>
      </c>
      <c r="M113" s="2"/>
      <c r="O113" s="4">
        <f t="shared" ca="1" si="22"/>
        <v>0.68728805504550139</v>
      </c>
      <c r="P113" s="4">
        <f t="shared" ca="1" si="23"/>
        <v>0.48817782518818992</v>
      </c>
      <c r="Q113" s="4">
        <f t="shared" ca="1" si="24"/>
        <v>1914.0530171162284</v>
      </c>
      <c r="R113" s="4">
        <f t="shared" ca="1" si="25"/>
        <v>-9.6170268837715867</v>
      </c>
      <c r="S113" s="4">
        <f t="shared" ca="1" si="26"/>
        <v>-4.8305845110638836</v>
      </c>
    </row>
    <row r="114" spans="3:19" x14ac:dyDescent="0.2">
      <c r="C114" s="1">
        <v>42216</v>
      </c>
      <c r="D114" s="2">
        <v>2103.8400879999999</v>
      </c>
      <c r="E114" s="3">
        <f t="shared" si="14"/>
        <v>-2.2715200228432598E-3</v>
      </c>
      <c r="F114" s="3">
        <f t="shared" si="15"/>
        <v>-2.2741038379837917E-3</v>
      </c>
      <c r="G114" s="2">
        <f t="shared" si="16"/>
        <v>1919.3003889777101</v>
      </c>
      <c r="H114" s="2">
        <f t="shared" si="17"/>
        <v>167.87633237688988</v>
      </c>
      <c r="I114" s="2">
        <f t="shared" si="18"/>
        <v>-2.2041828906195633</v>
      </c>
      <c r="J114" s="2">
        <f t="shared" si="19"/>
        <v>-4.3696550222897743</v>
      </c>
      <c r="K114" s="2">
        <f t="shared" si="20"/>
        <v>-2.204189639652101</v>
      </c>
      <c r="L114" s="2">
        <f t="shared" si="21"/>
        <v>-1.8609918896000295</v>
      </c>
      <c r="M114" s="2"/>
      <c r="O114" s="4">
        <f t="shared" ca="1" si="22"/>
        <v>0.75328109470212823</v>
      </c>
      <c r="P114" s="4">
        <f t="shared" ca="1" si="23"/>
        <v>0.68485121939545479</v>
      </c>
      <c r="Q114" s="4">
        <f t="shared" ca="1" si="24"/>
        <v>1910.3420514358022</v>
      </c>
      <c r="R114" s="4">
        <f t="shared" ca="1" si="25"/>
        <v>-13.327992564197757</v>
      </c>
      <c r="S114" s="4">
        <f t="shared" ca="1" si="26"/>
        <v>-6.6744504834673588</v>
      </c>
    </row>
    <row r="115" spans="3:19" x14ac:dyDescent="0.2">
      <c r="C115" s="1">
        <v>42215</v>
      </c>
      <c r="D115" s="2">
        <v>2108.6298830000001</v>
      </c>
      <c r="E115" s="3">
        <f t="shared" si="14"/>
        <v>2.836756572989134E-5</v>
      </c>
      <c r="F115" s="3">
        <f t="shared" si="15"/>
        <v>2.8367163378208414E-5</v>
      </c>
      <c r="G115" s="2">
        <f t="shared" si="16"/>
        <v>1923.724613836416</v>
      </c>
      <c r="H115" s="2">
        <f t="shared" si="17"/>
        <v>170.10814026539435</v>
      </c>
      <c r="I115" s="2">
        <f t="shared" si="18"/>
        <v>2.7624997884913682E-2</v>
      </c>
      <c r="J115" s="2">
        <f t="shared" si="19"/>
        <v>5.4569836415792966E-2</v>
      </c>
      <c r="K115" s="2">
        <f t="shared" si="20"/>
        <v>2.7624997898095516E-2</v>
      </c>
      <c r="L115" s="2">
        <f t="shared" si="21"/>
        <v>3.1691283359464251E-2</v>
      </c>
      <c r="M115" s="2"/>
      <c r="O115" s="4">
        <f t="shared" ca="1" si="22"/>
        <v>0.1500323780572298</v>
      </c>
      <c r="P115" s="4">
        <f t="shared" ca="1" si="23"/>
        <v>-1.0362945324960464</v>
      </c>
      <c r="Q115" s="4">
        <f t="shared" ca="1" si="24"/>
        <v>1942.8177853398486</v>
      </c>
      <c r="R115" s="4">
        <f t="shared" ca="1" si="25"/>
        <v>19.147741339848608</v>
      </c>
      <c r="S115" s="4">
        <f t="shared" ca="1" si="26"/>
        <v>9.8420204485485705</v>
      </c>
    </row>
    <row r="116" spans="3:19" x14ac:dyDescent="0.2">
      <c r="C116" s="1">
        <v>42214</v>
      </c>
      <c r="D116" s="2">
        <v>2108.570068</v>
      </c>
      <c r="E116" s="3">
        <f t="shared" si="14"/>
        <v>7.3187951749671522E-3</v>
      </c>
      <c r="F116" s="3">
        <f t="shared" si="15"/>
        <v>7.2921427569481731E-3</v>
      </c>
      <c r="G116" s="2">
        <f t="shared" si="16"/>
        <v>1937.748991036256</v>
      </c>
      <c r="H116" s="2">
        <f t="shared" si="17"/>
        <v>177.28787202521846</v>
      </c>
      <c r="I116" s="2">
        <f t="shared" si="18"/>
        <v>7.2073567577090216</v>
      </c>
      <c r="J116" s="2">
        <f t="shared" si="19"/>
        <v>14.078947036256048</v>
      </c>
      <c r="K116" s="2">
        <f t="shared" si="20"/>
        <v>7.207588830514787</v>
      </c>
      <c r="L116" s="2">
        <f t="shared" si="21"/>
        <v>8.1763100136076616</v>
      </c>
      <c r="M116" s="2"/>
      <c r="O116" s="4">
        <f t="shared" ca="1" si="22"/>
        <v>0.36657888253234172</v>
      </c>
      <c r="P116" s="4">
        <f t="shared" ca="1" si="23"/>
        <v>-0.34092802687254598</v>
      </c>
      <c r="Q116" s="4">
        <f t="shared" ca="1" si="24"/>
        <v>1929.697143129508</v>
      </c>
      <c r="R116" s="4">
        <f t="shared" ca="1" si="25"/>
        <v>6.0270991295080876</v>
      </c>
      <c r="S116" s="4">
        <f t="shared" ca="1" si="26"/>
        <v>3.065763779945951</v>
      </c>
    </row>
    <row r="117" spans="3:19" x14ac:dyDescent="0.2">
      <c r="C117" s="1">
        <v>42213</v>
      </c>
      <c r="D117" s="2">
        <v>2093.25</v>
      </c>
      <c r="E117" s="3">
        <f t="shared" si="14"/>
        <v>1.2386154420169127E-2</v>
      </c>
      <c r="F117" s="3">
        <f t="shared" si="15"/>
        <v>1.2310073597852267E-2</v>
      </c>
      <c r="G117" s="2">
        <f t="shared" si="16"/>
        <v>1947.4969182184375</v>
      </c>
      <c r="H117" s="2">
        <f t="shared" si="17"/>
        <v>182.37187291408043</v>
      </c>
      <c r="I117" s="2">
        <f t="shared" si="18"/>
        <v>12.291357646570987</v>
      </c>
      <c r="J117" s="2">
        <f t="shared" si="19"/>
        <v>23.826874218437538</v>
      </c>
      <c r="K117" s="2">
        <f t="shared" si="20"/>
        <v>12.292498425734635</v>
      </c>
      <c r="L117" s="2">
        <f t="shared" si="21"/>
        <v>13.837392083619022</v>
      </c>
      <c r="M117" s="2"/>
      <c r="O117" s="4">
        <f t="shared" ca="1" si="22"/>
        <v>0.32909575460008433</v>
      </c>
      <c r="P117" s="4">
        <f t="shared" ca="1" si="23"/>
        <v>-0.44241143028084517</v>
      </c>
      <c r="Q117" s="4">
        <f t="shared" ca="1" si="24"/>
        <v>1931.6120001374884</v>
      </c>
      <c r="R117" s="4">
        <f t="shared" ca="1" si="25"/>
        <v>7.9419561374884324</v>
      </c>
      <c r="S117" s="4">
        <f t="shared" ca="1" si="26"/>
        <v>4.0459717434830305</v>
      </c>
    </row>
    <row r="118" spans="3:19" x14ac:dyDescent="0.2">
      <c r="C118" s="1">
        <v>42212</v>
      </c>
      <c r="D118" s="2">
        <v>2067.639893</v>
      </c>
      <c r="E118" s="3">
        <f t="shared" si="14"/>
        <v>-5.7750148178547034E-3</v>
      </c>
      <c r="F118" s="3">
        <f t="shared" si="15"/>
        <v>-5.7917546957350231E-3</v>
      </c>
      <c r="G118" s="2">
        <f t="shared" si="16"/>
        <v>1912.5608209912368</v>
      </c>
      <c r="H118" s="2">
        <f t="shared" si="17"/>
        <v>164.50726589576709</v>
      </c>
      <c r="I118" s="2">
        <f t="shared" si="18"/>
        <v>-5.5732493717423495</v>
      </c>
      <c r="J118" s="2">
        <f t="shared" si="19"/>
        <v>-11.109223008763209</v>
      </c>
      <c r="K118" s="2">
        <f t="shared" si="20"/>
        <v>-5.5733591191482841</v>
      </c>
      <c r="L118" s="2">
        <f t="shared" si="21"/>
        <v>-4.7313057469311559</v>
      </c>
      <c r="M118" s="2"/>
      <c r="O118" s="4">
        <f t="shared" ca="1" si="22"/>
        <v>0.17328603564462775</v>
      </c>
      <c r="P118" s="4">
        <f t="shared" ca="1" si="23"/>
        <v>-0.94125914994958781</v>
      </c>
      <c r="Q118" s="4">
        <f t="shared" ca="1" si="24"/>
        <v>1941.02459391974</v>
      </c>
      <c r="R118" s="4">
        <f t="shared" ca="1" si="25"/>
        <v>17.354549919740066</v>
      </c>
      <c r="S118" s="4">
        <f t="shared" ca="1" si="26"/>
        <v>8.9076444289688315</v>
      </c>
    </row>
    <row r="119" spans="3:19" x14ac:dyDescent="0.2">
      <c r="C119" s="1">
        <v>42209</v>
      </c>
      <c r="D119" s="2">
        <v>2079.6499020000001</v>
      </c>
      <c r="E119" s="3">
        <f t="shared" si="14"/>
        <v>-1.070332804458585E-2</v>
      </c>
      <c r="F119" s="3">
        <f t="shared" si="15"/>
        <v>-1.0761020698430391E-2</v>
      </c>
      <c r="G119" s="2">
        <f t="shared" si="16"/>
        <v>1903.0803724695252</v>
      </c>
      <c r="H119" s="2">
        <f t="shared" si="17"/>
        <v>159.83108079628335</v>
      </c>
      <c r="I119" s="2">
        <f t="shared" si="18"/>
        <v>-10.249434471226095</v>
      </c>
      <c r="J119" s="2">
        <f t="shared" si="19"/>
        <v>-20.589671530474895</v>
      </c>
      <c r="K119" s="2">
        <f t="shared" si="20"/>
        <v>-10.250122683922104</v>
      </c>
      <c r="L119" s="2">
        <f t="shared" si="21"/>
        <v>-8.7689329094138202</v>
      </c>
      <c r="M119" s="2"/>
      <c r="O119" s="4">
        <f t="shared" ca="1" si="22"/>
        <v>0.12900380073789697</v>
      </c>
      <c r="P119" s="4">
        <f t="shared" ca="1" si="23"/>
        <v>-1.1311128380832212</v>
      </c>
      <c r="Q119" s="4">
        <f t="shared" ca="1" si="24"/>
        <v>1944.6068808061079</v>
      </c>
      <c r="R119" s="4">
        <f t="shared" ca="1" si="25"/>
        <v>20.936836806107976</v>
      </c>
      <c r="S119" s="4">
        <f t="shared" ca="1" si="26"/>
        <v>10.776871122893146</v>
      </c>
    </row>
    <row r="120" spans="3:19" x14ac:dyDescent="0.2">
      <c r="C120" s="1">
        <v>42208</v>
      </c>
      <c r="D120" s="2">
        <v>2102.1499020000001</v>
      </c>
      <c r="E120" s="3">
        <f t="shared" si="14"/>
        <v>-5.6760402791911392E-3</v>
      </c>
      <c r="F120" s="3">
        <f t="shared" si="15"/>
        <v>-5.6922102123075392E-3</v>
      </c>
      <c r="G120" s="2">
        <f t="shared" si="16"/>
        <v>1912.7512153463827</v>
      </c>
      <c r="H120" s="2">
        <f t="shared" si="17"/>
        <v>164.60193261277414</v>
      </c>
      <c r="I120" s="2">
        <f t="shared" si="18"/>
        <v>-5.4785826547353054</v>
      </c>
      <c r="J120" s="2">
        <f t="shared" si="19"/>
        <v>-10.918828653617391</v>
      </c>
      <c r="K120" s="2">
        <f t="shared" si="20"/>
        <v>-5.4786868868060274</v>
      </c>
      <c r="L120" s="2">
        <f t="shared" si="21"/>
        <v>-4.6502187162743667</v>
      </c>
      <c r="M120" s="2"/>
      <c r="O120" s="4">
        <f t="shared" ca="1" si="22"/>
        <v>0.77569747149315971</v>
      </c>
      <c r="P120" s="4">
        <f t="shared" ca="1" si="23"/>
        <v>0.75774265678599473</v>
      </c>
      <c r="Q120" s="4">
        <f t="shared" ca="1" si="24"/>
        <v>1908.9666868439442</v>
      </c>
      <c r="R120" s="4">
        <f t="shared" ca="1" si="25"/>
        <v>-14.703357156055745</v>
      </c>
      <c r="S120" s="4">
        <f t="shared" ca="1" si="26"/>
        <v>-7.3549796389218685</v>
      </c>
    </row>
    <row r="121" spans="3:19" x14ac:dyDescent="0.2">
      <c r="C121" s="1">
        <v>42207</v>
      </c>
      <c r="D121" s="2">
        <v>2114.1499020000001</v>
      </c>
      <c r="E121" s="3">
        <f t="shared" si="14"/>
        <v>-2.3877100868345295E-3</v>
      </c>
      <c r="F121" s="3">
        <f t="shared" si="15"/>
        <v>-2.3905652122773076E-3</v>
      </c>
      <c r="G121" s="2">
        <f t="shared" si="16"/>
        <v>1919.0768776321997</v>
      </c>
      <c r="H121" s="2">
        <f t="shared" si="17"/>
        <v>167.7640053099849</v>
      </c>
      <c r="I121" s="2">
        <f t="shared" si="18"/>
        <v>-2.3165099575245449</v>
      </c>
      <c r="J121" s="2">
        <f t="shared" si="19"/>
        <v>-4.5931663678002232</v>
      </c>
      <c r="K121" s="2">
        <f t="shared" si="20"/>
        <v>-2.3165177933893477</v>
      </c>
      <c r="L121" s="2">
        <f t="shared" si="21"/>
        <v>-1.9561831115859434</v>
      </c>
      <c r="M121" s="2"/>
      <c r="O121" s="4">
        <f t="shared" ca="1" si="22"/>
        <v>0.96877547446411905</v>
      </c>
      <c r="P121" s="4">
        <f t="shared" ca="1" si="23"/>
        <v>1.8630939373277502</v>
      </c>
      <c r="Q121" s="4">
        <f t="shared" ca="1" si="24"/>
        <v>1888.1101765699477</v>
      </c>
      <c r="R121" s="4">
        <f t="shared" ca="1" si="25"/>
        <v>-35.559867430052236</v>
      </c>
      <c r="S121" s="4">
        <f t="shared" ca="1" si="26"/>
        <v>-17.486012464546981</v>
      </c>
    </row>
    <row r="122" spans="3:19" x14ac:dyDescent="0.2">
      <c r="C122" s="1">
        <v>42206</v>
      </c>
      <c r="D122" s="2">
        <v>2119.209961</v>
      </c>
      <c r="E122" s="3">
        <f t="shared" si="14"/>
        <v>-4.2616891933443934E-3</v>
      </c>
      <c r="F122" s="3">
        <f t="shared" si="15"/>
        <v>-4.2707960737403163E-3</v>
      </c>
      <c r="G122" s="2">
        <f t="shared" si="16"/>
        <v>1915.4719601619249</v>
      </c>
      <c r="H122" s="2">
        <f t="shared" si="17"/>
        <v>165.95796777901307</v>
      </c>
      <c r="I122" s="2">
        <f t="shared" si="18"/>
        <v>-4.122547488496366</v>
      </c>
      <c r="J122" s="2">
        <f t="shared" si="19"/>
        <v>-8.1980838380751333</v>
      </c>
      <c r="K122" s="2">
        <f t="shared" si="20"/>
        <v>-4.1225917942299413</v>
      </c>
      <c r="L122" s="2">
        <f t="shared" si="21"/>
        <v>-3.4914810105361482</v>
      </c>
      <c r="M122" s="2"/>
      <c r="O122" s="4">
        <f t="shared" ca="1" si="22"/>
        <v>0.26940609962638429</v>
      </c>
      <c r="P122" s="4">
        <f t="shared" ca="1" si="23"/>
        <v>-0.61461016581062045</v>
      </c>
      <c r="Q122" s="4">
        <f t="shared" ca="1" si="24"/>
        <v>1934.8611615217189</v>
      </c>
      <c r="R122" s="4">
        <f t="shared" ca="1" si="25"/>
        <v>11.191117521718979</v>
      </c>
      <c r="S122" s="4">
        <f t="shared" ca="1" si="26"/>
        <v>5.7160351076733704</v>
      </c>
    </row>
    <row r="123" spans="3:19" x14ac:dyDescent="0.2">
      <c r="C123" s="1">
        <v>42205</v>
      </c>
      <c r="D123" s="2">
        <v>2128.280029</v>
      </c>
      <c r="E123" s="3">
        <f t="shared" si="14"/>
        <v>7.7123353389476929E-4</v>
      </c>
      <c r="F123" s="3">
        <f t="shared" si="15"/>
        <v>7.7093628613465076E-4</v>
      </c>
      <c r="G123" s="2">
        <f t="shared" si="16"/>
        <v>1925.1536428460815</v>
      </c>
      <c r="H123" s="2">
        <f t="shared" si="17"/>
        <v>170.83242325462811</v>
      </c>
      <c r="I123" s="2">
        <f t="shared" si="18"/>
        <v>0.75190798711867046</v>
      </c>
      <c r="J123" s="2">
        <f t="shared" si="19"/>
        <v>1.4835988460816263</v>
      </c>
      <c r="K123" s="2">
        <f t="shared" si="20"/>
        <v>0.75190825364050651</v>
      </c>
      <c r="L123" s="2">
        <f t="shared" si="21"/>
        <v>0.86159597519298359</v>
      </c>
      <c r="M123" s="2"/>
      <c r="O123" s="4">
        <f t="shared" ca="1" si="22"/>
        <v>0.14494792709138404</v>
      </c>
      <c r="P123" s="4">
        <f t="shared" ca="1" si="23"/>
        <v>-1.0583501128226243</v>
      </c>
      <c r="Q123" s="4">
        <f t="shared" ca="1" si="24"/>
        <v>1943.233944841156</v>
      </c>
      <c r="R123" s="4">
        <f t="shared" ca="1" si="25"/>
        <v>19.563900841156055</v>
      </c>
      <c r="S123" s="4">
        <f t="shared" ca="1" si="26"/>
        <v>10.05924243820084</v>
      </c>
    </row>
    <row r="124" spans="3:19" x14ac:dyDescent="0.2">
      <c r="C124" s="1">
        <v>42202</v>
      </c>
      <c r="D124" s="2">
        <v>2126.639893</v>
      </c>
      <c r="E124" s="3">
        <f t="shared" si="14"/>
        <v>1.1061832220925132E-3</v>
      </c>
      <c r="F124" s="3">
        <f t="shared" si="15"/>
        <v>1.1055718522485251E-3</v>
      </c>
      <c r="G124" s="2">
        <f t="shared" si="16"/>
        <v>1925.7979755275146</v>
      </c>
      <c r="H124" s="2">
        <f t="shared" si="17"/>
        <v>171.15953750957783</v>
      </c>
      <c r="I124" s="2">
        <f t="shared" si="18"/>
        <v>1.0790222420683904</v>
      </c>
      <c r="J124" s="2">
        <f t="shared" si="19"/>
        <v>2.1279315275147663</v>
      </c>
      <c r="K124" s="2">
        <f t="shared" si="20"/>
        <v>1.0790230292590319</v>
      </c>
      <c r="L124" s="2">
        <f t="shared" si="21"/>
        <v>1.2357904189769613</v>
      </c>
      <c r="M124" s="2"/>
      <c r="O124" s="4">
        <f t="shared" ca="1" si="22"/>
        <v>0.4375835608323273</v>
      </c>
      <c r="P124" s="4">
        <f t="shared" ca="1" si="23"/>
        <v>-0.15709862443401049</v>
      </c>
      <c r="Q124" s="4">
        <f t="shared" ca="1" si="24"/>
        <v>1926.2285265113208</v>
      </c>
      <c r="R124" s="4">
        <f t="shared" ca="1" si="25"/>
        <v>2.5584825113207899</v>
      </c>
      <c r="S124" s="4">
        <f t="shared" ca="1" si="26"/>
        <v>1.2977935143985606</v>
      </c>
    </row>
    <row r="125" spans="3:19" x14ac:dyDescent="0.2">
      <c r="C125" s="1">
        <v>42201</v>
      </c>
      <c r="D125" s="2">
        <v>2124.290039</v>
      </c>
      <c r="E125" s="3">
        <f t="shared" si="14"/>
        <v>8.0146805473277783E-3</v>
      </c>
      <c r="F125" s="3">
        <f t="shared" si="15"/>
        <v>7.9827335781697557E-3</v>
      </c>
      <c r="G125" s="2">
        <f t="shared" si="16"/>
        <v>1939.0876448811239</v>
      </c>
      <c r="H125" s="2">
        <f t="shared" si="17"/>
        <v>177.98151182749507</v>
      </c>
      <c r="I125" s="2">
        <f t="shared" si="18"/>
        <v>7.9009965599856287</v>
      </c>
      <c r="J125" s="2">
        <f t="shared" si="19"/>
        <v>15.41760088112397</v>
      </c>
      <c r="K125" s="2">
        <f t="shared" si="20"/>
        <v>7.9013019187819014</v>
      </c>
      <c r="L125" s="2">
        <f t="shared" si="21"/>
        <v>8.9537295754798834</v>
      </c>
      <c r="M125" s="2"/>
      <c r="O125" s="4">
        <f t="shared" ca="1" si="22"/>
        <v>0.37178489285255989</v>
      </c>
      <c r="P125" s="4">
        <f t="shared" ca="1" si="23"/>
        <v>-0.327129704581895</v>
      </c>
      <c r="Q125" s="4">
        <f t="shared" ca="1" si="24"/>
        <v>1929.4367871180893</v>
      </c>
      <c r="R125" s="4">
        <f t="shared" ca="1" si="25"/>
        <v>5.76674311808938</v>
      </c>
      <c r="S125" s="4">
        <f t="shared" ca="1" si="26"/>
        <v>2.9327190709640698</v>
      </c>
    </row>
    <row r="126" spans="3:19" x14ac:dyDescent="0.2">
      <c r="C126" s="1">
        <v>42200</v>
      </c>
      <c r="D126" s="2">
        <v>2107.3999020000001</v>
      </c>
      <c r="E126" s="3">
        <f t="shared" si="14"/>
        <v>-7.3498614761576409E-4</v>
      </c>
      <c r="F126" s="3">
        <f t="shared" si="15"/>
        <v>-7.35256382355035E-4</v>
      </c>
      <c r="G126" s="2">
        <f t="shared" si="16"/>
        <v>1922.2561731650765</v>
      </c>
      <c r="H126" s="2">
        <f t="shared" si="17"/>
        <v>169.36561397570165</v>
      </c>
      <c r="I126" s="2">
        <f t="shared" si="18"/>
        <v>-0.71490129180779149</v>
      </c>
      <c r="J126" s="2">
        <f t="shared" si="19"/>
        <v>-1.4138708349234075</v>
      </c>
      <c r="K126" s="2">
        <f t="shared" si="20"/>
        <v>-0.71490152147470865</v>
      </c>
      <c r="L126" s="2">
        <f t="shared" si="21"/>
        <v>-0.60215329203626311</v>
      </c>
      <c r="M126" s="2"/>
      <c r="O126" s="4">
        <f t="shared" ca="1" si="22"/>
        <v>1.1043976628153374E-2</v>
      </c>
      <c r="P126" s="4">
        <f t="shared" ca="1" si="23"/>
        <v>-2.2888519950287356</v>
      </c>
      <c r="Q126" s="4">
        <f t="shared" ca="1" si="24"/>
        <v>1966.4518807138368</v>
      </c>
      <c r="R126" s="4">
        <f t="shared" ca="1" si="25"/>
        <v>42.78183671383681</v>
      </c>
      <c r="S126" s="4">
        <f t="shared" ca="1" si="26"/>
        <v>22.401637711357928</v>
      </c>
    </row>
    <row r="127" spans="3:19" x14ac:dyDescent="0.2">
      <c r="C127" s="1">
        <v>42199</v>
      </c>
      <c r="D127" s="2">
        <v>2108.9499510000001</v>
      </c>
      <c r="E127" s="3">
        <f t="shared" si="14"/>
        <v>4.4531589653222462E-3</v>
      </c>
      <c r="F127" s="3">
        <f t="shared" si="15"/>
        <v>4.4432729912807552E-3</v>
      </c>
      <c r="G127" s="2">
        <f t="shared" si="16"/>
        <v>1932.2364525027604</v>
      </c>
      <c r="H127" s="2">
        <f t="shared" si="17"/>
        <v>174.4467354092817</v>
      </c>
      <c r="I127" s="2">
        <f t="shared" si="18"/>
        <v>4.3662201417722599</v>
      </c>
      <c r="J127" s="2">
        <f t="shared" si="19"/>
        <v>8.5664085027604404</v>
      </c>
      <c r="K127" s="2">
        <f t="shared" si="20"/>
        <v>4.3662719966119949</v>
      </c>
      <c r="L127" s="2">
        <f t="shared" si="21"/>
        <v>4.9749183260227881</v>
      </c>
      <c r="M127" s="2"/>
      <c r="O127" s="4">
        <f t="shared" ca="1" si="22"/>
        <v>0.53384570864748782</v>
      </c>
      <c r="P127" s="4">
        <f t="shared" ca="1" si="23"/>
        <v>8.4940639703370749E-2</v>
      </c>
      <c r="Q127" s="4">
        <f t="shared" ca="1" si="24"/>
        <v>1921.6615671310251</v>
      </c>
      <c r="R127" s="4">
        <f t="shared" ca="1" si="25"/>
        <v>-2.0084768689748671</v>
      </c>
      <c r="S127" s="4">
        <f t="shared" ca="1" si="26"/>
        <v>-1.0150685550723255</v>
      </c>
    </row>
    <row r="128" spans="3:19" x14ac:dyDescent="0.2">
      <c r="C128" s="1">
        <v>42198</v>
      </c>
      <c r="D128" s="2">
        <v>2099.6000979999999</v>
      </c>
      <c r="E128" s="3">
        <f t="shared" si="14"/>
        <v>1.1066049496427928E-2</v>
      </c>
      <c r="F128" s="3">
        <f t="shared" si="15"/>
        <v>1.1005268761367724E-2</v>
      </c>
      <c r="G128" s="2">
        <f t="shared" si="16"/>
        <v>1944.9574719216996</v>
      </c>
      <c r="H128" s="2">
        <f t="shared" si="17"/>
        <v>181.04007448701589</v>
      </c>
      <c r="I128" s="2">
        <f t="shared" si="18"/>
        <v>10.959559219506446</v>
      </c>
      <c r="J128" s="2">
        <f t="shared" si="19"/>
        <v>21.287427921699688</v>
      </c>
      <c r="K128" s="2">
        <f t="shared" si="20"/>
        <v>10.960369809387213</v>
      </c>
      <c r="L128" s="2">
        <f t="shared" si="21"/>
        <v>12.362615587083639</v>
      </c>
      <c r="M128" s="2"/>
      <c r="O128" s="4">
        <f t="shared" ca="1" si="22"/>
        <v>0.45606706692459287</v>
      </c>
      <c r="P128" s="4">
        <f t="shared" ca="1" si="23"/>
        <v>-0.1103470635065234</v>
      </c>
      <c r="Q128" s="4">
        <f t="shared" ca="1" si="24"/>
        <v>1925.3463866631344</v>
      </c>
      <c r="R128" s="4">
        <f t="shared" ca="1" si="25"/>
        <v>1.6763426631343918</v>
      </c>
      <c r="S128" s="4">
        <f t="shared" ca="1" si="26"/>
        <v>0.84972499099222554</v>
      </c>
    </row>
    <row r="129" spans="3:19" x14ac:dyDescent="0.2">
      <c r="C129" s="1">
        <v>42195</v>
      </c>
      <c r="D129" s="2">
        <v>2076.6201169999999</v>
      </c>
      <c r="E129" s="3">
        <f t="shared" si="14"/>
        <v>1.2338484808258832E-2</v>
      </c>
      <c r="F129" s="3">
        <f t="shared" si="15"/>
        <v>1.2262986096672604E-2</v>
      </c>
      <c r="G129" s="2">
        <f t="shared" si="16"/>
        <v>1947.4052176139965</v>
      </c>
      <c r="H129" s="2">
        <f t="shared" si="17"/>
        <v>182.32369101749589</v>
      </c>
      <c r="I129" s="2">
        <f t="shared" si="18"/>
        <v>12.243175749986449</v>
      </c>
      <c r="J129" s="2">
        <f t="shared" si="19"/>
        <v>23.735173613996597</v>
      </c>
      <c r="K129" s="2">
        <f t="shared" si="20"/>
        <v>12.244303261948415</v>
      </c>
      <c r="L129" s="2">
        <f t="shared" si="21"/>
        <v>13.784137208207312</v>
      </c>
      <c r="M129" s="2"/>
      <c r="O129" s="4">
        <f t="shared" ca="1" si="22"/>
        <v>0.95955528069691132</v>
      </c>
      <c r="P129" s="4">
        <f t="shared" ca="1" si="23"/>
        <v>1.7455484955496123</v>
      </c>
      <c r="Q129" s="4">
        <f t="shared" ca="1" si="24"/>
        <v>1890.3281029045563</v>
      </c>
      <c r="R129" s="4">
        <f t="shared" ca="1" si="25"/>
        <v>-33.341941095443644</v>
      </c>
      <c r="S129" s="4">
        <f t="shared" ca="1" si="26"/>
        <v>-16.425484396807562</v>
      </c>
    </row>
    <row r="130" spans="3:19" x14ac:dyDescent="0.2">
      <c r="C130" s="1">
        <v>42194</v>
      </c>
      <c r="D130" s="2">
        <v>2051.3100589999999</v>
      </c>
      <c r="E130" s="3">
        <f t="shared" si="14"/>
        <v>2.262202629546896E-3</v>
      </c>
      <c r="F130" s="3">
        <f t="shared" si="15"/>
        <v>2.259647701629263E-3</v>
      </c>
      <c r="G130" s="2">
        <f t="shared" si="16"/>
        <v>1928.0217754319174</v>
      </c>
      <c r="H130" s="2">
        <f t="shared" si="17"/>
        <v>172.29110648830397</v>
      </c>
      <c r="I130" s="2">
        <f t="shared" si="18"/>
        <v>2.2105912207945266</v>
      </c>
      <c r="J130" s="2">
        <f t="shared" si="19"/>
        <v>4.3517314319173934</v>
      </c>
      <c r="K130" s="2">
        <f t="shared" si="20"/>
        <v>2.210597976148803</v>
      </c>
      <c r="L130" s="2">
        <f t="shared" si="21"/>
        <v>2.5272561358238761</v>
      </c>
      <c r="M130" s="2"/>
      <c r="O130" s="4">
        <f t="shared" ca="1" si="22"/>
        <v>0.99479577233162564</v>
      </c>
      <c r="P130" s="4">
        <f t="shared" ca="1" si="23"/>
        <v>2.561955835250902</v>
      </c>
      <c r="Q130" s="4">
        <f t="shared" ca="1" si="24"/>
        <v>1874.9235809503225</v>
      </c>
      <c r="R130" s="4">
        <f t="shared" ca="1" si="25"/>
        <v>-48.746463049677459</v>
      </c>
      <c r="S130" s="4">
        <f t="shared" ca="1" si="26"/>
        <v>-23.708651979777503</v>
      </c>
    </row>
    <row r="131" spans="3:19" x14ac:dyDescent="0.2">
      <c r="C131" s="1">
        <v>42193</v>
      </c>
      <c r="D131" s="2">
        <v>2046.6800539999999</v>
      </c>
      <c r="E131" s="3">
        <f t="shared" ref="E131:E194" si="27">(D131-D132)/D132</f>
        <v>-1.6652748966799316E-2</v>
      </c>
      <c r="F131" s="3">
        <f t="shared" ref="F131:F194" si="28">LN(D131/D132)</f>
        <v>-1.6792964823456991E-2</v>
      </c>
      <c r="G131" s="2">
        <f t="shared" ref="G131:G194" si="29">$D$2*(1+E131)</f>
        <v>1891.6356496623162</v>
      </c>
      <c r="H131" s="2">
        <f t="shared" ref="H131:H194" si="30">G131*EXP(-$B$9*$B$7)*_xlfn.NORM.S.DIST((LN(G131/$B$5)+($B$8-$B$9+0.5*$B$6^2)*$B$7)/($B$6*SQRT($B$7)),TRUE)-$B$5*EXP(-$B$8*$B$7)*_xlfn.NORM.S.DIST((LN(G131/$B$5)+($B$8-$B$9-0.5*$B$6^2)*$B$7)/($B$6*SQRT($B$7)),TRUE)</f>
        <v>154.28467004390234</v>
      </c>
      <c r="I131" s="2">
        <f t="shared" ref="I131:I194" si="31">H131-$B$10</f>
        <v>-15.795845223607103</v>
      </c>
      <c r="J131" s="2">
        <f t="shared" ref="J131:J194" si="32">E131*$B$4</f>
        <v>-32.034394337683793</v>
      </c>
      <c r="K131" s="2">
        <f t="shared" ref="K131:K194" si="33">$B$12*J131+0.5*$B$13*J131^2</f>
        <v>-15.798388762809164</v>
      </c>
      <c r="L131" s="2">
        <f t="shared" ref="L131:L194" si="34">linearinterp(A$22:A$28,B$22:B$28,7,1+E131)-$B$10</f>
        <v>-13.643124628048724</v>
      </c>
      <c r="M131" s="2"/>
      <c r="O131" s="4">
        <f t="shared" ref="O131:O194" ca="1" si="35">RAND()</f>
        <v>0.40194148691892095</v>
      </c>
      <c r="P131" s="4">
        <f t="shared" ref="P131:P194" ca="1" si="36">NORMSINV(O131)</f>
        <v>-0.24832497884209989</v>
      </c>
      <c r="Q131" s="4">
        <f t="shared" ref="Q131:Q194" ca="1" si="37">$B$4*(1+$B$17-$B$32*P131)</f>
        <v>1927.9498466305131</v>
      </c>
      <c r="R131" s="4">
        <f t="shared" ref="R131:R194" ca="1" si="38">Q131-$B$4</f>
        <v>4.2798026305131316</v>
      </c>
      <c r="S131" s="4">
        <f t="shared" ref="S131:S194" ca="1" si="39">R131*$B$12+0.5*$B$13*R131^2</f>
        <v>2.1739341810119006</v>
      </c>
    </row>
    <row r="132" spans="3:19" x14ac:dyDescent="0.2">
      <c r="C132" s="1">
        <v>42192</v>
      </c>
      <c r="D132" s="2">
        <v>2081.3400879999999</v>
      </c>
      <c r="E132" s="3">
        <f t="shared" si="27"/>
        <v>6.0809750474633151E-3</v>
      </c>
      <c r="F132" s="3">
        <f t="shared" si="28"/>
        <v>6.0625605331265549E-3</v>
      </c>
      <c r="G132" s="2">
        <f t="shared" si="29"/>
        <v>1935.3678335371167</v>
      </c>
      <c r="H132" s="2">
        <f t="shared" si="30"/>
        <v>176.05762091138467</v>
      </c>
      <c r="I132" s="2">
        <f t="shared" si="31"/>
        <v>5.9771056438752339</v>
      </c>
      <c r="J132" s="2">
        <f t="shared" si="32"/>
        <v>11.697789537116657</v>
      </c>
      <c r="K132" s="2">
        <f t="shared" si="33"/>
        <v>5.9772382951432323</v>
      </c>
      <c r="L132" s="2">
        <f t="shared" si="34"/>
        <v>6.7934593036750073</v>
      </c>
      <c r="M132" s="2"/>
      <c r="O132" s="4">
        <f t="shared" ca="1" si="35"/>
        <v>2.1413264422520562E-2</v>
      </c>
      <c r="P132" s="4">
        <f t="shared" ca="1" si="36"/>
        <v>-2.0253978422658343</v>
      </c>
      <c r="Q132" s="4">
        <f t="shared" ca="1" si="37"/>
        <v>1961.4808508335136</v>
      </c>
      <c r="R132" s="4">
        <f t="shared" ca="1" si="38"/>
        <v>37.810806833513652</v>
      </c>
      <c r="S132" s="4">
        <f t="shared" ca="1" si="39"/>
        <v>19.722170186616243</v>
      </c>
    </row>
    <row r="133" spans="3:19" x14ac:dyDescent="0.2">
      <c r="C133" s="1">
        <v>42191</v>
      </c>
      <c r="D133" s="2">
        <v>2068.76001</v>
      </c>
      <c r="E133" s="3">
        <f t="shared" si="27"/>
        <v>-3.8617566078299609E-3</v>
      </c>
      <c r="F133" s="3">
        <f t="shared" si="28"/>
        <v>-3.8692324426552824E-3</v>
      </c>
      <c r="G133" s="2">
        <f t="shared" si="29"/>
        <v>1916.2412984962984</v>
      </c>
      <c r="H133" s="2">
        <f t="shared" si="30"/>
        <v>166.34250916345547</v>
      </c>
      <c r="I133" s="2">
        <f t="shared" si="31"/>
        <v>-3.7380061040539658</v>
      </c>
      <c r="J133" s="2">
        <f t="shared" si="32"/>
        <v>-7.4287455037015517</v>
      </c>
      <c r="K133" s="2">
        <f t="shared" si="33"/>
        <v>-3.7380391098025432</v>
      </c>
      <c r="L133" s="2">
        <f t="shared" si="34"/>
        <v>-3.1638275932013187</v>
      </c>
      <c r="M133" s="2"/>
      <c r="O133" s="4">
        <f t="shared" ca="1" si="35"/>
        <v>0.73238848982882543</v>
      </c>
      <c r="P133" s="4">
        <f t="shared" ca="1" si="36"/>
        <v>0.6200528081087272</v>
      </c>
      <c r="Q133" s="4">
        <f t="shared" ca="1" si="37"/>
        <v>1911.5647113761588</v>
      </c>
      <c r="R133" s="4">
        <f t="shared" ca="1" si="38"/>
        <v>-12.10533262384115</v>
      </c>
      <c r="S133" s="4">
        <f t="shared" ca="1" si="39"/>
        <v>-6.0681863957829787</v>
      </c>
    </row>
    <row r="134" spans="3:19" x14ac:dyDescent="0.2">
      <c r="C134" s="1">
        <v>42187</v>
      </c>
      <c r="D134" s="2">
        <v>2076.780029</v>
      </c>
      <c r="E134" s="3">
        <f t="shared" si="27"/>
        <v>-3.0802294385623452E-4</v>
      </c>
      <c r="F134" s="3">
        <f t="shared" si="28"/>
        <v>-3.0807039266700365E-4</v>
      </c>
      <c r="G134" s="2">
        <f t="shared" si="29"/>
        <v>1923.0775094900391</v>
      </c>
      <c r="H134" s="2">
        <f t="shared" si="30"/>
        <v>169.78071143251668</v>
      </c>
      <c r="I134" s="2">
        <f t="shared" si="31"/>
        <v>-0.29980383499275831</v>
      </c>
      <c r="J134" s="2">
        <f t="shared" si="32"/>
        <v>-0.59253450996093215</v>
      </c>
      <c r="K134" s="2">
        <f t="shared" si="33"/>
        <v>-0.29980385191855258</v>
      </c>
      <c r="L134" s="2">
        <f t="shared" si="34"/>
        <v>-0.25235445629473929</v>
      </c>
      <c r="M134" s="2"/>
      <c r="O134" s="4">
        <f t="shared" ca="1" si="35"/>
        <v>0.57448162131824665</v>
      </c>
      <c r="P134" s="4">
        <f t="shared" ca="1" si="36"/>
        <v>0.18779576293519801</v>
      </c>
      <c r="Q134" s="4">
        <f t="shared" ca="1" si="37"/>
        <v>1919.7208275922187</v>
      </c>
      <c r="R134" s="4">
        <f t="shared" ca="1" si="38"/>
        <v>-3.9492164077812504</v>
      </c>
      <c r="S134" s="4">
        <f t="shared" ca="1" si="39"/>
        <v>-1.9927832498883629</v>
      </c>
    </row>
    <row r="135" spans="3:19" x14ac:dyDescent="0.2">
      <c r="C135" s="1">
        <v>42186</v>
      </c>
      <c r="D135" s="2">
        <v>2077.419922</v>
      </c>
      <c r="E135" s="3">
        <f t="shared" si="27"/>
        <v>6.9360403748921539E-3</v>
      </c>
      <c r="F135" s="3">
        <f t="shared" si="28"/>
        <v>6.9120966992928731E-3</v>
      </c>
      <c r="G135" s="2">
        <f t="shared" si="29"/>
        <v>1937.0126970931544</v>
      </c>
      <c r="H135" s="2">
        <f t="shared" si="30"/>
        <v>176.90696869762928</v>
      </c>
      <c r="I135" s="2">
        <f t="shared" si="31"/>
        <v>6.826453430119841</v>
      </c>
      <c r="J135" s="2">
        <f t="shared" si="32"/>
        <v>13.342653093154565</v>
      </c>
      <c r="K135" s="2">
        <f t="shared" si="33"/>
        <v>6.8266507511541814</v>
      </c>
      <c r="L135" s="2">
        <f t="shared" si="34"/>
        <v>7.7487093184394666</v>
      </c>
      <c r="M135" s="2"/>
      <c r="O135" s="4">
        <f t="shared" ca="1" si="35"/>
        <v>3.0511290021405735E-2</v>
      </c>
      <c r="P135" s="4">
        <f t="shared" ca="1" si="36"/>
        <v>-1.8733318087501942</v>
      </c>
      <c r="Q135" s="4">
        <f t="shared" ca="1" si="37"/>
        <v>1958.6115667912584</v>
      </c>
      <c r="R135" s="4">
        <f t="shared" ca="1" si="38"/>
        <v>34.941522791258421</v>
      </c>
      <c r="S135" s="4">
        <f t="shared" ca="1" si="39"/>
        <v>18.184735980329464</v>
      </c>
    </row>
    <row r="136" spans="3:19" x14ac:dyDescent="0.2">
      <c r="C136" s="1">
        <v>42185</v>
      </c>
      <c r="D136" s="2">
        <v>2063.110107</v>
      </c>
      <c r="E136" s="3">
        <f t="shared" si="27"/>
        <v>2.6584894755439801E-3</v>
      </c>
      <c r="F136" s="3">
        <f t="shared" si="28"/>
        <v>2.6549619429538794E-3</v>
      </c>
      <c r="G136" s="2">
        <f t="shared" si="29"/>
        <v>1928.7841005663931</v>
      </c>
      <c r="H136" s="2">
        <f t="shared" si="30"/>
        <v>172.67993613219119</v>
      </c>
      <c r="I136" s="2">
        <f t="shared" si="31"/>
        <v>2.5994208646817469</v>
      </c>
      <c r="J136" s="2">
        <f t="shared" si="32"/>
        <v>5.1140565663932254</v>
      </c>
      <c r="K136" s="2">
        <f t="shared" si="33"/>
        <v>2.5994318409567772</v>
      </c>
      <c r="L136" s="2">
        <f t="shared" si="34"/>
        <v>2.9699743742395128</v>
      </c>
      <c r="M136" s="2"/>
      <c r="O136" s="4">
        <f t="shared" ca="1" si="35"/>
        <v>0.65778068481059271</v>
      </c>
      <c r="P136" s="4">
        <f t="shared" ca="1" si="36"/>
        <v>0.40641373368510259</v>
      </c>
      <c r="Q136" s="4">
        <f t="shared" ca="1" si="37"/>
        <v>1915.5957969044262</v>
      </c>
      <c r="R136" s="4">
        <f t="shared" ca="1" si="38"/>
        <v>-8.0742470955738099</v>
      </c>
      <c r="S136" s="4">
        <f t="shared" ca="1" si="39"/>
        <v>-4.0607247124737018</v>
      </c>
    </row>
    <row r="137" spans="3:19" x14ac:dyDescent="0.2">
      <c r="C137" s="1">
        <v>42184</v>
      </c>
      <c r="D137" s="2">
        <v>2057.639893</v>
      </c>
      <c r="E137" s="3">
        <f t="shared" si="27"/>
        <v>-2.0866193609611249E-2</v>
      </c>
      <c r="F137" s="3">
        <f t="shared" si="28"/>
        <v>-2.1086969192055022E-2</v>
      </c>
      <c r="G137" s="2">
        <f t="shared" si="29"/>
        <v>1883.5303724208866</v>
      </c>
      <c r="H137" s="2">
        <f t="shared" si="30"/>
        <v>150.42222310724242</v>
      </c>
      <c r="I137" s="2">
        <f t="shared" si="31"/>
        <v>-19.658292160267024</v>
      </c>
      <c r="J137" s="2">
        <f t="shared" si="32"/>
        <v>-40.13967157911339</v>
      </c>
      <c r="K137" s="2">
        <f t="shared" si="33"/>
        <v>-19.663227735172086</v>
      </c>
      <c r="L137" s="2">
        <f t="shared" si="34"/>
        <v>-17.095080247500789</v>
      </c>
      <c r="M137" s="2"/>
      <c r="O137" s="4">
        <f t="shared" ca="1" si="35"/>
        <v>0.59380177535727452</v>
      </c>
      <c r="P137" s="4">
        <f t="shared" ca="1" si="36"/>
        <v>0.23733559592847112</v>
      </c>
      <c r="Q137" s="4">
        <f t="shared" ca="1" si="37"/>
        <v>1918.7860767541956</v>
      </c>
      <c r="R137" s="4">
        <f t="shared" ca="1" si="38"/>
        <v>-4.8839672458043424</v>
      </c>
      <c r="S137" s="4">
        <f t="shared" ca="1" si="39"/>
        <v>-2.4626021801971261</v>
      </c>
    </row>
    <row r="138" spans="3:19" x14ac:dyDescent="0.2">
      <c r="C138" s="1">
        <v>42181</v>
      </c>
      <c r="D138" s="2">
        <v>2101.48999</v>
      </c>
      <c r="E138" s="3">
        <f t="shared" si="27"/>
        <v>-3.9007994871601183E-4</v>
      </c>
      <c r="F138" s="3">
        <f t="shared" si="28"/>
        <v>-3.9015604969013028E-4</v>
      </c>
      <c r="G138" s="2">
        <f t="shared" si="29"/>
        <v>1922.9196588878899</v>
      </c>
      <c r="H138" s="2">
        <f t="shared" si="30"/>
        <v>169.70089221982732</v>
      </c>
      <c r="I138" s="2">
        <f t="shared" si="31"/>
        <v>-0.37962304768211652</v>
      </c>
      <c r="J138" s="2">
        <f t="shared" si="32"/>
        <v>-0.75038511211004821</v>
      </c>
      <c r="K138" s="2">
        <f t="shared" si="33"/>
        <v>-0.37962308205055206</v>
      </c>
      <c r="L138" s="2">
        <f t="shared" si="34"/>
        <v>-0.3195814316210317</v>
      </c>
      <c r="M138" s="2"/>
      <c r="O138" s="4">
        <f t="shared" ca="1" si="35"/>
        <v>0.97413725329782141</v>
      </c>
      <c r="P138" s="4">
        <f t="shared" ca="1" si="36"/>
        <v>1.9454113200172838</v>
      </c>
      <c r="Q138" s="4">
        <f t="shared" ca="1" si="37"/>
        <v>1886.5569569120744</v>
      </c>
      <c r="R138" s="4">
        <f t="shared" ca="1" si="38"/>
        <v>-37.113087087925578</v>
      </c>
      <c r="S138" s="4">
        <f t="shared" ca="1" si="39"/>
        <v>-18.226318690952919</v>
      </c>
    </row>
    <row r="139" spans="3:19" x14ac:dyDescent="0.2">
      <c r="C139" s="1">
        <v>42180</v>
      </c>
      <c r="D139" s="2">
        <v>2102.3100589999999</v>
      </c>
      <c r="E139" s="3">
        <f t="shared" si="27"/>
        <v>-2.9735740489150383E-3</v>
      </c>
      <c r="F139" s="3">
        <f t="shared" si="28"/>
        <v>-2.9780039040750291E-3</v>
      </c>
      <c r="G139" s="2">
        <f t="shared" si="29"/>
        <v>1917.9498686784862</v>
      </c>
      <c r="H139" s="2">
        <f t="shared" si="30"/>
        <v>167.19824106993417</v>
      </c>
      <c r="I139" s="2">
        <f t="shared" si="31"/>
        <v>-2.8822741975752706</v>
      </c>
      <c r="J139" s="2">
        <f t="shared" si="32"/>
        <v>-5.7201753215136497</v>
      </c>
      <c r="K139" s="2">
        <f t="shared" si="33"/>
        <v>-2.8822893061091284</v>
      </c>
      <c r="L139" s="2">
        <f t="shared" si="34"/>
        <v>-2.4361648290598907</v>
      </c>
      <c r="M139" s="2"/>
      <c r="O139" s="4">
        <f t="shared" ca="1" si="35"/>
        <v>0.78973586554976549</v>
      </c>
      <c r="P139" s="4">
        <f t="shared" ca="1" si="36"/>
        <v>0.80550509242931845</v>
      </c>
      <c r="Q139" s="4">
        <f t="shared" ca="1" si="37"/>
        <v>1908.0654731327538</v>
      </c>
      <c r="R139" s="4">
        <f t="shared" ca="1" si="38"/>
        <v>-15.604570867246139</v>
      </c>
      <c r="S139" s="4">
        <f t="shared" ca="1" si="39"/>
        <v>-7.8000641904444343</v>
      </c>
    </row>
    <row r="140" spans="3:19" x14ac:dyDescent="0.2">
      <c r="C140" s="1">
        <v>42179</v>
      </c>
      <c r="D140" s="2">
        <v>2108.580078</v>
      </c>
      <c r="E140" s="3">
        <f t="shared" si="27"/>
        <v>-7.3532969401711923E-3</v>
      </c>
      <c r="F140" s="3">
        <f t="shared" si="28"/>
        <v>-7.3804656966740398E-3</v>
      </c>
      <c r="G140" s="2">
        <f t="shared" si="29"/>
        <v>1909.5247269515557</v>
      </c>
      <c r="H140" s="2">
        <f t="shared" si="30"/>
        <v>163.00169317946916</v>
      </c>
      <c r="I140" s="2">
        <f t="shared" si="31"/>
        <v>-7.0788220880402832</v>
      </c>
      <c r="J140" s="2">
        <f t="shared" si="32"/>
        <v>-14.145317048444182</v>
      </c>
      <c r="K140" s="2">
        <f t="shared" si="33"/>
        <v>-7.0790475628680953</v>
      </c>
      <c r="L140" s="2">
        <f t="shared" si="34"/>
        <v>-6.0243474985311423</v>
      </c>
      <c r="M140" s="2"/>
      <c r="O140" s="4">
        <f t="shared" ca="1" si="35"/>
        <v>0.80265244566577865</v>
      </c>
      <c r="P140" s="4">
        <f t="shared" ca="1" si="36"/>
        <v>0.85113366107125876</v>
      </c>
      <c r="Q140" s="4">
        <f t="shared" ca="1" si="37"/>
        <v>1907.2045226571711</v>
      </c>
      <c r="R140" s="4">
        <f t="shared" ca="1" si="38"/>
        <v>-16.465521342828879</v>
      </c>
      <c r="S140" s="4">
        <f t="shared" ca="1" si="39"/>
        <v>-8.2246462629537085</v>
      </c>
    </row>
    <row r="141" spans="3:19" x14ac:dyDescent="0.2">
      <c r="C141" s="1">
        <v>42178</v>
      </c>
      <c r="D141" s="2">
        <v>2124.1999510000001</v>
      </c>
      <c r="E141" s="3">
        <f t="shared" si="27"/>
        <v>6.3586826091578631E-4</v>
      </c>
      <c r="F141" s="3">
        <f t="shared" si="28"/>
        <v>6.356661823521784E-4</v>
      </c>
      <c r="G141" s="2">
        <f t="shared" si="29"/>
        <v>1924.893244725454</v>
      </c>
      <c r="H141" s="2">
        <f t="shared" si="30"/>
        <v>170.70032037167687</v>
      </c>
      <c r="I141" s="2">
        <f t="shared" si="31"/>
        <v>0.61980510416742618</v>
      </c>
      <c r="J141" s="2">
        <f t="shared" si="32"/>
        <v>1.2232007254540742</v>
      </c>
      <c r="K141" s="2">
        <f t="shared" si="33"/>
        <v>0.6198052534832349</v>
      </c>
      <c r="L141" s="2">
        <f t="shared" si="34"/>
        <v>0.71037047830543543</v>
      </c>
      <c r="M141" s="2"/>
      <c r="O141" s="4">
        <f t="shared" ca="1" si="35"/>
        <v>0.32288509546269673</v>
      </c>
      <c r="P141" s="4">
        <f t="shared" ca="1" si="36"/>
        <v>-0.45964620140138374</v>
      </c>
      <c r="Q141" s="4">
        <f t="shared" ca="1" si="37"/>
        <v>1931.9371973732207</v>
      </c>
      <c r="R141" s="4">
        <f t="shared" ca="1" si="38"/>
        <v>8.2671533732207081</v>
      </c>
      <c r="S141" s="4">
        <f t="shared" ca="1" si="39"/>
        <v>4.212735495532498</v>
      </c>
    </row>
    <row r="142" spans="3:19" x14ac:dyDescent="0.2">
      <c r="C142" s="1">
        <v>42177</v>
      </c>
      <c r="D142" s="2">
        <v>2122.8500979999999</v>
      </c>
      <c r="E142" s="3">
        <f t="shared" si="27"/>
        <v>6.0948668292022815E-3</v>
      </c>
      <c r="F142" s="3">
        <f t="shared" si="28"/>
        <v>6.0763682545493542E-3</v>
      </c>
      <c r="G142" s="2">
        <f t="shared" si="29"/>
        <v>1935.3945567415055</v>
      </c>
      <c r="H142" s="2">
        <f t="shared" si="30"/>
        <v>176.07140233511507</v>
      </c>
      <c r="I142" s="2">
        <f t="shared" si="31"/>
        <v>5.9908870676056267</v>
      </c>
      <c r="J142" s="2">
        <f t="shared" si="32"/>
        <v>11.724512741505693</v>
      </c>
      <c r="K142" s="2">
        <f t="shared" si="33"/>
        <v>5.99102063530714</v>
      </c>
      <c r="L142" s="2">
        <f t="shared" si="34"/>
        <v>6.8089787315895194</v>
      </c>
      <c r="M142" s="2"/>
      <c r="O142" s="4">
        <f t="shared" ca="1" si="35"/>
        <v>0.83853139034677548</v>
      </c>
      <c r="P142" s="4">
        <f t="shared" ca="1" si="36"/>
        <v>0.98843997222780045</v>
      </c>
      <c r="Q142" s="4">
        <f t="shared" ca="1" si="37"/>
        <v>1904.6137349684668</v>
      </c>
      <c r="R142" s="4">
        <f t="shared" ca="1" si="38"/>
        <v>-19.056309031533146</v>
      </c>
      <c r="S142" s="4">
        <f t="shared" ca="1" si="39"/>
        <v>-9.4986659817140211</v>
      </c>
    </row>
    <row r="143" spans="3:19" x14ac:dyDescent="0.2">
      <c r="C143" s="1">
        <v>42174</v>
      </c>
      <c r="D143" s="2">
        <v>2109.98999</v>
      </c>
      <c r="E143" s="3">
        <f t="shared" si="27"/>
        <v>-5.3035017504077884E-3</v>
      </c>
      <c r="F143" s="3">
        <f t="shared" si="28"/>
        <v>-5.3176152385387195E-3</v>
      </c>
      <c r="G143" s="2">
        <f t="shared" si="29"/>
        <v>1913.4678565544389</v>
      </c>
      <c r="H143" s="2">
        <f t="shared" si="30"/>
        <v>164.95852282430144</v>
      </c>
      <c r="I143" s="2">
        <f t="shared" si="31"/>
        <v>-5.1219924432080006</v>
      </c>
      <c r="J143" s="2">
        <f t="shared" si="32"/>
        <v>-10.202187445561027</v>
      </c>
      <c r="K143" s="2">
        <f t="shared" si="33"/>
        <v>-5.1220775651994037</v>
      </c>
      <c r="L143" s="2">
        <f t="shared" si="34"/>
        <v>-4.3450084721835083</v>
      </c>
      <c r="M143" s="2"/>
      <c r="O143" s="4">
        <f t="shared" ca="1" si="35"/>
        <v>0.22850020524812509</v>
      </c>
      <c r="P143" s="4">
        <f t="shared" ca="1" si="36"/>
        <v>-0.74379515705802379</v>
      </c>
      <c r="Q143" s="4">
        <f t="shared" ca="1" si="37"/>
        <v>1937.2987106924018</v>
      </c>
      <c r="R143" s="4">
        <f t="shared" ca="1" si="38"/>
        <v>13.628666692401794</v>
      </c>
      <c r="S143" s="4">
        <f t="shared" ca="1" si="39"/>
        <v>6.9745738354370168</v>
      </c>
    </row>
    <row r="144" spans="3:19" x14ac:dyDescent="0.2">
      <c r="C144" s="1">
        <v>42173</v>
      </c>
      <c r="D144" s="2">
        <v>2121.23999</v>
      </c>
      <c r="E144" s="3">
        <f t="shared" si="27"/>
        <v>9.9027106626515746E-3</v>
      </c>
      <c r="F144" s="3">
        <f t="shared" si="28"/>
        <v>9.8540001369309162E-3</v>
      </c>
      <c r="G144" s="2">
        <f t="shared" si="29"/>
        <v>1942.719591856142</v>
      </c>
      <c r="H144" s="2">
        <f t="shared" si="30"/>
        <v>179.87072338840869</v>
      </c>
      <c r="I144" s="2">
        <f t="shared" si="31"/>
        <v>9.7902081208992513</v>
      </c>
      <c r="J144" s="2">
        <f t="shared" si="32"/>
        <v>19.049547856142222</v>
      </c>
      <c r="K144" s="2">
        <f t="shared" si="33"/>
        <v>9.7907871406218554</v>
      </c>
      <c r="L144" s="2">
        <f t="shared" si="34"/>
        <v>11.0629728551271</v>
      </c>
      <c r="M144" s="2"/>
      <c r="O144" s="4">
        <f t="shared" ca="1" si="35"/>
        <v>0.35030707584916332</v>
      </c>
      <c r="P144" s="4">
        <f t="shared" ca="1" si="36"/>
        <v>-0.38449155800342349</v>
      </c>
      <c r="Q144" s="4">
        <f t="shared" ca="1" si="37"/>
        <v>1930.51912909053</v>
      </c>
      <c r="R144" s="4">
        <f t="shared" ca="1" si="38"/>
        <v>6.8490850905300249</v>
      </c>
      <c r="S144" s="4">
        <f t="shared" ca="1" si="39"/>
        <v>3.4861695627409048</v>
      </c>
    </row>
    <row r="145" spans="3:19" x14ac:dyDescent="0.2">
      <c r="C145" s="1">
        <v>42172</v>
      </c>
      <c r="D145" s="2">
        <v>2100.4399410000001</v>
      </c>
      <c r="E145" s="3">
        <f t="shared" si="27"/>
        <v>1.9796411387709269E-3</v>
      </c>
      <c r="F145" s="3">
        <f t="shared" si="28"/>
        <v>1.9776842314756056E-3</v>
      </c>
      <c r="G145" s="2">
        <f t="shared" si="29"/>
        <v>1927.4782203565237</v>
      </c>
      <c r="H145" s="2">
        <f t="shared" si="30"/>
        <v>172.01415031881959</v>
      </c>
      <c r="I145" s="2">
        <f t="shared" si="31"/>
        <v>1.9336350513101479</v>
      </c>
      <c r="J145" s="2">
        <f t="shared" si="32"/>
        <v>3.808176356523679</v>
      </c>
      <c r="K145" s="2">
        <f t="shared" si="33"/>
        <v>1.9336395746406296</v>
      </c>
      <c r="L145" s="2">
        <f t="shared" si="34"/>
        <v>2.2115880113225046</v>
      </c>
      <c r="M145" s="2"/>
      <c r="O145" s="4">
        <f t="shared" ca="1" si="35"/>
        <v>0.22571459407547612</v>
      </c>
      <c r="P145" s="4">
        <f t="shared" ca="1" si="36"/>
        <v>-0.7530344907611215</v>
      </c>
      <c r="Q145" s="4">
        <f t="shared" ca="1" si="37"/>
        <v>1937.4730446455039</v>
      </c>
      <c r="R145" s="4">
        <f t="shared" ca="1" si="38"/>
        <v>13.803000645503971</v>
      </c>
      <c r="S145" s="4">
        <f t="shared" ca="1" si="39"/>
        <v>7.0647701054380656</v>
      </c>
    </row>
    <row r="146" spans="3:19" x14ac:dyDescent="0.2">
      <c r="C146" s="1">
        <v>42171</v>
      </c>
      <c r="D146" s="2">
        <v>2096.290039</v>
      </c>
      <c r="E146" s="3">
        <f t="shared" si="27"/>
        <v>5.6898564053051463E-3</v>
      </c>
      <c r="F146" s="3">
        <f t="shared" si="28"/>
        <v>5.6737303135299989E-3</v>
      </c>
      <c r="G146" s="2">
        <f t="shared" si="29"/>
        <v>1934.6154503215471</v>
      </c>
      <c r="H146" s="2">
        <f t="shared" si="30"/>
        <v>175.66984628500018</v>
      </c>
      <c r="I146" s="2">
        <f t="shared" si="31"/>
        <v>5.5893310174907356</v>
      </c>
      <c r="J146" s="2">
        <f t="shared" si="32"/>
        <v>10.945406321547033</v>
      </c>
      <c r="K146" s="2">
        <f t="shared" si="33"/>
        <v>5.5894395638169696</v>
      </c>
      <c r="L146" s="2">
        <f t="shared" si="34"/>
        <v>6.3565148074929141</v>
      </c>
      <c r="M146" s="2"/>
      <c r="O146" s="4">
        <f t="shared" ca="1" si="35"/>
        <v>0.61732460595353955</v>
      </c>
      <c r="P146" s="4">
        <f t="shared" ca="1" si="36"/>
        <v>0.29846172045792335</v>
      </c>
      <c r="Q146" s="4">
        <f t="shared" ca="1" si="37"/>
        <v>1917.6327079865462</v>
      </c>
      <c r="R146" s="4">
        <f t="shared" ca="1" si="38"/>
        <v>-6.0373360134537961</v>
      </c>
      <c r="S146" s="4">
        <f t="shared" ca="1" si="39"/>
        <v>-3.0413211854688438</v>
      </c>
    </row>
    <row r="147" spans="3:19" x14ac:dyDescent="0.2">
      <c r="C147" s="1">
        <v>42170</v>
      </c>
      <c r="D147" s="2">
        <v>2084.429932</v>
      </c>
      <c r="E147" s="3">
        <f t="shared" si="27"/>
        <v>-4.6225721215145078E-3</v>
      </c>
      <c r="F147" s="3">
        <f t="shared" si="28"/>
        <v>-4.6332892479042445E-3</v>
      </c>
      <c r="G147" s="2">
        <f t="shared" si="29"/>
        <v>1914.7777404836129</v>
      </c>
      <c r="H147" s="2">
        <f t="shared" si="30"/>
        <v>165.61138881836052</v>
      </c>
      <c r="I147" s="2">
        <f t="shared" si="31"/>
        <v>-4.4691264491489164</v>
      </c>
      <c r="J147" s="2">
        <f t="shared" si="32"/>
        <v>-8.8923035163869866</v>
      </c>
      <c r="K147" s="2">
        <f t="shared" si="33"/>
        <v>-4.4691829292129288</v>
      </c>
      <c r="L147" s="2">
        <f t="shared" si="34"/>
        <v>-3.7871421518273962</v>
      </c>
      <c r="M147" s="2"/>
      <c r="O147" s="4">
        <f t="shared" ca="1" si="35"/>
        <v>0.15574253927955073</v>
      </c>
      <c r="P147" s="4">
        <f t="shared" ca="1" si="36"/>
        <v>-1.0121108011312239</v>
      </c>
      <c r="Q147" s="4">
        <f t="shared" ca="1" si="37"/>
        <v>1942.3614704555639</v>
      </c>
      <c r="R147" s="4">
        <f t="shared" ca="1" si="38"/>
        <v>18.691426455563942</v>
      </c>
      <c r="S147" s="4">
        <f t="shared" ca="1" si="39"/>
        <v>9.604000693053294</v>
      </c>
    </row>
    <row r="148" spans="3:19" x14ac:dyDescent="0.2">
      <c r="C148" s="1">
        <v>42167</v>
      </c>
      <c r="D148" s="2">
        <v>2094.110107</v>
      </c>
      <c r="E148" s="3">
        <f t="shared" si="27"/>
        <v>-6.9942998831643219E-3</v>
      </c>
      <c r="F148" s="3">
        <f t="shared" si="28"/>
        <v>-7.0188746545117725E-3</v>
      </c>
      <c r="G148" s="2">
        <f t="shared" si="29"/>
        <v>1910.2153188360039</v>
      </c>
      <c r="H148" s="2">
        <f t="shared" si="30"/>
        <v>163.34348744229305</v>
      </c>
      <c r="I148" s="2">
        <f t="shared" si="31"/>
        <v>-6.7370278252163871</v>
      </c>
      <c r="J148" s="2">
        <f t="shared" si="32"/>
        <v>-13.454725163995906</v>
      </c>
      <c r="K148" s="2">
        <f t="shared" si="33"/>
        <v>-6.7372220747669562</v>
      </c>
      <c r="L148" s="2">
        <f t="shared" si="34"/>
        <v>-5.7302313979635073</v>
      </c>
      <c r="M148" s="2"/>
      <c r="O148" s="4">
        <f t="shared" ca="1" si="35"/>
        <v>9.9635095238067906E-2</v>
      </c>
      <c r="P148" s="4">
        <f t="shared" ca="1" si="36"/>
        <v>-1.2836335914074199</v>
      </c>
      <c r="Q148" s="4">
        <f t="shared" ca="1" si="37"/>
        <v>1947.4847448070841</v>
      </c>
      <c r="R148" s="4">
        <f t="shared" ca="1" si="38"/>
        <v>23.814700807084137</v>
      </c>
      <c r="S148" s="4">
        <f t="shared" ca="1" si="39"/>
        <v>12.286100041602385</v>
      </c>
    </row>
    <row r="149" spans="3:19" x14ac:dyDescent="0.2">
      <c r="C149" s="1">
        <v>42166</v>
      </c>
      <c r="D149" s="2">
        <v>2108.860107</v>
      </c>
      <c r="E149" s="3">
        <f t="shared" si="27"/>
        <v>1.7386262992554644E-3</v>
      </c>
      <c r="F149" s="3">
        <f t="shared" si="28"/>
        <v>1.7371166381222091E-3</v>
      </c>
      <c r="G149" s="2">
        <f t="shared" si="29"/>
        <v>1927.014587329588</v>
      </c>
      <c r="H149" s="2">
        <f t="shared" si="30"/>
        <v>171.77810626254711</v>
      </c>
      <c r="I149" s="2">
        <f t="shared" si="31"/>
        <v>1.6975909950376717</v>
      </c>
      <c r="J149" s="2">
        <f t="shared" si="32"/>
        <v>3.3445433295883165</v>
      </c>
      <c r="K149" s="2">
        <f t="shared" si="33"/>
        <v>1.6975940571042396</v>
      </c>
      <c r="L149" s="2">
        <f t="shared" si="34"/>
        <v>1.9423343980366496</v>
      </c>
      <c r="M149" s="2"/>
      <c r="O149" s="4">
        <f t="shared" ca="1" si="35"/>
        <v>0.2474428991912635</v>
      </c>
      <c r="P149" s="4">
        <f t="shared" ca="1" si="36"/>
        <v>-0.68255860566807725</v>
      </c>
      <c r="Q149" s="4">
        <f t="shared" ca="1" si="37"/>
        <v>1936.1432583165902</v>
      </c>
      <c r="R149" s="4">
        <f t="shared" ca="1" si="38"/>
        <v>12.473214316590202</v>
      </c>
      <c r="S149" s="4">
        <f t="shared" ca="1" si="39"/>
        <v>6.3773955289093518</v>
      </c>
    </row>
    <row r="150" spans="3:19" x14ac:dyDescent="0.2">
      <c r="C150" s="1">
        <v>42165</v>
      </c>
      <c r="D150" s="2">
        <v>2105.1999510000001</v>
      </c>
      <c r="E150" s="3">
        <f t="shared" si="27"/>
        <v>1.2042424911740781E-2</v>
      </c>
      <c r="F150" s="3">
        <f t="shared" si="28"/>
        <v>1.1970491836123859E-2</v>
      </c>
      <c r="G150" s="2">
        <f t="shared" si="29"/>
        <v>1946.8356960598351</v>
      </c>
      <c r="H150" s="2">
        <f t="shared" si="30"/>
        <v>182.02460046770773</v>
      </c>
      <c r="I150" s="2">
        <f t="shared" si="31"/>
        <v>11.944085200198288</v>
      </c>
      <c r="J150" s="2">
        <f t="shared" si="32"/>
        <v>23.165652059835086</v>
      </c>
      <c r="K150" s="2">
        <f t="shared" si="33"/>
        <v>11.945132634061823</v>
      </c>
      <c r="L150" s="2">
        <f t="shared" si="34"/>
        <v>13.453389122127817</v>
      </c>
      <c r="M150" s="2"/>
      <c r="O150" s="4">
        <f t="shared" ca="1" si="35"/>
        <v>0.83849223690664276</v>
      </c>
      <c r="P150" s="4">
        <f t="shared" ca="1" si="36"/>
        <v>0.98828002329969056</v>
      </c>
      <c r="Q150" s="4">
        <f t="shared" ca="1" si="37"/>
        <v>1904.6167529922582</v>
      </c>
      <c r="R150" s="4">
        <f t="shared" ca="1" si="38"/>
        <v>-19.053291007741791</v>
      </c>
      <c r="S150" s="4">
        <f t="shared" ca="1" si="39"/>
        <v>-9.4971850478532183</v>
      </c>
    </row>
    <row r="151" spans="3:19" x14ac:dyDescent="0.2">
      <c r="C151" s="1">
        <v>42164</v>
      </c>
      <c r="D151" s="2">
        <v>2080.1499020000001</v>
      </c>
      <c r="E151" s="3">
        <f t="shared" si="27"/>
        <v>4.1835298173784259E-4</v>
      </c>
      <c r="F151" s="3">
        <f t="shared" si="28"/>
        <v>4.1826549652815233E-4</v>
      </c>
      <c r="G151" s="2">
        <f t="shared" si="29"/>
        <v>1924.4748170987871</v>
      </c>
      <c r="H151" s="2">
        <f t="shared" si="30"/>
        <v>170.48816289264403</v>
      </c>
      <c r="I151" s="2">
        <f t="shared" si="31"/>
        <v>0.40764762513458663</v>
      </c>
      <c r="J151" s="2">
        <f t="shared" si="32"/>
        <v>0.80477309878716685</v>
      </c>
      <c r="K151" s="2">
        <f t="shared" si="33"/>
        <v>0.40764766763159188</v>
      </c>
      <c r="L151" s="2">
        <f t="shared" si="34"/>
        <v>0.46736977767946541</v>
      </c>
      <c r="M151" s="2"/>
      <c r="O151" s="4">
        <f t="shared" ca="1" si="35"/>
        <v>0.41139217447872312</v>
      </c>
      <c r="P151" s="4">
        <f t="shared" ca="1" si="36"/>
        <v>-0.22396524218783134</v>
      </c>
      <c r="Q151" s="4">
        <f t="shared" ca="1" si="37"/>
        <v>1927.4902107602288</v>
      </c>
      <c r="R151" s="4">
        <f t="shared" ca="1" si="38"/>
        <v>3.820166760228858</v>
      </c>
      <c r="S151" s="4">
        <f t="shared" ca="1" si="39"/>
        <v>1.9397464678067493</v>
      </c>
    </row>
    <row r="152" spans="3:19" x14ac:dyDescent="0.2">
      <c r="C152" s="1">
        <v>42163</v>
      </c>
      <c r="D152" s="2">
        <v>2079.280029</v>
      </c>
      <c r="E152" s="3">
        <f t="shared" si="27"/>
        <v>-6.4745098717947352E-3</v>
      </c>
      <c r="F152" s="3">
        <f t="shared" si="28"/>
        <v>-6.4955604213555807E-3</v>
      </c>
      <c r="G152" s="2">
        <f t="shared" si="29"/>
        <v>1911.215223310046</v>
      </c>
      <c r="H152" s="2">
        <f t="shared" si="30"/>
        <v>163.83906298465774</v>
      </c>
      <c r="I152" s="2">
        <f t="shared" si="31"/>
        <v>-6.2414522828516965</v>
      </c>
      <c r="J152" s="2">
        <f t="shared" si="32"/>
        <v>-12.454820689953813</v>
      </c>
      <c r="K152" s="2">
        <f t="shared" si="33"/>
        <v>-6.2416066072966352</v>
      </c>
      <c r="L152" s="2">
        <f t="shared" si="34"/>
        <v>-5.3043821931464095</v>
      </c>
      <c r="M152" s="2"/>
      <c r="O152" s="4">
        <f t="shared" ca="1" si="35"/>
        <v>0.84144134730309417</v>
      </c>
      <c r="P152" s="4">
        <f t="shared" ca="1" si="36"/>
        <v>1.0003993066737826</v>
      </c>
      <c r="Q152" s="4">
        <f t="shared" ca="1" si="37"/>
        <v>1904.3880782146966</v>
      </c>
      <c r="R152" s="4">
        <f t="shared" ca="1" si="38"/>
        <v>-19.281965785303328</v>
      </c>
      <c r="S152" s="4">
        <f t="shared" ca="1" si="39"/>
        <v>-9.6093739665765234</v>
      </c>
    </row>
    <row r="153" spans="3:19" x14ac:dyDescent="0.2">
      <c r="C153" s="1">
        <v>42160</v>
      </c>
      <c r="D153" s="2">
        <v>2092.830078</v>
      </c>
      <c r="E153" s="3">
        <f t="shared" si="27"/>
        <v>-1.4361830452781976E-3</v>
      </c>
      <c r="F153" s="3">
        <f t="shared" si="28"/>
        <v>-1.4372153446468713E-3</v>
      </c>
      <c r="G153" s="2">
        <f t="shared" si="29"/>
        <v>1920.9073016980976</v>
      </c>
      <c r="H153" s="2">
        <f t="shared" si="30"/>
        <v>168.68509681908711</v>
      </c>
      <c r="I153" s="2">
        <f t="shared" si="31"/>
        <v>-1.3954184484223333</v>
      </c>
      <c r="J153" s="2">
        <f t="shared" si="32"/>
        <v>-2.7627423019023643</v>
      </c>
      <c r="K153" s="2">
        <f t="shared" si="33"/>
        <v>-1.3954201584143779</v>
      </c>
      <c r="L153" s="2">
        <f t="shared" si="34"/>
        <v>-1.1766240105153258</v>
      </c>
      <c r="M153" s="2"/>
      <c r="O153" s="4">
        <f t="shared" ca="1" si="35"/>
        <v>0.22623347206171041</v>
      </c>
      <c r="P153" s="4">
        <f t="shared" ca="1" si="36"/>
        <v>-0.75130861761662071</v>
      </c>
      <c r="Q153" s="4">
        <f t="shared" ca="1" si="37"/>
        <v>1937.4404797119814</v>
      </c>
      <c r="R153" s="4">
        <f t="shared" ca="1" si="38"/>
        <v>13.770435711981463</v>
      </c>
      <c r="S153" s="4">
        <f t="shared" ca="1" si="39"/>
        <v>7.0479198986202247</v>
      </c>
    </row>
    <row r="154" spans="3:19" x14ac:dyDescent="0.2">
      <c r="C154" s="1">
        <v>42159</v>
      </c>
      <c r="D154" s="2">
        <v>2095.8400879999999</v>
      </c>
      <c r="E154" s="3">
        <f t="shared" si="27"/>
        <v>-8.623167356627116E-3</v>
      </c>
      <c r="F154" s="3">
        <f t="shared" si="28"/>
        <v>-8.6605619929224897E-3</v>
      </c>
      <c r="G154" s="2">
        <f t="shared" si="29"/>
        <v>1907.0819152716576</v>
      </c>
      <c r="H154" s="2">
        <f t="shared" si="30"/>
        <v>161.79581585406311</v>
      </c>
      <c r="I154" s="2">
        <f t="shared" si="31"/>
        <v>-8.284699413446333</v>
      </c>
      <c r="J154" s="2">
        <f t="shared" si="32"/>
        <v>-16.588128728342248</v>
      </c>
      <c r="K154" s="2">
        <f t="shared" si="33"/>
        <v>-8.2850616248845501</v>
      </c>
      <c r="L154" s="2">
        <f t="shared" si="34"/>
        <v>-7.0647162921592894</v>
      </c>
      <c r="M154" s="2"/>
      <c r="O154" s="4">
        <f t="shared" ca="1" si="35"/>
        <v>0.28202477356164335</v>
      </c>
      <c r="P154" s="4">
        <f t="shared" ca="1" si="36"/>
        <v>-0.57683703725776447</v>
      </c>
      <c r="Q154" s="4">
        <f t="shared" ca="1" si="37"/>
        <v>1934.1484327651581</v>
      </c>
      <c r="R154" s="4">
        <f t="shared" ca="1" si="38"/>
        <v>10.478388765158115</v>
      </c>
      <c r="S154" s="4">
        <f t="shared" ca="1" si="39"/>
        <v>5.3489578573656837</v>
      </c>
    </row>
    <row r="155" spans="3:19" x14ac:dyDescent="0.2">
      <c r="C155" s="1">
        <v>42158</v>
      </c>
      <c r="D155" s="2">
        <v>2114.070068</v>
      </c>
      <c r="E155" s="3">
        <f t="shared" si="27"/>
        <v>2.1188707775648308E-3</v>
      </c>
      <c r="F155" s="3">
        <f t="shared" si="28"/>
        <v>2.116629136818338E-3</v>
      </c>
      <c r="G155" s="2">
        <f t="shared" si="29"/>
        <v>1927.7460522419083</v>
      </c>
      <c r="H155" s="2">
        <f t="shared" si="30"/>
        <v>172.1505879993141</v>
      </c>
      <c r="I155" s="2">
        <f t="shared" si="31"/>
        <v>2.0700727318046575</v>
      </c>
      <c r="J155" s="2">
        <f t="shared" si="32"/>
        <v>4.0760082419084522</v>
      </c>
      <c r="K155" s="2">
        <f t="shared" si="33"/>
        <v>2.070078280452412</v>
      </c>
      <c r="L155" s="2">
        <f t="shared" si="34"/>
        <v>2.3671306467763316</v>
      </c>
      <c r="M155" s="2"/>
      <c r="O155" s="4">
        <f t="shared" ca="1" si="35"/>
        <v>0.40925533472037279</v>
      </c>
      <c r="P155" s="4">
        <f t="shared" ca="1" si="36"/>
        <v>-0.22946094857182397</v>
      </c>
      <c r="Q155" s="4">
        <f t="shared" ca="1" si="37"/>
        <v>1927.5939074389935</v>
      </c>
      <c r="R155" s="4">
        <f t="shared" ca="1" si="38"/>
        <v>3.9238634389935214</v>
      </c>
      <c r="S155" s="4">
        <f t="shared" ca="1" si="39"/>
        <v>1.9925656311831881</v>
      </c>
    </row>
    <row r="156" spans="3:19" x14ac:dyDescent="0.2">
      <c r="C156" s="1">
        <v>42157</v>
      </c>
      <c r="D156" s="2">
        <v>2109.6000979999999</v>
      </c>
      <c r="E156" s="3">
        <f t="shared" si="27"/>
        <v>-1.0085958054164574E-3</v>
      </c>
      <c r="F156" s="3">
        <f t="shared" si="28"/>
        <v>-1.0091047804279632E-3</v>
      </c>
      <c r="G156" s="2">
        <f t="shared" si="29"/>
        <v>1921.7298384626163</v>
      </c>
      <c r="H156" s="2">
        <f t="shared" si="30"/>
        <v>169.09989718375448</v>
      </c>
      <c r="I156" s="2">
        <f t="shared" si="31"/>
        <v>-0.98061808375496184</v>
      </c>
      <c r="J156" s="2">
        <f t="shared" si="32"/>
        <v>-1.9402055373836919</v>
      </c>
      <c r="K156" s="2">
        <f t="shared" si="33"/>
        <v>-0.98061867676663883</v>
      </c>
      <c r="L156" s="2">
        <f t="shared" si="34"/>
        <v>-0.82631391970528512</v>
      </c>
      <c r="M156" s="2"/>
      <c r="O156" s="4">
        <f t="shared" ca="1" si="35"/>
        <v>0.58066886536633877</v>
      </c>
      <c r="P156" s="4">
        <f t="shared" ca="1" si="36"/>
        <v>0.20360489288821843</v>
      </c>
      <c r="Q156" s="4">
        <f t="shared" ca="1" si="37"/>
        <v>1919.4225303114424</v>
      </c>
      <c r="R156" s="4">
        <f t="shared" ca="1" si="38"/>
        <v>-4.2475136885575466</v>
      </c>
      <c r="S156" s="4">
        <f t="shared" ca="1" si="39"/>
        <v>-2.1427889455940687</v>
      </c>
    </row>
    <row r="157" spans="3:19" x14ac:dyDescent="0.2">
      <c r="C157" s="1">
        <v>42156</v>
      </c>
      <c r="D157" s="2">
        <v>2111.7299800000001</v>
      </c>
      <c r="E157" s="3">
        <f t="shared" si="27"/>
        <v>2.0594608593389697E-3</v>
      </c>
      <c r="F157" s="3">
        <f t="shared" si="28"/>
        <v>2.0573430769848127E-3</v>
      </c>
      <c r="G157" s="2">
        <f t="shared" si="29"/>
        <v>1927.6317671619008</v>
      </c>
      <c r="H157" s="2">
        <f t="shared" si="30"/>
        <v>172.09236229619023</v>
      </c>
      <c r="I157" s="2">
        <f t="shared" si="31"/>
        <v>2.0118470286807906</v>
      </c>
      <c r="J157" s="2">
        <f t="shared" si="32"/>
        <v>3.9617231619008737</v>
      </c>
      <c r="K157" s="2">
        <f t="shared" si="33"/>
        <v>2.0118521226907045</v>
      </c>
      <c r="L157" s="2">
        <f t="shared" si="34"/>
        <v>2.3007598989025837</v>
      </c>
      <c r="M157" s="2"/>
      <c r="O157" s="4">
        <f t="shared" ca="1" si="35"/>
        <v>0.29883679894366943</v>
      </c>
      <c r="P157" s="4">
        <f t="shared" ca="1" si="36"/>
        <v>-0.52774894383846782</v>
      </c>
      <c r="Q157" s="4">
        <f t="shared" ca="1" si="37"/>
        <v>1933.222205652788</v>
      </c>
      <c r="R157" s="4">
        <f t="shared" ca="1" si="38"/>
        <v>9.5521616527880724</v>
      </c>
      <c r="S157" s="4">
        <f t="shared" ca="1" si="39"/>
        <v>4.8725403310219066</v>
      </c>
    </row>
    <row r="158" spans="3:19" x14ac:dyDescent="0.2">
      <c r="C158" s="1">
        <v>42153</v>
      </c>
      <c r="D158" s="2">
        <v>2107.389893</v>
      </c>
      <c r="E158" s="3">
        <f t="shared" si="27"/>
        <v>-6.3184689448647254E-3</v>
      </c>
      <c r="F158" s="3">
        <f t="shared" si="28"/>
        <v>-6.3385149544391154E-3</v>
      </c>
      <c r="G158" s="2">
        <f t="shared" si="29"/>
        <v>1911.5153945668194</v>
      </c>
      <c r="H158" s="2">
        <f t="shared" si="30"/>
        <v>163.98799474868929</v>
      </c>
      <c r="I158" s="2">
        <f t="shared" si="31"/>
        <v>-6.0925205188201517</v>
      </c>
      <c r="J158" s="2">
        <f t="shared" si="32"/>
        <v>-12.154649433180559</v>
      </c>
      <c r="K158" s="2">
        <f t="shared" si="33"/>
        <v>-6.0926640199624416</v>
      </c>
      <c r="L158" s="2">
        <f t="shared" si="34"/>
        <v>-5.1765422901113709</v>
      </c>
      <c r="M158" s="2"/>
      <c r="O158" s="4">
        <f t="shared" ca="1" si="35"/>
        <v>0.80451350570226632</v>
      </c>
      <c r="P158" s="4">
        <f t="shared" ca="1" si="36"/>
        <v>0.85785417889139737</v>
      </c>
      <c r="Q158" s="4">
        <f t="shared" ca="1" si="37"/>
        <v>1907.0777154136913</v>
      </c>
      <c r="R158" s="4">
        <f t="shared" ca="1" si="38"/>
        <v>-16.592328586308668</v>
      </c>
      <c r="S158" s="4">
        <f t="shared" ca="1" si="39"/>
        <v>-8.2871309077218882</v>
      </c>
    </row>
    <row r="159" spans="3:19" x14ac:dyDescent="0.2">
      <c r="C159" s="1">
        <v>42152</v>
      </c>
      <c r="D159" s="2">
        <v>2120.790039</v>
      </c>
      <c r="E159" s="3">
        <f t="shared" si="27"/>
        <v>-1.2667607066397159E-3</v>
      </c>
      <c r="F159" s="3">
        <f t="shared" si="28"/>
        <v>-1.2675637262110088E-3</v>
      </c>
      <c r="G159" s="2">
        <f t="shared" si="29"/>
        <v>1921.233214375721</v>
      </c>
      <c r="H159" s="2">
        <f t="shared" si="30"/>
        <v>168.84938665066602</v>
      </c>
      <c r="I159" s="2">
        <f t="shared" si="31"/>
        <v>-1.2311286168434208</v>
      </c>
      <c r="J159" s="2">
        <f t="shared" si="32"/>
        <v>-2.4368296242790932</v>
      </c>
      <c r="K159" s="2">
        <f t="shared" si="33"/>
        <v>-1.2311297908364289</v>
      </c>
      <c r="L159" s="2">
        <f t="shared" si="34"/>
        <v>-1.0378210966283348</v>
      </c>
      <c r="M159" s="2"/>
      <c r="O159" s="4">
        <f t="shared" ca="1" si="35"/>
        <v>0.52139678305747161</v>
      </c>
      <c r="P159" s="4">
        <f t="shared" ca="1" si="36"/>
        <v>5.3659520985062437E-2</v>
      </c>
      <c r="Q159" s="4">
        <f t="shared" ca="1" si="37"/>
        <v>1922.2518002862359</v>
      </c>
      <c r="R159" s="4">
        <f t="shared" ca="1" si="38"/>
        <v>-1.4182437137640136</v>
      </c>
      <c r="S159" s="4">
        <f t="shared" ca="1" si="39"/>
        <v>-0.71711007422946249</v>
      </c>
    </row>
    <row r="160" spans="3:19" x14ac:dyDescent="0.2">
      <c r="C160" s="1">
        <v>42151</v>
      </c>
      <c r="D160" s="2">
        <v>2123.4799800000001</v>
      </c>
      <c r="E160" s="3">
        <f t="shared" si="27"/>
        <v>9.1626411220271011E-3</v>
      </c>
      <c r="F160" s="3">
        <f t="shared" si="28"/>
        <v>9.1209187900458677E-3</v>
      </c>
      <c r="G160" s="2">
        <f t="shared" si="29"/>
        <v>1941.2959422503661</v>
      </c>
      <c r="H160" s="2">
        <f t="shared" si="30"/>
        <v>179.12892501118858</v>
      </c>
      <c r="I160" s="2">
        <f t="shared" si="31"/>
        <v>9.0484097436791444</v>
      </c>
      <c r="J160" s="2">
        <f t="shared" si="32"/>
        <v>17.625898250366081</v>
      </c>
      <c r="K160" s="2">
        <f t="shared" si="33"/>
        <v>9.0488674665354409</v>
      </c>
      <c r="L160" s="2">
        <f t="shared" si="34"/>
        <v>10.236192237400644</v>
      </c>
      <c r="M160" s="2"/>
      <c r="O160" s="4">
        <f t="shared" ca="1" si="35"/>
        <v>0.78204390461604145</v>
      </c>
      <c r="P160" s="4">
        <f t="shared" ca="1" si="36"/>
        <v>0.7791146334144714</v>
      </c>
      <c r="Q160" s="4">
        <f t="shared" ca="1" si="37"/>
        <v>1908.5634260362949</v>
      </c>
      <c r="R160" s="4">
        <f t="shared" ca="1" si="38"/>
        <v>-15.106617963705048</v>
      </c>
      <c r="S160" s="4">
        <f t="shared" ca="1" si="39"/>
        <v>-7.5542207512598178</v>
      </c>
    </row>
    <row r="161" spans="3:19" x14ac:dyDescent="0.2">
      <c r="C161" s="1">
        <v>42150</v>
      </c>
      <c r="D161" s="2">
        <v>2104.1999510000001</v>
      </c>
      <c r="E161" s="3">
        <f t="shared" si="27"/>
        <v>-1.0281980467796303E-2</v>
      </c>
      <c r="F161" s="3">
        <f t="shared" si="28"/>
        <v>-1.0335205180265266E-2</v>
      </c>
      <c r="G161" s="2">
        <f t="shared" si="29"/>
        <v>1903.8909061811071</v>
      </c>
      <c r="H161" s="2">
        <f t="shared" si="30"/>
        <v>160.22798416156456</v>
      </c>
      <c r="I161" s="2">
        <f t="shared" si="31"/>
        <v>-9.8525311059448768</v>
      </c>
      <c r="J161" s="2">
        <f t="shared" si="32"/>
        <v>-19.779137818892856</v>
      </c>
      <c r="K161" s="2">
        <f t="shared" si="33"/>
        <v>-9.8531419994193357</v>
      </c>
      <c r="L161" s="2">
        <f t="shared" si="34"/>
        <v>-8.4237347974788008</v>
      </c>
      <c r="M161" s="2"/>
      <c r="O161" s="4">
        <f t="shared" ca="1" si="35"/>
        <v>0.1625712198525282</v>
      </c>
      <c r="P161" s="4">
        <f t="shared" ca="1" si="36"/>
        <v>-0.98394523700953251</v>
      </c>
      <c r="Q161" s="4">
        <f t="shared" ca="1" si="37"/>
        <v>1941.8300236767723</v>
      </c>
      <c r="R161" s="4">
        <f t="shared" ca="1" si="38"/>
        <v>18.159979676772309</v>
      </c>
      <c r="S161" s="4">
        <f t="shared" ca="1" si="39"/>
        <v>9.3270048560416843</v>
      </c>
    </row>
    <row r="162" spans="3:19" x14ac:dyDescent="0.2">
      <c r="C162" s="1">
        <v>42146</v>
      </c>
      <c r="D162" s="2">
        <v>2126.0600589999999</v>
      </c>
      <c r="E162" s="3">
        <f t="shared" si="27"/>
        <v>-2.2338859444231973E-3</v>
      </c>
      <c r="F162" s="3">
        <f t="shared" si="28"/>
        <v>-2.2363847897467698E-3</v>
      </c>
      <c r="G162" s="2">
        <f t="shared" si="29"/>
        <v>1919.3727845270005</v>
      </c>
      <c r="H162" s="2">
        <f t="shared" si="30"/>
        <v>167.9127239698696</v>
      </c>
      <c r="I162" s="2">
        <f t="shared" si="31"/>
        <v>-2.1677912976398375</v>
      </c>
      <c r="J162" s="2">
        <f t="shared" si="32"/>
        <v>-4.2972594729995537</v>
      </c>
      <c r="K162" s="2">
        <f t="shared" si="33"/>
        <v>-2.1677977174657057</v>
      </c>
      <c r="L162" s="2">
        <f t="shared" si="34"/>
        <v>-1.8301593571952708</v>
      </c>
      <c r="M162" s="2"/>
      <c r="O162" s="4">
        <f t="shared" ca="1" si="35"/>
        <v>0.32451557731288438</v>
      </c>
      <c r="P162" s="4">
        <f t="shared" ca="1" si="36"/>
        <v>-0.45510853974383653</v>
      </c>
      <c r="Q162" s="4">
        <f t="shared" ca="1" si="37"/>
        <v>1931.8515777257417</v>
      </c>
      <c r="R162" s="4">
        <f t="shared" ca="1" si="38"/>
        <v>8.1815337257417013</v>
      </c>
      <c r="S162" s="4">
        <f t="shared" ca="1" si="39"/>
        <v>4.1688207032176461</v>
      </c>
    </row>
    <row r="163" spans="3:19" x14ac:dyDescent="0.2">
      <c r="C163" s="1">
        <v>42145</v>
      </c>
      <c r="D163" s="2">
        <v>2130.820068</v>
      </c>
      <c r="E163" s="3">
        <f t="shared" si="27"/>
        <v>2.3378741542857849E-3</v>
      </c>
      <c r="F163" s="3">
        <f t="shared" si="28"/>
        <v>2.3351455783891246E-3</v>
      </c>
      <c r="G163" s="2">
        <f t="shared" si="29"/>
        <v>1928.1673424772416</v>
      </c>
      <c r="H163" s="2">
        <f t="shared" si="30"/>
        <v>172.36531760691344</v>
      </c>
      <c r="I163" s="2">
        <f t="shared" si="31"/>
        <v>2.2848023394039956</v>
      </c>
      <c r="J163" s="2">
        <f t="shared" si="32"/>
        <v>4.4972984772413982</v>
      </c>
      <c r="K163" s="2">
        <f t="shared" si="33"/>
        <v>2.2848097972239123</v>
      </c>
      <c r="L163" s="2">
        <f t="shared" si="34"/>
        <v>2.6117937995618377</v>
      </c>
      <c r="M163" s="2"/>
      <c r="O163" s="4">
        <f t="shared" ca="1" si="35"/>
        <v>0.21699406586352654</v>
      </c>
      <c r="P163" s="4">
        <f t="shared" ca="1" si="36"/>
        <v>-0.78238536552152871</v>
      </c>
      <c r="Q163" s="4">
        <f t="shared" ca="1" si="37"/>
        <v>1938.0268566614373</v>
      </c>
      <c r="R163" s="4">
        <f t="shared" ca="1" si="38"/>
        <v>14.356812661437289</v>
      </c>
      <c r="S163" s="4">
        <f t="shared" ca="1" si="39"/>
        <v>7.3514635159231068</v>
      </c>
    </row>
    <row r="164" spans="3:19" x14ac:dyDescent="0.2">
      <c r="C164" s="1">
        <v>42144</v>
      </c>
      <c r="D164" s="2">
        <v>2125.8500979999999</v>
      </c>
      <c r="E164" s="3">
        <f t="shared" si="27"/>
        <v>-9.3051603155318719E-4</v>
      </c>
      <c r="F164" s="3">
        <f t="shared" si="28"/>
        <v>-9.3094923034876148E-4</v>
      </c>
      <c r="G164" s="2">
        <f t="shared" si="29"/>
        <v>1921.8800381846395</v>
      </c>
      <c r="H164" s="2">
        <f t="shared" si="30"/>
        <v>169.17570155559986</v>
      </c>
      <c r="I164" s="2">
        <f t="shared" si="31"/>
        <v>-0.90481371190958271</v>
      </c>
      <c r="J164" s="2">
        <f t="shared" si="32"/>
        <v>-1.7900058153606249</v>
      </c>
      <c r="K164" s="2">
        <f t="shared" si="33"/>
        <v>-0.90481417769231687</v>
      </c>
      <c r="L164" s="2">
        <f t="shared" si="34"/>
        <v>-0.76234537686164572</v>
      </c>
      <c r="M164" s="2"/>
      <c r="O164" s="4">
        <f t="shared" ca="1" si="35"/>
        <v>0.64891733715379774</v>
      </c>
      <c r="P164" s="4">
        <f t="shared" ca="1" si="36"/>
        <v>0.38239914334824093</v>
      </c>
      <c r="Q164" s="4">
        <f t="shared" ca="1" si="37"/>
        <v>1916.048920322206</v>
      </c>
      <c r="R164" s="4">
        <f t="shared" ca="1" si="38"/>
        <v>-7.621123677794003</v>
      </c>
      <c r="S164" s="4">
        <f t="shared" ca="1" si="39"/>
        <v>-3.8342442520213766</v>
      </c>
    </row>
    <row r="165" spans="3:19" x14ac:dyDescent="0.2">
      <c r="C165" s="1">
        <v>42143</v>
      </c>
      <c r="D165" s="2">
        <v>2127.830078</v>
      </c>
      <c r="E165" s="3">
        <f t="shared" si="27"/>
        <v>-6.4337452166327697E-4</v>
      </c>
      <c r="F165" s="3">
        <f t="shared" si="28"/>
        <v>-6.4358157586455564E-4</v>
      </c>
      <c r="G165" s="2">
        <f t="shared" si="29"/>
        <v>1922.4324037056035</v>
      </c>
      <c r="H165" s="2">
        <f t="shared" si="30"/>
        <v>169.45463331171516</v>
      </c>
      <c r="I165" s="2">
        <f t="shared" si="31"/>
        <v>-0.62588195579428429</v>
      </c>
      <c r="J165" s="2">
        <f t="shared" si="32"/>
        <v>-1.237640294396475</v>
      </c>
      <c r="K165" s="2">
        <f t="shared" si="33"/>
        <v>-0.62588210988259207</v>
      </c>
      <c r="L165" s="2">
        <f t="shared" si="34"/>
        <v>-0.52709848680621008</v>
      </c>
      <c r="M165" s="2"/>
      <c r="O165" s="4">
        <f t="shared" ca="1" si="35"/>
        <v>8.2231289422221021E-2</v>
      </c>
      <c r="P165" s="4">
        <f t="shared" ca="1" si="36"/>
        <v>-1.3902183633800727</v>
      </c>
      <c r="Q165" s="4">
        <f t="shared" ca="1" si="37"/>
        <v>1949.4958578630258</v>
      </c>
      <c r="R165" s="4">
        <f t="shared" ca="1" si="38"/>
        <v>25.825813863025814</v>
      </c>
      <c r="S165" s="4">
        <f t="shared" ca="1" si="39"/>
        <v>13.34478398384587</v>
      </c>
    </row>
    <row r="166" spans="3:19" x14ac:dyDescent="0.2">
      <c r="C166" s="1">
        <v>42142</v>
      </c>
      <c r="D166" s="2">
        <v>2129.1999510000001</v>
      </c>
      <c r="E166" s="3">
        <f t="shared" si="27"/>
        <v>3.0479481898116815E-3</v>
      </c>
      <c r="F166" s="3">
        <f t="shared" si="28"/>
        <v>3.0433126126717365E-3</v>
      </c>
      <c r="G166" s="2">
        <f t="shared" si="29"/>
        <v>1929.5332906284045</v>
      </c>
      <c r="H166" s="2">
        <f t="shared" si="30"/>
        <v>173.06252566863225</v>
      </c>
      <c r="I166" s="2">
        <f t="shared" si="31"/>
        <v>2.9820104011228068</v>
      </c>
      <c r="J166" s="2">
        <f t="shared" si="32"/>
        <v>5.8632466284047577</v>
      </c>
      <c r="K166" s="2">
        <f t="shared" si="33"/>
        <v>2.9820269611009587</v>
      </c>
      <c r="L166" s="2">
        <f t="shared" si="34"/>
        <v>3.4050644552196445</v>
      </c>
      <c r="M166" s="2"/>
      <c r="O166" s="4">
        <f t="shared" ca="1" si="35"/>
        <v>3.6769154157270778E-2</v>
      </c>
      <c r="P166" s="4">
        <f t="shared" ca="1" si="36"/>
        <v>-1.7894752601619555</v>
      </c>
      <c r="Q166" s="4">
        <f t="shared" ca="1" si="37"/>
        <v>1957.029305117562</v>
      </c>
      <c r="R166" s="4">
        <f t="shared" ca="1" si="38"/>
        <v>33.359261117562028</v>
      </c>
      <c r="S166" s="4">
        <f t="shared" ca="1" si="39"/>
        <v>17.339787768742379</v>
      </c>
    </row>
    <row r="167" spans="3:19" x14ac:dyDescent="0.2">
      <c r="C167" s="1">
        <v>42139</v>
      </c>
      <c r="D167" s="2">
        <v>2122.7299800000001</v>
      </c>
      <c r="E167" s="3">
        <f t="shared" si="27"/>
        <v>7.6841352349990783E-4</v>
      </c>
      <c r="F167" s="3">
        <f t="shared" si="28"/>
        <v>7.6811844498031457E-4</v>
      </c>
      <c r="G167" s="2">
        <f t="shared" si="29"/>
        <v>1925.1482180765613</v>
      </c>
      <c r="H167" s="2">
        <f t="shared" si="30"/>
        <v>170.82967064572154</v>
      </c>
      <c r="I167" s="2">
        <f t="shared" si="31"/>
        <v>0.74915537821209455</v>
      </c>
      <c r="J167" s="2">
        <f t="shared" si="32"/>
        <v>1.4781740765612628</v>
      </c>
      <c r="K167" s="2">
        <f t="shared" si="33"/>
        <v>0.74915564181920946</v>
      </c>
      <c r="L167" s="2">
        <f t="shared" si="34"/>
        <v>0.85844555512002785</v>
      </c>
      <c r="M167" s="2"/>
      <c r="O167" s="4">
        <f t="shared" ca="1" si="35"/>
        <v>0.3070558309247472</v>
      </c>
      <c r="P167" s="4">
        <f t="shared" ca="1" si="36"/>
        <v>-0.50421306290086421</v>
      </c>
      <c r="Q167" s="4">
        <f t="shared" ca="1" si="37"/>
        <v>1932.7781148454369</v>
      </c>
      <c r="R167" s="4">
        <f t="shared" ca="1" si="38"/>
        <v>9.1080708454369415</v>
      </c>
      <c r="S167" s="4">
        <f t="shared" ca="1" si="39"/>
        <v>4.6443638979006856</v>
      </c>
    </row>
    <row r="168" spans="3:19" x14ac:dyDescent="0.2">
      <c r="C168" s="1">
        <v>42138</v>
      </c>
      <c r="D168" s="2">
        <v>2121.1000979999999</v>
      </c>
      <c r="E168" s="3">
        <f t="shared" si="27"/>
        <v>1.0779287015166006E-2</v>
      </c>
      <c r="F168" s="3">
        <f t="shared" si="28"/>
        <v>1.0721604647198088E-2</v>
      </c>
      <c r="G168" s="2">
        <f t="shared" si="29"/>
        <v>1944.405835526753</v>
      </c>
      <c r="H168" s="2">
        <f t="shared" si="30"/>
        <v>180.75145623787478</v>
      </c>
      <c r="I168" s="2">
        <f t="shared" si="31"/>
        <v>10.670940970365336</v>
      </c>
      <c r="J168" s="2">
        <f t="shared" si="32"/>
        <v>20.735791526753019</v>
      </c>
      <c r="K168" s="2">
        <f t="shared" si="33"/>
        <v>10.671689572606802</v>
      </c>
      <c r="L168" s="2">
        <f t="shared" si="34"/>
        <v>12.042254258338119</v>
      </c>
      <c r="M168" s="2"/>
      <c r="O168" s="4">
        <f t="shared" ca="1" si="35"/>
        <v>0.6533748178177593</v>
      </c>
      <c r="P168" s="4">
        <f t="shared" ca="1" si="36"/>
        <v>0.39444792833578901</v>
      </c>
      <c r="Q168" s="4">
        <f t="shared" ca="1" si="37"/>
        <v>1915.8215757555458</v>
      </c>
      <c r="R168" s="4">
        <f t="shared" ca="1" si="38"/>
        <v>-7.8484682444541249</v>
      </c>
      <c r="S168" s="4">
        <f t="shared" ca="1" si="39"/>
        <v>-3.9478966654588827</v>
      </c>
    </row>
    <row r="169" spans="3:19" x14ac:dyDescent="0.2">
      <c r="C169" s="1">
        <v>42137</v>
      </c>
      <c r="D169" s="2">
        <v>2098.4799800000001</v>
      </c>
      <c r="E169" s="3">
        <f t="shared" si="27"/>
        <v>-3.0495491649841012E-4</v>
      </c>
      <c r="F169" s="3">
        <f t="shared" si="28"/>
        <v>-3.0500142470446046E-4</v>
      </c>
      <c r="G169" s="2">
        <f t="shared" si="29"/>
        <v>1923.0834113623614</v>
      </c>
      <c r="H169" s="2">
        <f t="shared" si="30"/>
        <v>169.7836961846798</v>
      </c>
      <c r="I169" s="2">
        <f t="shared" si="31"/>
        <v>-0.29681908282964287</v>
      </c>
      <c r="J169" s="2">
        <f t="shared" si="32"/>
        <v>-0.58663263763851292</v>
      </c>
      <c r="K169" s="2">
        <f t="shared" si="33"/>
        <v>-0.29681909925506322</v>
      </c>
      <c r="L169" s="2">
        <f t="shared" si="34"/>
        <v>-0.24984090855019758</v>
      </c>
      <c r="M169" s="2"/>
      <c r="O169" s="4">
        <f t="shared" ca="1" si="35"/>
        <v>0.32487059511198246</v>
      </c>
      <c r="P169" s="4">
        <f t="shared" ca="1" si="36"/>
        <v>-0.45412176285920208</v>
      </c>
      <c r="Q169" s="4">
        <f t="shared" ca="1" si="37"/>
        <v>1931.8329585567999</v>
      </c>
      <c r="R169" s="4">
        <f t="shared" ca="1" si="38"/>
        <v>8.1629145567999331</v>
      </c>
      <c r="S169" s="4">
        <f t="shared" ca="1" si="39"/>
        <v>4.1592716182017053</v>
      </c>
    </row>
    <row r="170" spans="3:19" x14ac:dyDescent="0.2">
      <c r="C170" s="1">
        <v>42136</v>
      </c>
      <c r="D170" s="2">
        <v>2099.1201169999999</v>
      </c>
      <c r="E170" s="3">
        <f t="shared" si="27"/>
        <v>-2.9496377147184903E-3</v>
      </c>
      <c r="F170" s="3">
        <f t="shared" si="28"/>
        <v>-2.9539964693172764E-3</v>
      </c>
      <c r="G170" s="2">
        <f t="shared" si="29"/>
        <v>1917.9959142875434</v>
      </c>
      <c r="H170" s="2">
        <f t="shared" si="30"/>
        <v>167.22133587536473</v>
      </c>
      <c r="I170" s="2">
        <f t="shared" si="31"/>
        <v>-2.8591793921447106</v>
      </c>
      <c r="J170" s="2">
        <f t="shared" si="32"/>
        <v>-5.6741297124565779</v>
      </c>
      <c r="K170" s="2">
        <f t="shared" si="33"/>
        <v>-2.8591941398018994</v>
      </c>
      <c r="L170" s="2">
        <f t="shared" si="34"/>
        <v>-2.4165544697592054</v>
      </c>
      <c r="M170" s="2"/>
      <c r="O170" s="4">
        <f t="shared" ca="1" si="35"/>
        <v>0.52763308959367428</v>
      </c>
      <c r="P170" s="4">
        <f t="shared" ca="1" si="36"/>
        <v>6.9321363768904978E-2</v>
      </c>
      <c r="Q170" s="4">
        <f t="shared" ca="1" si="37"/>
        <v>1921.9562821186803</v>
      </c>
      <c r="R170" s="4">
        <f t="shared" ca="1" si="38"/>
        <v>-1.7137618813196696</v>
      </c>
      <c r="S170" s="4">
        <f t="shared" ca="1" si="39"/>
        <v>-0.86632749637218986</v>
      </c>
    </row>
    <row r="171" spans="3:19" x14ac:dyDescent="0.2">
      <c r="C171" s="1">
        <v>42135</v>
      </c>
      <c r="D171" s="2">
        <v>2105.330078</v>
      </c>
      <c r="E171" s="3">
        <f t="shared" si="27"/>
        <v>-5.0895607491247951E-3</v>
      </c>
      <c r="F171" s="3">
        <f t="shared" si="28"/>
        <v>-5.1025566779002406E-3</v>
      </c>
      <c r="G171" s="2">
        <f t="shared" si="29"/>
        <v>1913.8794084497904</v>
      </c>
      <c r="H171" s="2">
        <f t="shared" si="30"/>
        <v>165.16349518213201</v>
      </c>
      <c r="I171" s="2">
        <f t="shared" si="31"/>
        <v>-4.9170200853774304</v>
      </c>
      <c r="J171" s="2">
        <f t="shared" si="32"/>
        <v>-9.7906355502095668</v>
      </c>
      <c r="K171" s="2">
        <f t="shared" si="33"/>
        <v>-4.9170953645240543</v>
      </c>
      <c r="L171" s="2">
        <f t="shared" si="34"/>
        <v>-4.1697326814193048</v>
      </c>
      <c r="M171" s="2"/>
      <c r="O171" s="4">
        <f t="shared" ca="1" si="35"/>
        <v>0.95607163319811006</v>
      </c>
      <c r="P171" s="4">
        <f t="shared" ca="1" si="36"/>
        <v>1.7068134396803971</v>
      </c>
      <c r="Q171" s="4">
        <f t="shared" ca="1" si="37"/>
        <v>1891.0589819517172</v>
      </c>
      <c r="R171" s="4">
        <f t="shared" ca="1" si="38"/>
        <v>-32.611062048282747</v>
      </c>
      <c r="S171" s="4">
        <f t="shared" ca="1" si="39"/>
        <v>-16.075128494092429</v>
      </c>
    </row>
    <row r="172" spans="3:19" x14ac:dyDescent="0.2">
      <c r="C172" s="1">
        <v>42132</v>
      </c>
      <c r="D172" s="2">
        <v>2116.1000979999999</v>
      </c>
      <c r="E172" s="3">
        <f t="shared" si="27"/>
        <v>1.3457901340996115E-2</v>
      </c>
      <c r="F172" s="3">
        <f t="shared" si="28"/>
        <v>1.3368148149806192E-2</v>
      </c>
      <c r="G172" s="2">
        <f t="shared" si="29"/>
        <v>1949.5586056647817</v>
      </c>
      <c r="H172" s="2">
        <f t="shared" si="30"/>
        <v>183.45691619074341</v>
      </c>
      <c r="I172" s="2">
        <f t="shared" si="31"/>
        <v>13.376400923233973</v>
      </c>
      <c r="J172" s="2">
        <f t="shared" si="32"/>
        <v>25.888561664781655</v>
      </c>
      <c r="K172" s="2">
        <f t="shared" si="33"/>
        <v>13.377868460435529</v>
      </c>
      <c r="L172" s="2">
        <f t="shared" si="34"/>
        <v>15.034711433501002</v>
      </c>
      <c r="M172" s="2"/>
      <c r="O172" s="4">
        <f t="shared" ca="1" si="35"/>
        <v>0.3654659195835408</v>
      </c>
      <c r="P172" s="4">
        <f t="shared" ca="1" si="36"/>
        <v>-0.34388624161882397</v>
      </c>
      <c r="Q172" s="4">
        <f t="shared" ca="1" si="37"/>
        <v>1929.7529607119677</v>
      </c>
      <c r="R172" s="4">
        <f t="shared" ca="1" si="38"/>
        <v>6.082916711967755</v>
      </c>
      <c r="S172" s="4">
        <f t="shared" ca="1" si="39"/>
        <v>3.094294346094018</v>
      </c>
    </row>
    <row r="173" spans="3:19" x14ac:dyDescent="0.2">
      <c r="C173" s="1">
        <v>42131</v>
      </c>
      <c r="D173" s="2">
        <v>2088</v>
      </c>
      <c r="E173" s="3">
        <f t="shared" si="27"/>
        <v>3.7738136047081325E-3</v>
      </c>
      <c r="F173" s="3">
        <f t="shared" si="28"/>
        <v>3.7667106347277534E-3</v>
      </c>
      <c r="G173" s="2">
        <f t="shared" si="29"/>
        <v>1930.9296161830166</v>
      </c>
      <c r="H173" s="2">
        <f t="shared" si="30"/>
        <v>173.77680342870497</v>
      </c>
      <c r="I173" s="2">
        <f t="shared" si="31"/>
        <v>3.6962881611955254</v>
      </c>
      <c r="J173" s="2">
        <f t="shared" si="32"/>
        <v>7.2595721830166919</v>
      </c>
      <c r="K173" s="2">
        <f t="shared" si="33"/>
        <v>3.6963196591884842</v>
      </c>
      <c r="L173" s="2">
        <f t="shared" si="34"/>
        <v>4.2159767049092238</v>
      </c>
      <c r="M173" s="2"/>
      <c r="O173" s="4">
        <f t="shared" ca="1" si="35"/>
        <v>0.13507471802821291</v>
      </c>
      <c r="P173" s="4">
        <f t="shared" ca="1" si="36"/>
        <v>-1.1027184866940944</v>
      </c>
      <c r="Q173" s="4">
        <f t="shared" ca="1" si="37"/>
        <v>1944.0711171155097</v>
      </c>
      <c r="R173" s="4">
        <f t="shared" ca="1" si="38"/>
        <v>20.401073115509689</v>
      </c>
      <c r="S173" s="4">
        <f t="shared" ca="1" si="39"/>
        <v>10.496646789860257</v>
      </c>
    </row>
    <row r="174" spans="3:19" x14ac:dyDescent="0.2">
      <c r="C174" s="1">
        <v>42130</v>
      </c>
      <c r="D174" s="2">
        <v>2080.1499020000001</v>
      </c>
      <c r="E174" s="3">
        <f t="shared" si="27"/>
        <v>-4.4557250073096327E-3</v>
      </c>
      <c r="F174" s="3">
        <f t="shared" si="28"/>
        <v>-4.46568133609649E-3</v>
      </c>
      <c r="G174" s="2">
        <f t="shared" si="29"/>
        <v>1915.0986992791368</v>
      </c>
      <c r="H174" s="2">
        <f t="shared" si="30"/>
        <v>165.77157376368552</v>
      </c>
      <c r="I174" s="2">
        <f t="shared" si="31"/>
        <v>-4.3089415038239167</v>
      </c>
      <c r="J174" s="2">
        <f t="shared" si="32"/>
        <v>-8.5713447208632214</v>
      </c>
      <c r="K174" s="2">
        <f t="shared" si="33"/>
        <v>-4.308992111557683</v>
      </c>
      <c r="L174" s="2">
        <f t="shared" si="34"/>
        <v>-3.6504490462347121</v>
      </c>
      <c r="M174" s="2"/>
      <c r="O174" s="4">
        <f t="shared" ca="1" si="35"/>
        <v>0.79219166952717646</v>
      </c>
      <c r="P174" s="4">
        <f t="shared" ca="1" si="36"/>
        <v>0.81404938360639778</v>
      </c>
      <c r="Q174" s="4">
        <f t="shared" ca="1" si="37"/>
        <v>1907.9042537087971</v>
      </c>
      <c r="R174" s="4">
        <f t="shared" ca="1" si="38"/>
        <v>-15.765790291202848</v>
      </c>
      <c r="S174" s="4">
        <f t="shared" ca="1" si="39"/>
        <v>-7.8796162846673994</v>
      </c>
    </row>
    <row r="175" spans="3:19" x14ac:dyDescent="0.2">
      <c r="C175" s="1">
        <v>42129</v>
      </c>
      <c r="D175" s="2">
        <v>2089.459961</v>
      </c>
      <c r="E175" s="3">
        <f t="shared" si="27"/>
        <v>-1.1837383538524111E-2</v>
      </c>
      <c r="F175" s="3">
        <f t="shared" si="28"/>
        <v>-1.1908003217775753E-2</v>
      </c>
      <c r="G175" s="2">
        <f t="shared" si="29"/>
        <v>1900.8988238876022</v>
      </c>
      <c r="H175" s="2">
        <f t="shared" si="30"/>
        <v>158.76550525862126</v>
      </c>
      <c r="I175" s="2">
        <f t="shared" si="31"/>
        <v>-11.31501000888818</v>
      </c>
      <c r="J175" s="2">
        <f t="shared" si="32"/>
        <v>-22.77122011239755</v>
      </c>
      <c r="K175" s="2">
        <f t="shared" si="33"/>
        <v>-11.315937681910626</v>
      </c>
      <c r="L175" s="2">
        <f t="shared" si="34"/>
        <v>-9.6980323914134772</v>
      </c>
      <c r="M175" s="2"/>
      <c r="O175" s="4">
        <f t="shared" ca="1" si="35"/>
        <v>0.58646249495639557</v>
      </c>
      <c r="P175" s="4">
        <f t="shared" ca="1" si="36"/>
        <v>0.21845449461517191</v>
      </c>
      <c r="Q175" s="4">
        <f t="shared" ca="1" si="37"/>
        <v>1919.1423380536191</v>
      </c>
      <c r="R175" s="4">
        <f t="shared" ca="1" si="38"/>
        <v>-4.52770594638082</v>
      </c>
      <c r="S175" s="4">
        <f t="shared" ca="1" si="39"/>
        <v>-2.2836241300710327</v>
      </c>
    </row>
    <row r="176" spans="3:19" x14ac:dyDescent="0.2">
      <c r="C176" s="1">
        <v>42128</v>
      </c>
      <c r="D176" s="2">
        <v>2114.48999</v>
      </c>
      <c r="E176" s="3">
        <f t="shared" si="27"/>
        <v>2.9407486092097672E-3</v>
      </c>
      <c r="F176" s="3">
        <f t="shared" si="28"/>
        <v>2.9364330665656102E-3</v>
      </c>
      <c r="G176" s="2">
        <f t="shared" si="29"/>
        <v>1929.3270740064713</v>
      </c>
      <c r="H176" s="2">
        <f t="shared" si="30"/>
        <v>172.95717142270701</v>
      </c>
      <c r="I176" s="2">
        <f t="shared" si="31"/>
        <v>2.8766561551975656</v>
      </c>
      <c r="J176" s="2">
        <f t="shared" si="32"/>
        <v>5.6570300064714916</v>
      </c>
      <c r="K176" s="2">
        <f t="shared" si="33"/>
        <v>2.8766710240280844</v>
      </c>
      <c r="L176" s="2">
        <f t="shared" si="34"/>
        <v>3.2853047156210096</v>
      </c>
      <c r="M176" s="2"/>
      <c r="O176" s="4">
        <f t="shared" ca="1" si="35"/>
        <v>0.29081967008779819</v>
      </c>
      <c r="P176" s="4">
        <f t="shared" ca="1" si="36"/>
        <v>-0.55099173521129363</v>
      </c>
      <c r="Q176" s="4">
        <f t="shared" ca="1" si="37"/>
        <v>1933.6607662494032</v>
      </c>
      <c r="R176" s="4">
        <f t="shared" ca="1" si="38"/>
        <v>9.9907222494032339</v>
      </c>
      <c r="S176" s="4">
        <f t="shared" ca="1" si="39"/>
        <v>5.0980328847049998</v>
      </c>
    </row>
    <row r="177" spans="3:19" x14ac:dyDescent="0.2">
      <c r="C177" s="1">
        <v>42125</v>
      </c>
      <c r="D177" s="2">
        <v>2108.290039</v>
      </c>
      <c r="E177" s="3">
        <f t="shared" si="27"/>
        <v>1.0923001515586115E-2</v>
      </c>
      <c r="F177" s="3">
        <f t="shared" si="28"/>
        <v>1.0863776421427699E-2</v>
      </c>
      <c r="G177" s="2">
        <f t="shared" si="29"/>
        <v>1944.6822948060997</v>
      </c>
      <c r="H177" s="2">
        <f t="shared" si="30"/>
        <v>180.89607022583675</v>
      </c>
      <c r="I177" s="2">
        <f t="shared" si="31"/>
        <v>10.815554958327311</v>
      </c>
      <c r="J177" s="2">
        <f t="shared" si="32"/>
        <v>21.012250806099608</v>
      </c>
      <c r="K177" s="2">
        <f t="shared" si="33"/>
        <v>10.816334211597452</v>
      </c>
      <c r="L177" s="2">
        <f t="shared" si="34"/>
        <v>12.202807229256734</v>
      </c>
      <c r="M177" s="2"/>
      <c r="O177" s="4">
        <f t="shared" ca="1" si="35"/>
        <v>0.50306120544588639</v>
      </c>
      <c r="P177" s="4">
        <f t="shared" ca="1" si="36"/>
        <v>7.6733794268397807E-3</v>
      </c>
      <c r="Q177" s="4">
        <f t="shared" ca="1" si="37"/>
        <v>1923.1194976877357</v>
      </c>
      <c r="R177" s="4">
        <f t="shared" ca="1" si="38"/>
        <v>-0.55054631226425954</v>
      </c>
      <c r="S177" s="4">
        <f t="shared" ca="1" si="39"/>
        <v>-0.27856855262936547</v>
      </c>
    </row>
    <row r="178" spans="3:19" x14ac:dyDescent="0.2">
      <c r="C178" s="1">
        <v>42124</v>
      </c>
      <c r="D178" s="2">
        <v>2085.51001</v>
      </c>
      <c r="E178" s="3">
        <f t="shared" si="27"/>
        <v>-1.0128906665100539E-2</v>
      </c>
      <c r="F178" s="3">
        <f t="shared" si="28"/>
        <v>-1.0180553084023857E-2</v>
      </c>
      <c r="G178" s="2">
        <f t="shared" si="29"/>
        <v>1904.185369669874</v>
      </c>
      <c r="H178" s="2">
        <f t="shared" si="30"/>
        <v>160.37231142507142</v>
      </c>
      <c r="I178" s="2">
        <f t="shared" si="31"/>
        <v>-9.7082038424380244</v>
      </c>
      <c r="J178" s="2">
        <f t="shared" si="32"/>
        <v>-19.484674330125845</v>
      </c>
      <c r="K178" s="2">
        <f t="shared" si="33"/>
        <v>-9.7087881334915043</v>
      </c>
      <c r="L178" s="2">
        <f t="shared" si="34"/>
        <v>-8.2983257751228052</v>
      </c>
      <c r="M178" s="2"/>
      <c r="O178" s="4">
        <f t="shared" ca="1" si="35"/>
        <v>0.36780773863034399</v>
      </c>
      <c r="P178" s="4">
        <f t="shared" ca="1" si="36"/>
        <v>-0.33766523326795506</v>
      </c>
      <c r="Q178" s="4">
        <f t="shared" ca="1" si="37"/>
        <v>1929.6355785486064</v>
      </c>
      <c r="R178" s="4">
        <f t="shared" ca="1" si="38"/>
        <v>5.9655345486064562</v>
      </c>
      <c r="S178" s="4">
        <f t="shared" ca="1" si="39"/>
        <v>3.0342986381266686</v>
      </c>
    </row>
    <row r="179" spans="3:19" x14ac:dyDescent="0.2">
      <c r="C179" s="1">
        <v>42123</v>
      </c>
      <c r="D179" s="2">
        <v>2106.8500979999999</v>
      </c>
      <c r="E179" s="3">
        <f t="shared" si="27"/>
        <v>-3.7403355286636411E-3</v>
      </c>
      <c r="F179" s="3">
        <f t="shared" si="28"/>
        <v>-3.7473480752430819E-3</v>
      </c>
      <c r="G179" s="2">
        <f t="shared" si="29"/>
        <v>1916.4748725890008</v>
      </c>
      <c r="H179" s="2">
        <f t="shared" si="30"/>
        <v>166.4593531973934</v>
      </c>
      <c r="I179" s="2">
        <f t="shared" si="31"/>
        <v>-3.6211620701160427</v>
      </c>
      <c r="J179" s="2">
        <f t="shared" si="32"/>
        <v>-7.1951714109991496</v>
      </c>
      <c r="K179" s="2">
        <f t="shared" si="33"/>
        <v>-3.6211920703263987</v>
      </c>
      <c r="L179" s="2">
        <f t="shared" si="34"/>
        <v>-3.0643507489372723</v>
      </c>
      <c r="M179" s="2"/>
      <c r="O179" s="4">
        <f t="shared" ca="1" si="35"/>
        <v>0.29875724638165058</v>
      </c>
      <c r="P179" s="4">
        <f t="shared" ca="1" si="36"/>
        <v>-0.52797816251352592</v>
      </c>
      <c r="Q179" s="4">
        <f t="shared" ca="1" si="37"/>
        <v>1933.2265307046841</v>
      </c>
      <c r="R179" s="4">
        <f t="shared" ca="1" si="38"/>
        <v>9.5564867046841755</v>
      </c>
      <c r="S179" s="4">
        <f t="shared" ca="1" si="39"/>
        <v>4.8747633572560058</v>
      </c>
    </row>
    <row r="180" spans="3:19" x14ac:dyDescent="0.2">
      <c r="C180" s="1">
        <v>42122</v>
      </c>
      <c r="D180" s="2">
        <v>2114.76001</v>
      </c>
      <c r="E180" s="3">
        <f t="shared" si="27"/>
        <v>2.7692317470553647E-3</v>
      </c>
      <c r="F180" s="3">
        <f t="shared" si="28"/>
        <v>2.7654044889026041E-3</v>
      </c>
      <c r="G180" s="2">
        <f t="shared" si="29"/>
        <v>1928.9971321567041</v>
      </c>
      <c r="H180" s="2">
        <f t="shared" si="30"/>
        <v>172.78867881775409</v>
      </c>
      <c r="I180" s="2">
        <f t="shared" si="31"/>
        <v>2.7081635502446488</v>
      </c>
      <c r="J180" s="2">
        <f t="shared" si="32"/>
        <v>5.3270881567041899</v>
      </c>
      <c r="K180" s="2">
        <f t="shared" si="33"/>
        <v>2.708175960096495</v>
      </c>
      <c r="L180" s="2">
        <f t="shared" si="34"/>
        <v>3.0936918880983058</v>
      </c>
      <c r="M180" s="2"/>
      <c r="O180" s="4">
        <f t="shared" ca="1" si="35"/>
        <v>0.27218570827216082</v>
      </c>
      <c r="P180" s="4">
        <f t="shared" ca="1" si="36"/>
        <v>-0.60621586883334211</v>
      </c>
      <c r="Q180" s="4">
        <f t="shared" ca="1" si="37"/>
        <v>1934.7027722890546</v>
      </c>
      <c r="R180" s="4">
        <f t="shared" ca="1" si="38"/>
        <v>11.032728289054603</v>
      </c>
      <c r="S180" s="4">
        <f t="shared" ca="1" si="39"/>
        <v>5.6344240357361706</v>
      </c>
    </row>
    <row r="181" spans="3:19" x14ac:dyDescent="0.2">
      <c r="C181" s="1">
        <v>42121</v>
      </c>
      <c r="D181" s="2">
        <v>2108.919922</v>
      </c>
      <c r="E181" s="3">
        <f t="shared" si="27"/>
        <v>-4.141313999847746E-3</v>
      </c>
      <c r="F181" s="3">
        <f t="shared" si="28"/>
        <v>-4.1499129896262112E-3</v>
      </c>
      <c r="G181" s="2">
        <f t="shared" si="29"/>
        <v>1915.703522315695</v>
      </c>
      <c r="H181" s="2">
        <f t="shared" si="30"/>
        <v>166.07365946949426</v>
      </c>
      <c r="I181" s="2">
        <f t="shared" si="31"/>
        <v>-4.0068557980151809</v>
      </c>
      <c r="J181" s="2">
        <f t="shared" si="32"/>
        <v>-7.9665216843049294</v>
      </c>
      <c r="K181" s="2">
        <f t="shared" si="33"/>
        <v>-4.0068964691055795</v>
      </c>
      <c r="L181" s="2">
        <f t="shared" si="34"/>
        <v>-3.3928610307193878</v>
      </c>
      <c r="M181" s="2"/>
      <c r="O181" s="4">
        <f t="shared" ca="1" si="35"/>
        <v>0.9754570134774132</v>
      </c>
      <c r="P181" s="4">
        <f t="shared" ca="1" si="36"/>
        <v>1.9678441455167903</v>
      </c>
      <c r="Q181" s="4">
        <f t="shared" ca="1" si="37"/>
        <v>1886.1336792954999</v>
      </c>
      <c r="R181" s="4">
        <f t="shared" ca="1" si="38"/>
        <v>-37.536364704500102</v>
      </c>
      <c r="S181" s="4">
        <f t="shared" ca="1" si="39"/>
        <v>-18.42772362016359</v>
      </c>
    </row>
    <row r="182" spans="3:19" x14ac:dyDescent="0.2">
      <c r="C182" s="1">
        <v>42118</v>
      </c>
      <c r="D182" s="2">
        <v>2117.6899410000001</v>
      </c>
      <c r="E182" s="3">
        <f t="shared" si="27"/>
        <v>2.2528002125912815E-3</v>
      </c>
      <c r="F182" s="3">
        <f t="shared" si="28"/>
        <v>2.2502664628334234E-3</v>
      </c>
      <c r="G182" s="2">
        <f t="shared" si="29"/>
        <v>1928.0036882840786</v>
      </c>
      <c r="H182" s="2">
        <f t="shared" si="30"/>
        <v>172.28188673296916</v>
      </c>
      <c r="I182" s="2">
        <f t="shared" si="31"/>
        <v>2.2013714654597152</v>
      </c>
      <c r="J182" s="2">
        <f t="shared" si="32"/>
        <v>4.3336442840786802</v>
      </c>
      <c r="K182" s="2">
        <f t="shared" si="33"/>
        <v>2.2013781367504524</v>
      </c>
      <c r="L182" s="2">
        <f t="shared" si="34"/>
        <v>2.5167520741485703</v>
      </c>
      <c r="M182" s="2"/>
      <c r="O182" s="4">
        <f t="shared" ca="1" si="35"/>
        <v>0.84036339710984342</v>
      </c>
      <c r="P182" s="4">
        <f t="shared" ca="1" si="36"/>
        <v>0.99595253933557848</v>
      </c>
      <c r="Q182" s="4">
        <f t="shared" ca="1" si="37"/>
        <v>1904.4719828071172</v>
      </c>
      <c r="R182" s="4">
        <f t="shared" ca="1" si="38"/>
        <v>-19.198061192882733</v>
      </c>
      <c r="S182" s="4">
        <f t="shared" ca="1" si="39"/>
        <v>-9.5682149245102295</v>
      </c>
    </row>
    <row r="183" spans="3:19" x14ac:dyDescent="0.2">
      <c r="C183" s="1">
        <v>42117</v>
      </c>
      <c r="D183" s="2">
        <v>2112.929932</v>
      </c>
      <c r="E183" s="3">
        <f t="shared" si="27"/>
        <v>2.3577160344365701E-3</v>
      </c>
      <c r="F183" s="3">
        <f t="shared" si="28"/>
        <v>2.3549409829866624E-3</v>
      </c>
      <c r="G183" s="2">
        <f t="shared" si="29"/>
        <v>1928.2055117077041</v>
      </c>
      <c r="H183" s="2">
        <f t="shared" si="30"/>
        <v>172.3847794000734</v>
      </c>
      <c r="I183" s="2">
        <f t="shared" si="31"/>
        <v>2.3042641325639579</v>
      </c>
      <c r="J183" s="2">
        <f t="shared" si="32"/>
        <v>4.5354677077041021</v>
      </c>
      <c r="K183" s="2">
        <f t="shared" si="33"/>
        <v>2.304271782325181</v>
      </c>
      <c r="L183" s="2">
        <f t="shared" si="34"/>
        <v>2.6339604758366022</v>
      </c>
      <c r="M183" s="2"/>
      <c r="O183" s="4">
        <f t="shared" ca="1" si="35"/>
        <v>0.63524371909108146</v>
      </c>
      <c r="P183" s="4">
        <f t="shared" ca="1" si="36"/>
        <v>0.34577400592801549</v>
      </c>
      <c r="Q183" s="4">
        <f t="shared" ca="1" si="37"/>
        <v>1916.7399880111284</v>
      </c>
      <c r="R183" s="4">
        <f t="shared" ca="1" si="38"/>
        <v>-6.9300559888715725</v>
      </c>
      <c r="S183" s="4">
        <f t="shared" ca="1" si="39"/>
        <v>-3.4885124460618053</v>
      </c>
    </row>
    <row r="184" spans="3:19" x14ac:dyDescent="0.2">
      <c r="C184" s="1">
        <v>42116</v>
      </c>
      <c r="D184" s="2">
        <v>2107.959961</v>
      </c>
      <c r="E184" s="3">
        <f t="shared" si="27"/>
        <v>5.0874804159597893E-3</v>
      </c>
      <c r="F184" s="3">
        <f t="shared" si="28"/>
        <v>5.0745829128360466E-3</v>
      </c>
      <c r="G184" s="2">
        <f t="shared" si="29"/>
        <v>1933.4566776756185</v>
      </c>
      <c r="H184" s="2">
        <f t="shared" si="30"/>
        <v>175.07351599048525</v>
      </c>
      <c r="I184" s="2">
        <f t="shared" si="31"/>
        <v>4.9930007229758075</v>
      </c>
      <c r="J184" s="2">
        <f t="shared" si="32"/>
        <v>9.7866336756185053</v>
      </c>
      <c r="K184" s="2">
        <f t="shared" si="33"/>
        <v>4.9930781829366904</v>
      </c>
      <c r="L184" s="2">
        <f t="shared" si="34"/>
        <v>5.6835607602902201</v>
      </c>
      <c r="M184" s="2"/>
      <c r="O184" s="4">
        <f t="shared" ca="1" si="35"/>
        <v>0.29837109210421797</v>
      </c>
      <c r="P184" s="4">
        <f t="shared" ca="1" si="36"/>
        <v>-0.52909120218871319</v>
      </c>
      <c r="Q184" s="4">
        <f t="shared" ca="1" si="37"/>
        <v>1933.2475322847513</v>
      </c>
      <c r="R184" s="4">
        <f t="shared" ca="1" si="38"/>
        <v>9.5774882847513254</v>
      </c>
      <c r="S184" s="4">
        <f t="shared" ca="1" si="39"/>
        <v>4.8855581410014652</v>
      </c>
    </row>
    <row r="185" spans="3:19" x14ac:dyDescent="0.2">
      <c r="C185" s="1">
        <v>42115</v>
      </c>
      <c r="D185" s="2">
        <v>2097.290039</v>
      </c>
      <c r="E185" s="3">
        <f t="shared" si="27"/>
        <v>-1.4806051919155593E-3</v>
      </c>
      <c r="F185" s="3">
        <f t="shared" si="28"/>
        <v>-1.4817023709090096E-3</v>
      </c>
      <c r="G185" s="2">
        <f t="shared" si="29"/>
        <v>1920.8218481453212</v>
      </c>
      <c r="H185" s="2">
        <f t="shared" si="30"/>
        <v>168.64203473640305</v>
      </c>
      <c r="I185" s="2">
        <f t="shared" si="31"/>
        <v>-1.4384805311063928</v>
      </c>
      <c r="J185" s="2">
        <f t="shared" si="32"/>
        <v>-2.8481958546788322</v>
      </c>
      <c r="K185" s="2">
        <f t="shared" si="33"/>
        <v>-1.4384824044851614</v>
      </c>
      <c r="L185" s="2">
        <f t="shared" si="34"/>
        <v>-1.2130178145669674</v>
      </c>
      <c r="M185" s="2"/>
      <c r="O185" s="4">
        <f t="shared" ca="1" si="35"/>
        <v>0.81304782950534671</v>
      </c>
      <c r="P185" s="4">
        <f t="shared" ca="1" si="36"/>
        <v>0.88918373815234908</v>
      </c>
      <c r="Q185" s="4">
        <f t="shared" ca="1" si="37"/>
        <v>1906.4865682497912</v>
      </c>
      <c r="R185" s="4">
        <f t="shared" ca="1" si="38"/>
        <v>-17.1834757502088</v>
      </c>
      <c r="S185" s="4">
        <f t="shared" ca="1" si="39"/>
        <v>-8.578247656451774</v>
      </c>
    </row>
    <row r="186" spans="3:19" x14ac:dyDescent="0.2">
      <c r="C186" s="1">
        <v>42114</v>
      </c>
      <c r="D186" s="2">
        <v>2100.3999020000001</v>
      </c>
      <c r="E186" s="3">
        <f t="shared" si="27"/>
        <v>9.235131333180711E-3</v>
      </c>
      <c r="F186" s="3">
        <f t="shared" si="28"/>
        <v>9.1927482501988188E-3</v>
      </c>
      <c r="G186" s="2">
        <f t="shared" si="29"/>
        <v>1941.4353894980454</v>
      </c>
      <c r="H186" s="2">
        <f t="shared" si="30"/>
        <v>179.20151250225877</v>
      </c>
      <c r="I186" s="2">
        <f t="shared" si="31"/>
        <v>9.1209972347493249</v>
      </c>
      <c r="J186" s="2">
        <f t="shared" si="32"/>
        <v>17.765345498045516</v>
      </c>
      <c r="K186" s="2">
        <f t="shared" si="33"/>
        <v>9.1214660019207994</v>
      </c>
      <c r="L186" s="2">
        <f t="shared" si="34"/>
        <v>10.317175845381655</v>
      </c>
      <c r="M186" s="2"/>
      <c r="O186" s="4">
        <f t="shared" ca="1" si="35"/>
        <v>5.7574591899819394E-3</v>
      </c>
      <c r="P186" s="4">
        <f t="shared" ca="1" si="36"/>
        <v>-2.52667140390672</v>
      </c>
      <c r="Q186" s="4">
        <f t="shared" ca="1" si="37"/>
        <v>1970.9392170312003</v>
      </c>
      <c r="R186" s="4">
        <f t="shared" ca="1" si="38"/>
        <v>47.269173031200353</v>
      </c>
      <c r="S186" s="4">
        <f t="shared" ca="1" si="39"/>
        <v>24.837663572353186</v>
      </c>
    </row>
    <row r="187" spans="3:19" x14ac:dyDescent="0.2">
      <c r="C187" s="1">
        <v>42111</v>
      </c>
      <c r="D187" s="2">
        <v>2081.179932</v>
      </c>
      <c r="E187" s="3">
        <f t="shared" si="27"/>
        <v>-1.1311245237798032E-2</v>
      </c>
      <c r="F187" s="3">
        <f t="shared" si="28"/>
        <v>-1.1375703905032222E-2</v>
      </c>
      <c r="G187" s="2">
        <f t="shared" si="29"/>
        <v>1901.9109403757102</v>
      </c>
      <c r="H187" s="2">
        <f t="shared" si="30"/>
        <v>159.25938503224927</v>
      </c>
      <c r="I187" s="2">
        <f t="shared" si="31"/>
        <v>-10.821130235260171</v>
      </c>
      <c r="J187" s="2">
        <f t="shared" si="32"/>
        <v>-21.759103624289732</v>
      </c>
      <c r="K187" s="2">
        <f t="shared" si="33"/>
        <v>-10.821940961114191</v>
      </c>
      <c r="L187" s="2">
        <f t="shared" si="34"/>
        <v>-9.2669822132892818</v>
      </c>
      <c r="M187" s="2"/>
      <c r="O187" s="4">
        <f t="shared" ca="1" si="35"/>
        <v>0.81937867485976845</v>
      </c>
      <c r="P187" s="4">
        <f t="shared" ca="1" si="36"/>
        <v>0.91299979324470615</v>
      </c>
      <c r="Q187" s="4">
        <f t="shared" ca="1" si="37"/>
        <v>1906.0371909283331</v>
      </c>
      <c r="R187" s="4">
        <f t="shared" ca="1" si="38"/>
        <v>-17.632853071666887</v>
      </c>
      <c r="S187" s="4">
        <f t="shared" ca="1" si="39"/>
        <v>-8.799357987983667</v>
      </c>
    </row>
    <row r="188" spans="3:19" x14ac:dyDescent="0.2">
      <c r="C188" s="1">
        <v>42110</v>
      </c>
      <c r="D188" s="2">
        <v>2104.98999</v>
      </c>
      <c r="E188" s="3">
        <f t="shared" si="27"/>
        <v>-7.7844381361603856E-4</v>
      </c>
      <c r="F188" s="3">
        <f t="shared" si="28"/>
        <v>-7.7874695833246642E-4</v>
      </c>
      <c r="G188" s="2">
        <f t="shared" si="29"/>
        <v>1922.1725749548098</v>
      </c>
      <c r="H188" s="2">
        <f t="shared" si="30"/>
        <v>169.32339485963757</v>
      </c>
      <c r="I188" s="2">
        <f t="shared" si="31"/>
        <v>-0.75712040787186652</v>
      </c>
      <c r="J188" s="2">
        <f t="shared" si="32"/>
        <v>-1.4974690451902926</v>
      </c>
      <c r="K188" s="2">
        <f t="shared" si="33"/>
        <v>-0.75712068069901228</v>
      </c>
      <c r="L188" s="2">
        <f t="shared" si="34"/>
        <v>-0.63775692447359233</v>
      </c>
      <c r="M188" s="2"/>
      <c r="O188" s="4">
        <f t="shared" ca="1" si="35"/>
        <v>0.29219455742598455</v>
      </c>
      <c r="P188" s="4">
        <f t="shared" ca="1" si="36"/>
        <v>-0.54698488729917127</v>
      </c>
      <c r="Q188" s="4">
        <f t="shared" ca="1" si="37"/>
        <v>1933.5851623521473</v>
      </c>
      <c r="R188" s="4">
        <f t="shared" ca="1" si="38"/>
        <v>9.915118352147374</v>
      </c>
      <c r="S188" s="4">
        <f t="shared" ca="1" si="39"/>
        <v>5.0591488288342159</v>
      </c>
    </row>
    <row r="189" spans="3:19" x14ac:dyDescent="0.2">
      <c r="C189" s="1">
        <v>42109</v>
      </c>
      <c r="D189" s="2">
        <v>2106.6298830000001</v>
      </c>
      <c r="E189" s="3">
        <f t="shared" si="27"/>
        <v>5.1481957339104684E-3</v>
      </c>
      <c r="F189" s="3">
        <f t="shared" si="28"/>
        <v>5.134989081813774E-3</v>
      </c>
      <c r="G189" s="2">
        <f t="shared" si="29"/>
        <v>1933.5734739139723</v>
      </c>
      <c r="H189" s="2">
        <f t="shared" si="30"/>
        <v>175.13357271741052</v>
      </c>
      <c r="I189" s="2">
        <f t="shared" si="31"/>
        <v>5.0530574499010754</v>
      </c>
      <c r="J189" s="2">
        <f t="shared" si="32"/>
        <v>9.9034299139721629</v>
      </c>
      <c r="K189" s="2">
        <f t="shared" si="33"/>
        <v>5.0531377302211986</v>
      </c>
      <c r="L189" s="2">
        <f t="shared" si="34"/>
        <v>5.7513898565106558</v>
      </c>
      <c r="M189" s="2"/>
      <c r="O189" s="4">
        <f t="shared" ca="1" si="35"/>
        <v>0.63162389110351702</v>
      </c>
      <c r="P189" s="4">
        <f t="shared" ca="1" si="36"/>
        <v>0.33615734370964329</v>
      </c>
      <c r="Q189" s="4">
        <f t="shared" ca="1" si="37"/>
        <v>1916.9214416520567</v>
      </c>
      <c r="R189" s="4">
        <f t="shared" ca="1" si="38"/>
        <v>-6.7486023479432333</v>
      </c>
      <c r="S189" s="4">
        <f t="shared" ca="1" si="39"/>
        <v>-3.3976691987636207</v>
      </c>
    </row>
    <row r="190" spans="3:19" x14ac:dyDescent="0.2">
      <c r="C190" s="1">
        <v>42108</v>
      </c>
      <c r="D190" s="2">
        <v>2095.8400879999999</v>
      </c>
      <c r="E190" s="3">
        <f t="shared" si="27"/>
        <v>1.6297587545693335E-3</v>
      </c>
      <c r="F190" s="3">
        <f t="shared" si="28"/>
        <v>1.6284321389502543E-3</v>
      </c>
      <c r="G190" s="2">
        <f t="shared" si="29"/>
        <v>1926.8051620951117</v>
      </c>
      <c r="H190" s="2">
        <f t="shared" si="30"/>
        <v>171.6715413034791</v>
      </c>
      <c r="I190" s="2">
        <f t="shared" si="31"/>
        <v>1.5910260359696622</v>
      </c>
      <c r="J190" s="2">
        <f t="shared" si="32"/>
        <v>3.1351180951117747</v>
      </c>
      <c r="K190" s="2">
        <f t="shared" si="33"/>
        <v>1.5910285572946357</v>
      </c>
      <c r="L190" s="2">
        <f t="shared" si="34"/>
        <v>1.8207112654726245</v>
      </c>
      <c r="M190" s="2"/>
      <c r="O190" s="4">
        <f t="shared" ca="1" si="35"/>
        <v>0.92568482878742042</v>
      </c>
      <c r="P190" s="4">
        <f t="shared" ca="1" si="36"/>
        <v>1.4443862994022527</v>
      </c>
      <c r="Q190" s="4">
        <f t="shared" ca="1" si="37"/>
        <v>1896.0106334707746</v>
      </c>
      <c r="R190" s="4">
        <f t="shared" ca="1" si="38"/>
        <v>-27.659410529225397</v>
      </c>
      <c r="S190" s="4">
        <f t="shared" ca="1" si="39"/>
        <v>-13.690039073278815</v>
      </c>
    </row>
    <row r="191" spans="3:19" x14ac:dyDescent="0.2">
      <c r="C191" s="1">
        <v>42107</v>
      </c>
      <c r="D191" s="2">
        <v>2092.429932</v>
      </c>
      <c r="E191" s="3">
        <f t="shared" si="27"/>
        <v>-4.5812806150653867E-3</v>
      </c>
      <c r="F191" s="3">
        <f t="shared" si="28"/>
        <v>-4.5918068424737933E-3</v>
      </c>
      <c r="G191" s="2">
        <f t="shared" si="29"/>
        <v>1914.8571717176408</v>
      </c>
      <c r="H191" s="2">
        <f t="shared" si="30"/>
        <v>165.65102371446221</v>
      </c>
      <c r="I191" s="2">
        <f t="shared" si="31"/>
        <v>-4.4294915530472281</v>
      </c>
      <c r="J191" s="2">
        <f t="shared" si="32"/>
        <v>-8.8128722823591801</v>
      </c>
      <c r="K191" s="2">
        <f t="shared" si="33"/>
        <v>-4.4295465398745018</v>
      </c>
      <c r="L191" s="2">
        <f t="shared" si="34"/>
        <v>-3.7533131924352574</v>
      </c>
      <c r="M191" s="2"/>
      <c r="O191" s="4">
        <f t="shared" ca="1" si="35"/>
        <v>0.58748045226306667</v>
      </c>
      <c r="P191" s="4">
        <f t="shared" ca="1" si="36"/>
        <v>0.22106850174046144</v>
      </c>
      <c r="Q191" s="4">
        <f t="shared" ca="1" si="37"/>
        <v>1919.0930152117094</v>
      </c>
      <c r="R191" s="4">
        <f t="shared" ca="1" si="38"/>
        <v>-4.5770287882905905</v>
      </c>
      <c r="S191" s="4">
        <f t="shared" ca="1" si="39"/>
        <v>-2.308409032614513</v>
      </c>
    </row>
    <row r="192" spans="3:19" x14ac:dyDescent="0.2">
      <c r="C192" s="1">
        <v>42104</v>
      </c>
      <c r="D192" s="2">
        <v>2102.0600589999999</v>
      </c>
      <c r="E192" s="3">
        <f t="shared" si="27"/>
        <v>5.2028650588637638E-3</v>
      </c>
      <c r="F192" s="3">
        <f t="shared" si="28"/>
        <v>5.1893769208662789E-3</v>
      </c>
      <c r="G192" s="2">
        <f t="shared" si="29"/>
        <v>1933.6786396567106</v>
      </c>
      <c r="H192" s="2">
        <f t="shared" si="30"/>
        <v>175.18765847741679</v>
      </c>
      <c r="I192" s="2">
        <f t="shared" si="31"/>
        <v>5.107143209907349</v>
      </c>
      <c r="J192" s="2">
        <f t="shared" si="32"/>
        <v>10.008595656710519</v>
      </c>
      <c r="K192" s="2">
        <f t="shared" si="33"/>
        <v>5.1072260878710365</v>
      </c>
      <c r="L192" s="2">
        <f t="shared" si="34"/>
        <v>5.8124645741883967</v>
      </c>
      <c r="M192" s="2"/>
      <c r="O192" s="4">
        <f t="shared" ca="1" si="35"/>
        <v>0.12953786039252679</v>
      </c>
      <c r="P192" s="4">
        <f t="shared" ca="1" si="36"/>
        <v>-1.1285784143291708</v>
      </c>
      <c r="Q192" s="4">
        <f t="shared" ca="1" si="37"/>
        <v>1944.5590595966921</v>
      </c>
      <c r="R192" s="4">
        <f t="shared" ca="1" si="38"/>
        <v>20.889015596692161</v>
      </c>
      <c r="S192" s="4">
        <f t="shared" ca="1" si="39"/>
        <v>10.751849353541273</v>
      </c>
    </row>
    <row r="193" spans="3:19" x14ac:dyDescent="0.2">
      <c r="C193" s="1">
        <v>42103</v>
      </c>
      <c r="D193" s="2">
        <v>2091.179932</v>
      </c>
      <c r="E193" s="3">
        <f t="shared" si="27"/>
        <v>4.4574813568533881E-3</v>
      </c>
      <c r="F193" s="3">
        <f t="shared" si="28"/>
        <v>4.4475762105921478E-3</v>
      </c>
      <c r="G193" s="2">
        <f t="shared" si="29"/>
        <v>1932.2447673578674</v>
      </c>
      <c r="H193" s="2">
        <f t="shared" si="30"/>
        <v>174.45100233655569</v>
      </c>
      <c r="I193" s="2">
        <f t="shared" si="31"/>
        <v>4.3704870690462485</v>
      </c>
      <c r="J193" s="2">
        <f t="shared" si="32"/>
        <v>8.5747233578673363</v>
      </c>
      <c r="K193" s="2">
        <f t="shared" si="33"/>
        <v>4.3705390756701039</v>
      </c>
      <c r="L193" s="2">
        <f t="shared" si="34"/>
        <v>4.9797471554016397</v>
      </c>
      <c r="M193" s="2"/>
      <c r="O193" s="4">
        <f t="shared" ca="1" si="35"/>
        <v>0.10045217025268693</v>
      </c>
      <c r="P193" s="4">
        <f t="shared" ca="1" si="36"/>
        <v>-1.2789793138778571</v>
      </c>
      <c r="Q193" s="4">
        <f t="shared" ca="1" si="37"/>
        <v>1947.3969247730172</v>
      </c>
      <c r="R193" s="4">
        <f t="shared" ca="1" si="38"/>
        <v>23.726880773017228</v>
      </c>
      <c r="S193" s="4">
        <f t="shared" ca="1" si="39"/>
        <v>12.239945124095422</v>
      </c>
    </row>
    <row r="194" spans="3:19" x14ac:dyDescent="0.2">
      <c r="C194" s="1">
        <v>42102</v>
      </c>
      <c r="D194" s="2">
        <v>2081.8999020000001</v>
      </c>
      <c r="E194" s="3">
        <f t="shared" si="27"/>
        <v>2.6825330225747246E-3</v>
      </c>
      <c r="F194" s="3">
        <f t="shared" si="28"/>
        <v>2.6789414524361062E-3</v>
      </c>
      <c r="G194" s="2">
        <f t="shared" si="29"/>
        <v>1928.8303524175678</v>
      </c>
      <c r="H194" s="2">
        <f t="shared" si="30"/>
        <v>172.70354241371069</v>
      </c>
      <c r="I194" s="2">
        <f t="shared" si="31"/>
        <v>2.6230271462012524</v>
      </c>
      <c r="J194" s="2">
        <f t="shared" si="32"/>
        <v>5.1603084175677738</v>
      </c>
      <c r="K194" s="2">
        <f t="shared" si="33"/>
        <v>2.6230384237693531</v>
      </c>
      <c r="L194" s="2">
        <f t="shared" si="34"/>
        <v>2.9968350104032311</v>
      </c>
      <c r="M194" s="2"/>
      <c r="O194" s="4">
        <f t="shared" ca="1" si="35"/>
        <v>0.75819500284118957</v>
      </c>
      <c r="P194" s="4">
        <f t="shared" ca="1" si="36"/>
        <v>0.70050818668732651</v>
      </c>
      <c r="Q194" s="4">
        <f t="shared" ca="1" si="37"/>
        <v>1910.0466252623032</v>
      </c>
      <c r="R194" s="4">
        <f t="shared" ca="1" si="38"/>
        <v>-13.623418737696738</v>
      </c>
      <c r="S194" s="4">
        <f t="shared" ca="1" si="39"/>
        <v>-6.8207569589874577</v>
      </c>
    </row>
    <row r="195" spans="3:19" x14ac:dyDescent="0.2">
      <c r="C195" s="1">
        <v>42101</v>
      </c>
      <c r="D195" s="2">
        <v>2076.330078</v>
      </c>
      <c r="E195" s="3">
        <f t="shared" ref="E195:E252" si="40">(D195-D196)/D196</f>
        <v>-2.0619040280095394E-3</v>
      </c>
      <c r="F195" s="3">
        <f t="shared" ref="F195:F252" si="41">LN(D195/D196)</f>
        <v>-2.0640326786721432E-3</v>
      </c>
      <c r="G195" s="2">
        <f t="shared" ref="G195:G252" si="42">$D$2*(1+E195)</f>
        <v>1919.7036209877151</v>
      </c>
      <c r="H195" s="2">
        <f t="shared" ref="H195:H252" si="43">G195*EXP(-$B$9*$B$7)*_xlfn.NORM.S.DIST((LN(G195/$B$5)+($B$8-$B$9+0.5*$B$6^2)*$B$7)/($B$6*SQRT($B$7)),TRUE)-$B$5*EXP(-$B$8*$B$7)*_xlfn.NORM.S.DIST((LN(G195/$B$5)+($B$8-$B$9-0.5*$B$6^2)*$B$7)/($B$6*SQRT($B$7)),TRUE)</f>
        <v>168.07908236011053</v>
      </c>
      <c r="I195" s="2">
        <f t="shared" ref="I195:I252" si="44">H195-$B$10</f>
        <v>-2.0014329073989074</v>
      </c>
      <c r="J195" s="2">
        <f t="shared" ref="J195:J252" si="45">E195*$B$4</f>
        <v>-3.9664230122848876</v>
      </c>
      <c r="K195" s="2">
        <f t="shared" ref="K195:K252" si="46">$B$12*J195+0.5*$B$13*J195^2</f>
        <v>-2.0014379582768393</v>
      </c>
      <c r="L195" s="2">
        <f t="shared" ref="L195:L252" si="47">linearinterp(A$22:A$28,B$22:B$28,7,1+E195)-$B$10</f>
        <v>-1.689259453877213</v>
      </c>
      <c r="M195" s="2"/>
      <c r="O195" s="4">
        <f t="shared" ref="O195:O258" ca="1" si="48">RAND()</f>
        <v>0.8628707803784218</v>
      </c>
      <c r="P195" s="4">
        <f t="shared" ref="P195:P258" ca="1" si="49">NORMSINV(O195)</f>
        <v>1.0933083470709792</v>
      </c>
      <c r="Q195" s="4">
        <f t="shared" ref="Q195:Q258" ca="1" si="50">$B$4*(1+$B$17-$B$32*P195)</f>
        <v>1902.6350080462325</v>
      </c>
      <c r="R195" s="4">
        <f t="shared" ref="R195:R258" ca="1" si="51">Q195-$B$4</f>
        <v>-21.035035953767419</v>
      </c>
      <c r="S195" s="4">
        <f t="shared" ref="S195:S258" ca="1" si="52">R195*$B$12+0.5*$B$13*R195^2</f>
        <v>-10.468024201292966</v>
      </c>
    </row>
    <row r="196" spans="3:19" x14ac:dyDescent="0.2">
      <c r="C196" s="1">
        <v>42100</v>
      </c>
      <c r="D196" s="2">
        <v>2080.6201169999999</v>
      </c>
      <c r="E196" s="3">
        <f t="shared" si="40"/>
        <v>6.6088150025852945E-3</v>
      </c>
      <c r="F196" s="3">
        <f t="shared" si="41"/>
        <v>6.5870725268106249E-3</v>
      </c>
      <c r="G196" s="2">
        <f t="shared" si="42"/>
        <v>1936.3832234468111</v>
      </c>
      <c r="H196" s="2">
        <f t="shared" si="43"/>
        <v>176.58167323030671</v>
      </c>
      <c r="I196" s="2">
        <f t="shared" si="44"/>
        <v>6.5011579627972651</v>
      </c>
      <c r="J196" s="2">
        <f t="shared" si="45"/>
        <v>12.713179446811113</v>
      </c>
      <c r="K196" s="2">
        <f t="shared" si="46"/>
        <v>6.5013284961508155</v>
      </c>
      <c r="L196" s="2">
        <f t="shared" si="47"/>
        <v>7.3831442186742038</v>
      </c>
      <c r="M196" s="2"/>
      <c r="O196" s="4">
        <f t="shared" ca="1" si="48"/>
        <v>0.58993089540947941</v>
      </c>
      <c r="P196" s="4">
        <f t="shared" ca="1" si="49"/>
        <v>0.22736721779512561</v>
      </c>
      <c r="Q196" s="4">
        <f t="shared" ca="1" si="50"/>
        <v>1918.9741668072068</v>
      </c>
      <c r="R196" s="4">
        <f t="shared" ca="1" si="51"/>
        <v>-4.6958771927932048</v>
      </c>
      <c r="S196" s="4">
        <f t="shared" ca="1" si="52"/>
        <v>-2.3681226402680653</v>
      </c>
    </row>
    <row r="197" spans="3:19" x14ac:dyDescent="0.2">
      <c r="C197" s="1">
        <v>42096</v>
      </c>
      <c r="D197" s="2">
        <v>2066.959961</v>
      </c>
      <c r="E197" s="3">
        <f t="shared" si="40"/>
        <v>3.5296671869311865E-3</v>
      </c>
      <c r="F197" s="3">
        <f t="shared" si="41"/>
        <v>3.5234525311901902E-3</v>
      </c>
      <c r="G197" s="2">
        <f t="shared" si="42"/>
        <v>1930.4599590327891</v>
      </c>
      <c r="H197" s="2">
        <f t="shared" si="43"/>
        <v>173.53637810061491</v>
      </c>
      <c r="I197" s="2">
        <f t="shared" si="44"/>
        <v>3.4558628331054706</v>
      </c>
      <c r="J197" s="2">
        <f t="shared" si="45"/>
        <v>6.7899150327892714</v>
      </c>
      <c r="K197" s="2">
        <f t="shared" si="46"/>
        <v>3.4558885867679319</v>
      </c>
      <c r="L197" s="2">
        <f t="shared" si="47"/>
        <v>3.9432245984855285</v>
      </c>
      <c r="M197" s="2"/>
      <c r="O197" s="4">
        <f t="shared" ca="1" si="48"/>
        <v>0.92191162646638369</v>
      </c>
      <c r="P197" s="4">
        <f t="shared" ca="1" si="49"/>
        <v>1.4180480147634515</v>
      </c>
      <c r="Q197" s="4">
        <f t="shared" ca="1" si="50"/>
        <v>1896.50760191315</v>
      </c>
      <c r="R197" s="4">
        <f t="shared" ca="1" si="51"/>
        <v>-27.162442086849978</v>
      </c>
      <c r="S197" s="4">
        <f t="shared" ca="1" si="52"/>
        <v>-13.449559271421899</v>
      </c>
    </row>
    <row r="198" spans="3:19" x14ac:dyDescent="0.2">
      <c r="C198" s="1">
        <v>42095</v>
      </c>
      <c r="D198" s="2">
        <v>2059.6899410000001</v>
      </c>
      <c r="E198" s="3">
        <f t="shared" si="40"/>
        <v>-3.9653716707826374E-3</v>
      </c>
      <c r="F198" s="3">
        <f t="shared" si="41"/>
        <v>-3.9732546030981607E-3</v>
      </c>
      <c r="G198" s="2">
        <f t="shared" si="42"/>
        <v>1916.0419773035892</v>
      </c>
      <c r="H198" s="2">
        <f t="shared" si="43"/>
        <v>166.24283521340817</v>
      </c>
      <c r="I198" s="2">
        <f t="shared" si="44"/>
        <v>-3.8376800541012699</v>
      </c>
      <c r="J198" s="2">
        <f t="shared" si="45"/>
        <v>-7.628066696410789</v>
      </c>
      <c r="K198" s="2">
        <f t="shared" si="46"/>
        <v>-3.8377157774291493</v>
      </c>
      <c r="L198" s="2">
        <f t="shared" si="47"/>
        <v>-3.2487164737113403</v>
      </c>
      <c r="M198" s="2"/>
      <c r="O198" s="4">
        <f t="shared" ca="1" si="48"/>
        <v>0.51768414527851669</v>
      </c>
      <c r="P198" s="4">
        <f t="shared" ca="1" si="49"/>
        <v>4.4342105355901919E-2</v>
      </c>
      <c r="Q198" s="4">
        <f t="shared" ca="1" si="50"/>
        <v>1922.427607541556</v>
      </c>
      <c r="R198" s="4">
        <f t="shared" ca="1" si="51"/>
        <v>-1.24243645844399</v>
      </c>
      <c r="S198" s="4">
        <f t="shared" ca="1" si="52"/>
        <v>-0.62830513307201996</v>
      </c>
    </row>
    <row r="199" spans="3:19" x14ac:dyDescent="0.2">
      <c r="C199" s="1">
        <v>42094</v>
      </c>
      <c r="D199" s="2">
        <v>2067.889893</v>
      </c>
      <c r="E199" s="3">
        <f t="shared" si="40"/>
        <v>-8.795774737306231E-3</v>
      </c>
      <c r="F199" s="3">
        <f t="shared" si="41"/>
        <v>-8.834685901175145E-3</v>
      </c>
      <c r="G199" s="2">
        <f t="shared" si="42"/>
        <v>1906.749875624072</v>
      </c>
      <c r="H199" s="2">
        <f t="shared" si="43"/>
        <v>161.6322852032115</v>
      </c>
      <c r="I199" s="2">
        <f t="shared" si="44"/>
        <v>-8.4482300642979453</v>
      </c>
      <c r="J199" s="2">
        <f t="shared" si="45"/>
        <v>-16.920168375927965</v>
      </c>
      <c r="K199" s="2">
        <f t="shared" si="46"/>
        <v>-8.4486142607313379</v>
      </c>
      <c r="L199" s="2">
        <f t="shared" si="47"/>
        <v>-7.2061286205994577</v>
      </c>
      <c r="M199" s="2"/>
      <c r="O199" s="4">
        <f t="shared" ca="1" si="48"/>
        <v>0.53170955449945656</v>
      </c>
      <c r="P199" s="4">
        <f t="shared" ca="1" si="49"/>
        <v>7.9567944421627623E-2</v>
      </c>
      <c r="Q199" s="4">
        <f t="shared" ca="1" si="50"/>
        <v>1921.7629427537031</v>
      </c>
      <c r="R199" s="4">
        <f t="shared" ca="1" si="51"/>
        <v>-1.9071012462968611</v>
      </c>
      <c r="S199" s="4">
        <f t="shared" ca="1" si="52"/>
        <v>-0.96391280566384918</v>
      </c>
    </row>
    <row r="200" spans="3:19" x14ac:dyDescent="0.2">
      <c r="C200" s="1">
        <v>42093</v>
      </c>
      <c r="D200" s="2">
        <v>2086.23999</v>
      </c>
      <c r="E200" s="3">
        <f t="shared" si="40"/>
        <v>1.2236644843459649E-2</v>
      </c>
      <c r="F200" s="3">
        <f t="shared" si="41"/>
        <v>1.2162382307370311E-2</v>
      </c>
      <c r="G200" s="2">
        <f t="shared" si="42"/>
        <v>1947.2093111244303</v>
      </c>
      <c r="H200" s="2">
        <f t="shared" si="43"/>
        <v>182.22077920957599</v>
      </c>
      <c r="I200" s="2">
        <f t="shared" si="44"/>
        <v>12.140263942066554</v>
      </c>
      <c r="J200" s="2">
        <f t="shared" si="45"/>
        <v>23.539267124430395</v>
      </c>
      <c r="K200" s="2">
        <f t="shared" si="46"/>
        <v>12.141363459438741</v>
      </c>
      <c r="L200" s="2">
        <f t="shared" si="47"/>
        <v>13.670365049803308</v>
      </c>
      <c r="M200" s="2"/>
      <c r="O200" s="4">
        <f t="shared" ca="1" si="48"/>
        <v>0.10383818393144029</v>
      </c>
      <c r="P200" s="4">
        <f t="shared" ca="1" si="49"/>
        <v>-1.2599805802256709</v>
      </c>
      <c r="Q200" s="4">
        <f t="shared" ca="1" si="50"/>
        <v>1947.0384439076258</v>
      </c>
      <c r="R200" s="4">
        <f t="shared" ca="1" si="51"/>
        <v>23.368399907625871</v>
      </c>
      <c r="S200" s="4">
        <f t="shared" ca="1" si="52"/>
        <v>12.051606147938417</v>
      </c>
    </row>
    <row r="201" spans="3:19" x14ac:dyDescent="0.2">
      <c r="C201" s="1">
        <v>42090</v>
      </c>
      <c r="D201" s="2">
        <v>2061.0200199999999</v>
      </c>
      <c r="E201" s="3">
        <f t="shared" si="40"/>
        <v>2.3685617450666884E-3</v>
      </c>
      <c r="F201" s="3">
        <f t="shared" si="41"/>
        <v>2.3657611241204987E-3</v>
      </c>
      <c r="G201" s="2">
        <f t="shared" si="42"/>
        <v>1928.226375276349</v>
      </c>
      <c r="H201" s="2">
        <f t="shared" si="43"/>
        <v>172.39541785247195</v>
      </c>
      <c r="I201" s="2">
        <f t="shared" si="44"/>
        <v>2.3149025849625104</v>
      </c>
      <c r="J201" s="2">
        <f t="shared" si="45"/>
        <v>4.5563312763491535</v>
      </c>
      <c r="K201" s="2">
        <f t="shared" si="46"/>
        <v>2.3149103410217253</v>
      </c>
      <c r="L201" s="2">
        <f t="shared" si="47"/>
        <v>2.6460769363070824</v>
      </c>
      <c r="M201" s="2"/>
      <c r="O201" s="4">
        <f t="shared" ca="1" si="48"/>
        <v>0.77680010277229539</v>
      </c>
      <c r="P201" s="4">
        <f t="shared" ca="1" si="49"/>
        <v>0.76143080380361372</v>
      </c>
      <c r="Q201" s="4">
        <f t="shared" ca="1" si="50"/>
        <v>1908.8970964091936</v>
      </c>
      <c r="R201" s="4">
        <f t="shared" ca="1" si="51"/>
        <v>-14.772947590806325</v>
      </c>
      <c r="S201" s="4">
        <f t="shared" ca="1" si="52"/>
        <v>-7.3893719901968495</v>
      </c>
    </row>
    <row r="202" spans="3:19" x14ac:dyDescent="0.2">
      <c r="C202" s="1">
        <v>42089</v>
      </c>
      <c r="D202" s="2">
        <v>2056.1499020000001</v>
      </c>
      <c r="E202" s="3">
        <f t="shared" si="40"/>
        <v>-2.3775002467200318E-3</v>
      </c>
      <c r="F202" s="3">
        <f t="shared" si="41"/>
        <v>-2.3803309880471176E-3</v>
      </c>
      <c r="G202" s="2">
        <f t="shared" si="42"/>
        <v>1919.0965179957821</v>
      </c>
      <c r="H202" s="2">
        <f t="shared" si="43"/>
        <v>167.77387406695914</v>
      </c>
      <c r="I202" s="2">
        <f t="shared" si="44"/>
        <v>-2.3066412005503025</v>
      </c>
      <c r="J202" s="2">
        <f t="shared" si="45"/>
        <v>-4.5735260042179346</v>
      </c>
      <c r="K202" s="2">
        <f t="shared" si="46"/>
        <v>-2.306648936560304</v>
      </c>
      <c r="L202" s="2">
        <f t="shared" si="47"/>
        <v>-1.9478184793325397</v>
      </c>
      <c r="M202" s="2"/>
      <c r="O202" s="4">
        <f t="shared" ca="1" si="48"/>
        <v>0.49652948134321806</v>
      </c>
      <c r="P202" s="4">
        <f t="shared" ca="1" si="49"/>
        <v>-8.6994099196483175E-3</v>
      </c>
      <c r="Q202" s="4">
        <f t="shared" ca="1" si="50"/>
        <v>1923.4284304724806</v>
      </c>
      <c r="R202" s="4">
        <f t="shared" ca="1" si="51"/>
        <v>-0.24161352751934828</v>
      </c>
      <c r="S202" s="4">
        <f t="shared" ca="1" si="52"/>
        <v>-0.12228337069240582</v>
      </c>
    </row>
    <row r="203" spans="3:19" x14ac:dyDescent="0.2">
      <c r="C203" s="1">
        <v>42088</v>
      </c>
      <c r="D203" s="2">
        <v>2061.0500489999999</v>
      </c>
      <c r="E203" s="3">
        <f t="shared" si="40"/>
        <v>-1.455890557016498E-2</v>
      </c>
      <c r="F203" s="3">
        <f t="shared" si="41"/>
        <v>-1.4665926443847035E-2</v>
      </c>
      <c r="G203" s="2">
        <f t="shared" si="42"/>
        <v>1895.6635134812489</v>
      </c>
      <c r="H203" s="2">
        <f t="shared" si="43"/>
        <v>156.22433747586592</v>
      </c>
      <c r="I203" s="2">
        <f t="shared" si="44"/>
        <v>-13.856177791643518</v>
      </c>
      <c r="J203" s="2">
        <f t="shared" si="45"/>
        <v>-28.006530518751113</v>
      </c>
      <c r="K203" s="2">
        <f t="shared" si="46"/>
        <v>-13.857888910676435</v>
      </c>
      <c r="L203" s="2">
        <f t="shared" si="47"/>
        <v>-11.927698155887668</v>
      </c>
      <c r="M203" s="2"/>
      <c r="O203" s="4">
        <f t="shared" ca="1" si="48"/>
        <v>0.16548457445377962</v>
      </c>
      <c r="P203" s="4">
        <f t="shared" ca="1" si="49"/>
        <v>-0.97216363426952634</v>
      </c>
      <c r="Q203" s="4">
        <f t="shared" ca="1" si="50"/>
        <v>1941.6077204841888</v>
      </c>
      <c r="R203" s="4">
        <f t="shared" ca="1" si="51"/>
        <v>17.937676484188842</v>
      </c>
      <c r="S203" s="4">
        <f t="shared" ca="1" si="52"/>
        <v>9.2112062249534876</v>
      </c>
    </row>
    <row r="204" spans="3:19" x14ac:dyDescent="0.2">
      <c r="C204" s="1">
        <v>42087</v>
      </c>
      <c r="D204" s="2">
        <v>2091.5</v>
      </c>
      <c r="E204" s="3">
        <f t="shared" si="40"/>
        <v>-6.1394220159830069E-3</v>
      </c>
      <c r="F204" s="3">
        <f t="shared" si="41"/>
        <v>-6.1583457609898215E-3</v>
      </c>
      <c r="G204" s="2">
        <f t="shared" si="42"/>
        <v>1911.8598217803792</v>
      </c>
      <c r="H204" s="2">
        <f t="shared" si="43"/>
        <v>164.15897538049353</v>
      </c>
      <c r="I204" s="2">
        <f t="shared" si="44"/>
        <v>-5.9215398870159106</v>
      </c>
      <c r="J204" s="2">
        <f t="shared" si="45"/>
        <v>-11.810222219620599</v>
      </c>
      <c r="K204" s="2">
        <f t="shared" si="46"/>
        <v>-5.9216716028906884</v>
      </c>
      <c r="L204" s="2">
        <f t="shared" si="47"/>
        <v>-5.0298542225813492</v>
      </c>
      <c r="M204" s="2"/>
      <c r="O204" s="4">
        <f t="shared" ca="1" si="48"/>
        <v>0.54352462781875099</v>
      </c>
      <c r="P204" s="4">
        <f t="shared" ca="1" si="49"/>
        <v>0.10931740218894076</v>
      </c>
      <c r="Q204" s="4">
        <f t="shared" ca="1" si="50"/>
        <v>1921.201610005922</v>
      </c>
      <c r="R204" s="4">
        <f t="shared" ca="1" si="51"/>
        <v>-2.468433994077941</v>
      </c>
      <c r="S204" s="4">
        <f t="shared" ca="1" si="52"/>
        <v>-1.2470651253580094</v>
      </c>
    </row>
    <row r="205" spans="3:19" x14ac:dyDescent="0.2">
      <c r="C205" s="1">
        <v>42086</v>
      </c>
      <c r="D205" s="2">
        <v>2104.419922</v>
      </c>
      <c r="E205" s="3">
        <f t="shared" si="40"/>
        <v>-1.7457311460168847E-3</v>
      </c>
      <c r="F205" s="3">
        <f t="shared" si="41"/>
        <v>-1.7472567103759362E-3</v>
      </c>
      <c r="G205" s="2">
        <f t="shared" si="42"/>
        <v>1920.3118332895297</v>
      </c>
      <c r="H205" s="2">
        <f t="shared" si="43"/>
        <v>168.38514993625029</v>
      </c>
      <c r="I205" s="2">
        <f t="shared" si="44"/>
        <v>-1.6953653312591541</v>
      </c>
      <c r="J205" s="2">
        <f t="shared" si="45"/>
        <v>-3.358210710470471</v>
      </c>
      <c r="K205" s="2">
        <f t="shared" si="46"/>
        <v>-1.6953683995732816</v>
      </c>
      <c r="L205" s="2">
        <f t="shared" si="47"/>
        <v>-1.4302279845603039</v>
      </c>
      <c r="M205" s="2"/>
      <c r="O205" s="4">
        <f t="shared" ca="1" si="48"/>
        <v>0.19098131167029286</v>
      </c>
      <c r="P205" s="4">
        <f t="shared" ca="1" si="49"/>
        <v>-0.87428581311478049</v>
      </c>
      <c r="Q205" s="4">
        <f t="shared" ca="1" si="50"/>
        <v>1939.760896023543</v>
      </c>
      <c r="R205" s="4">
        <f t="shared" ca="1" si="51"/>
        <v>16.090852023542993</v>
      </c>
      <c r="S205" s="4">
        <f t="shared" ca="1" si="52"/>
        <v>8.2507434424771571</v>
      </c>
    </row>
    <row r="206" spans="3:19" x14ac:dyDescent="0.2">
      <c r="C206" s="1">
        <v>42083</v>
      </c>
      <c r="D206" s="2">
        <v>2108.1000979999999</v>
      </c>
      <c r="E206" s="3">
        <f t="shared" si="40"/>
        <v>9.0127546079467307E-3</v>
      </c>
      <c r="F206" s="3">
        <f t="shared" si="41"/>
        <v>8.9723821319605199E-3</v>
      </c>
      <c r="G206" s="2">
        <f t="shared" si="42"/>
        <v>1941.0076100532301</v>
      </c>
      <c r="H206" s="2">
        <f t="shared" si="43"/>
        <v>178.97888700507292</v>
      </c>
      <c r="I206" s="2">
        <f t="shared" si="44"/>
        <v>8.8983717375634797</v>
      </c>
      <c r="J206" s="2">
        <f t="shared" si="45"/>
        <v>17.337566053230091</v>
      </c>
      <c r="K206" s="2">
        <f t="shared" si="46"/>
        <v>8.8988071816473617</v>
      </c>
      <c r="L206" s="2">
        <f t="shared" si="47"/>
        <v>10.068744101924551</v>
      </c>
      <c r="M206" s="2"/>
      <c r="O206" s="4">
        <f t="shared" ca="1" si="48"/>
        <v>0.45290998061380561</v>
      </c>
      <c r="P206" s="4">
        <f t="shared" ca="1" si="49"/>
        <v>-0.11831261632760591</v>
      </c>
      <c r="Q206" s="4">
        <f t="shared" ca="1" si="50"/>
        <v>1925.4966860631309</v>
      </c>
      <c r="R206" s="4">
        <f t="shared" ca="1" si="51"/>
        <v>1.8266420631309757</v>
      </c>
      <c r="S206" s="4">
        <f t="shared" ca="1" si="52"/>
        <v>0.92602233996255401</v>
      </c>
    </row>
    <row r="207" spans="3:19" x14ac:dyDescent="0.2">
      <c r="C207" s="1">
        <v>42082</v>
      </c>
      <c r="D207" s="2">
        <v>2089.2700199999999</v>
      </c>
      <c r="E207" s="3">
        <f t="shared" si="40"/>
        <v>-4.8725791855203943E-3</v>
      </c>
      <c r="F207" s="3">
        <f t="shared" si="41"/>
        <v>-4.8844889025895554E-3</v>
      </c>
      <c r="G207" s="2">
        <f t="shared" si="42"/>
        <v>1914.2968093837965</v>
      </c>
      <c r="H207" s="2">
        <f t="shared" si="43"/>
        <v>165.37152228930745</v>
      </c>
      <c r="I207" s="2">
        <f t="shared" si="44"/>
        <v>-4.7089929782019908</v>
      </c>
      <c r="J207" s="2">
        <f t="shared" si="45"/>
        <v>-9.3732346162035007</v>
      </c>
      <c r="K207" s="2">
        <f t="shared" si="46"/>
        <v>-4.7090590771091225</v>
      </c>
      <c r="L207" s="2">
        <f t="shared" si="47"/>
        <v>-3.9919658442355228</v>
      </c>
      <c r="M207" s="2"/>
      <c r="O207" s="4">
        <f t="shared" ca="1" si="48"/>
        <v>0.87312216240460472</v>
      </c>
      <c r="P207" s="4">
        <f t="shared" ca="1" si="49"/>
        <v>1.1412745843024807</v>
      </c>
      <c r="Q207" s="4">
        <f t="shared" ca="1" si="50"/>
        <v>1901.7299488698109</v>
      </c>
      <c r="R207" s="4">
        <f t="shared" ca="1" si="51"/>
        <v>-21.940095130189093</v>
      </c>
      <c r="S207" s="4">
        <f t="shared" ca="1" si="52"/>
        <v>-10.91034104887391</v>
      </c>
    </row>
    <row r="208" spans="3:19" x14ac:dyDescent="0.2">
      <c r="C208" s="1">
        <v>42081</v>
      </c>
      <c r="D208" s="2">
        <v>2099.5</v>
      </c>
      <c r="E208" s="3">
        <f t="shared" si="40"/>
        <v>1.2158421547431283E-2</v>
      </c>
      <c r="F208" s="3">
        <f t="shared" si="41"/>
        <v>1.2085101644750693E-2</v>
      </c>
      <c r="G208" s="2">
        <f t="shared" si="42"/>
        <v>1947.0588353131177</v>
      </c>
      <c r="H208" s="2">
        <f t="shared" si="43"/>
        <v>182.14175352717223</v>
      </c>
      <c r="I208" s="2">
        <f t="shared" si="44"/>
        <v>12.061238259662787</v>
      </c>
      <c r="J208" s="2">
        <f t="shared" si="45"/>
        <v>23.388791313117686</v>
      </c>
      <c r="K208" s="2">
        <f t="shared" si="46"/>
        <v>12.062316595185436</v>
      </c>
      <c r="L208" s="2">
        <f t="shared" si="47"/>
        <v>13.582976633633166</v>
      </c>
      <c r="M208" s="2"/>
      <c r="O208" s="4">
        <f t="shared" ca="1" si="48"/>
        <v>0.59496390829940715</v>
      </c>
      <c r="P208" s="4">
        <f t="shared" ca="1" si="49"/>
        <v>0.24033291080399985</v>
      </c>
      <c r="Q208" s="4">
        <f t="shared" ca="1" si="50"/>
        <v>1918.729521404239</v>
      </c>
      <c r="R208" s="4">
        <f t="shared" ca="1" si="51"/>
        <v>-4.9405225957609673</v>
      </c>
      <c r="S208" s="4">
        <f t="shared" ca="1" si="52"/>
        <v>-2.4910048734590755</v>
      </c>
    </row>
    <row r="209" spans="3:19" x14ac:dyDescent="0.2">
      <c r="C209" s="1">
        <v>42080</v>
      </c>
      <c r="D209" s="2">
        <v>2074.280029</v>
      </c>
      <c r="E209" s="3">
        <f t="shared" si="40"/>
        <v>-3.3201736486771134E-3</v>
      </c>
      <c r="F209" s="3">
        <f t="shared" si="41"/>
        <v>-3.3256976557031678E-3</v>
      </c>
      <c r="G209" s="2">
        <f t="shared" si="42"/>
        <v>1917.2831254111616</v>
      </c>
      <c r="H209" s="2">
        <f t="shared" si="43"/>
        <v>166.86402099291377</v>
      </c>
      <c r="I209" s="2">
        <f t="shared" si="44"/>
        <v>-3.2164942745956751</v>
      </c>
      <c r="J209" s="2">
        <f t="shared" si="45"/>
        <v>-6.3869185888383431</v>
      </c>
      <c r="K209" s="2">
        <f t="shared" si="46"/>
        <v>-3.2165152842995646</v>
      </c>
      <c r="L209" s="2">
        <f t="shared" si="47"/>
        <v>-2.7201240447432724</v>
      </c>
      <c r="M209" s="2"/>
      <c r="O209" s="4">
        <f t="shared" ca="1" si="48"/>
        <v>0.9700744535826854</v>
      </c>
      <c r="P209" s="4">
        <f t="shared" ca="1" si="49"/>
        <v>1.8818889664540699</v>
      </c>
      <c r="Q209" s="4">
        <f t="shared" ca="1" si="50"/>
        <v>1887.7555393383509</v>
      </c>
      <c r="R209" s="4">
        <f t="shared" ca="1" si="51"/>
        <v>-35.914504661649062</v>
      </c>
      <c r="S209" s="4">
        <f t="shared" ca="1" si="52"/>
        <v>-17.655215128428424</v>
      </c>
    </row>
    <row r="210" spans="3:19" x14ac:dyDescent="0.2">
      <c r="C210" s="1">
        <v>42079</v>
      </c>
      <c r="D210" s="2">
        <v>2081.1899410000001</v>
      </c>
      <c r="E210" s="3">
        <f t="shared" si="40"/>
        <v>1.3533671143615344E-2</v>
      </c>
      <c r="F210" s="3">
        <f t="shared" si="41"/>
        <v>1.3442908996060394E-2</v>
      </c>
      <c r="G210" s="2">
        <f t="shared" si="42"/>
        <v>1949.7043617643201</v>
      </c>
      <c r="H210" s="2">
        <f t="shared" si="43"/>
        <v>183.53375485350978</v>
      </c>
      <c r="I210" s="2">
        <f t="shared" si="44"/>
        <v>13.453239586000336</v>
      </c>
      <c r="J210" s="2">
        <f t="shared" si="45"/>
        <v>26.034317764320058</v>
      </c>
      <c r="K210" s="2">
        <f t="shared" si="46"/>
        <v>13.454732356682337</v>
      </c>
      <c r="L210" s="2">
        <f t="shared" si="47"/>
        <v>15.119358889957226</v>
      </c>
      <c r="M210" s="2"/>
      <c r="O210" s="4">
        <f t="shared" ca="1" si="48"/>
        <v>0.71777642805643138</v>
      </c>
      <c r="P210" s="4">
        <f t="shared" ca="1" si="49"/>
        <v>0.57624862341449445</v>
      </c>
      <c r="Q210" s="4">
        <f t="shared" ca="1" si="50"/>
        <v>1912.391238150228</v>
      </c>
      <c r="R210" s="4">
        <f t="shared" ca="1" si="51"/>
        <v>-11.27880584977197</v>
      </c>
      <c r="S210" s="4">
        <f t="shared" ca="1" si="52"/>
        <v>-5.6576581248964972</v>
      </c>
    </row>
    <row r="211" spans="3:19" x14ac:dyDescent="0.2">
      <c r="C211" s="1">
        <v>42076</v>
      </c>
      <c r="D211" s="2">
        <v>2053.3999020000001</v>
      </c>
      <c r="E211" s="3">
        <f t="shared" si="40"/>
        <v>-6.0747110518941825E-3</v>
      </c>
      <c r="F211" s="3">
        <f t="shared" si="41"/>
        <v>-6.0932371744078879E-3</v>
      </c>
      <c r="G211" s="2">
        <f t="shared" si="42"/>
        <v>1911.9843043235155</v>
      </c>
      <c r="H211" s="2">
        <f t="shared" si="43"/>
        <v>164.22079495577998</v>
      </c>
      <c r="I211" s="2">
        <f t="shared" si="44"/>
        <v>-5.8597203117294612</v>
      </c>
      <c r="J211" s="2">
        <f t="shared" si="45"/>
        <v>-11.685739676484568</v>
      </c>
      <c r="K211" s="2">
        <f t="shared" si="46"/>
        <v>-5.8598479314302097</v>
      </c>
      <c r="L211" s="2">
        <f t="shared" si="47"/>
        <v>-4.9768383661827329</v>
      </c>
      <c r="M211" s="2"/>
      <c r="O211" s="4">
        <f t="shared" ca="1" si="48"/>
        <v>0.23707574694717903</v>
      </c>
      <c r="P211" s="4">
        <f t="shared" ca="1" si="49"/>
        <v>-0.71574066878862064</v>
      </c>
      <c r="Q211" s="4">
        <f t="shared" ca="1" si="50"/>
        <v>1936.7693597673856</v>
      </c>
      <c r="R211" s="4">
        <f t="shared" ca="1" si="51"/>
        <v>13.099315767385633</v>
      </c>
      <c r="S211" s="4">
        <f t="shared" ca="1" si="52"/>
        <v>6.7008518005413098</v>
      </c>
    </row>
    <row r="212" spans="3:19" x14ac:dyDescent="0.2">
      <c r="C212" s="1">
        <v>42075</v>
      </c>
      <c r="D212" s="2">
        <v>2065.9499510000001</v>
      </c>
      <c r="E212" s="3">
        <f t="shared" si="40"/>
        <v>1.2601439598289622E-2</v>
      </c>
      <c r="F212" s="3">
        <f t="shared" si="41"/>
        <v>1.2522702237719055E-2</v>
      </c>
      <c r="G212" s="2">
        <f t="shared" si="42"/>
        <v>1947.9110558665052</v>
      </c>
      <c r="H212" s="2">
        <f t="shared" si="43"/>
        <v>182.58955563287122</v>
      </c>
      <c r="I212" s="2">
        <f t="shared" si="44"/>
        <v>12.509040365361784</v>
      </c>
      <c r="J212" s="2">
        <f t="shared" si="45"/>
        <v>24.24101186650514</v>
      </c>
      <c r="K212" s="2">
        <f t="shared" si="46"/>
        <v>12.510242373248259</v>
      </c>
      <c r="L212" s="2">
        <f t="shared" si="47"/>
        <v>14.077901390898035</v>
      </c>
      <c r="M212" s="2"/>
      <c r="O212" s="4">
        <f t="shared" ca="1" si="48"/>
        <v>0.92903858158881658</v>
      </c>
      <c r="P212" s="4">
        <f t="shared" ca="1" si="49"/>
        <v>1.4686680891264035</v>
      </c>
      <c r="Q212" s="4">
        <f t="shared" ca="1" si="50"/>
        <v>1895.5524683555138</v>
      </c>
      <c r="R212" s="4">
        <f t="shared" ca="1" si="51"/>
        <v>-28.117575644486124</v>
      </c>
      <c r="S212" s="4">
        <f t="shared" ca="1" si="52"/>
        <v>-13.911564060034651</v>
      </c>
    </row>
    <row r="213" spans="3:19" x14ac:dyDescent="0.2">
      <c r="C213" s="1">
        <v>42074</v>
      </c>
      <c r="D213" s="2">
        <v>2040.23999</v>
      </c>
      <c r="E213" s="3">
        <f t="shared" si="40"/>
        <v>-1.9176796017918633E-3</v>
      </c>
      <c r="F213" s="3">
        <f t="shared" si="41"/>
        <v>-1.9195207034580692E-3</v>
      </c>
      <c r="G213" s="2">
        <f t="shared" si="42"/>
        <v>1919.9810611960431</v>
      </c>
      <c r="H213" s="2">
        <f t="shared" si="43"/>
        <v>168.21865974391949</v>
      </c>
      <c r="I213" s="2">
        <f t="shared" si="44"/>
        <v>-1.8618555235899521</v>
      </c>
      <c r="J213" s="2">
        <f t="shared" si="45"/>
        <v>-3.688982803956856</v>
      </c>
      <c r="K213" s="2">
        <f t="shared" si="46"/>
        <v>-1.861859588725804</v>
      </c>
      <c r="L213" s="2">
        <f t="shared" si="47"/>
        <v>-1.5711004745267587</v>
      </c>
      <c r="M213" s="2"/>
      <c r="O213" s="4">
        <f t="shared" ca="1" si="48"/>
        <v>0.6233903961231323</v>
      </c>
      <c r="P213" s="4">
        <f t="shared" ca="1" si="49"/>
        <v>0.3143974301007102</v>
      </c>
      <c r="Q213" s="4">
        <f t="shared" ca="1" si="50"/>
        <v>1917.3320223151773</v>
      </c>
      <c r="R213" s="4">
        <f t="shared" ca="1" si="51"/>
        <v>-6.3380216848227064</v>
      </c>
      <c r="S213" s="4">
        <f t="shared" ca="1" si="52"/>
        <v>-3.1920164751638014</v>
      </c>
    </row>
    <row r="214" spans="3:19" x14ac:dyDescent="0.2">
      <c r="C214" s="1">
        <v>42073</v>
      </c>
      <c r="D214" s="2">
        <v>2044.160034</v>
      </c>
      <c r="E214" s="3">
        <f t="shared" si="40"/>
        <v>-1.6961330342146873E-2</v>
      </c>
      <c r="F214" s="3">
        <f t="shared" si="41"/>
        <v>-1.7106821197868119E-2</v>
      </c>
      <c r="G214" s="2">
        <f t="shared" si="42"/>
        <v>1891.0420409144238</v>
      </c>
      <c r="H214" s="2">
        <f t="shared" si="43"/>
        <v>153.99994585348531</v>
      </c>
      <c r="I214" s="2">
        <f t="shared" si="44"/>
        <v>-16.080569414024126</v>
      </c>
      <c r="J214" s="2">
        <f t="shared" si="45"/>
        <v>-32.628003085576211</v>
      </c>
      <c r="K214" s="2">
        <f t="shared" si="46"/>
        <v>-16.083254313100536</v>
      </c>
      <c r="L214" s="2">
        <f t="shared" si="47"/>
        <v>-13.895936591416103</v>
      </c>
      <c r="M214" s="2"/>
      <c r="O214" s="4">
        <f t="shared" ca="1" si="48"/>
        <v>0.43329472114749512</v>
      </c>
      <c r="P214" s="4">
        <f t="shared" ca="1" si="49"/>
        <v>-0.16799216577904347</v>
      </c>
      <c r="Q214" s="4">
        <f t="shared" ca="1" si="50"/>
        <v>1926.4340731651153</v>
      </c>
      <c r="R214" s="4">
        <f t="shared" ca="1" si="51"/>
        <v>2.7640291651152893</v>
      </c>
      <c r="S214" s="4">
        <f t="shared" ca="1" si="52"/>
        <v>1.4022885875512234</v>
      </c>
    </row>
    <row r="215" spans="3:19" x14ac:dyDescent="0.2">
      <c r="C215" s="1">
        <v>42072</v>
      </c>
      <c r="D215" s="2">
        <v>2079.429932</v>
      </c>
      <c r="E215" s="3">
        <f t="shared" si="40"/>
        <v>3.9444212511011798E-3</v>
      </c>
      <c r="F215" s="3">
        <f t="shared" si="41"/>
        <v>3.9366624176442495E-3</v>
      </c>
      <c r="G215" s="2">
        <f t="shared" si="42"/>
        <v>1931.2578090016605</v>
      </c>
      <c r="H215" s="2">
        <f t="shared" si="43"/>
        <v>173.94491692523206</v>
      </c>
      <c r="I215" s="2">
        <f t="shared" si="44"/>
        <v>3.8644016577226239</v>
      </c>
      <c r="J215" s="2">
        <f t="shared" si="45"/>
        <v>7.5877650016603413</v>
      </c>
      <c r="K215" s="2">
        <f t="shared" si="46"/>
        <v>3.8644376412280175</v>
      </c>
      <c r="L215" s="2">
        <f t="shared" si="47"/>
        <v>4.4065737873872308</v>
      </c>
      <c r="M215" s="2"/>
      <c r="O215" s="4">
        <f t="shared" ca="1" si="48"/>
        <v>0.40885718921928749</v>
      </c>
      <c r="P215" s="4">
        <f t="shared" ca="1" si="49"/>
        <v>-0.23048569447145781</v>
      </c>
      <c r="Q215" s="4">
        <f t="shared" ca="1" si="50"/>
        <v>1927.6132430328094</v>
      </c>
      <c r="R215" s="4">
        <f t="shared" ca="1" si="51"/>
        <v>3.9431990328093889</v>
      </c>
      <c r="S215" s="4">
        <f t="shared" ca="1" si="52"/>
        <v>2.0024154192233818</v>
      </c>
    </row>
    <row r="216" spans="3:19" x14ac:dyDescent="0.2">
      <c r="C216" s="1">
        <v>42069</v>
      </c>
      <c r="D216" s="2">
        <v>2071.26001</v>
      </c>
      <c r="E216" s="3">
        <f t="shared" si="40"/>
        <v>-1.4173946449004351E-2</v>
      </c>
      <c r="F216" s="3">
        <f t="shared" si="41"/>
        <v>-1.4275356219564148E-2</v>
      </c>
      <c r="G216" s="2">
        <f t="shared" si="42"/>
        <v>1896.40404781079</v>
      </c>
      <c r="H216" s="2">
        <f t="shared" si="43"/>
        <v>156.58241113184829</v>
      </c>
      <c r="I216" s="2">
        <f t="shared" si="44"/>
        <v>-13.498104135661151</v>
      </c>
      <c r="J216" s="2">
        <f t="shared" si="45"/>
        <v>-27.265996189209844</v>
      </c>
      <c r="K216" s="2">
        <f t="shared" si="46"/>
        <v>-13.49968501291905</v>
      </c>
      <c r="L216" s="2">
        <f t="shared" si="47"/>
        <v>-11.612312072955149</v>
      </c>
      <c r="M216" s="2"/>
      <c r="O216" s="4">
        <f t="shared" ca="1" si="48"/>
        <v>0.56914671559546337</v>
      </c>
      <c r="P216" s="4">
        <f t="shared" ca="1" si="49"/>
        <v>0.17420218449496117</v>
      </c>
      <c r="Q216" s="4">
        <f t="shared" ca="1" si="50"/>
        <v>1919.9773203591699</v>
      </c>
      <c r="R216" s="4">
        <f t="shared" ca="1" si="51"/>
        <v>-3.6927236408300814</v>
      </c>
      <c r="S216" s="4">
        <f t="shared" ca="1" si="52"/>
        <v>-1.8637419962804116</v>
      </c>
    </row>
    <row r="217" spans="3:19" x14ac:dyDescent="0.2">
      <c r="C217" s="1">
        <v>42068</v>
      </c>
      <c r="D217" s="2">
        <v>2101.040039</v>
      </c>
      <c r="E217" s="3">
        <f t="shared" si="40"/>
        <v>1.1960800966932296E-3</v>
      </c>
      <c r="F217" s="3">
        <f t="shared" si="41"/>
        <v>1.1953653627569873E-3</v>
      </c>
      <c r="G217" s="2">
        <f t="shared" si="42"/>
        <v>1925.9709074522334</v>
      </c>
      <c r="H217" s="2">
        <f t="shared" si="43"/>
        <v>171.24738890171852</v>
      </c>
      <c r="I217" s="2">
        <f t="shared" si="44"/>
        <v>1.1668736342090824</v>
      </c>
      <c r="J217" s="2">
        <f t="shared" si="45"/>
        <v>2.3008634522333891</v>
      </c>
      <c r="K217" s="2">
        <f t="shared" si="46"/>
        <v>1.1668746295983499</v>
      </c>
      <c r="L217" s="2">
        <f t="shared" si="47"/>
        <v>1.3362201616352252</v>
      </c>
      <c r="M217" s="2"/>
      <c r="O217" s="4">
        <f t="shared" ca="1" si="48"/>
        <v>0.97156098983590122</v>
      </c>
      <c r="P217" s="4">
        <f t="shared" ca="1" si="49"/>
        <v>1.9042470221009549</v>
      </c>
      <c r="Q217" s="4">
        <f t="shared" ca="1" si="50"/>
        <v>1887.3336725295685</v>
      </c>
      <c r="R217" s="4">
        <f t="shared" ca="1" si="51"/>
        <v>-36.336371470431459</v>
      </c>
      <c r="S217" s="4">
        <f t="shared" ca="1" si="52"/>
        <v>-17.856360668818173</v>
      </c>
    </row>
    <row r="218" spans="3:19" x14ac:dyDescent="0.2">
      <c r="C218" s="1">
        <v>42067</v>
      </c>
      <c r="D218" s="2">
        <v>2098.530029</v>
      </c>
      <c r="E218" s="3">
        <f t="shared" si="40"/>
        <v>-4.3885034836336802E-3</v>
      </c>
      <c r="F218" s="3">
        <f t="shared" si="41"/>
        <v>-4.3981612307754693E-3</v>
      </c>
      <c r="G218" s="2">
        <f t="shared" si="42"/>
        <v>1915.2280113105442</v>
      </c>
      <c r="H218" s="2">
        <f t="shared" si="43"/>
        <v>165.83613496793623</v>
      </c>
      <c r="I218" s="2">
        <f t="shared" si="44"/>
        <v>-4.2443802995732085</v>
      </c>
      <c r="J218" s="2">
        <f t="shared" si="45"/>
        <v>-8.442032689455754</v>
      </c>
      <c r="K218" s="2">
        <f t="shared" si="46"/>
        <v>-4.2444286609574631</v>
      </c>
      <c r="L218" s="2">
        <f t="shared" si="47"/>
        <v>-3.5953763596154431</v>
      </c>
      <c r="M218" s="2"/>
      <c r="O218" s="4">
        <f t="shared" ca="1" si="48"/>
        <v>0.10625041920829981</v>
      </c>
      <c r="P218" s="4">
        <f t="shared" ca="1" si="49"/>
        <v>-1.2467182126031475</v>
      </c>
      <c r="Q218" s="4">
        <f t="shared" ca="1" si="50"/>
        <v>1946.7882006488123</v>
      </c>
      <c r="R218" s="4">
        <f t="shared" ca="1" si="51"/>
        <v>23.118156648812374</v>
      </c>
      <c r="S218" s="4">
        <f t="shared" ca="1" si="52"/>
        <v>11.920195144325366</v>
      </c>
    </row>
    <row r="219" spans="3:19" x14ac:dyDescent="0.2">
      <c r="C219" s="1">
        <v>42066</v>
      </c>
      <c r="D219" s="2">
        <v>2107.780029</v>
      </c>
      <c r="E219" s="3">
        <f t="shared" si="40"/>
        <v>-4.5385424912859993E-3</v>
      </c>
      <c r="F219" s="3">
        <f t="shared" si="41"/>
        <v>-4.5488729439078276E-3</v>
      </c>
      <c r="G219" s="2">
        <f t="shared" si="42"/>
        <v>1914.9393857660918</v>
      </c>
      <c r="H219" s="2">
        <f t="shared" si="43"/>
        <v>165.69205262736409</v>
      </c>
      <c r="I219" s="2">
        <f t="shared" si="44"/>
        <v>-4.3884626401453488</v>
      </c>
      <c r="J219" s="2">
        <f t="shared" si="45"/>
        <v>-8.7306582339080077</v>
      </c>
      <c r="K219" s="2">
        <f t="shared" si="46"/>
        <v>-4.3885161092554892</v>
      </c>
      <c r="L219" s="2">
        <f t="shared" si="47"/>
        <v>-3.7182990605190867</v>
      </c>
      <c r="M219" s="2"/>
      <c r="O219" s="4">
        <f t="shared" ca="1" si="48"/>
        <v>0.66748258390823645</v>
      </c>
      <c r="P219" s="4">
        <f t="shared" ca="1" si="49"/>
        <v>0.43297238455553066</v>
      </c>
      <c r="Q219" s="4">
        <f t="shared" ca="1" si="50"/>
        <v>1915.0946704440025</v>
      </c>
      <c r="R219" s="4">
        <f t="shared" ca="1" si="51"/>
        <v>-8.5753735559974302</v>
      </c>
      <c r="S219" s="4">
        <f t="shared" ca="1" si="52"/>
        <v>-4.311003426492956</v>
      </c>
    </row>
    <row r="220" spans="3:19" x14ac:dyDescent="0.2">
      <c r="C220" s="1">
        <v>42065</v>
      </c>
      <c r="D220" s="2">
        <v>2117.389893</v>
      </c>
      <c r="E220" s="3">
        <f t="shared" si="40"/>
        <v>6.1249194583036489E-3</v>
      </c>
      <c r="F220" s="3">
        <f t="shared" si="41"/>
        <v>6.1062383803760925E-3</v>
      </c>
      <c r="G220" s="2">
        <f t="shared" si="42"/>
        <v>1935.4523680838515</v>
      </c>
      <c r="H220" s="2">
        <f t="shared" si="43"/>
        <v>176.10121819733229</v>
      </c>
      <c r="I220" s="2">
        <f t="shared" si="44"/>
        <v>6.0207029298228463</v>
      </c>
      <c r="J220" s="2">
        <f t="shared" si="45"/>
        <v>11.782324083851437</v>
      </c>
      <c r="K220" s="2">
        <f t="shared" si="46"/>
        <v>6.0208384945833204</v>
      </c>
      <c r="L220" s="2">
        <f t="shared" si="47"/>
        <v>6.8425525106588339</v>
      </c>
      <c r="M220" s="2"/>
      <c r="O220" s="4">
        <f t="shared" ca="1" si="48"/>
        <v>0.69837142355050796</v>
      </c>
      <c r="P220" s="4">
        <f t="shared" ca="1" si="49"/>
        <v>0.51972228409035481</v>
      </c>
      <c r="Q220" s="4">
        <f t="shared" ca="1" si="50"/>
        <v>1913.4578150815792</v>
      </c>
      <c r="R220" s="4">
        <f t="shared" ca="1" si="51"/>
        <v>-10.212228918420806</v>
      </c>
      <c r="S220" s="4">
        <f t="shared" ca="1" si="52"/>
        <v>-5.1270772116668617</v>
      </c>
    </row>
    <row r="221" spans="3:19" x14ac:dyDescent="0.2">
      <c r="C221" s="1">
        <v>42062</v>
      </c>
      <c r="D221" s="2">
        <v>2104.5</v>
      </c>
      <c r="E221" s="3">
        <f t="shared" si="40"/>
        <v>-2.9563044380468834E-3</v>
      </c>
      <c r="F221" s="3">
        <f t="shared" si="41"/>
        <v>-2.9606829375931087E-3</v>
      </c>
      <c r="G221" s="2">
        <f t="shared" si="42"/>
        <v>1917.9830897115851</v>
      </c>
      <c r="H221" s="2">
        <f t="shared" si="43"/>
        <v>167.21490335975568</v>
      </c>
      <c r="I221" s="2">
        <f t="shared" si="44"/>
        <v>-2.8656119077537596</v>
      </c>
      <c r="J221" s="2">
        <f t="shared" si="45"/>
        <v>-5.686954288415043</v>
      </c>
      <c r="K221" s="2">
        <f t="shared" si="46"/>
        <v>-2.8656267553398305</v>
      </c>
      <c r="L221" s="2">
        <f t="shared" si="47"/>
        <v>-2.4220163269823445</v>
      </c>
      <c r="M221" s="2"/>
      <c r="O221" s="4">
        <f t="shared" ca="1" si="48"/>
        <v>0.33222192011156182</v>
      </c>
      <c r="P221" s="4">
        <f t="shared" ca="1" si="49"/>
        <v>-0.43378601198163058</v>
      </c>
      <c r="Q221" s="4">
        <f t="shared" ca="1" si="50"/>
        <v>1931.4492499525095</v>
      </c>
      <c r="R221" s="4">
        <f t="shared" ca="1" si="51"/>
        <v>7.7792059525095283</v>
      </c>
      <c r="S221" s="4">
        <f t="shared" ca="1" si="52"/>
        <v>3.962544469431994</v>
      </c>
    </row>
    <row r="222" spans="3:19" x14ac:dyDescent="0.2">
      <c r="C222" s="1">
        <v>42061</v>
      </c>
      <c r="D222" s="2">
        <v>2110.73999</v>
      </c>
      <c r="E222" s="3">
        <f t="shared" si="40"/>
        <v>-1.4760281390749272E-3</v>
      </c>
      <c r="F222" s="3">
        <f t="shared" si="41"/>
        <v>-1.4771185417172892E-3</v>
      </c>
      <c r="G222" s="2">
        <f t="shared" si="42"/>
        <v>1920.8306528847606</v>
      </c>
      <c r="H222" s="2">
        <f t="shared" si="43"/>
        <v>168.64647137935492</v>
      </c>
      <c r="I222" s="2">
        <f t="shared" si="44"/>
        <v>-1.4340438881545197</v>
      </c>
      <c r="J222" s="2">
        <f t="shared" si="45"/>
        <v>-2.8393911152395033</v>
      </c>
      <c r="K222" s="2">
        <f t="shared" si="46"/>
        <v>-1.4340457442386223</v>
      </c>
      <c r="L222" s="2">
        <f t="shared" si="47"/>
        <v>-1.2092679650701541</v>
      </c>
      <c r="M222" s="2"/>
      <c r="O222" s="4">
        <f t="shared" ca="1" si="48"/>
        <v>0.52487286930391619</v>
      </c>
      <c r="P222" s="4">
        <f t="shared" ca="1" si="49"/>
        <v>6.2387484594212263E-2</v>
      </c>
      <c r="Q222" s="4">
        <f t="shared" ca="1" si="50"/>
        <v>1922.0871152074835</v>
      </c>
      <c r="R222" s="4">
        <f t="shared" ca="1" si="51"/>
        <v>-1.5829287925164408</v>
      </c>
      <c r="S222" s="4">
        <f t="shared" ca="1" si="52"/>
        <v>-0.80027408088348218</v>
      </c>
    </row>
    <row r="223" spans="3:19" x14ac:dyDescent="0.2">
      <c r="C223" s="1">
        <v>42060</v>
      </c>
      <c r="D223" s="2">
        <v>2113.860107</v>
      </c>
      <c r="E223" s="3">
        <f t="shared" si="40"/>
        <v>-7.657236255197734E-4</v>
      </c>
      <c r="F223" s="3">
        <f t="shared" si="41"/>
        <v>-7.6601694159734123E-4</v>
      </c>
      <c r="G223" s="2">
        <f t="shared" si="42"/>
        <v>1922.1970443996045</v>
      </c>
      <c r="H223" s="2">
        <f t="shared" si="43"/>
        <v>169.33575193100216</v>
      </c>
      <c r="I223" s="2">
        <f t="shared" si="44"/>
        <v>-0.74476333650727611</v>
      </c>
      <c r="J223" s="2">
        <f t="shared" si="45"/>
        <v>-1.472999600395462</v>
      </c>
      <c r="K223" s="2">
        <f t="shared" si="46"/>
        <v>-0.74476359618713761</v>
      </c>
      <c r="L223" s="2">
        <f t="shared" si="47"/>
        <v>-0.62733563536176007</v>
      </c>
      <c r="M223" s="2"/>
      <c r="O223" s="4">
        <f t="shared" ca="1" si="48"/>
        <v>0.74709931605522417</v>
      </c>
      <c r="P223" s="4">
        <f t="shared" ca="1" si="49"/>
        <v>0.66538954871314115</v>
      </c>
      <c r="Q223" s="4">
        <f t="shared" ca="1" si="50"/>
        <v>1910.709267307969</v>
      </c>
      <c r="R223" s="4">
        <f t="shared" ca="1" si="51"/>
        <v>-12.960776692031004</v>
      </c>
      <c r="S223" s="4">
        <f t="shared" ca="1" si="52"/>
        <v>-6.4924919173185742</v>
      </c>
    </row>
    <row r="224" spans="3:19" x14ac:dyDescent="0.2">
      <c r="C224" s="1">
        <v>42059</v>
      </c>
      <c r="D224" s="2">
        <v>2115.4799800000001</v>
      </c>
      <c r="E224" s="3">
        <f t="shared" si="40"/>
        <v>2.7587707226623321E-3</v>
      </c>
      <c r="F224" s="3">
        <f t="shared" si="41"/>
        <v>2.7549722990950704E-3</v>
      </c>
      <c r="G224" s="2">
        <f t="shared" si="42"/>
        <v>1928.9770085974499</v>
      </c>
      <c r="H224" s="2">
        <f t="shared" si="43"/>
        <v>172.77840510465296</v>
      </c>
      <c r="I224" s="2">
        <f t="shared" si="44"/>
        <v>2.6978898371435207</v>
      </c>
      <c r="J224" s="2">
        <f t="shared" si="45"/>
        <v>5.3069645974497597</v>
      </c>
      <c r="K224" s="2">
        <f t="shared" si="46"/>
        <v>2.6979021065183626</v>
      </c>
      <c r="L224" s="2">
        <f t="shared" si="47"/>
        <v>3.0820051860589786</v>
      </c>
      <c r="M224" s="2"/>
      <c r="O224" s="4">
        <f t="shared" ca="1" si="48"/>
        <v>0.55838496303567187</v>
      </c>
      <c r="P224" s="4">
        <f t="shared" ca="1" si="49"/>
        <v>0.14687577417529055</v>
      </c>
      <c r="Q224" s="4">
        <f t="shared" ca="1" si="50"/>
        <v>1920.4929334204805</v>
      </c>
      <c r="R224" s="4">
        <f t="shared" ca="1" si="51"/>
        <v>-3.1771105795194217</v>
      </c>
      <c r="S224" s="4">
        <f t="shared" ca="1" si="52"/>
        <v>-1.6041755252085044</v>
      </c>
    </row>
    <row r="225" spans="3:19" x14ac:dyDescent="0.2">
      <c r="C225" s="1">
        <v>42058</v>
      </c>
      <c r="D225" s="2">
        <v>2109.6599120000001</v>
      </c>
      <c r="E225" s="3">
        <f t="shared" si="40"/>
        <v>-3.0333932859604834E-4</v>
      </c>
      <c r="F225" s="3">
        <f t="shared" si="41"/>
        <v>-3.0338534527620388E-4</v>
      </c>
      <c r="G225" s="2">
        <f t="shared" si="42"/>
        <v>1923.0865192204126</v>
      </c>
      <c r="H225" s="2">
        <f t="shared" si="43"/>
        <v>169.78526793222488</v>
      </c>
      <c r="I225" s="2">
        <f t="shared" si="44"/>
        <v>-0.29524733528455727</v>
      </c>
      <c r="J225" s="2">
        <f t="shared" si="45"/>
        <v>-0.58352477958729077</v>
      </c>
      <c r="K225" s="2">
        <f t="shared" si="46"/>
        <v>-0.29524735145015302</v>
      </c>
      <c r="L225" s="2">
        <f t="shared" si="47"/>
        <v>-0.2485173032317789</v>
      </c>
      <c r="M225" s="2"/>
      <c r="O225" s="4">
        <f t="shared" ca="1" si="48"/>
        <v>0.15312190771524536</v>
      </c>
      <c r="P225" s="4">
        <f t="shared" ca="1" si="49"/>
        <v>-1.023135433786708</v>
      </c>
      <c r="Q225" s="4">
        <f t="shared" ca="1" si="50"/>
        <v>1942.5694906282404</v>
      </c>
      <c r="R225" s="4">
        <f t="shared" ca="1" si="51"/>
        <v>18.899446628240412</v>
      </c>
      <c r="S225" s="4">
        <f t="shared" ca="1" si="52"/>
        <v>9.7124856849050722</v>
      </c>
    </row>
    <row r="226" spans="3:19" x14ac:dyDescent="0.2">
      <c r="C226" s="1">
        <v>42055</v>
      </c>
      <c r="D226" s="2">
        <v>2110.3000489999999</v>
      </c>
      <c r="E226" s="3">
        <f t="shared" si="40"/>
        <v>6.1265337911273424E-3</v>
      </c>
      <c r="F226" s="3">
        <f t="shared" si="41"/>
        <v>6.1078428844464306E-3</v>
      </c>
      <c r="G226" s="2">
        <f t="shared" si="42"/>
        <v>1935.4554735275453</v>
      </c>
      <c r="H226" s="2">
        <f t="shared" si="43"/>
        <v>176.10281988822658</v>
      </c>
      <c r="I226" s="2">
        <f t="shared" si="44"/>
        <v>6.0223046207171365</v>
      </c>
      <c r="J226" s="2">
        <f t="shared" si="45"/>
        <v>11.785429527545421</v>
      </c>
      <c r="K226" s="2">
        <f t="shared" si="46"/>
        <v>6.0224402933163148</v>
      </c>
      <c r="L226" s="2">
        <f t="shared" si="47"/>
        <v>6.8443559885969023</v>
      </c>
      <c r="M226" s="2"/>
      <c r="O226" s="4">
        <f t="shared" ca="1" si="48"/>
        <v>0.86332672413618983</v>
      </c>
      <c r="P226" s="4">
        <f t="shared" ca="1" si="49"/>
        <v>1.0953883136303402</v>
      </c>
      <c r="Q226" s="4">
        <f t="shared" ca="1" si="50"/>
        <v>1902.5957618403625</v>
      </c>
      <c r="R226" s="4">
        <f t="shared" ca="1" si="51"/>
        <v>-21.074282159637505</v>
      </c>
      <c r="S226" s="4">
        <f t="shared" ca="1" si="52"/>
        <v>-10.487218279908825</v>
      </c>
    </row>
    <row r="227" spans="3:19" x14ac:dyDescent="0.2">
      <c r="C227" s="1">
        <v>42054</v>
      </c>
      <c r="D227" s="2">
        <v>2097.4499510000001</v>
      </c>
      <c r="E227" s="3">
        <f t="shared" si="40"/>
        <v>-1.0620575860225694E-3</v>
      </c>
      <c r="F227" s="3">
        <f t="shared" si="41"/>
        <v>-1.0626219688207137E-3</v>
      </c>
      <c r="G227" s="2">
        <f t="shared" si="42"/>
        <v>1921.6269956367653</v>
      </c>
      <c r="H227" s="2">
        <f t="shared" si="43"/>
        <v>169.04800399278736</v>
      </c>
      <c r="I227" s="2">
        <f t="shared" si="44"/>
        <v>-1.0325112747220828</v>
      </c>
      <c r="J227" s="2">
        <f t="shared" si="45"/>
        <v>-2.0430483632345697</v>
      </c>
      <c r="K227" s="2">
        <f t="shared" si="46"/>
        <v>-1.0325119670113518</v>
      </c>
      <c r="L227" s="2">
        <f t="shared" si="47"/>
        <v>-0.87011363932523977</v>
      </c>
      <c r="M227" s="2"/>
      <c r="O227" s="4">
        <f t="shared" ca="1" si="48"/>
        <v>0.29723379875125466</v>
      </c>
      <c r="P227" s="4">
        <f t="shared" ca="1" si="49"/>
        <v>-0.53237312133531955</v>
      </c>
      <c r="Q227" s="4">
        <f t="shared" ca="1" si="50"/>
        <v>1933.3094577392239</v>
      </c>
      <c r="R227" s="4">
        <f t="shared" ca="1" si="51"/>
        <v>9.6394137392239827</v>
      </c>
      <c r="S227" s="4">
        <f t="shared" ca="1" si="52"/>
        <v>4.9173898312534776</v>
      </c>
    </row>
    <row r="228" spans="3:19" x14ac:dyDescent="0.2">
      <c r="C228" s="1">
        <v>42053</v>
      </c>
      <c r="D228" s="2">
        <v>2099.679932</v>
      </c>
      <c r="E228" s="3">
        <f t="shared" si="40"/>
        <v>-3.1430909868912401E-4</v>
      </c>
      <c r="F228" s="3">
        <f t="shared" si="41"/>
        <v>-3.1435850414654552E-4</v>
      </c>
      <c r="G228" s="2">
        <f t="shared" si="42"/>
        <v>1923.0654170022951</v>
      </c>
      <c r="H228" s="2">
        <f t="shared" si="43"/>
        <v>169.77459599083659</v>
      </c>
      <c r="I228" s="2">
        <f t="shared" si="44"/>
        <v>-0.3059192766728529</v>
      </c>
      <c r="J228" s="2">
        <f t="shared" si="45"/>
        <v>-0.60462699770490758</v>
      </c>
      <c r="K228" s="2">
        <f t="shared" si="46"/>
        <v>-0.30591929465620005</v>
      </c>
      <c r="L228" s="2">
        <f t="shared" si="47"/>
        <v>-0.25750452454994388</v>
      </c>
      <c r="M228" s="2"/>
      <c r="O228" s="4">
        <f t="shared" ca="1" si="48"/>
        <v>0.1365264001593619</v>
      </c>
      <c r="P228" s="4">
        <f t="shared" ca="1" si="49"/>
        <v>-1.0960593548538624</v>
      </c>
      <c r="Q228" s="4">
        <f t="shared" ca="1" si="50"/>
        <v>1943.9454681439236</v>
      </c>
      <c r="R228" s="4">
        <f t="shared" ca="1" si="51"/>
        <v>20.275424143923601</v>
      </c>
      <c r="S228" s="4">
        <f t="shared" ca="1" si="52"/>
        <v>10.430961535173946</v>
      </c>
    </row>
    <row r="229" spans="3:19" x14ac:dyDescent="0.2">
      <c r="C229" s="1">
        <v>42052</v>
      </c>
      <c r="D229" s="2">
        <v>2100.3400879999999</v>
      </c>
      <c r="E229" s="3">
        <f t="shared" si="40"/>
        <v>1.597574626476824E-3</v>
      </c>
      <c r="F229" s="3">
        <f t="shared" si="41"/>
        <v>1.5962998616407095E-3</v>
      </c>
      <c r="G229" s="2">
        <f t="shared" si="42"/>
        <v>1926.7432504520082</v>
      </c>
      <c r="H229" s="2">
        <f t="shared" si="43"/>
        <v>171.6400447057739</v>
      </c>
      <c r="I229" s="2">
        <f t="shared" si="44"/>
        <v>1.5595294382644624</v>
      </c>
      <c r="J229" s="2">
        <f t="shared" si="45"/>
        <v>3.0732064520079554</v>
      </c>
      <c r="K229" s="2">
        <f t="shared" si="46"/>
        <v>1.5595318129261961</v>
      </c>
      <c r="L229" s="2">
        <f t="shared" si="47"/>
        <v>1.7847562479445003</v>
      </c>
      <c r="M229" s="2"/>
      <c r="O229" s="4">
        <f t="shared" ca="1" si="48"/>
        <v>0.65081631793439165</v>
      </c>
      <c r="P229" s="4">
        <f t="shared" ca="1" si="49"/>
        <v>0.38752529253491391</v>
      </c>
      <c r="Q229" s="4">
        <f t="shared" ca="1" si="50"/>
        <v>1915.9521966968209</v>
      </c>
      <c r="R229" s="4">
        <f t="shared" ca="1" si="51"/>
        <v>-7.7178473031790418</v>
      </c>
      <c r="S229" s="4">
        <f t="shared" ca="1" si="52"/>
        <v>-3.8826027540445605</v>
      </c>
    </row>
    <row r="230" spans="3:19" x14ac:dyDescent="0.2">
      <c r="C230" s="1">
        <v>42048</v>
      </c>
      <c r="D230" s="2">
        <v>2096.98999</v>
      </c>
      <c r="E230" s="3">
        <f t="shared" si="40"/>
        <v>4.0747386048680077E-3</v>
      </c>
      <c r="F230" s="3">
        <f t="shared" si="41"/>
        <v>4.0664593404575655E-3</v>
      </c>
      <c r="G230" s="2">
        <f t="shared" si="42"/>
        <v>1931.508496591315</v>
      </c>
      <c r="H230" s="2">
        <f t="shared" si="43"/>
        <v>174.07338794050838</v>
      </c>
      <c r="I230" s="2">
        <f t="shared" si="44"/>
        <v>3.9928726729989421</v>
      </c>
      <c r="J230" s="2">
        <f t="shared" si="45"/>
        <v>7.8384525913149385</v>
      </c>
      <c r="K230" s="2">
        <f t="shared" si="46"/>
        <v>3.9929123569309724</v>
      </c>
      <c r="L230" s="2">
        <f t="shared" si="47"/>
        <v>4.5521599199510376</v>
      </c>
      <c r="M230" s="2"/>
      <c r="O230" s="4">
        <f t="shared" ca="1" si="48"/>
        <v>0.32509965705937172</v>
      </c>
      <c r="P230" s="4">
        <f t="shared" ca="1" si="49"/>
        <v>-0.45348531668283365</v>
      </c>
      <c r="Q230" s="4">
        <f t="shared" ca="1" si="50"/>
        <v>1931.8209496629306</v>
      </c>
      <c r="R230" s="4">
        <f t="shared" ca="1" si="51"/>
        <v>8.1509056629306542</v>
      </c>
      <c r="S230" s="4">
        <f t="shared" ca="1" si="52"/>
        <v>4.153112849186221</v>
      </c>
    </row>
    <row r="231" spans="3:19" x14ac:dyDescent="0.2">
      <c r="C231" s="1">
        <v>42047</v>
      </c>
      <c r="D231" s="2">
        <v>2088.4799800000001</v>
      </c>
      <c r="E231" s="3">
        <f t="shared" si="40"/>
        <v>9.6445063500695521E-3</v>
      </c>
      <c r="F231" s="3">
        <f t="shared" si="41"/>
        <v>9.598294984990317E-3</v>
      </c>
      <c r="G231" s="2">
        <f t="shared" si="42"/>
        <v>1942.2228919547968</v>
      </c>
      <c r="H231" s="2">
        <f t="shared" si="43"/>
        <v>179.61173066159859</v>
      </c>
      <c r="I231" s="2">
        <f t="shared" si="44"/>
        <v>9.5312153940891449</v>
      </c>
      <c r="J231" s="2">
        <f t="shared" si="45"/>
        <v>18.552847954796576</v>
      </c>
      <c r="K231" s="2">
        <f t="shared" si="46"/>
        <v>9.5317499102358862</v>
      </c>
      <c r="L231" s="2">
        <f t="shared" si="47"/>
        <v>10.774515744899361</v>
      </c>
      <c r="M231" s="2"/>
      <c r="O231" s="4">
        <f t="shared" ca="1" si="48"/>
        <v>0.32552958059813264</v>
      </c>
      <c r="P231" s="4">
        <f t="shared" ca="1" si="49"/>
        <v>-0.45229127421556753</v>
      </c>
      <c r="Q231" s="4">
        <f t="shared" ca="1" si="50"/>
        <v>1931.7984196677839</v>
      </c>
      <c r="R231" s="4">
        <f t="shared" ca="1" si="51"/>
        <v>8.1283756677839847</v>
      </c>
      <c r="S231" s="4">
        <f t="shared" ca="1" si="52"/>
        <v>4.1415586433170812</v>
      </c>
    </row>
    <row r="232" spans="3:19" x14ac:dyDescent="0.2">
      <c r="C232" s="1">
        <v>42046</v>
      </c>
      <c r="D232" s="2">
        <v>2068.530029</v>
      </c>
      <c r="E232" s="3">
        <f t="shared" si="40"/>
        <v>-2.903378506370865E-5</v>
      </c>
      <c r="F232" s="3">
        <f t="shared" si="41"/>
        <v>-2.9034206552188216E-5</v>
      </c>
      <c r="G232" s="2">
        <f t="shared" si="42"/>
        <v>1923.6141925774091</v>
      </c>
      <c r="H232" s="2">
        <f t="shared" si="43"/>
        <v>170.05224400015288</v>
      </c>
      <c r="I232" s="2">
        <f t="shared" si="44"/>
        <v>-2.8271267356558383E-2</v>
      </c>
      <c r="J232" s="2">
        <f t="shared" si="45"/>
        <v>-5.5851422590990962E-2</v>
      </c>
      <c r="K232" s="2">
        <f t="shared" si="46"/>
        <v>-2.8271267370789756E-2</v>
      </c>
      <c r="L232" s="2">
        <f t="shared" si="47"/>
        <v>-2.3786556131824454E-2</v>
      </c>
      <c r="M232" s="2"/>
      <c r="O232" s="4">
        <f t="shared" ca="1" si="48"/>
        <v>0.18359252502993839</v>
      </c>
      <c r="P232" s="4">
        <f t="shared" ca="1" si="49"/>
        <v>-0.90175872479553665</v>
      </c>
      <c r="Q232" s="4">
        <f t="shared" ca="1" si="50"/>
        <v>1940.2792733709196</v>
      </c>
      <c r="R232" s="4">
        <f t="shared" ca="1" si="51"/>
        <v>16.609229370919593</v>
      </c>
      <c r="S232" s="4">
        <f t="shared" ca="1" si="52"/>
        <v>8.5200513560714572</v>
      </c>
    </row>
    <row r="233" spans="3:19" x14ac:dyDescent="0.2">
      <c r="C233" s="1">
        <v>42045</v>
      </c>
      <c r="D233" s="2">
        <v>2068.5900879999999</v>
      </c>
      <c r="E233" s="3">
        <f t="shared" si="40"/>
        <v>1.0675561188404731E-2</v>
      </c>
      <c r="F233" s="3">
        <f t="shared" si="41"/>
        <v>1.0618979721447666E-2</v>
      </c>
      <c r="G233" s="2">
        <f t="shared" si="42"/>
        <v>1944.2063012610229</v>
      </c>
      <c r="H233" s="2">
        <f t="shared" si="43"/>
        <v>180.64711935753735</v>
      </c>
      <c r="I233" s="2">
        <f t="shared" si="44"/>
        <v>10.566604090027909</v>
      </c>
      <c r="J233" s="2">
        <f t="shared" si="45"/>
        <v>20.53625726102322</v>
      </c>
      <c r="K233" s="2">
        <f t="shared" si="46"/>
        <v>10.567331081292537</v>
      </c>
      <c r="L233" s="2">
        <f t="shared" si="47"/>
        <v>11.926375278841704</v>
      </c>
      <c r="M233" s="2"/>
      <c r="O233" s="4">
        <f t="shared" ca="1" si="48"/>
        <v>0.60826155370585133</v>
      </c>
      <c r="P233" s="4">
        <f t="shared" ca="1" si="49"/>
        <v>0.27479089639605619</v>
      </c>
      <c r="Q233" s="4">
        <f t="shared" ca="1" si="50"/>
        <v>1918.079344991389</v>
      </c>
      <c r="R233" s="4">
        <f t="shared" ca="1" si="51"/>
        <v>-5.5906990086109545</v>
      </c>
      <c r="S233" s="4">
        <f t="shared" ca="1" si="52"/>
        <v>-2.8173432772436695</v>
      </c>
    </row>
    <row r="234" spans="3:19" x14ac:dyDescent="0.2">
      <c r="C234" s="1">
        <v>42044</v>
      </c>
      <c r="D234" s="2">
        <v>2046.73999</v>
      </c>
      <c r="E234" s="3">
        <f t="shared" si="40"/>
        <v>-4.2471946188310196E-3</v>
      </c>
      <c r="F234" s="3">
        <f t="shared" si="41"/>
        <v>-4.2562395694247922E-3</v>
      </c>
      <c r="G234" s="2">
        <f t="shared" si="42"/>
        <v>1915.4998429407167</v>
      </c>
      <c r="H234" s="2">
        <f t="shared" si="43"/>
        <v>165.97189608246572</v>
      </c>
      <c r="I234" s="2">
        <f t="shared" si="44"/>
        <v>-4.1086191850437217</v>
      </c>
      <c r="J234" s="2">
        <f t="shared" si="45"/>
        <v>-8.1702010592832313</v>
      </c>
      <c r="K234" s="2">
        <f t="shared" si="46"/>
        <v>-4.1086630421501233</v>
      </c>
      <c r="L234" s="2">
        <f t="shared" si="47"/>
        <v>-3.4796060169894361</v>
      </c>
      <c r="M234" s="2"/>
      <c r="O234" s="4">
        <f t="shared" ca="1" si="48"/>
        <v>1.6473541031640782E-3</v>
      </c>
      <c r="P234" s="4">
        <f t="shared" ca="1" si="49"/>
        <v>-2.938813916706795</v>
      </c>
      <c r="Q234" s="4">
        <f t="shared" ca="1" si="50"/>
        <v>1978.7157987422675</v>
      </c>
      <c r="R234" s="4">
        <f t="shared" ca="1" si="51"/>
        <v>55.045754742267491</v>
      </c>
      <c r="S234" s="4">
        <f t="shared" ca="1" si="52"/>
        <v>29.0981342667604</v>
      </c>
    </row>
    <row r="235" spans="3:19" x14ac:dyDescent="0.2">
      <c r="C235" s="1">
        <v>42041</v>
      </c>
      <c r="D235" s="2">
        <v>2055.469971</v>
      </c>
      <c r="E235" s="3">
        <f t="shared" si="40"/>
        <v>-3.4181723966974849E-3</v>
      </c>
      <c r="F235" s="3">
        <f t="shared" si="41"/>
        <v>-3.4240276947173063E-3</v>
      </c>
      <c r="G235" s="2">
        <f t="shared" si="42"/>
        <v>1917.0946081552454</v>
      </c>
      <c r="H235" s="2">
        <f t="shared" si="43"/>
        <v>166.76958834613583</v>
      </c>
      <c r="I235" s="2">
        <f t="shared" si="44"/>
        <v>-3.310926921373607</v>
      </c>
      <c r="J235" s="2">
        <f t="shared" si="45"/>
        <v>-6.5754358447546357</v>
      </c>
      <c r="K235" s="2">
        <f t="shared" si="46"/>
        <v>-3.3109498402035591</v>
      </c>
      <c r="L235" s="2">
        <f t="shared" si="47"/>
        <v>-2.8004116378187973</v>
      </c>
      <c r="M235" s="2"/>
      <c r="O235" s="4">
        <f t="shared" ca="1" si="48"/>
        <v>0.73862815704261442</v>
      </c>
      <c r="P235" s="4">
        <f t="shared" ca="1" si="49"/>
        <v>0.63912182034758691</v>
      </c>
      <c r="Q235" s="4">
        <f t="shared" ca="1" si="50"/>
        <v>1911.204904447198</v>
      </c>
      <c r="R235" s="4">
        <f t="shared" ca="1" si="51"/>
        <v>-12.465139552801929</v>
      </c>
      <c r="S235" s="4">
        <f t="shared" ca="1" si="52"/>
        <v>-6.2467254406612085</v>
      </c>
    </row>
    <row r="236" spans="3:19" x14ac:dyDescent="0.2">
      <c r="C236" s="1">
        <v>42040</v>
      </c>
      <c r="D236" s="2">
        <v>2062.5200199999999</v>
      </c>
      <c r="E236" s="3">
        <f t="shared" si="40"/>
        <v>1.0291406800400634E-2</v>
      </c>
      <c r="F236" s="3">
        <f t="shared" si="41"/>
        <v>1.0238810823374916E-2</v>
      </c>
      <c r="G236" s="2">
        <f t="shared" si="42"/>
        <v>1943.4673149725484</v>
      </c>
      <c r="H236" s="2">
        <f t="shared" si="43"/>
        <v>180.26098056553644</v>
      </c>
      <c r="I236" s="2">
        <f t="shared" si="44"/>
        <v>10.180465298027002</v>
      </c>
      <c r="J236" s="2">
        <f t="shared" si="45"/>
        <v>19.797270972548585</v>
      </c>
      <c r="K236" s="2">
        <f t="shared" si="46"/>
        <v>10.181115909226461</v>
      </c>
      <c r="L236" s="2">
        <f t="shared" si="47"/>
        <v>11.497211011456216</v>
      </c>
      <c r="M236" s="2"/>
      <c r="O236" s="4">
        <f t="shared" ca="1" si="48"/>
        <v>0.92684028450684575</v>
      </c>
      <c r="P236" s="4">
        <f t="shared" ca="1" si="49"/>
        <v>1.4526554899311694</v>
      </c>
      <c r="Q236" s="4">
        <f t="shared" ca="1" si="50"/>
        <v>1895.8546048305946</v>
      </c>
      <c r="R236" s="4">
        <f t="shared" ca="1" si="51"/>
        <v>-27.815439169405408</v>
      </c>
      <c r="S236" s="4">
        <f t="shared" ca="1" si="52"/>
        <v>-13.765498844226341</v>
      </c>
    </row>
    <row r="237" spans="3:19" x14ac:dyDescent="0.2">
      <c r="C237" s="1">
        <v>42039</v>
      </c>
      <c r="D237" s="2">
        <v>2041.51001</v>
      </c>
      <c r="E237" s="3">
        <f t="shared" si="40"/>
        <v>-4.1560459502908327E-3</v>
      </c>
      <c r="F237" s="3">
        <f t="shared" si="41"/>
        <v>-4.1647063128333371E-3</v>
      </c>
      <c r="G237" s="2">
        <f t="shared" si="42"/>
        <v>1915.6751829039379</v>
      </c>
      <c r="H237" s="2">
        <f t="shared" si="43"/>
        <v>166.05949834759758</v>
      </c>
      <c r="I237" s="2">
        <f t="shared" si="44"/>
        <v>-4.0210169199118582</v>
      </c>
      <c r="J237" s="2">
        <f t="shared" si="45"/>
        <v>-7.9948610960619879</v>
      </c>
      <c r="K237" s="2">
        <f t="shared" si="46"/>
        <v>-4.0210580247726355</v>
      </c>
      <c r="L237" s="2">
        <f t="shared" si="47"/>
        <v>-3.4049304996287049</v>
      </c>
      <c r="M237" s="2"/>
      <c r="O237" s="4">
        <f t="shared" ca="1" si="48"/>
        <v>0.47125676553231122</v>
      </c>
      <c r="P237" s="4">
        <f t="shared" ca="1" si="49"/>
        <v>-7.2111051794526246E-2</v>
      </c>
      <c r="Q237" s="4">
        <f t="shared" ca="1" si="50"/>
        <v>1924.6249239162717</v>
      </c>
      <c r="R237" s="4">
        <f t="shared" ca="1" si="51"/>
        <v>0.95487991627169322</v>
      </c>
      <c r="S237" s="4">
        <f t="shared" ca="1" si="52"/>
        <v>0.4837407305263306</v>
      </c>
    </row>
    <row r="238" spans="3:19" x14ac:dyDescent="0.2">
      <c r="C238" s="1">
        <v>42038</v>
      </c>
      <c r="D238" s="2">
        <v>2050.030029</v>
      </c>
      <c r="E238" s="3">
        <f t="shared" si="40"/>
        <v>1.4439494938539686E-2</v>
      </c>
      <c r="F238" s="3">
        <f t="shared" si="41"/>
        <v>1.4336238227742741E-2</v>
      </c>
      <c r="G238" s="2">
        <f t="shared" si="42"/>
        <v>1951.4468678637581</v>
      </c>
      <c r="H238" s="2">
        <f t="shared" si="43"/>
        <v>184.45367317076693</v>
      </c>
      <c r="I238" s="2">
        <f t="shared" si="44"/>
        <v>14.373157903257493</v>
      </c>
      <c r="J238" s="2">
        <f t="shared" si="45"/>
        <v>27.776823863758413</v>
      </c>
      <c r="K238" s="2">
        <f t="shared" si="46"/>
        <v>14.374975363636644</v>
      </c>
      <c r="L238" s="2">
        <f t="shared" si="47"/>
        <v>16.131314544944672</v>
      </c>
      <c r="M238" s="2"/>
      <c r="O238" s="4">
        <f t="shared" ca="1" si="48"/>
        <v>0.96890351219079651</v>
      </c>
      <c r="P238" s="4">
        <f t="shared" ca="1" si="49"/>
        <v>1.8649174532950192</v>
      </c>
      <c r="Q238" s="4">
        <f t="shared" ca="1" si="50"/>
        <v>1888.0757692460718</v>
      </c>
      <c r="R238" s="4">
        <f t="shared" ca="1" si="51"/>
        <v>-35.594274753928175</v>
      </c>
      <c r="S238" s="4">
        <f t="shared" ca="1" si="52"/>
        <v>-17.502433192417993</v>
      </c>
    </row>
    <row r="239" spans="3:19" x14ac:dyDescent="0.2">
      <c r="C239" s="1">
        <v>42037</v>
      </c>
      <c r="D239" s="2">
        <v>2020.849976</v>
      </c>
      <c r="E239" s="3">
        <f t="shared" si="40"/>
        <v>1.2962464037225537E-2</v>
      </c>
      <c r="F239" s="3">
        <f t="shared" si="41"/>
        <v>1.2879170322592387E-2</v>
      </c>
      <c r="G239" s="2">
        <f t="shared" si="42"/>
        <v>1948.6055477648379</v>
      </c>
      <c r="H239" s="2">
        <f t="shared" si="43"/>
        <v>182.9549091600353</v>
      </c>
      <c r="I239" s="2">
        <f t="shared" si="44"/>
        <v>12.874393892525859</v>
      </c>
      <c r="J239" s="2">
        <f t="shared" si="45"/>
        <v>24.935503764838067</v>
      </c>
      <c r="K239" s="2">
        <f t="shared" si="46"/>
        <v>12.875703484431474</v>
      </c>
      <c r="L239" s="2">
        <f t="shared" si="47"/>
        <v>14.481225662811568</v>
      </c>
      <c r="M239" s="2"/>
      <c r="O239" s="4">
        <f t="shared" ca="1" si="48"/>
        <v>0.32167501123763964</v>
      </c>
      <c r="P239" s="4">
        <f t="shared" ca="1" si="49"/>
        <v>-0.4630200124790968</v>
      </c>
      <c r="Q239" s="4">
        <f t="shared" ca="1" si="50"/>
        <v>1932.0008567063612</v>
      </c>
      <c r="R239" s="4">
        <f t="shared" ca="1" si="51"/>
        <v>8.3308127063612574</v>
      </c>
      <c r="S239" s="4">
        <f t="shared" ca="1" si="52"/>
        <v>4.2453905891393822</v>
      </c>
    </row>
    <row r="240" spans="3:19" x14ac:dyDescent="0.2">
      <c r="C240" s="1">
        <v>42034</v>
      </c>
      <c r="D240" s="2">
        <v>1994.98999</v>
      </c>
      <c r="E240" s="3">
        <f t="shared" si="40"/>
        <v>-1.299196536796535E-2</v>
      </c>
      <c r="F240" s="3">
        <f t="shared" si="41"/>
        <v>-1.3077099123800286E-2</v>
      </c>
      <c r="G240" s="2">
        <f t="shared" si="42"/>
        <v>1898.6777894089596</v>
      </c>
      <c r="H240" s="2">
        <f t="shared" si="43"/>
        <v>157.6846738536949</v>
      </c>
      <c r="I240" s="2">
        <f t="shared" si="44"/>
        <v>-12.395841413814537</v>
      </c>
      <c r="J240" s="2">
        <f t="shared" si="45"/>
        <v>-24.992254591040382</v>
      </c>
      <c r="K240" s="2">
        <f t="shared" si="46"/>
        <v>-12.39706342613402</v>
      </c>
      <c r="L240" s="2">
        <f t="shared" si="47"/>
        <v>-10.64394851755884</v>
      </c>
      <c r="M240" s="2"/>
      <c r="O240" s="4">
        <f t="shared" ca="1" si="48"/>
        <v>0.39078482847139417</v>
      </c>
      <c r="P240" s="4">
        <f t="shared" ca="1" si="49"/>
        <v>-0.27727408496001799</v>
      </c>
      <c r="Q240" s="4">
        <f t="shared" ca="1" si="50"/>
        <v>1928.4960778058869</v>
      </c>
      <c r="R240" s="4">
        <f t="shared" ca="1" si="51"/>
        <v>4.8260338058869365</v>
      </c>
      <c r="S240" s="4">
        <f t="shared" ca="1" si="52"/>
        <v>2.4524664705280741</v>
      </c>
    </row>
    <row r="241" spans="3:19" x14ac:dyDescent="0.2">
      <c r="C241" s="1">
        <v>42033</v>
      </c>
      <c r="D241" s="2">
        <v>2021.25</v>
      </c>
      <c r="E241" s="3">
        <f t="shared" si="40"/>
        <v>9.5346853777024312E-3</v>
      </c>
      <c r="F241" s="3">
        <f t="shared" si="41"/>
        <v>9.4895171480104974E-3</v>
      </c>
      <c r="G241" s="2">
        <f t="shared" si="42"/>
        <v>1942.0116326400512</v>
      </c>
      <c r="H241" s="2">
        <f t="shared" si="43"/>
        <v>179.50163451961373</v>
      </c>
      <c r="I241" s="2">
        <f t="shared" si="44"/>
        <v>9.4211192521042904</v>
      </c>
      <c r="J241" s="2">
        <f t="shared" si="45"/>
        <v>18.341588640050993</v>
      </c>
      <c r="K241" s="2">
        <f t="shared" si="46"/>
        <v>9.4216355588700669</v>
      </c>
      <c r="L241" s="2">
        <f t="shared" si="47"/>
        <v>10.651827475231642</v>
      </c>
      <c r="M241" s="2"/>
      <c r="O241" s="4">
        <f t="shared" ca="1" si="48"/>
        <v>0.58783984786668408</v>
      </c>
      <c r="P241" s="4">
        <f t="shared" ca="1" si="49"/>
        <v>0.22199175178984676</v>
      </c>
      <c r="Q241" s="4">
        <f t="shared" ca="1" si="50"/>
        <v>1919.0755947097571</v>
      </c>
      <c r="R241" s="4">
        <f t="shared" ca="1" si="51"/>
        <v>-4.5944492902428919</v>
      </c>
      <c r="S241" s="4">
        <f t="shared" ca="1" si="52"/>
        <v>-2.3171624231716494</v>
      </c>
    </row>
    <row r="242" spans="3:19" x14ac:dyDescent="0.2">
      <c r="C242" s="1">
        <v>42032</v>
      </c>
      <c r="D242" s="2">
        <v>2002.160034</v>
      </c>
      <c r="E242" s="3">
        <f t="shared" si="40"/>
        <v>-1.3495609538427277E-2</v>
      </c>
      <c r="F242" s="3">
        <f t="shared" si="41"/>
        <v>-1.358750298545512E-2</v>
      </c>
      <c r="G242" s="2">
        <f t="shared" si="42"/>
        <v>1897.7089442054066</v>
      </c>
      <c r="H242" s="2">
        <f t="shared" si="43"/>
        <v>157.21447578525078</v>
      </c>
      <c r="I242" s="2">
        <f t="shared" si="44"/>
        <v>-12.866039482258657</v>
      </c>
      <c r="J242" s="2">
        <f t="shared" si="45"/>
        <v>-25.96109979459322</v>
      </c>
      <c r="K242" s="2">
        <f t="shared" si="46"/>
        <v>-12.86740701393661</v>
      </c>
      <c r="L242" s="2">
        <f t="shared" si="47"/>
        <v>-11.056569893134906</v>
      </c>
      <c r="M242" s="2"/>
      <c r="O242" s="4">
        <f t="shared" ca="1" si="48"/>
        <v>0.84769072474489093</v>
      </c>
      <c r="P242" s="4">
        <f t="shared" ca="1" si="49"/>
        <v>1.0265794163684692</v>
      </c>
      <c r="Q242" s="4">
        <f t="shared" ca="1" si="50"/>
        <v>1903.8940943233911</v>
      </c>
      <c r="R242" s="4">
        <f t="shared" ca="1" si="51"/>
        <v>-19.775949676608889</v>
      </c>
      <c r="S242" s="4">
        <f t="shared" ca="1" si="52"/>
        <v>-9.8515794649470312</v>
      </c>
    </row>
    <row r="243" spans="3:19" x14ac:dyDescent="0.2">
      <c r="C243" s="1">
        <v>42031</v>
      </c>
      <c r="D243" s="2">
        <v>2029.5500489999999</v>
      </c>
      <c r="E243" s="3">
        <f t="shared" si="40"/>
        <v>-1.3387862379316457E-2</v>
      </c>
      <c r="F243" s="3">
        <f t="shared" si="41"/>
        <v>-1.3478287784341066E-2</v>
      </c>
      <c r="G243" s="2">
        <f t="shared" si="42"/>
        <v>1897.9162141877143</v>
      </c>
      <c r="H243" s="2">
        <f t="shared" si="43"/>
        <v>157.31500248613725</v>
      </c>
      <c r="I243" s="2">
        <f t="shared" si="44"/>
        <v>-12.765512781372195</v>
      </c>
      <c r="J243" s="2">
        <f t="shared" si="45"/>
        <v>-25.753829812285634</v>
      </c>
      <c r="K243" s="2">
        <f t="shared" si="46"/>
        <v>-12.766848274415633</v>
      </c>
      <c r="L243" s="2">
        <f t="shared" si="47"/>
        <v>-10.968295703510194</v>
      </c>
      <c r="M243" s="2"/>
      <c r="O243" s="4">
        <f t="shared" ca="1" si="48"/>
        <v>9.8768624639322233E-2</v>
      </c>
      <c r="P243" s="4">
        <f t="shared" ca="1" si="49"/>
        <v>-1.2885998106952061</v>
      </c>
      <c r="Q243" s="4">
        <f t="shared" ca="1" si="50"/>
        <v>1947.5784507677338</v>
      </c>
      <c r="R243" s="4">
        <f t="shared" ca="1" si="51"/>
        <v>23.908406767733823</v>
      </c>
      <c r="S243" s="4">
        <f t="shared" ca="1" si="52"/>
        <v>12.335355305731252</v>
      </c>
    </row>
    <row r="244" spans="3:19" x14ac:dyDescent="0.2">
      <c r="C244" s="1">
        <v>42030</v>
      </c>
      <c r="D244" s="2">
        <v>2057.0900879999999</v>
      </c>
      <c r="E244" s="3">
        <f t="shared" si="40"/>
        <v>2.5684610859356949E-3</v>
      </c>
      <c r="F244" s="3">
        <f t="shared" si="41"/>
        <v>2.5651682269424068E-3</v>
      </c>
      <c r="G244" s="2">
        <f t="shared" si="42"/>
        <v>1928.6109156501943</v>
      </c>
      <c r="H244" s="2">
        <f t="shared" si="43"/>
        <v>172.5915604567906</v>
      </c>
      <c r="I244" s="2">
        <f t="shared" si="44"/>
        <v>2.5110451892811625</v>
      </c>
      <c r="J244" s="2">
        <f t="shared" si="45"/>
        <v>4.9408716501942056</v>
      </c>
      <c r="K244" s="2">
        <f t="shared" si="46"/>
        <v>2.511055085206368</v>
      </c>
      <c r="L244" s="2">
        <f t="shared" si="47"/>
        <v>2.8693977074707107</v>
      </c>
      <c r="M244" s="2"/>
      <c r="O244" s="4">
        <f t="shared" ca="1" si="48"/>
        <v>0.53681888474731354</v>
      </c>
      <c r="P244" s="4">
        <f t="shared" ca="1" si="49"/>
        <v>9.2422667421266314E-2</v>
      </c>
      <c r="Q244" s="4">
        <f t="shared" ca="1" si="50"/>
        <v>1921.5203912073928</v>
      </c>
      <c r="R244" s="4">
        <f t="shared" ca="1" si="51"/>
        <v>-2.1496527926071849</v>
      </c>
      <c r="S244" s="4">
        <f t="shared" ca="1" si="52"/>
        <v>-1.0862942294696085</v>
      </c>
    </row>
    <row r="245" spans="3:19" x14ac:dyDescent="0.2">
      <c r="C245" s="1">
        <v>42027</v>
      </c>
      <c r="D245" s="2">
        <v>2051.820068</v>
      </c>
      <c r="E245" s="3">
        <f t="shared" si="40"/>
        <v>-5.4915224477955155E-3</v>
      </c>
      <c r="F245" s="3">
        <f t="shared" si="41"/>
        <v>-5.5066562878371269E-3</v>
      </c>
      <c r="G245" s="2">
        <f t="shared" si="42"/>
        <v>1913.1061667712222</v>
      </c>
      <c r="H245" s="2">
        <f t="shared" si="43"/>
        <v>164.77849868316207</v>
      </c>
      <c r="I245" s="2">
        <f t="shared" si="44"/>
        <v>-5.3020165843473706</v>
      </c>
      <c r="J245" s="2">
        <f t="shared" si="45"/>
        <v>-10.563877228777788</v>
      </c>
      <c r="K245" s="2">
        <f t="shared" si="46"/>
        <v>-5.3021110307491082</v>
      </c>
      <c r="L245" s="2">
        <f t="shared" si="47"/>
        <v>-4.4990484935773907</v>
      </c>
      <c r="M245" s="2"/>
      <c r="O245" s="4">
        <f t="shared" ca="1" si="48"/>
        <v>0.61707962708816388</v>
      </c>
      <c r="P245" s="4">
        <f t="shared" ca="1" si="49"/>
        <v>0.29781974219821111</v>
      </c>
      <c r="Q245" s="4">
        <f t="shared" ca="1" si="50"/>
        <v>1917.6448212634791</v>
      </c>
      <c r="R245" s="4">
        <f t="shared" ca="1" si="51"/>
        <v>-6.0252227365208455</v>
      </c>
      <c r="S245" s="4">
        <f t="shared" ca="1" si="52"/>
        <v>-3.0352488058177123</v>
      </c>
    </row>
    <row r="246" spans="3:19" x14ac:dyDescent="0.2">
      <c r="C246" s="1">
        <v>42026</v>
      </c>
      <c r="D246" s="2">
        <v>2063.1499020000001</v>
      </c>
      <c r="E246" s="3">
        <f t="shared" si="40"/>
        <v>1.5269721805970466E-2</v>
      </c>
      <c r="F246" s="3">
        <f t="shared" si="41"/>
        <v>1.5154312961683942E-2</v>
      </c>
      <c r="G246" s="2">
        <f t="shared" si="42"/>
        <v>1953.0439504183591</v>
      </c>
      <c r="H246" s="2">
        <f t="shared" si="43"/>
        <v>185.29895034865956</v>
      </c>
      <c r="I246" s="2">
        <f t="shared" si="44"/>
        <v>15.218435081150119</v>
      </c>
      <c r="J246" s="2">
        <f t="shared" si="45"/>
        <v>29.373906418358963</v>
      </c>
      <c r="K246" s="2">
        <f t="shared" si="46"/>
        <v>15.22058920935425</v>
      </c>
      <c r="L246" s="2">
        <f t="shared" si="47"/>
        <v>17.05881587370979</v>
      </c>
      <c r="M246" s="2"/>
      <c r="O246" s="4">
        <f t="shared" ca="1" si="48"/>
        <v>0.53942458916041225</v>
      </c>
      <c r="P246" s="4">
        <f t="shared" ca="1" si="49"/>
        <v>9.8984191667909782E-2</v>
      </c>
      <c r="Q246" s="4">
        <f t="shared" ca="1" si="50"/>
        <v>1921.3965839614318</v>
      </c>
      <c r="R246" s="4">
        <f t="shared" ca="1" si="51"/>
        <v>-2.273460038568146</v>
      </c>
      <c r="S246" s="4">
        <f t="shared" ca="1" si="52"/>
        <v>-1.1487437534851679</v>
      </c>
    </row>
    <row r="247" spans="3:19" x14ac:dyDescent="0.2">
      <c r="C247" s="1">
        <v>42025</v>
      </c>
      <c r="D247" s="2">
        <v>2032.119995</v>
      </c>
      <c r="E247" s="3">
        <f t="shared" si="40"/>
        <v>4.7316238254433785E-3</v>
      </c>
      <c r="F247" s="3">
        <f t="shared" si="41"/>
        <v>4.720464879542292E-3</v>
      </c>
      <c r="G247" s="2">
        <f t="shared" si="42"/>
        <v>1932.7721270124821</v>
      </c>
      <c r="H247" s="2">
        <f t="shared" si="43"/>
        <v>174.7217414261919</v>
      </c>
      <c r="I247" s="2">
        <f t="shared" si="44"/>
        <v>4.641226158682457</v>
      </c>
      <c r="J247" s="2">
        <f t="shared" si="45"/>
        <v>9.1020830124821117</v>
      </c>
      <c r="K247" s="2">
        <f t="shared" si="46"/>
        <v>4.6412884116410948</v>
      </c>
      <c r="L247" s="2">
        <f t="shared" si="47"/>
        <v>5.2860098335475811</v>
      </c>
      <c r="M247" s="2"/>
      <c r="O247" s="4">
        <f t="shared" ca="1" si="48"/>
        <v>0.61569106682350327</v>
      </c>
      <c r="P247" s="4">
        <f t="shared" ca="1" si="49"/>
        <v>0.29418326681657825</v>
      </c>
      <c r="Q247" s="4">
        <f t="shared" ca="1" si="50"/>
        <v>1917.713436723101</v>
      </c>
      <c r="R247" s="4">
        <f t="shared" ca="1" si="51"/>
        <v>-5.9566072768989216</v>
      </c>
      <c r="S247" s="4">
        <f t="shared" ca="1" si="52"/>
        <v>-3.00084965546912</v>
      </c>
    </row>
    <row r="248" spans="3:19" x14ac:dyDescent="0.2">
      <c r="C248" s="1">
        <v>42024</v>
      </c>
      <c r="D248" s="2">
        <v>2022.5500489999999</v>
      </c>
      <c r="E248" s="3">
        <f t="shared" si="40"/>
        <v>1.5499524278268393E-3</v>
      </c>
      <c r="F248" s="3">
        <f t="shared" si="41"/>
        <v>1.5487524912989278E-3</v>
      </c>
      <c r="G248" s="2">
        <f t="shared" si="42"/>
        <v>1926.6516410550355</v>
      </c>
      <c r="H248" s="2">
        <f t="shared" si="43"/>
        <v>171.59344554621691</v>
      </c>
      <c r="I248" s="2">
        <f t="shared" si="44"/>
        <v>1.5129302787074721</v>
      </c>
      <c r="J248" s="2">
        <f t="shared" si="45"/>
        <v>2.9815970550355626</v>
      </c>
      <c r="K248" s="2">
        <f t="shared" si="46"/>
        <v>1.5129324469779621</v>
      </c>
      <c r="L248" s="2">
        <f t="shared" si="47"/>
        <v>1.7315543410207681</v>
      </c>
      <c r="M248" s="2"/>
      <c r="O248" s="4">
        <f t="shared" ca="1" si="48"/>
        <v>2.583967603677928E-2</v>
      </c>
      <c r="P248" s="4">
        <f t="shared" ca="1" si="49"/>
        <v>-1.9457951448944699</v>
      </c>
      <c r="Q248" s="4">
        <f t="shared" ca="1" si="50"/>
        <v>1959.9788536813051</v>
      </c>
      <c r="R248" s="4">
        <f t="shared" ca="1" si="51"/>
        <v>36.308809681305092</v>
      </c>
      <c r="S248" s="4">
        <f t="shared" ca="1" si="52"/>
        <v>18.916526536182104</v>
      </c>
    </row>
    <row r="249" spans="3:19" x14ac:dyDescent="0.2">
      <c r="C249" s="1">
        <v>42020</v>
      </c>
      <c r="D249" s="2">
        <v>2019.420044</v>
      </c>
      <c r="E249" s="3">
        <f t="shared" si="40"/>
        <v>1.3424199395451945E-2</v>
      </c>
      <c r="F249" s="3">
        <f t="shared" si="41"/>
        <v>1.3334893185903807E-2</v>
      </c>
      <c r="G249" s="2">
        <f t="shared" si="42"/>
        <v>1949.4937742417139</v>
      </c>
      <c r="H249" s="2">
        <f t="shared" si="43"/>
        <v>183.42274428728638</v>
      </c>
      <c r="I249" s="2">
        <f t="shared" si="44"/>
        <v>13.342229019776937</v>
      </c>
      <c r="J249" s="2">
        <f t="shared" si="45"/>
        <v>25.823730241713815</v>
      </c>
      <c r="K249" s="2">
        <f t="shared" si="46"/>
        <v>13.343685426315943</v>
      </c>
      <c r="L249" s="2">
        <f t="shared" si="47"/>
        <v>14.997060761738453</v>
      </c>
      <c r="M249" s="2"/>
      <c r="O249" s="4">
        <f t="shared" ca="1" si="48"/>
        <v>0.64637260114833073</v>
      </c>
      <c r="P249" s="4">
        <f t="shared" ca="1" si="49"/>
        <v>0.37554552226587706</v>
      </c>
      <c r="Q249" s="4">
        <f t="shared" ca="1" si="50"/>
        <v>1916.1782390474245</v>
      </c>
      <c r="R249" s="4">
        <f t="shared" ca="1" si="51"/>
        <v>-7.4918049525754213</v>
      </c>
      <c r="S249" s="4">
        <f t="shared" ca="1" si="52"/>
        <v>-3.7695774165033247</v>
      </c>
    </row>
    <row r="250" spans="3:19" x14ac:dyDescent="0.2">
      <c r="C250" s="1">
        <v>42019</v>
      </c>
      <c r="D250" s="2">
        <v>1992.670044</v>
      </c>
      <c r="E250" s="3">
        <f t="shared" si="40"/>
        <v>-9.2478761255537292E-3</v>
      </c>
      <c r="F250" s="3">
        <f t="shared" si="41"/>
        <v>-9.2909032101848917E-3</v>
      </c>
      <c r="G250" s="2">
        <f t="shared" si="42"/>
        <v>1905.8801817266494</v>
      </c>
      <c r="H250" s="2">
        <f t="shared" si="43"/>
        <v>161.20438759214358</v>
      </c>
      <c r="I250" s="2">
        <f t="shared" si="44"/>
        <v>-8.8761276753658649</v>
      </c>
      <c r="J250" s="2">
        <f t="shared" si="45"/>
        <v>-17.78986227335049</v>
      </c>
      <c r="K250" s="2">
        <f t="shared" si="46"/>
        <v>-8.8765735900050604</v>
      </c>
      <c r="L250" s="2">
        <f t="shared" si="47"/>
        <v>-7.5765224574772674</v>
      </c>
      <c r="M250" s="2"/>
      <c r="O250" s="4">
        <f t="shared" ca="1" si="48"/>
        <v>0.74162796732109204</v>
      </c>
      <c r="P250" s="4">
        <f t="shared" ca="1" si="49"/>
        <v>0.64837248001181391</v>
      </c>
      <c r="Q250" s="4">
        <f t="shared" ca="1" si="50"/>
        <v>1911.0303567882549</v>
      </c>
      <c r="R250" s="4">
        <f t="shared" ca="1" si="51"/>
        <v>-12.639687211745013</v>
      </c>
      <c r="S250" s="4">
        <f t="shared" ca="1" si="52"/>
        <v>-6.3332994025324885</v>
      </c>
    </row>
    <row r="251" spans="3:19" x14ac:dyDescent="0.2">
      <c r="C251" s="1">
        <v>42018</v>
      </c>
      <c r="D251" s="2">
        <v>2011.2700199999999</v>
      </c>
      <c r="E251" s="3">
        <f t="shared" si="40"/>
        <v>-5.8130669497838093E-3</v>
      </c>
      <c r="F251" s="3">
        <f t="shared" si="41"/>
        <v>-5.8300285881662875E-3</v>
      </c>
      <c r="G251" s="2">
        <f t="shared" si="42"/>
        <v>1912.4876212449344</v>
      </c>
      <c r="H251" s="2">
        <f t="shared" si="43"/>
        <v>164.47087787033695</v>
      </c>
      <c r="I251" s="2">
        <f t="shared" si="44"/>
        <v>-5.6096373971724915</v>
      </c>
      <c r="J251" s="2">
        <f t="shared" si="45"/>
        <v>-11.182422755065566</v>
      </c>
      <c r="K251" s="2">
        <f t="shared" si="46"/>
        <v>-5.6097493154270106</v>
      </c>
      <c r="L251" s="2">
        <f t="shared" si="47"/>
        <v>-4.7624807787115913</v>
      </c>
      <c r="M251" s="2"/>
      <c r="O251" s="4">
        <f t="shared" ca="1" si="48"/>
        <v>0.33092298286951449</v>
      </c>
      <c r="P251" s="4">
        <f t="shared" ca="1" si="49"/>
        <v>-0.43736596118011539</v>
      </c>
      <c r="Q251" s="4">
        <f t="shared" ca="1" si="50"/>
        <v>1931.5167988381468</v>
      </c>
      <c r="R251" s="4">
        <f t="shared" ca="1" si="51"/>
        <v>7.8467548381468077</v>
      </c>
      <c r="S251" s="4">
        <f t="shared" ca="1" si="52"/>
        <v>3.9971680451544538</v>
      </c>
    </row>
    <row r="252" spans="3:19" x14ac:dyDescent="0.2">
      <c r="C252" s="1">
        <v>42017</v>
      </c>
      <c r="D252" s="2">
        <v>2023.030029</v>
      </c>
      <c r="E252" s="3">
        <f t="shared" si="40"/>
        <v>-2.578555497921567E-3</v>
      </c>
      <c r="F252" s="3">
        <f t="shared" si="41"/>
        <v>-2.5818856981186258E-3</v>
      </c>
      <c r="G252" s="2">
        <f t="shared" si="42"/>
        <v>1918.7097540318568</v>
      </c>
      <c r="H252" s="2">
        <f t="shared" si="43"/>
        <v>167.57959348866632</v>
      </c>
      <c r="I252" s="2">
        <f t="shared" si="44"/>
        <v>-2.5009217788431215</v>
      </c>
      <c r="J252" s="2">
        <f t="shared" si="45"/>
        <v>-4.9602899681432229</v>
      </c>
      <c r="K252" s="2">
        <f t="shared" si="46"/>
        <v>-2.5009316422192609</v>
      </c>
      <c r="L252" s="2">
        <f t="shared" si="47"/>
        <v>-2.1125373407490429</v>
      </c>
      <c r="M252" s="2"/>
      <c r="O252" s="4">
        <f t="shared" ca="1" si="48"/>
        <v>4.0951544762895198E-2</v>
      </c>
      <c r="P252" s="4">
        <f t="shared" ca="1" si="49"/>
        <v>-1.7397490665147441</v>
      </c>
      <c r="Q252" s="4">
        <f t="shared" ca="1" si="50"/>
        <v>1956.0910379015675</v>
      </c>
      <c r="R252" s="4">
        <f t="shared" ca="1" si="51"/>
        <v>32.420993901567499</v>
      </c>
      <c r="S252" s="4">
        <f t="shared" ca="1" si="52"/>
        <v>16.839703622297854</v>
      </c>
    </row>
    <row r="253" spans="3:19" x14ac:dyDescent="0.2">
      <c r="C253" s="1">
        <v>42016</v>
      </c>
      <c r="D253" s="2">
        <v>2028.26001</v>
      </c>
      <c r="O253" s="4">
        <f t="shared" ca="1" si="48"/>
        <v>0.12688494044891963</v>
      </c>
      <c r="P253" s="4">
        <f t="shared" ca="1" si="49"/>
        <v>-1.1412404374814111</v>
      </c>
      <c r="Q253" s="4">
        <f t="shared" ca="1" si="50"/>
        <v>1944.7979751528717</v>
      </c>
      <c r="R253" s="4">
        <f t="shared" ca="1" si="51"/>
        <v>21.127931152871724</v>
      </c>
      <c r="S253" s="4">
        <f t="shared" ca="1" si="52"/>
        <v>10.876877113553375</v>
      </c>
    </row>
    <row r="254" spans="3:19" x14ac:dyDescent="0.2">
      <c r="C254" s="1"/>
      <c r="D254" s="2"/>
      <c r="O254" s="4">
        <f t="shared" ca="1" si="48"/>
        <v>0.72960626302600107</v>
      </c>
      <c r="P254" s="4">
        <f t="shared" ca="1" si="49"/>
        <v>0.61162261204845259</v>
      </c>
      <c r="Q254" s="4">
        <f t="shared" ca="1" si="50"/>
        <v>1911.7237779768298</v>
      </c>
      <c r="R254" s="4">
        <f t="shared" ca="1" si="51"/>
        <v>-11.94626602317021</v>
      </c>
      <c r="S254" s="4">
        <f t="shared" ca="1" si="52"/>
        <v>-5.9892226923825111</v>
      </c>
    </row>
    <row r="255" spans="3:19" x14ac:dyDescent="0.2">
      <c r="C255" s="1"/>
      <c r="D255" s="2"/>
      <c r="O255" s="4">
        <f t="shared" ca="1" si="48"/>
        <v>0.9167119675558667</v>
      </c>
      <c r="P255" s="4">
        <f t="shared" ca="1" si="49"/>
        <v>1.3832896676190036</v>
      </c>
      <c r="Q255" s="4">
        <f t="shared" ca="1" si="50"/>
        <v>1897.1634457494822</v>
      </c>
      <c r="R255" s="4">
        <f t="shared" ca="1" si="51"/>
        <v>-26.506598250517754</v>
      </c>
      <c r="S255" s="4">
        <f t="shared" ca="1" si="52"/>
        <v>-13.131892927472713</v>
      </c>
    </row>
    <row r="256" spans="3:19" x14ac:dyDescent="0.2">
      <c r="C256" s="1"/>
      <c r="D256" s="2"/>
      <c r="O256" s="4">
        <f t="shared" ca="1" si="48"/>
        <v>4.6015008885206488E-2</v>
      </c>
      <c r="P256" s="4">
        <f t="shared" ca="1" si="49"/>
        <v>-1.6847852185977361</v>
      </c>
      <c r="Q256" s="4">
        <f t="shared" ca="1" si="50"/>
        <v>1955.0539431073969</v>
      </c>
      <c r="R256" s="4">
        <f t="shared" ca="1" si="51"/>
        <v>31.383899107396928</v>
      </c>
      <c r="S256" s="4">
        <f t="shared" ca="1" si="52"/>
        <v>16.287779607447817</v>
      </c>
    </row>
    <row r="257" spans="3:19" x14ac:dyDescent="0.2">
      <c r="C257" s="1"/>
      <c r="D257" s="2"/>
      <c r="O257" s="4">
        <f t="shared" ca="1" si="48"/>
        <v>0.76399005566971678</v>
      </c>
      <c r="P257" s="4">
        <f t="shared" ca="1" si="49"/>
        <v>0.71919644635200153</v>
      </c>
      <c r="Q257" s="4">
        <f t="shared" ca="1" si="50"/>
        <v>1909.6940026286113</v>
      </c>
      <c r="R257" s="4">
        <f t="shared" ca="1" si="51"/>
        <v>-13.976041371388646</v>
      </c>
      <c r="S257" s="4">
        <f t="shared" ca="1" si="52"/>
        <v>-6.9952963132643484</v>
      </c>
    </row>
    <row r="258" spans="3:19" x14ac:dyDescent="0.2">
      <c r="C258" s="1"/>
      <c r="D258" s="2"/>
      <c r="O258" s="4">
        <f t="shared" ca="1" si="48"/>
        <v>0.12384137432676245</v>
      </c>
      <c r="P258" s="4">
        <f t="shared" ca="1" si="49"/>
        <v>-1.1559961087167085</v>
      </c>
      <c r="Q258" s="4">
        <f t="shared" ca="1" si="50"/>
        <v>1945.076395067098</v>
      </c>
      <c r="R258" s="4">
        <f t="shared" ca="1" si="51"/>
        <v>21.406351067098058</v>
      </c>
      <c r="S258" s="4">
        <f t="shared" ca="1" si="52"/>
        <v>11.022636674251071</v>
      </c>
    </row>
    <row r="259" spans="3:19" x14ac:dyDescent="0.2">
      <c r="O259" s="4">
        <f t="shared" ref="O259:O322" ca="1" si="53">RAND()</f>
        <v>0.35663071266071356</v>
      </c>
      <c r="P259" s="4">
        <f t="shared" ref="P259:P322" ca="1" si="54">NORMSINV(O259)</f>
        <v>-0.36747943985238257</v>
      </c>
      <c r="Q259" s="4">
        <f t="shared" ref="Q259:Q322" ca="1" si="55">$B$4*(1+$B$17-$B$32*P259)</f>
        <v>1930.1981330205515</v>
      </c>
      <c r="R259" s="4">
        <f t="shared" ref="R259:R322" ca="1" si="56">Q259-$B$4</f>
        <v>6.5280890205515334</v>
      </c>
      <c r="S259" s="4">
        <f t="shared" ref="S259:S322" ca="1" si="57">R259*$B$12+0.5*$B$13*R259^2</f>
        <v>3.3219302444658898</v>
      </c>
    </row>
    <row r="260" spans="3:19" x14ac:dyDescent="0.2">
      <c r="O260" s="4">
        <f t="shared" ca="1" si="53"/>
        <v>0.90203650864055396</v>
      </c>
      <c r="P260" s="4">
        <f t="shared" ca="1" si="54"/>
        <v>1.2932431305946184</v>
      </c>
      <c r="Q260" s="4">
        <f t="shared" ca="1" si="55"/>
        <v>1898.8625042819574</v>
      </c>
      <c r="R260" s="4">
        <f t="shared" ca="1" si="56"/>
        <v>-24.807539718042563</v>
      </c>
      <c r="S260" s="4">
        <f t="shared" ca="1" si="57"/>
        <v>-12.307303481360098</v>
      </c>
    </row>
    <row r="261" spans="3:19" x14ac:dyDescent="0.2">
      <c r="O261" s="4">
        <f t="shared" ca="1" si="53"/>
        <v>0.13238206032308375</v>
      </c>
      <c r="P261" s="4">
        <f t="shared" ca="1" si="54"/>
        <v>-1.1152014131472048</v>
      </c>
      <c r="Q261" s="4">
        <f t="shared" ca="1" si="55"/>
        <v>1944.3066533548954</v>
      </c>
      <c r="R261" s="4">
        <f t="shared" ca="1" si="56"/>
        <v>20.636609354895427</v>
      </c>
      <c r="S261" s="4">
        <f t="shared" ca="1" si="57"/>
        <v>10.619812216009526</v>
      </c>
    </row>
    <row r="262" spans="3:19" x14ac:dyDescent="0.2">
      <c r="O262" s="4">
        <f t="shared" ca="1" si="53"/>
        <v>0.95550055106264287</v>
      </c>
      <c r="P262" s="4">
        <f t="shared" ca="1" si="54"/>
        <v>1.7007023273924269</v>
      </c>
      <c r="Q262" s="4">
        <f t="shared" ca="1" si="55"/>
        <v>1891.1742905223616</v>
      </c>
      <c r="R262" s="4">
        <f t="shared" ca="1" si="56"/>
        <v>-32.495753477638345</v>
      </c>
      <c r="S262" s="4">
        <f t="shared" ca="1" si="57"/>
        <v>-16.019814187050997</v>
      </c>
    </row>
    <row r="263" spans="3:19" x14ac:dyDescent="0.2">
      <c r="O263" s="4">
        <f t="shared" ca="1" si="53"/>
        <v>0.44254566143785667</v>
      </c>
      <c r="P263" s="4">
        <f t="shared" ca="1" si="54"/>
        <v>-0.14451815303038715</v>
      </c>
      <c r="Q263" s="4">
        <f t="shared" ca="1" si="55"/>
        <v>1925.9911497283015</v>
      </c>
      <c r="R263" s="4">
        <f t="shared" ca="1" si="56"/>
        <v>2.321105728301518</v>
      </c>
      <c r="S263" s="4">
        <f t="shared" ca="1" si="57"/>
        <v>1.1771595530766046</v>
      </c>
    </row>
    <row r="264" spans="3:19" x14ac:dyDescent="0.2">
      <c r="O264" s="4">
        <f t="shared" ca="1" si="53"/>
        <v>0.61941315138180897</v>
      </c>
      <c r="P264" s="4">
        <f t="shared" ca="1" si="54"/>
        <v>0.30393987612372947</v>
      </c>
      <c r="Q264" s="4">
        <f t="shared" ca="1" si="55"/>
        <v>1917.5293424665185</v>
      </c>
      <c r="R264" s="4">
        <f t="shared" ca="1" si="56"/>
        <v>-6.1407015334814332</v>
      </c>
      <c r="S264" s="4">
        <f t="shared" ca="1" si="57"/>
        <v>-3.0931334098238574</v>
      </c>
    </row>
    <row r="265" spans="3:19" x14ac:dyDescent="0.2">
      <c r="O265" s="4">
        <f t="shared" ca="1" si="53"/>
        <v>8.4937340183497634E-2</v>
      </c>
      <c r="P265" s="4">
        <f t="shared" ca="1" si="54"/>
        <v>-1.3726065956030671</v>
      </c>
      <c r="Q265" s="4">
        <f t="shared" ca="1" si="55"/>
        <v>1949.1635472012022</v>
      </c>
      <c r="R265" s="4">
        <f t="shared" ca="1" si="56"/>
        <v>25.493503201202202</v>
      </c>
      <c r="S265" s="4">
        <f t="shared" ca="1" si="57"/>
        <v>13.169622931125947</v>
      </c>
    </row>
    <row r="266" spans="3:19" x14ac:dyDescent="0.2">
      <c r="O266" s="4">
        <f t="shared" ca="1" si="53"/>
        <v>0.525115484725731</v>
      </c>
      <c r="P266" s="4">
        <f t="shared" ca="1" si="54"/>
        <v>6.2996827556229928E-2</v>
      </c>
      <c r="Q266" s="4">
        <f t="shared" ca="1" si="55"/>
        <v>1922.0756177152639</v>
      </c>
      <c r="R266" s="4">
        <f t="shared" ca="1" si="56"/>
        <v>-1.5944262847360733</v>
      </c>
      <c r="S266" s="4">
        <f t="shared" ca="1" si="57"/>
        <v>-0.8060793531655629</v>
      </c>
    </row>
    <row r="267" spans="3:19" x14ac:dyDescent="0.2">
      <c r="O267" s="4">
        <f t="shared" ca="1" si="53"/>
        <v>0.31941155853063841</v>
      </c>
      <c r="P267" s="4">
        <f t="shared" ca="1" si="54"/>
        <v>-0.46934491280645069</v>
      </c>
      <c r="Q267" s="4">
        <f t="shared" ca="1" si="55"/>
        <v>1932.1201991733046</v>
      </c>
      <c r="R267" s="4">
        <f t="shared" ca="1" si="56"/>
        <v>8.4501551733046654</v>
      </c>
      <c r="S267" s="4">
        <f t="shared" ca="1" si="57"/>
        <v>4.3066181451079624</v>
      </c>
    </row>
    <row r="268" spans="3:19" x14ac:dyDescent="0.2">
      <c r="O268" s="4">
        <f t="shared" ca="1" si="53"/>
        <v>0.80494564425504989</v>
      </c>
      <c r="P268" s="4">
        <f t="shared" ca="1" si="54"/>
        <v>0.8594202319321228</v>
      </c>
      <c r="Q268" s="4">
        <f t="shared" ca="1" si="55"/>
        <v>1907.048166073216</v>
      </c>
      <c r="R268" s="4">
        <f t="shared" ca="1" si="56"/>
        <v>-16.621877926784009</v>
      </c>
      <c r="S268" s="4">
        <f t="shared" ca="1" si="57"/>
        <v>-8.3016895519973328</v>
      </c>
    </row>
    <row r="269" spans="3:19" x14ac:dyDescent="0.2">
      <c r="O269" s="4">
        <f t="shared" ca="1" si="53"/>
        <v>0.93678648029662726</v>
      </c>
      <c r="P269" s="4">
        <f t="shared" ca="1" si="54"/>
        <v>1.5283444489645637</v>
      </c>
      <c r="Q269" s="4">
        <f t="shared" ca="1" si="55"/>
        <v>1894.4264547216678</v>
      </c>
      <c r="R269" s="4">
        <f t="shared" ca="1" si="56"/>
        <v>-29.243589278332138</v>
      </c>
      <c r="S269" s="4">
        <f t="shared" ca="1" si="57"/>
        <v>-14.455270811753559</v>
      </c>
    </row>
    <row r="270" spans="3:19" x14ac:dyDescent="0.2">
      <c r="O270" s="4">
        <f t="shared" ca="1" si="53"/>
        <v>0.60183902506479592</v>
      </c>
      <c r="P270" s="4">
        <f t="shared" ca="1" si="54"/>
        <v>0.25811008325801255</v>
      </c>
      <c r="Q270" s="4">
        <f t="shared" ca="1" si="55"/>
        <v>1918.3940897758901</v>
      </c>
      <c r="R270" s="4">
        <f t="shared" ca="1" si="56"/>
        <v>-5.2759542241099098</v>
      </c>
      <c r="S270" s="4">
        <f t="shared" ca="1" si="57"/>
        <v>-2.659408651730236</v>
      </c>
    </row>
    <row r="271" spans="3:19" x14ac:dyDescent="0.2">
      <c r="O271" s="4">
        <f t="shared" ca="1" si="53"/>
        <v>0.77986164483044862</v>
      </c>
      <c r="P271" s="4">
        <f t="shared" ca="1" si="54"/>
        <v>0.7717260300705292</v>
      </c>
      <c r="Q271" s="4">
        <f t="shared" ca="1" si="55"/>
        <v>1908.702839166099</v>
      </c>
      <c r="R271" s="4">
        <f t="shared" ca="1" si="56"/>
        <v>-14.967204833900951</v>
      </c>
      <c r="S271" s="4">
        <f t="shared" ca="1" si="57"/>
        <v>-7.4853551727611825</v>
      </c>
    </row>
    <row r="272" spans="3:19" x14ac:dyDescent="0.2">
      <c r="O272" s="4">
        <f t="shared" ca="1" si="53"/>
        <v>0.39892660834133087</v>
      </c>
      <c r="P272" s="4">
        <f t="shared" ca="1" si="54"/>
        <v>-0.25612642691631177</v>
      </c>
      <c r="Q272" s="4">
        <f t="shared" ca="1" si="55"/>
        <v>1928.0970495919391</v>
      </c>
      <c r="R272" s="4">
        <f t="shared" ca="1" si="56"/>
        <v>4.427005591939178</v>
      </c>
      <c r="S272" s="4">
        <f t="shared" ca="1" si="57"/>
        <v>2.2489714895069062</v>
      </c>
    </row>
    <row r="273" spans="15:19" x14ac:dyDescent="0.2">
      <c r="O273" s="4">
        <f t="shared" ca="1" si="53"/>
        <v>0.18660462796850918</v>
      </c>
      <c r="P273" s="4">
        <f t="shared" ca="1" si="54"/>
        <v>-0.89047803789328084</v>
      </c>
      <c r="Q273" s="4">
        <f t="shared" ca="1" si="55"/>
        <v>1940.0664217947585</v>
      </c>
      <c r="R273" s="4">
        <f t="shared" ca="1" si="56"/>
        <v>16.396377794758564</v>
      </c>
      <c r="S273" s="4">
        <f t="shared" ca="1" si="57"/>
        <v>8.4094440217549646</v>
      </c>
    </row>
    <row r="274" spans="15:19" x14ac:dyDescent="0.2">
      <c r="O274" s="4">
        <f t="shared" ca="1" si="53"/>
        <v>0.90217501579990578</v>
      </c>
      <c r="P274" s="4">
        <f t="shared" ca="1" si="54"/>
        <v>1.2940447370996226</v>
      </c>
      <c r="Q274" s="4">
        <f t="shared" ca="1" si="55"/>
        <v>1898.847379032092</v>
      </c>
      <c r="R274" s="4">
        <f t="shared" ca="1" si="56"/>
        <v>-24.82266496790794</v>
      </c>
      <c r="S274" s="4">
        <f t="shared" ca="1" si="57"/>
        <v>-12.314654456643291</v>
      </c>
    </row>
    <row r="275" spans="15:19" x14ac:dyDescent="0.2">
      <c r="O275" s="4">
        <f t="shared" ca="1" si="53"/>
        <v>0.31712583676827277</v>
      </c>
      <c r="P275" s="4">
        <f t="shared" ca="1" si="54"/>
        <v>-0.47575115288255809</v>
      </c>
      <c r="Q275" s="4">
        <f t="shared" ca="1" si="55"/>
        <v>1932.241076413253</v>
      </c>
      <c r="R275" s="4">
        <f t="shared" ca="1" si="56"/>
        <v>8.5710324132530786</v>
      </c>
      <c r="S275" s="4">
        <f t="shared" ca="1" si="57"/>
        <v>4.3686449223708168</v>
      </c>
    </row>
    <row r="276" spans="15:19" x14ac:dyDescent="0.2">
      <c r="O276" s="4">
        <f t="shared" ca="1" si="53"/>
        <v>0.36811896695777413</v>
      </c>
      <c r="P276" s="4">
        <f t="shared" ca="1" si="54"/>
        <v>-0.33683944785958808</v>
      </c>
      <c r="Q276" s="4">
        <f t="shared" ca="1" si="55"/>
        <v>1929.6199970749542</v>
      </c>
      <c r="R276" s="4">
        <f t="shared" ca="1" si="56"/>
        <v>5.9499530749542373</v>
      </c>
      <c r="S276" s="4">
        <f t="shared" ca="1" si="57"/>
        <v>3.0263355667237666</v>
      </c>
    </row>
    <row r="277" spans="15:19" x14ac:dyDescent="0.2">
      <c r="O277" s="4">
        <f t="shared" ca="1" si="53"/>
        <v>0.70877806188978287</v>
      </c>
      <c r="P277" s="4">
        <f t="shared" ca="1" si="54"/>
        <v>0.54981848861252625</v>
      </c>
      <c r="Q277" s="4">
        <f t="shared" ca="1" si="55"/>
        <v>1912.889939683165</v>
      </c>
      <c r="R277" s="4">
        <f t="shared" ca="1" si="56"/>
        <v>-10.780104316834922</v>
      </c>
      <c r="S277" s="4">
        <f t="shared" ca="1" si="57"/>
        <v>-5.4096886163408868</v>
      </c>
    </row>
    <row r="278" spans="15:19" x14ac:dyDescent="0.2">
      <c r="O278" s="4">
        <f t="shared" ca="1" si="53"/>
        <v>0.71818181118969115</v>
      </c>
      <c r="P278" s="4">
        <f t="shared" ca="1" si="54"/>
        <v>0.57744870928641789</v>
      </c>
      <c r="Q278" s="4">
        <f t="shared" ca="1" si="55"/>
        <v>1912.3685941240635</v>
      </c>
      <c r="R278" s="4">
        <f t="shared" ca="1" si="56"/>
        <v>-11.301449875936441</v>
      </c>
      <c r="S278" s="4">
        <f t="shared" ca="1" si="57"/>
        <v>-5.6689126150254934</v>
      </c>
    </row>
    <row r="279" spans="15:19" x14ac:dyDescent="0.2">
      <c r="O279" s="4">
        <f t="shared" ca="1" si="53"/>
        <v>0.38423909051144922</v>
      </c>
      <c r="P279" s="4">
        <f t="shared" ca="1" si="54"/>
        <v>-0.29436608322137808</v>
      </c>
      <c r="Q279" s="4">
        <f t="shared" ca="1" si="55"/>
        <v>1928.8185811074316</v>
      </c>
      <c r="R279" s="4">
        <f t="shared" ca="1" si="56"/>
        <v>5.1485371074315935</v>
      </c>
      <c r="S279" s="4">
        <f t="shared" ca="1" si="57"/>
        <v>2.6170302739916496</v>
      </c>
    </row>
    <row r="280" spans="15:19" x14ac:dyDescent="0.2">
      <c r="O280" s="4">
        <f t="shared" ca="1" si="53"/>
        <v>0.99960681769991611</v>
      </c>
      <c r="P280" s="4">
        <f t="shared" ca="1" si="54"/>
        <v>3.357550209847652</v>
      </c>
      <c r="Q280" s="4">
        <f t="shared" ca="1" si="55"/>
        <v>1859.9117719988926</v>
      </c>
      <c r="R280" s="4">
        <f t="shared" ca="1" si="56"/>
        <v>-63.758272001107343</v>
      </c>
      <c r="S280" s="4">
        <f t="shared" ca="1" si="57"/>
        <v>-30.620277662324902</v>
      </c>
    </row>
    <row r="281" spans="15:19" x14ac:dyDescent="0.2">
      <c r="O281" s="4">
        <f t="shared" ca="1" si="53"/>
        <v>0.93119872798646786</v>
      </c>
      <c r="P281" s="4">
        <f t="shared" ca="1" si="54"/>
        <v>1.4847783680058555</v>
      </c>
      <c r="Q281" s="4">
        <f t="shared" ca="1" si="55"/>
        <v>1895.2484887945534</v>
      </c>
      <c r="R281" s="4">
        <f t="shared" ca="1" si="56"/>
        <v>-28.421555205446566</v>
      </c>
      <c r="S281" s="4">
        <f t="shared" ca="1" si="57"/>
        <v>-14.058445298228879</v>
      </c>
    </row>
    <row r="282" spans="15:19" x14ac:dyDescent="0.2">
      <c r="O282" s="4">
        <f t="shared" ca="1" si="53"/>
        <v>0.62092223776033384</v>
      </c>
      <c r="P282" s="4">
        <f t="shared" ca="1" si="54"/>
        <v>0.30790381277157503</v>
      </c>
      <c r="Q282" s="4">
        <f t="shared" ca="1" si="55"/>
        <v>1917.454548247815</v>
      </c>
      <c r="R282" s="4">
        <f t="shared" ca="1" si="56"/>
        <v>-6.2154957521850065</v>
      </c>
      <c r="S282" s="4">
        <f t="shared" ca="1" si="57"/>
        <v>-3.1306187739037097</v>
      </c>
    </row>
    <row r="283" spans="15:19" x14ac:dyDescent="0.2">
      <c r="O283" s="4">
        <f t="shared" ca="1" si="53"/>
        <v>0.91427682009503386</v>
      </c>
      <c r="P283" s="4">
        <f t="shared" ca="1" si="54"/>
        <v>1.3675711253168357</v>
      </c>
      <c r="Q283" s="4">
        <f t="shared" ca="1" si="55"/>
        <v>1897.4600337616271</v>
      </c>
      <c r="R283" s="4">
        <f t="shared" ca="1" si="56"/>
        <v>-26.210010238372888</v>
      </c>
      <c r="S283" s="4">
        <f t="shared" ca="1" si="57"/>
        <v>-12.988121744471982</v>
      </c>
    </row>
    <row r="284" spans="15:19" x14ac:dyDescent="0.2">
      <c r="O284" s="4">
        <f t="shared" ca="1" si="53"/>
        <v>0.42265631929717074</v>
      </c>
      <c r="P284" s="4">
        <f t="shared" ca="1" si="54"/>
        <v>-0.19510258542710568</v>
      </c>
      <c r="Q284" s="4">
        <f t="shared" ca="1" si="55"/>
        <v>1926.9456107693827</v>
      </c>
      <c r="R284" s="4">
        <f t="shared" ca="1" si="56"/>
        <v>3.275566769382749</v>
      </c>
      <c r="S284" s="4">
        <f t="shared" ca="1" si="57"/>
        <v>1.662491565702499</v>
      </c>
    </row>
    <row r="285" spans="15:19" x14ac:dyDescent="0.2">
      <c r="O285" s="4">
        <f t="shared" ca="1" si="53"/>
        <v>0.84923192656663771</v>
      </c>
      <c r="P285" s="4">
        <f t="shared" ca="1" si="54"/>
        <v>1.0331447866873791</v>
      </c>
      <c r="Q285" s="4">
        <f t="shared" ca="1" si="55"/>
        <v>1903.7702145071557</v>
      </c>
      <c r="R285" s="4">
        <f t="shared" ca="1" si="56"/>
        <v>-19.899829492844219</v>
      </c>
      <c r="S285" s="4">
        <f t="shared" ca="1" si="57"/>
        <v>-9.9122878845793885</v>
      </c>
    </row>
    <row r="286" spans="15:19" x14ac:dyDescent="0.2">
      <c r="O286" s="4">
        <f t="shared" ca="1" si="53"/>
        <v>0.69738844663167754</v>
      </c>
      <c r="P286" s="4">
        <f t="shared" ca="1" si="54"/>
        <v>0.51690409808401039</v>
      </c>
      <c r="Q286" s="4">
        <f t="shared" ca="1" si="55"/>
        <v>1913.5109905077354</v>
      </c>
      <c r="R286" s="4">
        <f t="shared" ca="1" si="56"/>
        <v>-10.159053492264547</v>
      </c>
      <c r="S286" s="4">
        <f t="shared" ca="1" si="57"/>
        <v>-5.1006002484979573</v>
      </c>
    </row>
    <row r="287" spans="15:19" x14ac:dyDescent="0.2">
      <c r="O287" s="4">
        <f t="shared" ca="1" si="53"/>
        <v>0.9946072294732573</v>
      </c>
      <c r="P287" s="4">
        <f t="shared" ca="1" si="54"/>
        <v>2.5495714411922235</v>
      </c>
      <c r="Q287" s="4">
        <f t="shared" ca="1" si="55"/>
        <v>1875.1572580143193</v>
      </c>
      <c r="R287" s="4">
        <f t="shared" ca="1" si="56"/>
        <v>-48.512785985680694</v>
      </c>
      <c r="S287" s="4">
        <f t="shared" ca="1" si="57"/>
        <v>-23.59961392754327</v>
      </c>
    </row>
    <row r="288" spans="15:19" x14ac:dyDescent="0.2">
      <c r="O288" s="4">
        <f t="shared" ca="1" si="53"/>
        <v>0.48478172874543557</v>
      </c>
      <c r="P288" s="4">
        <f t="shared" ca="1" si="54"/>
        <v>-3.8155805282831128E-2</v>
      </c>
      <c r="Q288" s="4">
        <f t="shared" ca="1" si="55"/>
        <v>1923.9842335220108</v>
      </c>
      <c r="R288" s="4">
        <f t="shared" ca="1" si="56"/>
        <v>0.31418952201079264</v>
      </c>
      <c r="S288" s="4">
        <f t="shared" ca="1" si="57"/>
        <v>0.15908599735983381</v>
      </c>
    </row>
    <row r="289" spans="15:19" x14ac:dyDescent="0.2">
      <c r="O289" s="4">
        <f t="shared" ca="1" si="53"/>
        <v>0.13808846723025892</v>
      </c>
      <c r="P289" s="4">
        <f t="shared" ca="1" si="54"/>
        <v>-1.0889477345229086</v>
      </c>
      <c r="Q289" s="4">
        <f t="shared" ca="1" si="55"/>
        <v>1943.8112813156197</v>
      </c>
      <c r="R289" s="4">
        <f t="shared" ca="1" si="56"/>
        <v>20.141237315619719</v>
      </c>
      <c r="S289" s="4">
        <f t="shared" ca="1" si="57"/>
        <v>10.36082715577149</v>
      </c>
    </row>
    <row r="290" spans="15:19" x14ac:dyDescent="0.2">
      <c r="O290" s="4">
        <f t="shared" ca="1" si="53"/>
        <v>0.7671968483751217</v>
      </c>
      <c r="P290" s="4">
        <f t="shared" ca="1" si="54"/>
        <v>0.72964648006077182</v>
      </c>
      <c r="Q290" s="4">
        <f t="shared" ca="1" si="55"/>
        <v>1909.496824374741</v>
      </c>
      <c r="R290" s="4">
        <f t="shared" ca="1" si="56"/>
        <v>-14.17321962525898</v>
      </c>
      <c r="S290" s="4">
        <f t="shared" ca="1" si="57"/>
        <v>-7.0928504706764919</v>
      </c>
    </row>
    <row r="291" spans="15:19" x14ac:dyDescent="0.2">
      <c r="O291" s="4">
        <f t="shared" ca="1" si="53"/>
        <v>0.345200825353422</v>
      </c>
      <c r="P291" s="4">
        <f t="shared" ca="1" si="54"/>
        <v>-0.39831005342371256</v>
      </c>
      <c r="Q291" s="4">
        <f t="shared" ca="1" si="55"/>
        <v>1930.7798657421065</v>
      </c>
      <c r="R291" s="4">
        <f t="shared" ca="1" si="56"/>
        <v>7.1098217421065328</v>
      </c>
      <c r="S291" s="4">
        <f t="shared" ca="1" si="57"/>
        <v>3.6196385782549343</v>
      </c>
    </row>
    <row r="292" spans="15:19" x14ac:dyDescent="0.2">
      <c r="O292" s="4">
        <f t="shared" ca="1" si="53"/>
        <v>0.19548217727697781</v>
      </c>
      <c r="P292" s="4">
        <f t="shared" ca="1" si="54"/>
        <v>-0.85786981319829714</v>
      </c>
      <c r="Q292" s="4">
        <f t="shared" ca="1" si="55"/>
        <v>1939.4511479127448</v>
      </c>
      <c r="R292" s="4">
        <f t="shared" ca="1" si="56"/>
        <v>15.781103912744811</v>
      </c>
      <c r="S292" s="4">
        <f t="shared" ca="1" si="57"/>
        <v>8.0899272142195304</v>
      </c>
    </row>
    <row r="293" spans="15:19" x14ac:dyDescent="0.2">
      <c r="O293" s="4">
        <f t="shared" ca="1" si="53"/>
        <v>0.62928204439968338</v>
      </c>
      <c r="P293" s="4">
        <f t="shared" ca="1" si="54"/>
        <v>0.32995242359002569</v>
      </c>
      <c r="Q293" s="4">
        <f t="shared" ca="1" si="55"/>
        <v>1917.0385202518669</v>
      </c>
      <c r="R293" s="4">
        <f t="shared" ca="1" si="56"/>
        <v>-6.6315237481330769</v>
      </c>
      <c r="S293" s="4">
        <f t="shared" ca="1" si="57"/>
        <v>-3.3390405494662869</v>
      </c>
    </row>
    <row r="294" spans="15:19" x14ac:dyDescent="0.2">
      <c r="O294" s="4">
        <f t="shared" ca="1" si="53"/>
        <v>0.9476310679045129</v>
      </c>
      <c r="P294" s="4">
        <f t="shared" ca="1" si="54"/>
        <v>1.6223059086166549</v>
      </c>
      <c r="Q294" s="4">
        <f t="shared" ca="1" si="55"/>
        <v>1892.653526799937</v>
      </c>
      <c r="R294" s="4">
        <f t="shared" ca="1" si="56"/>
        <v>-31.016517200062935</v>
      </c>
      <c r="S294" s="4">
        <f t="shared" ca="1" si="57"/>
        <v>-15.309254307623478</v>
      </c>
    </row>
    <row r="295" spans="15:19" x14ac:dyDescent="0.2">
      <c r="O295" s="4">
        <f t="shared" ca="1" si="53"/>
        <v>0.38162476820167246</v>
      </c>
      <c r="P295" s="4">
        <f t="shared" ca="1" si="54"/>
        <v>-0.30121633238422629</v>
      </c>
      <c r="Q295" s="4">
        <f t="shared" ca="1" si="55"/>
        <v>1928.9478362090083</v>
      </c>
      <c r="R295" s="4">
        <f t="shared" ca="1" si="56"/>
        <v>5.2777922090083393</v>
      </c>
      <c r="S295" s="4">
        <f t="shared" ca="1" si="57"/>
        <v>2.6830090618395186</v>
      </c>
    </row>
    <row r="296" spans="15:19" x14ac:dyDescent="0.2">
      <c r="O296" s="4">
        <f t="shared" ca="1" si="53"/>
        <v>0.97211003885289482</v>
      </c>
      <c r="P296" s="4">
        <f t="shared" ca="1" si="54"/>
        <v>1.9127511132495594</v>
      </c>
      <c r="Q296" s="4">
        <f t="shared" ca="1" si="55"/>
        <v>1887.1732116267456</v>
      </c>
      <c r="R296" s="4">
        <f t="shared" ca="1" si="56"/>
        <v>-36.496832373254392</v>
      </c>
      <c r="S296" s="4">
        <f t="shared" ca="1" si="57"/>
        <v>-17.932830179664375</v>
      </c>
    </row>
    <row r="297" spans="15:19" x14ac:dyDescent="0.2">
      <c r="O297" s="4">
        <f t="shared" ca="1" si="53"/>
        <v>0.61406393635384349</v>
      </c>
      <c r="P297" s="4">
        <f t="shared" ca="1" si="54"/>
        <v>0.28992694513834383</v>
      </c>
      <c r="Q297" s="4">
        <f t="shared" ca="1" si="55"/>
        <v>1917.7937478589131</v>
      </c>
      <c r="R297" s="4">
        <f t="shared" ca="1" si="56"/>
        <v>-5.8762961410868684</v>
      </c>
      <c r="S297" s="4">
        <f t="shared" ca="1" si="57"/>
        <v>-2.9605822154300281</v>
      </c>
    </row>
    <row r="298" spans="15:19" x14ac:dyDescent="0.2">
      <c r="O298" s="4">
        <f t="shared" ca="1" si="53"/>
        <v>0.51004548671686645</v>
      </c>
      <c r="P298" s="4">
        <f t="shared" ca="1" si="54"/>
        <v>2.5182962545664767E-2</v>
      </c>
      <c r="Q298" s="4">
        <f t="shared" ca="1" si="55"/>
        <v>1922.7891151146662</v>
      </c>
      <c r="R298" s="4">
        <f t="shared" ca="1" si="56"/>
        <v>-0.88092888533378755</v>
      </c>
      <c r="S298" s="4">
        <f t="shared" ca="1" si="57"/>
        <v>-0.44561893011915221</v>
      </c>
    </row>
    <row r="299" spans="15:19" x14ac:dyDescent="0.2">
      <c r="O299" s="4">
        <f t="shared" ca="1" si="53"/>
        <v>1.6766858015099917E-2</v>
      </c>
      <c r="P299" s="4">
        <f t="shared" ca="1" si="54"/>
        <v>-2.1256343633905943</v>
      </c>
      <c r="Q299" s="4">
        <f t="shared" ca="1" si="55"/>
        <v>1963.3721808292084</v>
      </c>
      <c r="R299" s="4">
        <f t="shared" ca="1" si="56"/>
        <v>39.702136829208484</v>
      </c>
      <c r="S299" s="4">
        <f t="shared" ca="1" si="57"/>
        <v>20.739257344553966</v>
      </c>
    </row>
    <row r="300" spans="15:19" x14ac:dyDescent="0.2">
      <c r="O300" s="4">
        <f t="shared" ca="1" si="53"/>
        <v>0.74710046797049434</v>
      </c>
      <c r="P300" s="4">
        <f t="shared" ca="1" si="54"/>
        <v>0.66539315160698131</v>
      </c>
      <c r="Q300" s="4">
        <f t="shared" ca="1" si="55"/>
        <v>1910.7091993261486</v>
      </c>
      <c r="R300" s="4">
        <f t="shared" ca="1" si="56"/>
        <v>-12.960844673851398</v>
      </c>
      <c r="S300" s="4">
        <f t="shared" ca="1" si="57"/>
        <v>-6.4925256130449469</v>
      </c>
    </row>
    <row r="301" spans="15:19" x14ac:dyDescent="0.2">
      <c r="O301" s="4">
        <f t="shared" ca="1" si="53"/>
        <v>0.42517136623345031</v>
      </c>
      <c r="P301" s="4">
        <f t="shared" ca="1" si="54"/>
        <v>-0.18868114217750181</v>
      </c>
      <c r="Q301" s="4">
        <f t="shared" ca="1" si="55"/>
        <v>1926.8244466657468</v>
      </c>
      <c r="R301" s="4">
        <f t="shared" ca="1" si="56"/>
        <v>3.1544026657468294</v>
      </c>
      <c r="S301" s="4">
        <f t="shared" ca="1" si="57"/>
        <v>1.6008399695549851</v>
      </c>
    </row>
    <row r="302" spans="15:19" x14ac:dyDescent="0.2">
      <c r="O302" s="4">
        <f t="shared" ca="1" si="53"/>
        <v>0.15337627796385322</v>
      </c>
      <c r="P302" s="4">
        <f t="shared" ca="1" si="54"/>
        <v>-1.0220598892081649</v>
      </c>
      <c r="Q302" s="4">
        <f t="shared" ca="1" si="55"/>
        <v>1942.5491965308363</v>
      </c>
      <c r="R302" s="4">
        <f t="shared" ca="1" si="56"/>
        <v>18.879152530836336</v>
      </c>
      <c r="S302" s="4">
        <f t="shared" ca="1" si="57"/>
        <v>9.7019005211397555</v>
      </c>
    </row>
    <row r="303" spans="15:19" x14ac:dyDescent="0.2">
      <c r="O303" s="4">
        <f t="shared" ca="1" si="53"/>
        <v>0.88079402112100225</v>
      </c>
      <c r="P303" s="4">
        <f t="shared" ca="1" si="54"/>
        <v>1.1789653897682195</v>
      </c>
      <c r="Q303" s="4">
        <f t="shared" ca="1" si="55"/>
        <v>1901.0187734405429</v>
      </c>
      <c r="R303" s="4">
        <f t="shared" ca="1" si="56"/>
        <v>-22.651270559457089</v>
      </c>
      <c r="S303" s="4">
        <f t="shared" ca="1" si="57"/>
        <v>-11.257435922319585</v>
      </c>
    </row>
    <row r="304" spans="15:19" x14ac:dyDescent="0.2">
      <c r="O304" s="4">
        <f t="shared" ca="1" si="53"/>
        <v>0.78977102475393846</v>
      </c>
      <c r="P304" s="4">
        <f t="shared" ca="1" si="54"/>
        <v>0.80562700367681184</v>
      </c>
      <c r="Q304" s="4">
        <f t="shared" ca="1" si="55"/>
        <v>1908.063172829465</v>
      </c>
      <c r="R304" s="4">
        <f t="shared" ca="1" si="56"/>
        <v>-15.606871170534987</v>
      </c>
      <c r="S304" s="4">
        <f t="shared" ca="1" si="57"/>
        <v>-7.8011994006467997</v>
      </c>
    </row>
    <row r="305" spans="15:19" x14ac:dyDescent="0.2">
      <c r="O305" s="4">
        <f t="shared" ca="1" si="53"/>
        <v>0.74851439437979772</v>
      </c>
      <c r="P305" s="4">
        <f t="shared" ca="1" si="54"/>
        <v>0.66982208805176002</v>
      </c>
      <c r="Q305" s="4">
        <f t="shared" ca="1" si="55"/>
        <v>1910.6256311789998</v>
      </c>
      <c r="R305" s="4">
        <f t="shared" ca="1" si="56"/>
        <v>-13.044412821000151</v>
      </c>
      <c r="S305" s="4">
        <f t="shared" ca="1" si="57"/>
        <v>-6.5339439802793287</v>
      </c>
    </row>
    <row r="306" spans="15:19" x14ac:dyDescent="0.2">
      <c r="O306" s="4">
        <f t="shared" ca="1" si="53"/>
        <v>0.20856564177651471</v>
      </c>
      <c r="P306" s="4">
        <f t="shared" ca="1" si="54"/>
        <v>-0.81140821412232977</v>
      </c>
      <c r="Q306" s="4">
        <f t="shared" ca="1" si="55"/>
        <v>1938.5744792595008</v>
      </c>
      <c r="R306" s="4">
        <f t="shared" ca="1" si="56"/>
        <v>14.904435259500815</v>
      </c>
      <c r="S306" s="4">
        <f t="shared" ca="1" si="57"/>
        <v>7.6351983653437854</v>
      </c>
    </row>
    <row r="307" spans="15:19" x14ac:dyDescent="0.2">
      <c r="O307" s="4">
        <f t="shared" ca="1" si="53"/>
        <v>0.19076015592089512</v>
      </c>
      <c r="P307" s="4">
        <f t="shared" ca="1" si="54"/>
        <v>-0.8750985024595912</v>
      </c>
      <c r="Q307" s="4">
        <f t="shared" ca="1" si="55"/>
        <v>1939.7762303918728</v>
      </c>
      <c r="R307" s="4">
        <f t="shared" ca="1" si="56"/>
        <v>16.106186391872825</v>
      </c>
      <c r="S307" s="4">
        <f t="shared" ca="1" si="57"/>
        <v>8.2587068286498209</v>
      </c>
    </row>
    <row r="308" spans="15:19" x14ac:dyDescent="0.2">
      <c r="O308" s="4">
        <f t="shared" ca="1" si="53"/>
        <v>0.72670209343703818</v>
      </c>
      <c r="P308" s="4">
        <f t="shared" ca="1" si="54"/>
        <v>0.60286904054382862</v>
      </c>
      <c r="Q308" s="4">
        <f t="shared" ca="1" si="55"/>
        <v>1911.8889462425514</v>
      </c>
      <c r="R308" s="4">
        <f t="shared" ca="1" si="56"/>
        <v>-11.781097757448606</v>
      </c>
      <c r="S308" s="4">
        <f t="shared" ca="1" si="57"/>
        <v>-5.9072082058258477</v>
      </c>
    </row>
    <row r="309" spans="15:19" x14ac:dyDescent="0.2">
      <c r="O309" s="4">
        <f t="shared" ca="1" si="53"/>
        <v>6.4470270536432062E-2</v>
      </c>
      <c r="P309" s="4">
        <f t="shared" ca="1" si="54"/>
        <v>-1.5182930416020159</v>
      </c>
      <c r="Q309" s="4">
        <f t="shared" ca="1" si="55"/>
        <v>1951.9124569018991</v>
      </c>
      <c r="R309" s="4">
        <f t="shared" ca="1" si="56"/>
        <v>28.242412901899115</v>
      </c>
      <c r="S309" s="4">
        <f t="shared" ca="1" si="57"/>
        <v>14.621278251308805</v>
      </c>
    </row>
    <row r="310" spans="15:19" x14ac:dyDescent="0.2">
      <c r="O310" s="4">
        <f t="shared" ca="1" si="53"/>
        <v>0.14000034887234214</v>
      </c>
      <c r="P310" s="4">
        <f t="shared" ca="1" si="54"/>
        <v>-1.0803177733910929</v>
      </c>
      <c r="Q310" s="4">
        <f t="shared" ca="1" si="55"/>
        <v>1943.6484454134245</v>
      </c>
      <c r="R310" s="4">
        <f t="shared" ca="1" si="56"/>
        <v>19.978401413424535</v>
      </c>
      <c r="S310" s="4">
        <f t="shared" ca="1" si="57"/>
        <v>10.275738677421772</v>
      </c>
    </row>
    <row r="311" spans="15:19" x14ac:dyDescent="0.2">
      <c r="O311" s="4">
        <f t="shared" ca="1" si="53"/>
        <v>0.46447346301514025</v>
      </c>
      <c r="P311" s="4">
        <f t="shared" ca="1" si="54"/>
        <v>-8.9169850109895921E-2</v>
      </c>
      <c r="Q311" s="4">
        <f t="shared" ca="1" si="55"/>
        <v>1924.9468007789396</v>
      </c>
      <c r="R311" s="4">
        <f t="shared" ca="1" si="56"/>
        <v>1.2767567789396708</v>
      </c>
      <c r="S311" s="4">
        <f t="shared" ca="1" si="57"/>
        <v>0.64697035396074054</v>
      </c>
    </row>
    <row r="312" spans="15:19" x14ac:dyDescent="0.2">
      <c r="O312" s="4">
        <f t="shared" ca="1" si="53"/>
        <v>0.23355878315464795</v>
      </c>
      <c r="P312" s="4">
        <f t="shared" ca="1" si="54"/>
        <v>-0.72717694709858927</v>
      </c>
      <c r="Q312" s="4">
        <f t="shared" ca="1" si="55"/>
        <v>1936.9851471467164</v>
      </c>
      <c r="R312" s="4">
        <f t="shared" ca="1" si="56"/>
        <v>13.31510314671641</v>
      </c>
      <c r="S312" s="4">
        <f t="shared" ca="1" si="57"/>
        <v>6.8124057387363974</v>
      </c>
    </row>
    <row r="313" spans="15:19" x14ac:dyDescent="0.2">
      <c r="O313" s="4">
        <f t="shared" ca="1" si="53"/>
        <v>0.26892370454529957</v>
      </c>
      <c r="P313" s="4">
        <f t="shared" ca="1" si="54"/>
        <v>-0.6160713817028507</v>
      </c>
      <c r="Q313" s="4">
        <f t="shared" ca="1" si="55"/>
        <v>1934.8887327244718</v>
      </c>
      <c r="R313" s="4">
        <f t="shared" ca="1" si="56"/>
        <v>11.218688724471804</v>
      </c>
      <c r="S313" s="4">
        <f t="shared" ca="1" si="57"/>
        <v>5.7302434345181998</v>
      </c>
    </row>
    <row r="314" spans="15:19" x14ac:dyDescent="0.2">
      <c r="O314" s="4">
        <f t="shared" ca="1" si="53"/>
        <v>0.15008881665192664</v>
      </c>
      <c r="P314" s="4">
        <f t="shared" ca="1" si="54"/>
        <v>-1.036052536892788</v>
      </c>
      <c r="Q314" s="4">
        <f t="shared" ca="1" si="55"/>
        <v>1942.8132192042908</v>
      </c>
      <c r="R314" s="4">
        <f t="shared" ca="1" si="56"/>
        <v>19.143175204290856</v>
      </c>
      <c r="S314" s="4">
        <f t="shared" ca="1" si="57"/>
        <v>9.8396378534039997</v>
      </c>
    </row>
    <row r="315" spans="15:19" x14ac:dyDescent="0.2">
      <c r="O315" s="4">
        <f t="shared" ca="1" si="53"/>
        <v>0.20277611014400043</v>
      </c>
      <c r="P315" s="4">
        <f t="shared" ca="1" si="54"/>
        <v>-0.8317461942813742</v>
      </c>
      <c r="Q315" s="4">
        <f t="shared" ca="1" si="55"/>
        <v>1938.9582299273713</v>
      </c>
      <c r="R315" s="4">
        <f t="shared" ca="1" si="56"/>
        <v>15.288185927371387</v>
      </c>
      <c r="S315" s="4">
        <f t="shared" ca="1" si="57"/>
        <v>7.834173194788967</v>
      </c>
    </row>
    <row r="316" spans="15:19" x14ac:dyDescent="0.2">
      <c r="O316" s="4">
        <f t="shared" ca="1" si="53"/>
        <v>0.95505437375877766</v>
      </c>
      <c r="P316" s="4">
        <f t="shared" ca="1" si="54"/>
        <v>1.6959716322280067</v>
      </c>
      <c r="Q316" s="4">
        <f t="shared" ca="1" si="55"/>
        <v>1891.2635524556827</v>
      </c>
      <c r="R316" s="4">
        <f t="shared" ca="1" si="56"/>
        <v>-32.406491544317305</v>
      </c>
      <c r="S316" s="4">
        <f t="shared" ca="1" si="57"/>
        <v>-15.976987196183195</v>
      </c>
    </row>
    <row r="317" spans="15:19" x14ac:dyDescent="0.2">
      <c r="O317" s="4">
        <f t="shared" ca="1" si="53"/>
        <v>0.42128509541508252</v>
      </c>
      <c r="P317" s="4">
        <f t="shared" ca="1" si="54"/>
        <v>-0.19860698294574258</v>
      </c>
      <c r="Q317" s="4">
        <f t="shared" ca="1" si="55"/>
        <v>1927.0117340951872</v>
      </c>
      <c r="R317" s="4">
        <f t="shared" ca="1" si="56"/>
        <v>3.3416900951872321</v>
      </c>
      <c r="S317" s="4">
        <f t="shared" ca="1" si="57"/>
        <v>1.6961419560843762</v>
      </c>
    </row>
    <row r="318" spans="15:19" x14ac:dyDescent="0.2">
      <c r="O318" s="4">
        <f t="shared" ca="1" si="53"/>
        <v>0.3326480211042927</v>
      </c>
      <c r="P318" s="4">
        <f t="shared" ca="1" si="54"/>
        <v>-0.43261286417664052</v>
      </c>
      <c r="Q318" s="4">
        <f t="shared" ca="1" si="55"/>
        <v>1931.4271142118823</v>
      </c>
      <c r="R318" s="4">
        <f t="shared" ca="1" si="56"/>
        <v>7.7570702118823647</v>
      </c>
      <c r="S318" s="4">
        <f t="shared" ca="1" si="57"/>
        <v>3.9511991467611738</v>
      </c>
    </row>
    <row r="319" spans="15:19" x14ac:dyDescent="0.2">
      <c r="O319" s="4">
        <f t="shared" ca="1" si="53"/>
        <v>0.247088283446252</v>
      </c>
      <c r="P319" s="4">
        <f t="shared" ca="1" si="54"/>
        <v>-0.68368109006509159</v>
      </c>
      <c r="Q319" s="4">
        <f t="shared" ca="1" si="55"/>
        <v>1936.1644381060114</v>
      </c>
      <c r="R319" s="4">
        <f t="shared" ca="1" si="56"/>
        <v>12.494394106011441</v>
      </c>
      <c r="S319" s="4">
        <f t="shared" ca="1" si="57"/>
        <v>6.3883322075119047</v>
      </c>
    </row>
    <row r="320" spans="15:19" x14ac:dyDescent="0.2">
      <c r="O320" s="4">
        <f t="shared" ca="1" si="53"/>
        <v>0.76469113068090544</v>
      </c>
      <c r="P320" s="4">
        <f t="shared" ca="1" si="54"/>
        <v>0.72147431402790574</v>
      </c>
      <c r="Q320" s="4">
        <f t="shared" ca="1" si="55"/>
        <v>1909.6510222915713</v>
      </c>
      <c r="R320" s="4">
        <f t="shared" ca="1" si="56"/>
        <v>-14.019021708428681</v>
      </c>
      <c r="S320" s="4">
        <f t="shared" ca="1" si="57"/>
        <v>-7.016563580007996</v>
      </c>
    </row>
    <row r="321" spans="15:19" x14ac:dyDescent="0.2">
      <c r="O321" s="4">
        <f t="shared" ca="1" si="53"/>
        <v>1.2179033152253771E-2</v>
      </c>
      <c r="P321" s="4">
        <f t="shared" ca="1" si="54"/>
        <v>-2.2514339432708925</v>
      </c>
      <c r="Q321" s="4">
        <f t="shared" ca="1" si="55"/>
        <v>1965.7458517847006</v>
      </c>
      <c r="R321" s="4">
        <f t="shared" ca="1" si="56"/>
        <v>42.075807784700601</v>
      </c>
      <c r="S321" s="4">
        <f t="shared" ca="1" si="57"/>
        <v>22.019850640081032</v>
      </c>
    </row>
    <row r="322" spans="15:19" x14ac:dyDescent="0.2">
      <c r="O322" s="4">
        <f t="shared" ca="1" si="53"/>
        <v>0.86055008482760975</v>
      </c>
      <c r="P322" s="4">
        <f t="shared" ca="1" si="54"/>
        <v>1.0827940878244215</v>
      </c>
      <c r="Q322" s="4">
        <f t="shared" ca="1" si="55"/>
        <v>1902.8333981506814</v>
      </c>
      <c r="R322" s="4">
        <f t="shared" ca="1" si="56"/>
        <v>-20.836645849318529</v>
      </c>
      <c r="S322" s="4">
        <f t="shared" ca="1" si="57"/>
        <v>-10.370978681683573</v>
      </c>
    </row>
    <row r="323" spans="15:19" x14ac:dyDescent="0.2">
      <c r="O323" s="4">
        <f t="shared" ref="O323:O386" ca="1" si="58">RAND()</f>
        <v>0.16733399689225203</v>
      </c>
      <c r="P323" s="4">
        <f t="shared" ref="P323:P386" ca="1" si="59">NORMSINV(O323)</f>
        <v>-0.96475409429207815</v>
      </c>
      <c r="Q323" s="4">
        <f t="shared" ref="Q323:Q386" ca="1" si="60">$B$4*(1+$B$17-$B$32*P323)</f>
        <v>1941.4679123079229</v>
      </c>
      <c r="R323" s="4">
        <f t="shared" ref="R323:R386" ca="1" si="61">Q323-$B$4</f>
        <v>17.797868307922954</v>
      </c>
      <c r="S323" s="4">
        <f t="shared" ref="S323:S386" ca="1" si="62">R323*$B$12+0.5*$B$13*R323^2</f>
        <v>9.138400189472156</v>
      </c>
    </row>
    <row r="324" spans="15:19" x14ac:dyDescent="0.2">
      <c r="O324" s="4">
        <f t="shared" ca="1" si="58"/>
        <v>0.83663720436917099</v>
      </c>
      <c r="P324" s="4">
        <f t="shared" ca="1" si="59"/>
        <v>0.98073063745167288</v>
      </c>
      <c r="Q324" s="4">
        <f t="shared" ca="1" si="60"/>
        <v>1904.7591998743248</v>
      </c>
      <c r="R324" s="4">
        <f t="shared" ca="1" si="61"/>
        <v>-18.910844125675112</v>
      </c>
      <c r="S324" s="4">
        <f t="shared" ca="1" si="62"/>
        <v>-9.4272784194420733</v>
      </c>
    </row>
    <row r="325" spans="15:19" x14ac:dyDescent="0.2">
      <c r="O325" s="4">
        <f t="shared" ca="1" si="58"/>
        <v>0.67666309839945904</v>
      </c>
      <c r="P325" s="4">
        <f t="shared" ca="1" si="59"/>
        <v>0.45838787219342275</v>
      </c>
      <c r="Q325" s="4">
        <f t="shared" ca="1" si="60"/>
        <v>1914.6151139551562</v>
      </c>
      <c r="R325" s="4">
        <f t="shared" ca="1" si="61"/>
        <v>-9.0549300448437862</v>
      </c>
      <c r="S325" s="4">
        <f t="shared" ca="1" si="62"/>
        <v>-4.550317959390533</v>
      </c>
    </row>
    <row r="326" spans="15:19" x14ac:dyDescent="0.2">
      <c r="O326" s="4">
        <f t="shared" ca="1" si="58"/>
        <v>0.95936020075199646</v>
      </c>
      <c r="P326" s="4">
        <f t="shared" ca="1" si="59"/>
        <v>1.7433093185627737</v>
      </c>
      <c r="Q326" s="4">
        <f t="shared" ca="1" si="60"/>
        <v>1890.3703531996919</v>
      </c>
      <c r="R326" s="4">
        <f t="shared" ca="1" si="61"/>
        <v>-33.299690800308099</v>
      </c>
      <c r="S326" s="4">
        <f t="shared" ca="1" si="62"/>
        <v>-16.405243039332923</v>
      </c>
    </row>
    <row r="327" spans="15:19" x14ac:dyDescent="0.2">
      <c r="O327" s="4">
        <f t="shared" ca="1" si="58"/>
        <v>7.3075636701274815E-2</v>
      </c>
      <c r="P327" s="4">
        <f t="shared" ca="1" si="59"/>
        <v>-1.4532611002721907</v>
      </c>
      <c r="Q327" s="4">
        <f t="shared" ca="1" si="60"/>
        <v>1950.6853905598591</v>
      </c>
      <c r="R327" s="4">
        <f t="shared" ca="1" si="61"/>
        <v>27.015346559859154</v>
      </c>
      <c r="S327" s="4">
        <f t="shared" ca="1" si="62"/>
        <v>13.972523946856803</v>
      </c>
    </row>
    <row r="328" spans="15:19" x14ac:dyDescent="0.2">
      <c r="O328" s="4">
        <f t="shared" ca="1" si="58"/>
        <v>0.88575681501838133</v>
      </c>
      <c r="P328" s="4">
        <f t="shared" ca="1" si="59"/>
        <v>1.2042670703603857</v>
      </c>
      <c r="Q328" s="4">
        <f t="shared" ca="1" si="60"/>
        <v>1900.5413643394638</v>
      </c>
      <c r="R328" s="4">
        <f t="shared" ca="1" si="61"/>
        <v>-23.128679660536136</v>
      </c>
      <c r="S328" s="4">
        <f t="shared" ca="1" si="62"/>
        <v>-11.490208276174533</v>
      </c>
    </row>
    <row r="329" spans="15:19" x14ac:dyDescent="0.2">
      <c r="O329" s="4">
        <f t="shared" ca="1" si="58"/>
        <v>0.24442422434416222</v>
      </c>
      <c r="P329" s="4">
        <f t="shared" ca="1" si="59"/>
        <v>-0.69214153724130134</v>
      </c>
      <c r="Q329" s="4">
        <f t="shared" ca="1" si="60"/>
        <v>1936.3240755050531</v>
      </c>
      <c r="R329" s="4">
        <f t="shared" ca="1" si="61"/>
        <v>12.654031505053126</v>
      </c>
      <c r="S329" s="4">
        <f t="shared" ca="1" si="62"/>
        <v>6.4707764545622819</v>
      </c>
    </row>
    <row r="330" spans="15:19" x14ac:dyDescent="0.2">
      <c r="O330" s="4">
        <f t="shared" ca="1" si="58"/>
        <v>0.17267440322553329</v>
      </c>
      <c r="P330" s="4">
        <f t="shared" ca="1" si="59"/>
        <v>-0.9436494641476868</v>
      </c>
      <c r="Q330" s="4">
        <f t="shared" ca="1" si="60"/>
        <v>1941.0696959732754</v>
      </c>
      <c r="R330" s="4">
        <f t="shared" ca="1" si="61"/>
        <v>17.399651973275468</v>
      </c>
      <c r="S330" s="4">
        <f t="shared" ca="1" si="62"/>
        <v>8.9311136055000215</v>
      </c>
    </row>
    <row r="331" spans="15:19" x14ac:dyDescent="0.2">
      <c r="O331" s="4">
        <f t="shared" ca="1" si="58"/>
        <v>0.59599526607914466</v>
      </c>
      <c r="P331" s="4">
        <f t="shared" ca="1" si="59"/>
        <v>0.24299474566141704</v>
      </c>
      <c r="Q331" s="4">
        <f t="shared" ca="1" si="60"/>
        <v>1918.6792961165602</v>
      </c>
      <c r="R331" s="4">
        <f t="shared" ca="1" si="61"/>
        <v>-4.9907478834397807</v>
      </c>
      <c r="S331" s="4">
        <f t="shared" ca="1" si="62"/>
        <v>-2.5162263595310255</v>
      </c>
    </row>
    <row r="332" spans="15:19" x14ac:dyDescent="0.2">
      <c r="O332" s="4">
        <f t="shared" ca="1" si="58"/>
        <v>4.2603333477791772E-2</v>
      </c>
      <c r="P332" s="4">
        <f t="shared" ca="1" si="59"/>
        <v>-1.7212433915086558</v>
      </c>
      <c r="Q332" s="4">
        <f t="shared" ca="1" si="60"/>
        <v>1955.7418603978306</v>
      </c>
      <c r="R332" s="4">
        <f t="shared" ca="1" si="61"/>
        <v>32.071816397830617</v>
      </c>
      <c r="S332" s="4">
        <f t="shared" ca="1" si="62"/>
        <v>16.653779579347713</v>
      </c>
    </row>
    <row r="333" spans="15:19" x14ac:dyDescent="0.2">
      <c r="O333" s="4">
        <f t="shared" ca="1" si="58"/>
        <v>0.24691832902782529</v>
      </c>
      <c r="P333" s="4">
        <f t="shared" ca="1" si="59"/>
        <v>-0.68421936139809536</v>
      </c>
      <c r="Q333" s="4">
        <f t="shared" ca="1" si="60"/>
        <v>1936.1745945710056</v>
      </c>
      <c r="R333" s="4">
        <f t="shared" ca="1" si="61"/>
        <v>12.504550571005666</v>
      </c>
      <c r="S333" s="4">
        <f t="shared" ca="1" si="62"/>
        <v>6.3935768648190194</v>
      </c>
    </row>
    <row r="334" spans="15:19" x14ac:dyDescent="0.2">
      <c r="O334" s="4">
        <f t="shared" ca="1" si="58"/>
        <v>0.73095265650765906</v>
      </c>
      <c r="P334" s="4">
        <f t="shared" ca="1" si="59"/>
        <v>0.61569674351529902</v>
      </c>
      <c r="Q334" s="4">
        <f t="shared" ca="1" si="60"/>
        <v>1911.6469045282784</v>
      </c>
      <c r="R334" s="4">
        <f t="shared" ca="1" si="61"/>
        <v>-12.023139471721606</v>
      </c>
      <c r="S334" s="4">
        <f t="shared" ca="1" si="62"/>
        <v>-6.027386714831235</v>
      </c>
    </row>
    <row r="335" spans="15:19" x14ac:dyDescent="0.2">
      <c r="O335" s="4">
        <f t="shared" ca="1" si="58"/>
        <v>0.63063709210409491</v>
      </c>
      <c r="P335" s="4">
        <f t="shared" ca="1" si="59"/>
        <v>0.33354117246761905</v>
      </c>
      <c r="Q335" s="4">
        <f t="shared" ca="1" si="60"/>
        <v>1916.9708053279744</v>
      </c>
      <c r="R335" s="4">
        <f t="shared" ca="1" si="61"/>
        <v>-6.6992386720255581</v>
      </c>
      <c r="S335" s="4">
        <f t="shared" ca="1" si="62"/>
        <v>-3.3729510492464314</v>
      </c>
    </row>
    <row r="336" spans="15:19" x14ac:dyDescent="0.2">
      <c r="O336" s="4">
        <f t="shared" ca="1" si="58"/>
        <v>0.94832126797936855</v>
      </c>
      <c r="P336" s="4">
        <f t="shared" ca="1" si="59"/>
        <v>1.6287900865298377</v>
      </c>
      <c r="Q336" s="4">
        <f t="shared" ca="1" si="60"/>
        <v>1892.5311789765385</v>
      </c>
      <c r="R336" s="4">
        <f t="shared" ca="1" si="61"/>
        <v>-31.138865023461449</v>
      </c>
      <c r="S336" s="4">
        <f t="shared" ca="1" si="62"/>
        <v>-15.368092385459738</v>
      </c>
    </row>
    <row r="337" spans="15:19" x14ac:dyDescent="0.2">
      <c r="O337" s="4">
        <f t="shared" ca="1" si="58"/>
        <v>0.40046433476780696</v>
      </c>
      <c r="P337" s="4">
        <f t="shared" ca="1" si="59"/>
        <v>-0.25214541250967187</v>
      </c>
      <c r="Q337" s="4">
        <f t="shared" ca="1" si="60"/>
        <v>1928.0219331386136</v>
      </c>
      <c r="R337" s="4">
        <f t="shared" ca="1" si="61"/>
        <v>4.3518891386136147</v>
      </c>
      <c r="S337" s="4">
        <f t="shared" ca="1" si="62"/>
        <v>2.2106783675742059</v>
      </c>
    </row>
    <row r="338" spans="15:19" x14ac:dyDescent="0.2">
      <c r="O338" s="4">
        <f t="shared" ca="1" si="58"/>
        <v>0.36257085351245943</v>
      </c>
      <c r="P338" s="4">
        <f t="shared" ca="1" si="59"/>
        <v>-0.35159541127280547</v>
      </c>
      <c r="Q338" s="4">
        <f t="shared" ca="1" si="60"/>
        <v>1929.8984225021902</v>
      </c>
      <c r="R338" s="4">
        <f t="shared" ca="1" si="61"/>
        <v>6.2283785021902531</v>
      </c>
      <c r="S338" s="4">
        <f t="shared" ca="1" si="62"/>
        <v>3.16865751803818</v>
      </c>
    </row>
    <row r="339" spans="15:19" x14ac:dyDescent="0.2">
      <c r="O339" s="4">
        <f t="shared" ca="1" si="58"/>
        <v>0.71773089838373494</v>
      </c>
      <c r="P339" s="4">
        <f t="shared" ca="1" si="59"/>
        <v>0.57611389039126459</v>
      </c>
      <c r="Q339" s="4">
        <f t="shared" ca="1" si="60"/>
        <v>1912.3937803833919</v>
      </c>
      <c r="R339" s="4">
        <f t="shared" ca="1" si="61"/>
        <v>-11.276263616608048</v>
      </c>
      <c r="S339" s="4">
        <f t="shared" ca="1" si="62"/>
        <v>-5.6563945630173711</v>
      </c>
    </row>
    <row r="340" spans="15:19" x14ac:dyDescent="0.2">
      <c r="O340" s="4">
        <f t="shared" ca="1" si="58"/>
        <v>0.39526967321319406</v>
      </c>
      <c r="P340" s="4">
        <f t="shared" ca="1" si="59"/>
        <v>-0.26561030751397069</v>
      </c>
      <c r="Q340" s="4">
        <f t="shared" ca="1" si="60"/>
        <v>1928.2759978200768</v>
      </c>
      <c r="R340" s="4">
        <f t="shared" ca="1" si="61"/>
        <v>4.6059538200768202</v>
      </c>
      <c r="S340" s="4">
        <f t="shared" ca="1" si="62"/>
        <v>2.340214835127068</v>
      </c>
    </row>
    <row r="341" spans="15:19" x14ac:dyDescent="0.2">
      <c r="O341" s="4">
        <f t="shared" ca="1" si="58"/>
        <v>0.33299695299229015</v>
      </c>
      <c r="P341" s="4">
        <f t="shared" ca="1" si="59"/>
        <v>-0.43165262282744438</v>
      </c>
      <c r="Q341" s="4">
        <f t="shared" ca="1" si="60"/>
        <v>1931.4089957332433</v>
      </c>
      <c r="R341" s="4">
        <f t="shared" ca="1" si="61"/>
        <v>7.7389517332433115</v>
      </c>
      <c r="S341" s="4">
        <f t="shared" ca="1" si="62"/>
        <v>3.9419131048817433</v>
      </c>
    </row>
    <row r="342" spans="15:19" x14ac:dyDescent="0.2">
      <c r="O342" s="4">
        <f t="shared" ca="1" si="58"/>
        <v>0.8227877506605058</v>
      </c>
      <c r="P342" s="4">
        <f t="shared" ca="1" si="59"/>
        <v>0.92604133641735598</v>
      </c>
      <c r="Q342" s="4">
        <f t="shared" ca="1" si="60"/>
        <v>1905.7911143335371</v>
      </c>
      <c r="R342" s="4">
        <f t="shared" ca="1" si="61"/>
        <v>-17.878929666462909</v>
      </c>
      <c r="S342" s="4">
        <f t="shared" ca="1" si="62"/>
        <v>-8.9203671478705981</v>
      </c>
    </row>
    <row r="343" spans="15:19" x14ac:dyDescent="0.2">
      <c r="O343" s="4">
        <f t="shared" ca="1" si="58"/>
        <v>0.73899425565154409</v>
      </c>
      <c r="P343" s="4">
        <f t="shared" ca="1" si="59"/>
        <v>0.64024783477786751</v>
      </c>
      <c r="Q343" s="4">
        <f t="shared" ca="1" si="60"/>
        <v>1911.1836580507379</v>
      </c>
      <c r="R343" s="4">
        <f t="shared" ca="1" si="61"/>
        <v>-12.486385949262058</v>
      </c>
      <c r="S343" s="4">
        <f t="shared" ca="1" si="62"/>
        <v>-6.2572647750458694</v>
      </c>
    </row>
    <row r="344" spans="15:19" x14ac:dyDescent="0.2">
      <c r="O344" s="4">
        <f t="shared" ca="1" si="58"/>
        <v>0.91133890529658668</v>
      </c>
      <c r="P344" s="4">
        <f t="shared" ca="1" si="59"/>
        <v>1.3490460060736682</v>
      </c>
      <c r="Q344" s="4">
        <f t="shared" ca="1" si="60"/>
        <v>1897.8095781522868</v>
      </c>
      <c r="R344" s="4">
        <f t="shared" ca="1" si="61"/>
        <v>-25.860465847713158</v>
      </c>
      <c r="S344" s="4">
        <f t="shared" ca="1" si="62"/>
        <v>-12.818587993873141</v>
      </c>
    </row>
    <row r="345" spans="15:19" x14ac:dyDescent="0.2">
      <c r="O345" s="4">
        <f t="shared" ca="1" si="58"/>
        <v>0.45684236588621574</v>
      </c>
      <c r="P345" s="4">
        <f t="shared" ca="1" si="59"/>
        <v>-0.10839201897441024</v>
      </c>
      <c r="Q345" s="4">
        <f t="shared" ca="1" si="60"/>
        <v>1925.3094975699676</v>
      </c>
      <c r="R345" s="4">
        <f t="shared" ca="1" si="61"/>
        <v>1.6394535699675998</v>
      </c>
      <c r="S345" s="4">
        <f t="shared" ca="1" si="62"/>
        <v>0.83100157933507235</v>
      </c>
    </row>
    <row r="346" spans="15:19" x14ac:dyDescent="0.2">
      <c r="O346" s="4">
        <f t="shared" ca="1" si="58"/>
        <v>0.96663464511271457</v>
      </c>
      <c r="P346" s="4">
        <f t="shared" ca="1" si="59"/>
        <v>1.8334834350360323</v>
      </c>
      <c r="Q346" s="4">
        <f t="shared" ca="1" si="60"/>
        <v>1888.6688874124977</v>
      </c>
      <c r="R346" s="4">
        <f t="shared" ca="1" si="61"/>
        <v>-35.001156587502237</v>
      </c>
      <c r="S346" s="4">
        <f t="shared" ca="1" si="62"/>
        <v>-17.219235538765059</v>
      </c>
    </row>
    <row r="347" spans="15:19" x14ac:dyDescent="0.2">
      <c r="O347" s="4">
        <f t="shared" ca="1" si="58"/>
        <v>0.62218601242016081</v>
      </c>
      <c r="P347" s="4">
        <f t="shared" ca="1" si="59"/>
        <v>0.31122710970049161</v>
      </c>
      <c r="Q347" s="4">
        <f t="shared" ca="1" si="60"/>
        <v>1917.3918420495577</v>
      </c>
      <c r="R347" s="4">
        <f t="shared" ca="1" si="61"/>
        <v>-6.2782019504422806</v>
      </c>
      <c r="S347" s="4">
        <f t="shared" ca="1" si="62"/>
        <v>-3.1620423544891132</v>
      </c>
    </row>
    <row r="348" spans="15:19" x14ac:dyDescent="0.2">
      <c r="O348" s="4">
        <f t="shared" ca="1" si="58"/>
        <v>0.52539574313758186</v>
      </c>
      <c r="P348" s="4">
        <f t="shared" ca="1" si="59"/>
        <v>6.3700742242872505E-2</v>
      </c>
      <c r="Q348" s="4">
        <f t="shared" ca="1" si="60"/>
        <v>1922.0623357802338</v>
      </c>
      <c r="R348" s="4">
        <f t="shared" ca="1" si="61"/>
        <v>-1.6077082197662094</v>
      </c>
      <c r="S348" s="4">
        <f t="shared" ca="1" si="62"/>
        <v>-0.81278548589813182</v>
      </c>
    </row>
    <row r="349" spans="15:19" x14ac:dyDescent="0.2">
      <c r="O349" s="4">
        <f t="shared" ca="1" si="58"/>
        <v>0.1132247222324686</v>
      </c>
      <c r="P349" s="4">
        <f t="shared" ca="1" si="59"/>
        <v>-1.2095556509964738</v>
      </c>
      <c r="Q349" s="4">
        <f t="shared" ca="1" si="60"/>
        <v>1946.086992479426</v>
      </c>
      <c r="R349" s="4">
        <f t="shared" ca="1" si="61"/>
        <v>22.416948479426082</v>
      </c>
      <c r="S349" s="4">
        <f t="shared" ca="1" si="62"/>
        <v>11.552239148167361</v>
      </c>
    </row>
    <row r="350" spans="15:19" x14ac:dyDescent="0.2">
      <c r="O350" s="4">
        <f t="shared" ca="1" si="58"/>
        <v>0.77981406637728856</v>
      </c>
      <c r="P350" s="4">
        <f t="shared" ca="1" si="59"/>
        <v>0.77156541075158191</v>
      </c>
      <c r="Q350" s="4">
        <f t="shared" ca="1" si="60"/>
        <v>1908.7058698392748</v>
      </c>
      <c r="R350" s="4">
        <f t="shared" ca="1" si="61"/>
        <v>-14.964174160725179</v>
      </c>
      <c r="S350" s="4">
        <f t="shared" ca="1" si="62"/>
        <v>-7.4838579424706353</v>
      </c>
    </row>
    <row r="351" spans="15:19" x14ac:dyDescent="0.2">
      <c r="O351" s="4">
        <f t="shared" ca="1" si="58"/>
        <v>0.18757041246176254</v>
      </c>
      <c r="P351" s="4">
        <f t="shared" ca="1" si="59"/>
        <v>-0.88688498761896695</v>
      </c>
      <c r="Q351" s="4">
        <f t="shared" ca="1" si="60"/>
        <v>1939.9986257092244</v>
      </c>
      <c r="R351" s="4">
        <f t="shared" ca="1" si="61"/>
        <v>16.328581709224409</v>
      </c>
      <c r="S351" s="4">
        <f t="shared" ca="1" si="62"/>
        <v>8.3742218455849162</v>
      </c>
    </row>
    <row r="352" spans="15:19" x14ac:dyDescent="0.2">
      <c r="O352" s="4">
        <f t="shared" ca="1" si="58"/>
        <v>0.84187037361932582</v>
      </c>
      <c r="P352" s="4">
        <f t="shared" ca="1" si="59"/>
        <v>1.0021746419917437</v>
      </c>
      <c r="Q352" s="4">
        <f t="shared" ca="1" si="60"/>
        <v>1904.3545799956682</v>
      </c>
      <c r="R352" s="4">
        <f t="shared" ca="1" si="61"/>
        <v>-19.315464004331716</v>
      </c>
      <c r="S352" s="4">
        <f t="shared" ca="1" si="62"/>
        <v>-9.6258047749765971</v>
      </c>
    </row>
    <row r="353" spans="15:19" x14ac:dyDescent="0.2">
      <c r="O353" s="4">
        <f t="shared" ca="1" si="58"/>
        <v>0.68882040005361256</v>
      </c>
      <c r="P353" s="4">
        <f t="shared" ca="1" si="59"/>
        <v>0.49250951113579711</v>
      </c>
      <c r="Q353" s="4">
        <f t="shared" ca="1" si="60"/>
        <v>1913.9712839567701</v>
      </c>
      <c r="R353" s="4">
        <f t="shared" ca="1" si="61"/>
        <v>-9.6987600432298677</v>
      </c>
      <c r="S353" s="4">
        <f t="shared" ca="1" si="62"/>
        <v>-4.8713159803615458</v>
      </c>
    </row>
    <row r="354" spans="15:19" x14ac:dyDescent="0.2">
      <c r="O354" s="4">
        <f t="shared" ca="1" si="58"/>
        <v>0.40391350205662579</v>
      </c>
      <c r="P354" s="4">
        <f t="shared" ca="1" si="59"/>
        <v>-0.24323028892544438</v>
      </c>
      <c r="Q354" s="4">
        <f t="shared" ca="1" si="60"/>
        <v>1927.8537165997616</v>
      </c>
      <c r="R354" s="4">
        <f t="shared" ca="1" si="61"/>
        <v>4.1836725997616213</v>
      </c>
      <c r="S354" s="4">
        <f t="shared" ca="1" si="62"/>
        <v>2.1249410287266755</v>
      </c>
    </row>
    <row r="355" spans="15:19" x14ac:dyDescent="0.2">
      <c r="O355" s="4">
        <f t="shared" ca="1" si="58"/>
        <v>0.37351284378763283</v>
      </c>
      <c r="P355" s="4">
        <f t="shared" ca="1" si="59"/>
        <v>-0.32256370125677719</v>
      </c>
      <c r="Q355" s="4">
        <f t="shared" ca="1" si="60"/>
        <v>1929.3506327009932</v>
      </c>
      <c r="R355" s="4">
        <f t="shared" ca="1" si="61"/>
        <v>5.6805887009932121</v>
      </c>
      <c r="S355" s="4">
        <f t="shared" ca="1" si="62"/>
        <v>2.8887053939350857</v>
      </c>
    </row>
    <row r="356" spans="15:19" x14ac:dyDescent="0.2">
      <c r="O356" s="4">
        <f t="shared" ca="1" si="58"/>
        <v>0.65375807988697576</v>
      </c>
      <c r="P356" s="4">
        <f t="shared" ca="1" si="59"/>
        <v>0.39548655763537932</v>
      </c>
      <c r="Q356" s="4">
        <f t="shared" ca="1" si="60"/>
        <v>1915.8019782004164</v>
      </c>
      <c r="R356" s="4">
        <f t="shared" ca="1" si="61"/>
        <v>-7.868065799583519</v>
      </c>
      <c r="S356" s="4">
        <f t="shared" ca="1" si="62"/>
        <v>-3.9576917602032204</v>
      </c>
    </row>
    <row r="357" spans="15:19" x14ac:dyDescent="0.2">
      <c r="O357" s="4">
        <f t="shared" ca="1" si="58"/>
        <v>0.57768961131294894</v>
      </c>
      <c r="P357" s="4">
        <f t="shared" ca="1" si="59"/>
        <v>0.19598644270491294</v>
      </c>
      <c r="Q357" s="4">
        <f t="shared" ca="1" si="60"/>
        <v>1919.5662803457683</v>
      </c>
      <c r="R357" s="4">
        <f t="shared" ca="1" si="61"/>
        <v>-4.1037636542316704</v>
      </c>
      <c r="S357" s="4">
        <f t="shared" ca="1" si="62"/>
        <v>-2.0705099553422661</v>
      </c>
    </row>
    <row r="358" spans="15:19" x14ac:dyDescent="0.2">
      <c r="O358" s="4">
        <f t="shared" ca="1" si="58"/>
        <v>0.53224433368864366</v>
      </c>
      <c r="P358" s="4">
        <f t="shared" ca="1" si="59"/>
        <v>8.0912759502608456E-2</v>
      </c>
      <c r="Q358" s="4">
        <f t="shared" ca="1" si="60"/>
        <v>1921.7375678796275</v>
      </c>
      <c r="R358" s="4">
        <f t="shared" ca="1" si="61"/>
        <v>-1.9324761203724847</v>
      </c>
      <c r="S358" s="4">
        <f t="shared" ca="1" si="62"/>
        <v>-0.97671815520242444</v>
      </c>
    </row>
    <row r="359" spans="15:19" x14ac:dyDescent="0.2">
      <c r="O359" s="4">
        <f t="shared" ca="1" si="58"/>
        <v>0.4051570479364377</v>
      </c>
      <c r="P359" s="4">
        <f t="shared" ca="1" si="59"/>
        <v>-0.24002084633543891</v>
      </c>
      <c r="Q359" s="4">
        <f t="shared" ca="1" si="60"/>
        <v>1927.7931586816312</v>
      </c>
      <c r="R359" s="4">
        <f t="shared" ca="1" si="61"/>
        <v>4.1231146816312503</v>
      </c>
      <c r="S359" s="4">
        <f t="shared" ca="1" si="62"/>
        <v>2.0940812445967123</v>
      </c>
    </row>
    <row r="360" spans="15:19" x14ac:dyDescent="0.2">
      <c r="O360" s="4">
        <f t="shared" ca="1" si="58"/>
        <v>0.90423221028055167</v>
      </c>
      <c r="P360" s="4">
        <f t="shared" ca="1" si="59"/>
        <v>1.3060499273110235</v>
      </c>
      <c r="Q360" s="4">
        <f t="shared" ca="1" si="60"/>
        <v>1898.6208570409449</v>
      </c>
      <c r="R360" s="4">
        <f t="shared" ca="1" si="61"/>
        <v>-25.049186959055078</v>
      </c>
      <c r="S360" s="4">
        <f t="shared" ca="1" si="62"/>
        <v>-12.424723417296761</v>
      </c>
    </row>
    <row r="361" spans="15:19" x14ac:dyDescent="0.2">
      <c r="O361" s="4">
        <f t="shared" ca="1" si="58"/>
        <v>0.29160497336922386</v>
      </c>
      <c r="P361" s="4">
        <f t="shared" ca="1" si="59"/>
        <v>-0.5487020388964603</v>
      </c>
      <c r="Q361" s="4">
        <f t="shared" ca="1" si="60"/>
        <v>1933.6175627216605</v>
      </c>
      <c r="R361" s="4">
        <f t="shared" ca="1" si="61"/>
        <v>9.9475187216605718</v>
      </c>
      <c r="S361" s="4">
        <f t="shared" ca="1" si="62"/>
        <v>5.0758121854007863</v>
      </c>
    </row>
    <row r="362" spans="15:19" x14ac:dyDescent="0.2">
      <c r="O362" s="4">
        <f t="shared" ca="1" si="58"/>
        <v>0.94353980434779328</v>
      </c>
      <c r="P362" s="4">
        <f t="shared" ca="1" si="59"/>
        <v>1.5852022419689547</v>
      </c>
      <c r="Q362" s="4">
        <f t="shared" ca="1" si="60"/>
        <v>1893.3536236996856</v>
      </c>
      <c r="R362" s="4">
        <f t="shared" ca="1" si="61"/>
        <v>-30.316420300314348</v>
      </c>
      <c r="S362" s="4">
        <f t="shared" ca="1" si="62"/>
        <v>-14.972337544825812</v>
      </c>
    </row>
    <row r="363" spans="15:19" x14ac:dyDescent="0.2">
      <c r="O363" s="4">
        <f t="shared" ca="1" si="58"/>
        <v>0.54588071343722422</v>
      </c>
      <c r="P363" s="4">
        <f t="shared" ca="1" si="59"/>
        <v>0.1152605920420942</v>
      </c>
      <c r="Q363" s="4">
        <f t="shared" ca="1" si="60"/>
        <v>1921.0894699085479</v>
      </c>
      <c r="R363" s="4">
        <f t="shared" ca="1" si="61"/>
        <v>-2.5805740914520356</v>
      </c>
      <c r="S363" s="4">
        <f t="shared" ca="1" si="62"/>
        <v>-1.3036010599779273</v>
      </c>
    </row>
    <row r="364" spans="15:19" x14ac:dyDescent="0.2">
      <c r="O364" s="4">
        <f t="shared" ca="1" si="58"/>
        <v>0.87591908565736387</v>
      </c>
      <c r="P364" s="4">
        <f t="shared" ca="1" si="59"/>
        <v>1.1548256556946035</v>
      </c>
      <c r="Q364" s="4">
        <f t="shared" ca="1" si="60"/>
        <v>1901.4742581543896</v>
      </c>
      <c r="R364" s="4">
        <f t="shared" ca="1" si="61"/>
        <v>-22.195785845610317</v>
      </c>
      <c r="S364" s="4">
        <f t="shared" ca="1" si="62"/>
        <v>-11.035180362326935</v>
      </c>
    </row>
    <row r="365" spans="15:19" x14ac:dyDescent="0.2">
      <c r="O365" s="4">
        <f t="shared" ca="1" si="58"/>
        <v>9.0280436932235641E-2</v>
      </c>
      <c r="P365" s="4">
        <f t="shared" ca="1" si="59"/>
        <v>-1.3390301009461631</v>
      </c>
      <c r="Q365" s="4">
        <f t="shared" ca="1" si="60"/>
        <v>1948.5300033512929</v>
      </c>
      <c r="R365" s="4">
        <f t="shared" ca="1" si="61"/>
        <v>24.8599593512929</v>
      </c>
      <c r="S365" s="4">
        <f t="shared" ca="1" si="62"/>
        <v>12.835930861926572</v>
      </c>
    </row>
    <row r="366" spans="15:19" x14ac:dyDescent="0.2">
      <c r="O366" s="4">
        <f t="shared" ca="1" si="58"/>
        <v>0.78686149631870717</v>
      </c>
      <c r="P366" s="4">
        <f t="shared" ca="1" si="59"/>
        <v>0.79557860298840777</v>
      </c>
      <c r="Q366" s="4">
        <f t="shared" ca="1" si="60"/>
        <v>1908.2527728017853</v>
      </c>
      <c r="R366" s="4">
        <f t="shared" ca="1" si="61"/>
        <v>-15.417271198214621</v>
      </c>
      <c r="S366" s="4">
        <f t="shared" ca="1" si="62"/>
        <v>-7.7076164905918931</v>
      </c>
    </row>
    <row r="367" spans="15:19" x14ac:dyDescent="0.2">
      <c r="O367" s="4">
        <f t="shared" ca="1" si="58"/>
        <v>0.63187933127127704</v>
      </c>
      <c r="P367" s="4">
        <f t="shared" ca="1" si="59"/>
        <v>0.33683493316462815</v>
      </c>
      <c r="Q367" s="4">
        <f t="shared" ca="1" si="60"/>
        <v>1916.9086564391762</v>
      </c>
      <c r="R367" s="4">
        <f t="shared" ca="1" si="61"/>
        <v>-6.7613875608237777</v>
      </c>
      <c r="S367" s="4">
        <f t="shared" ca="1" si="62"/>
        <v>-3.4040708864609965</v>
      </c>
    </row>
    <row r="368" spans="15:19" x14ac:dyDescent="0.2">
      <c r="O368" s="4">
        <f t="shared" ca="1" si="58"/>
        <v>0.55904471723444371</v>
      </c>
      <c r="P368" s="4">
        <f t="shared" ca="1" si="59"/>
        <v>0.14854767313886452</v>
      </c>
      <c r="Q368" s="4">
        <f t="shared" ca="1" si="60"/>
        <v>1920.4613869080506</v>
      </c>
      <c r="R368" s="4">
        <f t="shared" ca="1" si="61"/>
        <v>-3.2086570919493624</v>
      </c>
      <c r="S368" s="4">
        <f t="shared" ca="1" si="62"/>
        <v>-1.6200626752296299</v>
      </c>
    </row>
    <row r="369" spans="15:19" x14ac:dyDescent="0.2">
      <c r="O369" s="4">
        <f t="shared" ca="1" si="58"/>
        <v>0.95057021469422842</v>
      </c>
      <c r="P369" s="4">
        <f t="shared" ca="1" si="59"/>
        <v>1.6504077326805362</v>
      </c>
      <c r="Q369" s="4">
        <f t="shared" ca="1" si="60"/>
        <v>1892.1232827113618</v>
      </c>
      <c r="R369" s="4">
        <f t="shared" ca="1" si="61"/>
        <v>-31.546761288638208</v>
      </c>
      <c r="S369" s="4">
        <f t="shared" ca="1" si="62"/>
        <v>-15.564165022377559</v>
      </c>
    </row>
    <row r="370" spans="15:19" x14ac:dyDescent="0.2">
      <c r="O370" s="4">
        <f t="shared" ca="1" si="58"/>
        <v>0.95046492897425294</v>
      </c>
      <c r="P370" s="4">
        <f t="shared" ca="1" si="59"/>
        <v>1.6493783754902409</v>
      </c>
      <c r="Q370" s="4">
        <f t="shared" ca="1" si="60"/>
        <v>1892.142705314106</v>
      </c>
      <c r="R370" s="4">
        <f t="shared" ca="1" si="61"/>
        <v>-31.527338685893938</v>
      </c>
      <c r="S370" s="4">
        <f t="shared" ca="1" si="62"/>
        <v>-15.55483179614896</v>
      </c>
    </row>
    <row r="371" spans="15:19" x14ac:dyDescent="0.2">
      <c r="O371" s="4">
        <f t="shared" ca="1" si="58"/>
        <v>0.80701805780435554</v>
      </c>
      <c r="P371" s="4">
        <f t="shared" ca="1" si="59"/>
        <v>0.86696007714006573</v>
      </c>
      <c r="Q371" s="4">
        <f t="shared" ca="1" si="60"/>
        <v>1906.9058992103535</v>
      </c>
      <c r="R371" s="4">
        <f t="shared" ca="1" si="61"/>
        <v>-16.76414478964648</v>
      </c>
      <c r="S371" s="4">
        <f t="shared" ca="1" si="62"/>
        <v>-8.3717729647064836</v>
      </c>
    </row>
    <row r="372" spans="15:19" x14ac:dyDescent="0.2">
      <c r="O372" s="4">
        <f t="shared" ca="1" si="58"/>
        <v>0.8925343079168947</v>
      </c>
      <c r="P372" s="4">
        <f t="shared" ca="1" si="59"/>
        <v>1.240118995017766</v>
      </c>
      <c r="Q372" s="4">
        <f t="shared" ca="1" si="60"/>
        <v>1899.8648861482116</v>
      </c>
      <c r="R372" s="4">
        <f t="shared" ca="1" si="61"/>
        <v>-23.805157851788408</v>
      </c>
      <c r="S372" s="4">
        <f t="shared" ca="1" si="62"/>
        <v>-11.819723829702832</v>
      </c>
    </row>
    <row r="373" spans="15:19" x14ac:dyDescent="0.2">
      <c r="O373" s="4">
        <f t="shared" ca="1" si="58"/>
        <v>0.6299808158755581</v>
      </c>
      <c r="P373" s="4">
        <f t="shared" ca="1" si="59"/>
        <v>0.3318025372841063</v>
      </c>
      <c r="Q373" s="4">
        <f t="shared" ca="1" si="60"/>
        <v>1917.0036110642195</v>
      </c>
      <c r="R373" s="4">
        <f t="shared" ca="1" si="61"/>
        <v>-6.666432935780449</v>
      </c>
      <c r="S373" s="4">
        <f t="shared" ca="1" si="62"/>
        <v>-3.3565229521574116</v>
      </c>
    </row>
    <row r="374" spans="15:19" x14ac:dyDescent="0.2">
      <c r="O374" s="4">
        <f t="shared" ca="1" si="58"/>
        <v>0.25880346232526363</v>
      </c>
      <c r="P374" s="4">
        <f t="shared" ca="1" si="59"/>
        <v>-0.64703865734935906</v>
      </c>
      <c r="Q374" s="4">
        <f t="shared" ca="1" si="60"/>
        <v>1935.4730440778385</v>
      </c>
      <c r="R374" s="4">
        <f t="shared" ca="1" si="61"/>
        <v>11.803000077838533</v>
      </c>
      <c r="S374" s="4">
        <f t="shared" ca="1" si="62"/>
        <v>6.0315033925752877</v>
      </c>
    </row>
    <row r="375" spans="15:19" x14ac:dyDescent="0.2">
      <c r="O375" s="4">
        <f t="shared" ca="1" si="58"/>
        <v>0.47715948003862207</v>
      </c>
      <c r="P375" s="4">
        <f t="shared" ca="1" si="59"/>
        <v>-5.7284006899518208E-2</v>
      </c>
      <c r="Q375" s="4">
        <f t="shared" ca="1" si="60"/>
        <v>1924.3451572759018</v>
      </c>
      <c r="R375" s="4">
        <f t="shared" ca="1" si="61"/>
        <v>0.67511327590182191</v>
      </c>
      <c r="S375" s="4">
        <f t="shared" ca="1" si="62"/>
        <v>0.3419344861034363</v>
      </c>
    </row>
    <row r="376" spans="15:19" x14ac:dyDescent="0.2">
      <c r="O376" s="4">
        <f t="shared" ca="1" si="58"/>
        <v>0.85589279762198722</v>
      </c>
      <c r="P376" s="4">
        <f t="shared" ca="1" si="59"/>
        <v>1.062046876968314</v>
      </c>
      <c r="Q376" s="4">
        <f t="shared" ca="1" si="60"/>
        <v>1903.2248704581682</v>
      </c>
      <c r="R376" s="4">
        <f t="shared" ca="1" si="61"/>
        <v>-20.445173541831764</v>
      </c>
      <c r="S376" s="4">
        <f t="shared" ca="1" si="62"/>
        <v>-10.179390084396438</v>
      </c>
    </row>
    <row r="377" spans="15:19" x14ac:dyDescent="0.2">
      <c r="O377" s="4">
        <f t="shared" ca="1" si="58"/>
        <v>2.5770446004573344E-2</v>
      </c>
      <c r="P377" s="4">
        <f t="shared" ca="1" si="59"/>
        <v>-1.9469486435520353</v>
      </c>
      <c r="Q377" s="4">
        <f t="shared" ca="1" si="60"/>
        <v>1960.000618668623</v>
      </c>
      <c r="R377" s="4">
        <f t="shared" ca="1" si="61"/>
        <v>36.330574668623058</v>
      </c>
      <c r="S377" s="4">
        <f t="shared" ca="1" si="62"/>
        <v>18.928187760472625</v>
      </c>
    </row>
    <row r="378" spans="15:19" x14ac:dyDescent="0.2">
      <c r="O378" s="4">
        <f t="shared" ca="1" si="58"/>
        <v>0.55923152321938052</v>
      </c>
      <c r="P378" s="4">
        <f t="shared" ca="1" si="59"/>
        <v>0.1490211379089027</v>
      </c>
      <c r="Q378" s="4">
        <f t="shared" ca="1" si="60"/>
        <v>1920.4524532568082</v>
      </c>
      <c r="R378" s="4">
        <f t="shared" ca="1" si="61"/>
        <v>-3.2175907431917494</v>
      </c>
      <c r="S378" s="4">
        <f t="shared" ca="1" si="62"/>
        <v>-1.6245616072067748</v>
      </c>
    </row>
    <row r="379" spans="15:19" x14ac:dyDescent="0.2">
      <c r="O379" s="4">
        <f t="shared" ca="1" si="58"/>
        <v>0.65988151586509269</v>
      </c>
      <c r="P379" s="4">
        <f t="shared" ca="1" si="59"/>
        <v>0.41213978638559495</v>
      </c>
      <c r="Q379" s="4">
        <f t="shared" ca="1" si="60"/>
        <v>1915.4877538966696</v>
      </c>
      <c r="R379" s="4">
        <f t="shared" ca="1" si="61"/>
        <v>-8.1822901033303879</v>
      </c>
      <c r="S379" s="4">
        <f t="shared" ca="1" si="62"/>
        <v>-4.1147021627766005</v>
      </c>
    </row>
    <row r="380" spans="15:19" x14ac:dyDescent="0.2">
      <c r="O380" s="4">
        <f t="shared" ca="1" si="58"/>
        <v>0.26706001372858412</v>
      </c>
      <c r="P380" s="4">
        <f t="shared" ca="1" si="59"/>
        <v>-0.62172907879483685</v>
      </c>
      <c r="Q380" s="4">
        <f t="shared" ca="1" si="60"/>
        <v>1934.995485952702</v>
      </c>
      <c r="R380" s="4">
        <f t="shared" ca="1" si="61"/>
        <v>11.325441952702022</v>
      </c>
      <c r="S380" s="4">
        <f t="shared" ca="1" si="62"/>
        <v>5.7852626409908892</v>
      </c>
    </row>
    <row r="381" spans="15:19" x14ac:dyDescent="0.2">
      <c r="O381" s="4">
        <f t="shared" ca="1" si="58"/>
        <v>0.68028775321446711</v>
      </c>
      <c r="P381" s="4">
        <f t="shared" ca="1" si="59"/>
        <v>0.46850360502273058</v>
      </c>
      <c r="Q381" s="4">
        <f t="shared" ca="1" si="60"/>
        <v>1914.4242435147835</v>
      </c>
      <c r="R381" s="4">
        <f t="shared" ca="1" si="61"/>
        <v>-9.2458004852164777</v>
      </c>
      <c r="S381" s="4">
        <f t="shared" ca="1" si="62"/>
        <v>-4.6455165251772508</v>
      </c>
    </row>
    <row r="382" spans="15:19" x14ac:dyDescent="0.2">
      <c r="O382" s="4">
        <f t="shared" ca="1" si="58"/>
        <v>0.16710195190732602</v>
      </c>
      <c r="P382" s="4">
        <f t="shared" ca="1" si="59"/>
        <v>-0.96568085201404608</v>
      </c>
      <c r="Q382" s="4">
        <f t="shared" ca="1" si="60"/>
        <v>1941.4853989949972</v>
      </c>
      <c r="R382" s="4">
        <f t="shared" ca="1" si="61"/>
        <v>17.815354994997278</v>
      </c>
      <c r="S382" s="4">
        <f t="shared" ca="1" si="62"/>
        <v>9.1475056270781394</v>
      </c>
    </row>
    <row r="383" spans="15:19" x14ac:dyDescent="0.2">
      <c r="O383" s="4">
        <f t="shared" ca="1" si="58"/>
        <v>0.63983505576425659</v>
      </c>
      <c r="P383" s="4">
        <f t="shared" ca="1" si="59"/>
        <v>0.35801793942729937</v>
      </c>
      <c r="Q383" s="4">
        <f t="shared" ca="1" si="60"/>
        <v>1916.5089612512943</v>
      </c>
      <c r="R383" s="4">
        <f t="shared" ca="1" si="61"/>
        <v>-7.1610827487056667</v>
      </c>
      <c r="S383" s="4">
        <f t="shared" ca="1" si="62"/>
        <v>-3.6041352693547215</v>
      </c>
    </row>
    <row r="384" spans="15:19" x14ac:dyDescent="0.2">
      <c r="O384" s="4">
        <f t="shared" ca="1" si="58"/>
        <v>0.81240876459879685</v>
      </c>
      <c r="P384" s="4">
        <f t="shared" ca="1" si="59"/>
        <v>0.88680764524627054</v>
      </c>
      <c r="Q384" s="4">
        <f t="shared" ca="1" si="60"/>
        <v>1906.5314019664384</v>
      </c>
      <c r="R384" s="4">
        <f t="shared" ca="1" si="61"/>
        <v>-17.138642033561609</v>
      </c>
      <c r="S384" s="4">
        <f t="shared" ca="1" si="62"/>
        <v>-8.5561787832247855</v>
      </c>
    </row>
    <row r="385" spans="15:19" x14ac:dyDescent="0.2">
      <c r="O385" s="4">
        <f t="shared" ca="1" si="58"/>
        <v>0.47492044302125491</v>
      </c>
      <c r="P385" s="4">
        <f t="shared" ca="1" si="59"/>
        <v>-6.2906591427608585E-2</v>
      </c>
      <c r="Q385" s="4">
        <f t="shared" ca="1" si="60"/>
        <v>1924.4512479766961</v>
      </c>
      <c r="R385" s="4">
        <f t="shared" ca="1" si="61"/>
        <v>0.7812039766961334</v>
      </c>
      <c r="S385" s="4">
        <f t="shared" ca="1" si="62"/>
        <v>0.39570153088858284</v>
      </c>
    </row>
    <row r="386" spans="15:19" x14ac:dyDescent="0.2">
      <c r="O386" s="4">
        <f t="shared" ca="1" si="58"/>
        <v>0.3942608227963349</v>
      </c>
      <c r="P386" s="4">
        <f t="shared" ca="1" si="59"/>
        <v>-0.2682308296209488</v>
      </c>
      <c r="Q386" s="4">
        <f t="shared" ca="1" si="60"/>
        <v>1928.3254435910362</v>
      </c>
      <c r="R386" s="4">
        <f t="shared" ca="1" si="61"/>
        <v>4.6553995910362573</v>
      </c>
      <c r="S386" s="4">
        <f t="shared" ca="1" si="62"/>
        <v>2.3654311798513881</v>
      </c>
    </row>
    <row r="387" spans="15:19" x14ac:dyDescent="0.2">
      <c r="O387" s="4">
        <f t="shared" ref="O387:O450" ca="1" si="63">RAND()</f>
        <v>3.7701236962702778E-3</v>
      </c>
      <c r="P387" s="4">
        <f t="shared" ref="P387:P450" ca="1" si="64">NORMSINV(O387)</f>
        <v>-2.6719918759277141</v>
      </c>
      <c r="Q387" s="4">
        <f t="shared" ref="Q387:Q450" ca="1" si="65">$B$4*(1+$B$17-$B$32*P387)</f>
        <v>1973.6812212891066</v>
      </c>
      <c r="R387" s="4">
        <f t="shared" ref="R387:R450" ca="1" si="66">Q387-$B$4</f>
        <v>50.011177289106627</v>
      </c>
      <c r="S387" s="4">
        <f t="shared" ref="S387:S450" ca="1" si="67">R387*$B$12+0.5*$B$13*R387^2</f>
        <v>26.334275906725477</v>
      </c>
    </row>
    <row r="388" spans="15:19" x14ac:dyDescent="0.2">
      <c r="O388" s="4">
        <f t="shared" ca="1" si="63"/>
        <v>0.34389440565968221</v>
      </c>
      <c r="P388" s="4">
        <f t="shared" ca="1" si="64"/>
        <v>-0.40185762338058129</v>
      </c>
      <c r="Q388" s="4">
        <f t="shared" ca="1" si="65"/>
        <v>1930.8468036744684</v>
      </c>
      <c r="R388" s="4">
        <f t="shared" ca="1" si="66"/>
        <v>7.1767596744684852</v>
      </c>
      <c r="S388" s="4">
        <f t="shared" ca="1" si="67"/>
        <v>3.653912501356587</v>
      </c>
    </row>
    <row r="389" spans="15:19" x14ac:dyDescent="0.2">
      <c r="O389" s="4">
        <f t="shared" ca="1" si="63"/>
        <v>0.43149081938189404</v>
      </c>
      <c r="P389" s="4">
        <f t="shared" ca="1" si="64"/>
        <v>-0.17257991720770086</v>
      </c>
      <c r="Q389" s="4">
        <f t="shared" ca="1" si="65"/>
        <v>1926.5206379400342</v>
      </c>
      <c r="R389" s="4">
        <f t="shared" ca="1" si="66"/>
        <v>2.8505939400342868</v>
      </c>
      <c r="S389" s="4">
        <f t="shared" ca="1" si="67"/>
        <v>1.4463063717889284</v>
      </c>
    </row>
    <row r="390" spans="15:19" x14ac:dyDescent="0.2">
      <c r="O390" s="4">
        <f t="shared" ca="1" si="63"/>
        <v>0.92393663309934826</v>
      </c>
      <c r="P390" s="4">
        <f t="shared" ca="1" si="64"/>
        <v>1.4320597096852297</v>
      </c>
      <c r="Q390" s="4">
        <f t="shared" ca="1" si="65"/>
        <v>1896.2432198436336</v>
      </c>
      <c r="R390" s="4">
        <f t="shared" ca="1" si="66"/>
        <v>-27.426824156366365</v>
      </c>
      <c r="S390" s="4">
        <f t="shared" ca="1" si="67"/>
        <v>-13.577517069278032</v>
      </c>
    </row>
    <row r="391" spans="15:19" x14ac:dyDescent="0.2">
      <c r="O391" s="4">
        <f t="shared" ca="1" si="63"/>
        <v>0.8321612290974687</v>
      </c>
      <c r="P391" s="4">
        <f t="shared" ca="1" si="64"/>
        <v>0.96274094816986167</v>
      </c>
      <c r="Q391" s="4">
        <f t="shared" ca="1" si="65"/>
        <v>1905.098641412899</v>
      </c>
      <c r="R391" s="4">
        <f t="shared" ca="1" si="66"/>
        <v>-18.57140258710092</v>
      </c>
      <c r="S391" s="4">
        <f t="shared" ca="1" si="67"/>
        <v>-9.2606289423970161</v>
      </c>
    </row>
    <row r="392" spans="15:19" x14ac:dyDescent="0.2">
      <c r="O392" s="4">
        <f t="shared" ca="1" si="63"/>
        <v>0.3183804857743282</v>
      </c>
      <c r="P392" s="4">
        <f t="shared" ca="1" si="64"/>
        <v>-0.47223232173626756</v>
      </c>
      <c r="Q392" s="4">
        <f t="shared" ca="1" si="65"/>
        <v>1932.1746807440688</v>
      </c>
      <c r="R392" s="4">
        <f t="shared" ca="1" si="66"/>
        <v>8.5046367440688755</v>
      </c>
      <c r="S392" s="4">
        <f t="shared" ca="1" si="67"/>
        <v>4.3345732693602139</v>
      </c>
    </row>
    <row r="393" spans="15:19" x14ac:dyDescent="0.2">
      <c r="O393" s="4">
        <f t="shared" ca="1" si="63"/>
        <v>0.89500537181364204</v>
      </c>
      <c r="P393" s="4">
        <f t="shared" ca="1" si="64"/>
        <v>1.2535949811443774</v>
      </c>
      <c r="Q393" s="4">
        <f t="shared" ca="1" si="65"/>
        <v>1899.6106121920045</v>
      </c>
      <c r="R393" s="4">
        <f t="shared" ca="1" si="66"/>
        <v>-24.059431807995452</v>
      </c>
      <c r="S393" s="4">
        <f t="shared" ca="1" si="67"/>
        <v>-11.943485471937269</v>
      </c>
    </row>
    <row r="394" spans="15:19" x14ac:dyDescent="0.2">
      <c r="O394" s="4">
        <f t="shared" ca="1" si="63"/>
        <v>0.46891708653396635</v>
      </c>
      <c r="P394" s="4">
        <f t="shared" ca="1" si="64"/>
        <v>-7.7992306258258037E-2</v>
      </c>
      <c r="Q394" s="4">
        <f t="shared" ca="1" si="65"/>
        <v>1924.7358953751248</v>
      </c>
      <c r="R394" s="4">
        <f t="shared" ca="1" si="66"/>
        <v>1.0658513751247938</v>
      </c>
      <c r="S394" s="4">
        <f t="shared" ca="1" si="67"/>
        <v>0.54000685258037562</v>
      </c>
    </row>
    <row r="395" spans="15:19" x14ac:dyDescent="0.2">
      <c r="O395" s="4">
        <f t="shared" ca="1" si="63"/>
        <v>0.86788136061437171</v>
      </c>
      <c r="P395" s="4">
        <f t="shared" ca="1" si="64"/>
        <v>1.1164319615845333</v>
      </c>
      <c r="Q395" s="4">
        <f t="shared" ca="1" si="65"/>
        <v>1902.1986961586329</v>
      </c>
      <c r="R395" s="4">
        <f t="shared" ca="1" si="66"/>
        <v>-21.471347841367106</v>
      </c>
      <c r="S395" s="4">
        <f t="shared" ca="1" si="67"/>
        <v>-10.681340030063074</v>
      </c>
    </row>
    <row r="396" spans="15:19" x14ac:dyDescent="0.2">
      <c r="O396" s="4">
        <f t="shared" ca="1" si="63"/>
        <v>0.97316094300260136</v>
      </c>
      <c r="P396" s="4">
        <f t="shared" ca="1" si="64"/>
        <v>1.9294250692550514</v>
      </c>
      <c r="Q396" s="4">
        <f t="shared" ca="1" si="65"/>
        <v>1886.8585962272264</v>
      </c>
      <c r="R396" s="4">
        <f t="shared" ca="1" si="66"/>
        <v>-36.81144777277359</v>
      </c>
      <c r="S396" s="4">
        <f t="shared" ca="1" si="67"/>
        <v>-18.082702966977372</v>
      </c>
    </row>
    <row r="397" spans="15:19" x14ac:dyDescent="0.2">
      <c r="O397" s="4">
        <f t="shared" ca="1" si="63"/>
        <v>0.51080196163843561</v>
      </c>
      <c r="P397" s="4">
        <f t="shared" ca="1" si="64"/>
        <v>2.7079811777829536E-2</v>
      </c>
      <c r="Q397" s="4">
        <f t="shared" ca="1" si="65"/>
        <v>1922.7533240895004</v>
      </c>
      <c r="R397" s="4">
        <f t="shared" ca="1" si="66"/>
        <v>-0.91671991049952339</v>
      </c>
      <c r="S397" s="4">
        <f t="shared" ca="1" si="67"/>
        <v>-0.46371050691862353</v>
      </c>
    </row>
    <row r="398" spans="15:19" x14ac:dyDescent="0.2">
      <c r="O398" s="4">
        <f t="shared" ca="1" si="63"/>
        <v>0.41642800957456183</v>
      </c>
      <c r="P398" s="4">
        <f t="shared" ca="1" si="64"/>
        <v>-0.21104005069565313</v>
      </c>
      <c r="Q398" s="4">
        <f t="shared" ca="1" si="65"/>
        <v>1927.2463295670775</v>
      </c>
      <c r="R398" s="4">
        <f t="shared" ca="1" si="66"/>
        <v>3.576285567077548</v>
      </c>
      <c r="S398" s="4">
        <f t="shared" ca="1" si="67"/>
        <v>1.8155571249303046</v>
      </c>
    </row>
    <row r="399" spans="15:19" x14ac:dyDescent="0.2">
      <c r="O399" s="4">
        <f t="shared" ca="1" si="63"/>
        <v>6.7783213196160652E-2</v>
      </c>
      <c r="P399" s="4">
        <f t="shared" ca="1" si="64"/>
        <v>-1.4925064547026514</v>
      </c>
      <c r="Q399" s="4">
        <f t="shared" ca="1" si="65"/>
        <v>1951.4258982629713</v>
      </c>
      <c r="R399" s="4">
        <f t="shared" ca="1" si="66"/>
        <v>27.755854262971297</v>
      </c>
      <c r="S399" s="4">
        <f t="shared" ca="1" si="67"/>
        <v>14.363886314986697</v>
      </c>
    </row>
    <row r="400" spans="15:19" x14ac:dyDescent="0.2">
      <c r="O400" s="4">
        <f t="shared" ca="1" si="63"/>
        <v>0.11438175700053499</v>
      </c>
      <c r="P400" s="4">
        <f t="shared" ca="1" si="64"/>
        <v>-1.203550105628922</v>
      </c>
      <c r="Q400" s="4">
        <f t="shared" ca="1" si="65"/>
        <v>1945.9736758163301</v>
      </c>
      <c r="R400" s="4">
        <f t="shared" ca="1" si="66"/>
        <v>22.303631816330153</v>
      </c>
      <c r="S400" s="4">
        <f t="shared" ca="1" si="67"/>
        <v>11.492814284693941</v>
      </c>
    </row>
    <row r="401" spans="15:19" x14ac:dyDescent="0.2">
      <c r="O401" s="4">
        <f t="shared" ca="1" si="63"/>
        <v>0.20587773974002532</v>
      </c>
      <c r="P401" s="4">
        <f t="shared" ca="1" si="64"/>
        <v>-0.82080828356659574</v>
      </c>
      <c r="Q401" s="4">
        <f t="shared" ca="1" si="65"/>
        <v>1938.7518460825117</v>
      </c>
      <c r="R401" s="4">
        <f t="shared" ca="1" si="66"/>
        <v>15.081802082511786</v>
      </c>
      <c r="S401" s="4">
        <f t="shared" ca="1" si="67"/>
        <v>7.7271482120307811</v>
      </c>
    </row>
    <row r="402" spans="15:19" x14ac:dyDescent="0.2">
      <c r="O402" s="4">
        <f t="shared" ca="1" si="63"/>
        <v>0.88472919470090805</v>
      </c>
      <c r="P402" s="4">
        <f t="shared" ca="1" si="64"/>
        <v>1.1989648576098546</v>
      </c>
      <c r="Q402" s="4">
        <f t="shared" ca="1" si="65"/>
        <v>1900.6414100504094</v>
      </c>
      <c r="R402" s="4">
        <f t="shared" ca="1" si="66"/>
        <v>-23.028633949590585</v>
      </c>
      <c r="S402" s="4">
        <f t="shared" ca="1" si="67"/>
        <v>-11.441443938420027</v>
      </c>
    </row>
    <row r="403" spans="15:19" x14ac:dyDescent="0.2">
      <c r="O403" s="4">
        <f t="shared" ca="1" si="63"/>
        <v>2.0633312718906782E-2</v>
      </c>
      <c r="P403" s="4">
        <f t="shared" ca="1" si="64"/>
        <v>-2.0408410841779294</v>
      </c>
      <c r="Q403" s="4">
        <f t="shared" ca="1" si="65"/>
        <v>1961.7722442930169</v>
      </c>
      <c r="R403" s="4">
        <f t="shared" ca="1" si="66"/>
        <v>38.102200293016949</v>
      </c>
      <c r="S403" s="4">
        <f t="shared" ca="1" si="67"/>
        <v>19.878681006683244</v>
      </c>
    </row>
    <row r="404" spans="15:19" x14ac:dyDescent="0.2">
      <c r="O404" s="4">
        <f t="shared" ca="1" si="63"/>
        <v>0.91662607932015827</v>
      </c>
      <c r="P404" s="4">
        <f t="shared" ca="1" si="64"/>
        <v>1.3827294400353629</v>
      </c>
      <c r="Q404" s="4">
        <f t="shared" ca="1" si="65"/>
        <v>1897.1740164997584</v>
      </c>
      <c r="R404" s="4">
        <f t="shared" ca="1" si="66"/>
        <v>-26.496027500241553</v>
      </c>
      <c r="S404" s="4">
        <f t="shared" ca="1" si="67"/>
        <v>-13.126769981879983</v>
      </c>
    </row>
    <row r="405" spans="15:19" x14ac:dyDescent="0.2">
      <c r="O405" s="4">
        <f t="shared" ca="1" si="63"/>
        <v>0.27197367796439587</v>
      </c>
      <c r="P405" s="4">
        <f t="shared" ca="1" si="64"/>
        <v>-0.60685468088955841</v>
      </c>
      <c r="Q405" s="4">
        <f t="shared" ca="1" si="65"/>
        <v>1934.7148258239336</v>
      </c>
      <c r="R405" s="4">
        <f t="shared" ca="1" si="66"/>
        <v>11.04478182393359</v>
      </c>
      <c r="S405" s="4">
        <f t="shared" ca="1" si="67"/>
        <v>5.6406339791764903</v>
      </c>
    </row>
    <row r="406" spans="15:19" x14ac:dyDescent="0.2">
      <c r="O406" s="4">
        <f t="shared" ca="1" si="63"/>
        <v>8.3600002935537598E-2</v>
      </c>
      <c r="P406" s="4">
        <f t="shared" ca="1" si="64"/>
        <v>-1.3812568326181653</v>
      </c>
      <c r="Q406" s="4">
        <f t="shared" ca="1" si="65"/>
        <v>1949.32676568238</v>
      </c>
      <c r="R406" s="4">
        <f t="shared" ca="1" si="66"/>
        <v>25.656721682380066</v>
      </c>
      <c r="S406" s="4">
        <f t="shared" ca="1" si="67"/>
        <v>13.255644208391091</v>
      </c>
    </row>
    <row r="407" spans="15:19" x14ac:dyDescent="0.2">
      <c r="O407" s="4">
        <f t="shared" ca="1" si="63"/>
        <v>2.445874806238324E-2</v>
      </c>
      <c r="P407" s="4">
        <f t="shared" ca="1" si="64"/>
        <v>-1.9693100647302348</v>
      </c>
      <c r="Q407" s="4">
        <f t="shared" ca="1" si="65"/>
        <v>1960.4225489805106</v>
      </c>
      <c r="R407" s="4">
        <f t="shared" ca="1" si="66"/>
        <v>36.752504980510594</v>
      </c>
      <c r="S407" s="4">
        <f t="shared" ca="1" si="67"/>
        <v>19.154325390162104</v>
      </c>
    </row>
    <row r="408" spans="15:19" x14ac:dyDescent="0.2">
      <c r="O408" s="4">
        <f t="shared" ca="1" si="63"/>
        <v>2.917611318976987E-2</v>
      </c>
      <c r="P408" s="4">
        <f t="shared" ca="1" si="64"/>
        <v>-1.8930424355862367</v>
      </c>
      <c r="Q408" s="4">
        <f t="shared" ca="1" si="65"/>
        <v>1958.9834801353234</v>
      </c>
      <c r="R408" s="4">
        <f t="shared" ca="1" si="66"/>
        <v>35.3134361353234</v>
      </c>
      <c r="S408" s="4">
        <f t="shared" ca="1" si="67"/>
        <v>18.383638370715087</v>
      </c>
    </row>
    <row r="409" spans="15:19" x14ac:dyDescent="0.2">
      <c r="O409" s="4">
        <f t="shared" ca="1" si="63"/>
        <v>0.89550629477534649</v>
      </c>
      <c r="P409" s="4">
        <f t="shared" ca="1" si="64"/>
        <v>1.2563546654620763</v>
      </c>
      <c r="Q409" s="4">
        <f t="shared" ca="1" si="65"/>
        <v>1899.5585406149971</v>
      </c>
      <c r="R409" s="4">
        <f t="shared" ca="1" si="66"/>
        <v>-24.111503385002834</v>
      </c>
      <c r="S409" s="4">
        <f t="shared" ca="1" si="67"/>
        <v>-11.968823547632649</v>
      </c>
    </row>
    <row r="410" spans="15:19" x14ac:dyDescent="0.2">
      <c r="O410" s="4">
        <f t="shared" ca="1" si="63"/>
        <v>0.88267598058016827</v>
      </c>
      <c r="P410" s="4">
        <f t="shared" ca="1" si="64"/>
        <v>1.1884706437274988</v>
      </c>
      <c r="Q410" s="4">
        <f t="shared" ca="1" si="65"/>
        <v>1900.8394219254646</v>
      </c>
      <c r="R410" s="4">
        <f t="shared" ca="1" si="66"/>
        <v>-22.830622074535313</v>
      </c>
      <c r="S410" s="4">
        <f t="shared" ca="1" si="67"/>
        <v>-11.34490485202649</v>
      </c>
    </row>
    <row r="411" spans="15:19" x14ac:dyDescent="0.2">
      <c r="O411" s="4">
        <f t="shared" ca="1" si="63"/>
        <v>0.64376318151611811</v>
      </c>
      <c r="P411" s="4">
        <f t="shared" ca="1" si="64"/>
        <v>0.36853595977437897</v>
      </c>
      <c r="Q411" s="4">
        <f t="shared" ca="1" si="65"/>
        <v>1916.3105001798751</v>
      </c>
      <c r="R411" s="4">
        <f t="shared" ca="1" si="66"/>
        <v>-7.3595438201248271</v>
      </c>
      <c r="S411" s="4">
        <f t="shared" ca="1" si="67"/>
        <v>-3.7034251240249079</v>
      </c>
    </row>
    <row r="412" spans="15:19" x14ac:dyDescent="0.2">
      <c r="O412" s="4">
        <f t="shared" ca="1" si="63"/>
        <v>0.89002318209968923</v>
      </c>
      <c r="P412" s="4">
        <f t="shared" ca="1" si="64"/>
        <v>1.2266514150760301</v>
      </c>
      <c r="Q412" s="4">
        <f t="shared" ca="1" si="65"/>
        <v>1900.1190014908773</v>
      </c>
      <c r="R412" s="4">
        <f t="shared" ca="1" si="66"/>
        <v>-23.551042509122681</v>
      </c>
      <c r="S412" s="4">
        <f t="shared" ca="1" si="67"/>
        <v>-11.695986799660179</v>
      </c>
    </row>
    <row r="413" spans="15:19" x14ac:dyDescent="0.2">
      <c r="O413" s="4">
        <f t="shared" ca="1" si="63"/>
        <v>0.3964456073684457</v>
      </c>
      <c r="P413" s="4">
        <f t="shared" ca="1" si="64"/>
        <v>-0.26255807900546241</v>
      </c>
      <c r="Q413" s="4">
        <f t="shared" ca="1" si="65"/>
        <v>1928.2184063228153</v>
      </c>
      <c r="R413" s="4">
        <f t="shared" ca="1" si="66"/>
        <v>4.5483623228153647</v>
      </c>
      <c r="S413" s="4">
        <f t="shared" ca="1" si="67"/>
        <v>2.3108468438288567</v>
      </c>
    </row>
    <row r="414" spans="15:19" x14ac:dyDescent="0.2">
      <c r="O414" s="4">
        <f t="shared" ca="1" si="63"/>
        <v>0.19292880513286548</v>
      </c>
      <c r="P414" s="4">
        <f t="shared" ca="1" si="64"/>
        <v>-0.86715404785116434</v>
      </c>
      <c r="Q414" s="4">
        <f t="shared" ca="1" si="65"/>
        <v>1939.6263290871213</v>
      </c>
      <c r="R414" s="4">
        <f t="shared" ca="1" si="66"/>
        <v>15.956285087121387</v>
      </c>
      <c r="S414" s="4">
        <f t="shared" ca="1" si="67"/>
        <v>8.180868861234929</v>
      </c>
    </row>
    <row r="415" spans="15:19" x14ac:dyDescent="0.2">
      <c r="O415" s="4">
        <f t="shared" ca="1" si="63"/>
        <v>1.0548809697948802E-2</v>
      </c>
      <c r="P415" s="4">
        <f t="shared" ca="1" si="64"/>
        <v>-2.3062329496108274</v>
      </c>
      <c r="Q415" s="4">
        <f t="shared" ca="1" si="65"/>
        <v>1966.7798362372932</v>
      </c>
      <c r="R415" s="4">
        <f t="shared" ca="1" si="66"/>
        <v>43.109792237293277</v>
      </c>
      <c r="S415" s="4">
        <f t="shared" ca="1" si="67"/>
        <v>22.579118593711449</v>
      </c>
    </row>
    <row r="416" spans="15:19" x14ac:dyDescent="0.2">
      <c r="O416" s="4">
        <f t="shared" ca="1" si="63"/>
        <v>0.52557854603354781</v>
      </c>
      <c r="P416" s="4">
        <f t="shared" ca="1" si="64"/>
        <v>6.415989850204068E-2</v>
      </c>
      <c r="Q416" s="4">
        <f t="shared" ca="1" si="65"/>
        <v>1922.0536721115834</v>
      </c>
      <c r="R416" s="4">
        <f t="shared" ca="1" si="66"/>
        <v>-1.6163718884165519</v>
      </c>
      <c r="S416" s="4">
        <f t="shared" ca="1" si="67"/>
        <v>-0.81715974942387626</v>
      </c>
    </row>
    <row r="417" spans="15:19" x14ac:dyDescent="0.2">
      <c r="O417" s="4">
        <f t="shared" ca="1" si="63"/>
        <v>0.70311203972745273</v>
      </c>
      <c r="P417" s="4">
        <f t="shared" ca="1" si="64"/>
        <v>0.53337225348813366</v>
      </c>
      <c r="Q417" s="4">
        <f t="shared" ca="1" si="65"/>
        <v>1913.2002582921709</v>
      </c>
      <c r="R417" s="4">
        <f t="shared" ca="1" si="66"/>
        <v>-10.469785707829033</v>
      </c>
      <c r="S417" s="4">
        <f t="shared" ca="1" si="67"/>
        <v>-5.2552866075912927</v>
      </c>
    </row>
    <row r="418" spans="15:19" x14ac:dyDescent="0.2">
      <c r="O418" s="4">
        <f t="shared" ca="1" si="63"/>
        <v>0.11571081168987962</v>
      </c>
      <c r="P418" s="4">
        <f t="shared" ca="1" si="64"/>
        <v>-1.1967048310391841</v>
      </c>
      <c r="Q418" s="4">
        <f t="shared" ca="1" si="65"/>
        <v>1945.8445145783396</v>
      </c>
      <c r="R418" s="4">
        <f t="shared" ca="1" si="66"/>
        <v>22.174470578339651</v>
      </c>
      <c r="S418" s="4">
        <f t="shared" ca="1" si="67"/>
        <v>11.425093050574928</v>
      </c>
    </row>
    <row r="419" spans="15:19" x14ac:dyDescent="0.2">
      <c r="O419" s="4">
        <f t="shared" ca="1" si="63"/>
        <v>0.73837114177264984</v>
      </c>
      <c r="P419" s="4">
        <f t="shared" ca="1" si="64"/>
        <v>0.63833179896108094</v>
      </c>
      <c r="Q419" s="4">
        <f t="shared" ca="1" si="65"/>
        <v>1911.2198111012674</v>
      </c>
      <c r="R419" s="4">
        <f t="shared" ca="1" si="66"/>
        <v>-12.450232898732565</v>
      </c>
      <c r="S419" s="4">
        <f t="shared" ca="1" si="67"/>
        <v>-6.2393307338419248</v>
      </c>
    </row>
    <row r="420" spans="15:19" x14ac:dyDescent="0.2">
      <c r="O420" s="4">
        <f t="shared" ca="1" si="63"/>
        <v>0.77720645476522143</v>
      </c>
      <c r="P420" s="4">
        <f t="shared" ca="1" si="64"/>
        <v>0.76279260764415646</v>
      </c>
      <c r="Q420" s="4">
        <f t="shared" ca="1" si="65"/>
        <v>1908.8714009797934</v>
      </c>
      <c r="R420" s="4">
        <f t="shared" ca="1" si="66"/>
        <v>-14.798643020206555</v>
      </c>
      <c r="S420" s="4">
        <f t="shared" ca="1" si="67"/>
        <v>-7.4020699547714974</v>
      </c>
    </row>
    <row r="421" spans="15:19" x14ac:dyDescent="0.2">
      <c r="O421" s="4">
        <f t="shared" ca="1" si="63"/>
        <v>0.50826304899239805</v>
      </c>
      <c r="P421" s="4">
        <f t="shared" ca="1" si="64"/>
        <v>2.071387340847821E-2</v>
      </c>
      <c r="Q421" s="4">
        <f t="shared" ca="1" si="65"/>
        <v>1922.8734408897803</v>
      </c>
      <c r="R421" s="4">
        <f t="shared" ca="1" si="66"/>
        <v>-0.79660311021962116</v>
      </c>
      <c r="S421" s="4">
        <f t="shared" ca="1" si="67"/>
        <v>-0.4029899804746046</v>
      </c>
    </row>
    <row r="422" spans="15:19" x14ac:dyDescent="0.2">
      <c r="O422" s="4">
        <f t="shared" ca="1" si="63"/>
        <v>1.2461151672672921E-2</v>
      </c>
      <c r="P422" s="4">
        <f t="shared" ca="1" si="64"/>
        <v>-2.2426049100327172</v>
      </c>
      <c r="Q422" s="4">
        <f t="shared" ca="1" si="65"/>
        <v>1965.5792596563126</v>
      </c>
      <c r="R422" s="4">
        <f t="shared" ca="1" si="66"/>
        <v>41.909215656312654</v>
      </c>
      <c r="S422" s="4">
        <f t="shared" ca="1" si="67"/>
        <v>21.929824668153067</v>
      </c>
    </row>
    <row r="423" spans="15:19" x14ac:dyDescent="0.2">
      <c r="O423" s="4">
        <f t="shared" ca="1" si="63"/>
        <v>0.77756269001936607</v>
      </c>
      <c r="P423" s="4">
        <f t="shared" ca="1" si="64"/>
        <v>0.76398762038962365</v>
      </c>
      <c r="Q423" s="4">
        <f t="shared" ca="1" si="65"/>
        <v>1908.848852676786</v>
      </c>
      <c r="R423" s="4">
        <f t="shared" ca="1" si="66"/>
        <v>-14.821191323213952</v>
      </c>
      <c r="S423" s="4">
        <f t="shared" ca="1" si="67"/>
        <v>-7.4132122544391441</v>
      </c>
    </row>
    <row r="424" spans="15:19" x14ac:dyDescent="0.2">
      <c r="O424" s="4">
        <f t="shared" ca="1" si="63"/>
        <v>0.58733871221495615</v>
      </c>
      <c r="P424" s="4">
        <f t="shared" ca="1" si="64"/>
        <v>0.22070443810044502</v>
      </c>
      <c r="Q424" s="4">
        <f t="shared" ca="1" si="65"/>
        <v>1919.0998846089608</v>
      </c>
      <c r="R424" s="4">
        <f t="shared" ca="1" si="66"/>
        <v>-4.5701593910391693</v>
      </c>
      <c r="S424" s="4">
        <f t="shared" ca="1" si="67"/>
        <v>-2.3049572549080124</v>
      </c>
    </row>
    <row r="425" spans="15:19" x14ac:dyDescent="0.2">
      <c r="O425" s="4">
        <f t="shared" ca="1" si="63"/>
        <v>9.449534356735978E-2</v>
      </c>
      <c r="P425" s="4">
        <f t="shared" ca="1" si="64"/>
        <v>-1.3135707804447359</v>
      </c>
      <c r="Q425" s="4">
        <f t="shared" ca="1" si="65"/>
        <v>1948.0496197945411</v>
      </c>
      <c r="R425" s="4">
        <f t="shared" ca="1" si="66"/>
        <v>24.379575794541097</v>
      </c>
      <c r="S425" s="4">
        <f t="shared" ca="1" si="67"/>
        <v>12.583127240479673</v>
      </c>
    </row>
    <row r="426" spans="15:19" x14ac:dyDescent="0.2">
      <c r="O426" s="4">
        <f t="shared" ca="1" si="63"/>
        <v>0.7399591318871378</v>
      </c>
      <c r="P426" s="4">
        <f t="shared" ca="1" si="64"/>
        <v>0.64321941636967628</v>
      </c>
      <c r="Q426" s="4">
        <f t="shared" ca="1" si="65"/>
        <v>1911.1275882536602</v>
      </c>
      <c r="R426" s="4">
        <f t="shared" ca="1" si="66"/>
        <v>-12.542455746339783</v>
      </c>
      <c r="S426" s="4">
        <f t="shared" ca="1" si="67"/>
        <v>-6.2850765900116992</v>
      </c>
    </row>
    <row r="427" spans="15:19" x14ac:dyDescent="0.2">
      <c r="O427" s="4">
        <f t="shared" ca="1" si="63"/>
        <v>0.207850851384904</v>
      </c>
      <c r="P427" s="4">
        <f t="shared" ca="1" si="64"/>
        <v>-0.81390093893302196</v>
      </c>
      <c r="Q427" s="4">
        <f t="shared" ca="1" si="65"/>
        <v>1938.6215136652499</v>
      </c>
      <c r="R427" s="4">
        <f t="shared" ca="1" si="66"/>
        <v>14.951469665249988</v>
      </c>
      <c r="S427" s="4">
        <f t="shared" ca="1" si="67"/>
        <v>7.6595792711238557</v>
      </c>
    </row>
    <row r="428" spans="15:19" x14ac:dyDescent="0.2">
      <c r="O428" s="4">
        <f t="shared" ca="1" si="63"/>
        <v>0.77565275022411262</v>
      </c>
      <c r="P428" s="4">
        <f t="shared" ca="1" si="64"/>
        <v>0.75759328803045856</v>
      </c>
      <c r="Q428" s="4">
        <f t="shared" ca="1" si="65"/>
        <v>1908.9695052339341</v>
      </c>
      <c r="R428" s="4">
        <f t="shared" ca="1" si="66"/>
        <v>-14.700538766065847</v>
      </c>
      <c r="S428" s="4">
        <f t="shared" ca="1" si="67"/>
        <v>-7.3535866767998632</v>
      </c>
    </row>
    <row r="429" spans="15:19" x14ac:dyDescent="0.2">
      <c r="O429" s="4">
        <f t="shared" ca="1" si="63"/>
        <v>0.95477397269357145</v>
      </c>
      <c r="P429" s="4">
        <f t="shared" ca="1" si="64"/>
        <v>1.6930179287225706</v>
      </c>
      <c r="Q429" s="4">
        <f t="shared" ca="1" si="65"/>
        <v>1891.3192849170205</v>
      </c>
      <c r="R429" s="4">
        <f t="shared" ca="1" si="66"/>
        <v>-32.350759082979494</v>
      </c>
      <c r="S429" s="4">
        <f t="shared" ca="1" si="67"/>
        <v>-15.950244024154616</v>
      </c>
    </row>
    <row r="430" spans="15:19" x14ac:dyDescent="0.2">
      <c r="O430" s="4">
        <f t="shared" ca="1" si="63"/>
        <v>0.42781326215421955</v>
      </c>
      <c r="P430" s="4">
        <f t="shared" ca="1" si="64"/>
        <v>-0.18194419040920132</v>
      </c>
      <c r="Q430" s="4">
        <f t="shared" ca="1" si="65"/>
        <v>1926.6973293354972</v>
      </c>
      <c r="R430" s="4">
        <f t="shared" ca="1" si="66"/>
        <v>3.027285335497254</v>
      </c>
      <c r="S430" s="4">
        <f t="shared" ca="1" si="67"/>
        <v>1.5361720570150741</v>
      </c>
    </row>
    <row r="431" spans="15:19" x14ac:dyDescent="0.2">
      <c r="O431" s="4">
        <f t="shared" ca="1" si="63"/>
        <v>0.13005395597096858</v>
      </c>
      <c r="P431" s="4">
        <f t="shared" ca="1" si="64"/>
        <v>-1.1261361090922564</v>
      </c>
      <c r="Q431" s="4">
        <f t="shared" ca="1" si="65"/>
        <v>1944.512976541321</v>
      </c>
      <c r="R431" s="4">
        <f t="shared" ca="1" si="66"/>
        <v>20.842932541321034</v>
      </c>
      <c r="S431" s="4">
        <f t="shared" ca="1" si="67"/>
        <v>10.727738810182311</v>
      </c>
    </row>
    <row r="432" spans="15:19" x14ac:dyDescent="0.2">
      <c r="O432" s="4">
        <f t="shared" ca="1" si="63"/>
        <v>0.51769570641800788</v>
      </c>
      <c r="P432" s="4">
        <f t="shared" ca="1" si="64"/>
        <v>4.4371113357755898E-2</v>
      </c>
      <c r="Q432" s="4">
        <f t="shared" ca="1" si="65"/>
        <v>1922.4270601990966</v>
      </c>
      <c r="R432" s="4">
        <f t="shared" ca="1" si="66"/>
        <v>-1.2429838009034029</v>
      </c>
      <c r="S432" s="4">
        <f t="shared" ca="1" si="67"/>
        <v>-0.62858164941892225</v>
      </c>
    </row>
    <row r="433" spans="15:19" x14ac:dyDescent="0.2">
      <c r="O433" s="4">
        <f t="shared" ca="1" si="63"/>
        <v>0.88039803040483444</v>
      </c>
      <c r="P433" s="4">
        <f t="shared" ca="1" si="64"/>
        <v>1.1769788722236207</v>
      </c>
      <c r="Q433" s="4">
        <f t="shared" ca="1" si="65"/>
        <v>1901.0562563876454</v>
      </c>
      <c r="R433" s="4">
        <f t="shared" ca="1" si="66"/>
        <v>-22.613787612354599</v>
      </c>
      <c r="S433" s="4">
        <f t="shared" ca="1" si="67"/>
        <v>-11.239152348594335</v>
      </c>
    </row>
    <row r="434" spans="15:19" x14ac:dyDescent="0.2">
      <c r="O434" s="4">
        <f t="shared" ca="1" si="63"/>
        <v>0.6014822543784264</v>
      </c>
      <c r="P434" s="4">
        <f t="shared" ca="1" si="64"/>
        <v>0.257185611027276</v>
      </c>
      <c r="Q434" s="4">
        <f t="shared" ca="1" si="65"/>
        <v>1918.4115333387808</v>
      </c>
      <c r="R434" s="4">
        <f t="shared" ca="1" si="66"/>
        <v>-5.2585106612191339</v>
      </c>
      <c r="S434" s="4">
        <f t="shared" ca="1" si="67"/>
        <v>-2.6506533518082045</v>
      </c>
    </row>
    <row r="435" spans="15:19" x14ac:dyDescent="0.2">
      <c r="O435" s="4">
        <f t="shared" ca="1" si="63"/>
        <v>0.63319562434375531</v>
      </c>
      <c r="P435" s="4">
        <f t="shared" ca="1" si="64"/>
        <v>0.34032903854528906</v>
      </c>
      <c r="Q435" s="4">
        <f t="shared" ca="1" si="65"/>
        <v>1916.842727312343</v>
      </c>
      <c r="R435" s="4">
        <f t="shared" ca="1" si="66"/>
        <v>-6.8273166876570031</v>
      </c>
      <c r="S435" s="4">
        <f t="shared" ca="1" si="67"/>
        <v>-3.4370801664126014</v>
      </c>
    </row>
    <row r="436" spans="15:19" x14ac:dyDescent="0.2">
      <c r="O436" s="4">
        <f t="shared" ca="1" si="63"/>
        <v>0.38585081037003888</v>
      </c>
      <c r="P436" s="4">
        <f t="shared" ca="1" si="64"/>
        <v>-0.29014982351182</v>
      </c>
      <c r="Q436" s="4">
        <f t="shared" ca="1" si="65"/>
        <v>1928.7390258877488</v>
      </c>
      <c r="R436" s="4">
        <f t="shared" ca="1" si="66"/>
        <v>5.0689818877488051</v>
      </c>
      <c r="S436" s="4">
        <f t="shared" ca="1" si="67"/>
        <v>2.5764277534956608</v>
      </c>
    </row>
    <row r="437" spans="15:19" x14ac:dyDescent="0.2">
      <c r="O437" s="4">
        <f t="shared" ca="1" si="63"/>
        <v>0.90684456643587397</v>
      </c>
      <c r="P437" s="4">
        <f t="shared" ca="1" si="64"/>
        <v>1.3215715353324067</v>
      </c>
      <c r="Q437" s="4">
        <f t="shared" ca="1" si="65"/>
        <v>1898.327984917064</v>
      </c>
      <c r="R437" s="4">
        <f t="shared" ca="1" si="66"/>
        <v>-25.342059082935975</v>
      </c>
      <c r="S437" s="4">
        <f t="shared" ca="1" si="67"/>
        <v>-12.566970549573348</v>
      </c>
    </row>
    <row r="438" spans="15:19" x14ac:dyDescent="0.2">
      <c r="O438" s="4">
        <f t="shared" ca="1" si="63"/>
        <v>0.44230057357379493</v>
      </c>
      <c r="P438" s="4">
        <f t="shared" ca="1" si="64"/>
        <v>-0.14513897414511623</v>
      </c>
      <c r="Q438" s="4">
        <f t="shared" ca="1" si="65"/>
        <v>1926.0028637980142</v>
      </c>
      <c r="R438" s="4">
        <f t="shared" ca="1" si="66"/>
        <v>2.3328197980142704</v>
      </c>
      <c r="S438" s="4">
        <f t="shared" ca="1" si="67"/>
        <v>1.1831115218554209</v>
      </c>
    </row>
    <row r="439" spans="15:19" x14ac:dyDescent="0.2">
      <c r="O439" s="4">
        <f t="shared" ca="1" si="63"/>
        <v>0.23609277433613385</v>
      </c>
      <c r="P439" s="4">
        <f t="shared" ca="1" si="64"/>
        <v>-0.71892756935751012</v>
      </c>
      <c r="Q439" s="4">
        <f t="shared" ca="1" si="65"/>
        <v>1936.8294923475232</v>
      </c>
      <c r="R439" s="4">
        <f t="shared" ca="1" si="66"/>
        <v>13.159448347523266</v>
      </c>
      <c r="S439" s="4">
        <f t="shared" ca="1" si="67"/>
        <v>6.7319342668534921</v>
      </c>
    </row>
    <row r="440" spans="15:19" x14ac:dyDescent="0.2">
      <c r="O440" s="4">
        <f t="shared" ca="1" si="63"/>
        <v>0.85452329800489446</v>
      </c>
      <c r="P440" s="4">
        <f t="shared" ca="1" si="64"/>
        <v>1.0560324187837493</v>
      </c>
      <c r="Q440" s="4">
        <f t="shared" ca="1" si="65"/>
        <v>1903.3383552942805</v>
      </c>
      <c r="R440" s="4">
        <f t="shared" ca="1" si="66"/>
        <v>-20.331688705719444</v>
      </c>
      <c r="S440" s="4">
        <f t="shared" ca="1" si="67"/>
        <v>-10.123826684229499</v>
      </c>
    </row>
    <row r="441" spans="15:19" x14ac:dyDescent="0.2">
      <c r="O441" s="4">
        <f t="shared" ca="1" si="63"/>
        <v>0.13586139920221274</v>
      </c>
      <c r="P441" s="4">
        <f t="shared" ca="1" si="64"/>
        <v>-1.0991037867289319</v>
      </c>
      <c r="Q441" s="4">
        <f t="shared" ca="1" si="65"/>
        <v>1944.0029125290691</v>
      </c>
      <c r="R441" s="4">
        <f t="shared" ca="1" si="66"/>
        <v>20.332868529069174</v>
      </c>
      <c r="S441" s="4">
        <f t="shared" ca="1" si="67"/>
        <v>10.460990023471689</v>
      </c>
    </row>
    <row r="442" spans="15:19" x14ac:dyDescent="0.2">
      <c r="O442" s="4">
        <f t="shared" ca="1" si="63"/>
        <v>0.37245801928013911</v>
      </c>
      <c r="P442" s="4">
        <f t="shared" ca="1" si="64"/>
        <v>-0.32535020392568359</v>
      </c>
      <c r="Q442" s="4">
        <f t="shared" ca="1" si="65"/>
        <v>1929.4032103046613</v>
      </c>
      <c r="R442" s="4">
        <f t="shared" ca="1" si="66"/>
        <v>5.7331663046613812</v>
      </c>
      <c r="S442" s="4">
        <f t="shared" ca="1" si="67"/>
        <v>2.9155649773575081</v>
      </c>
    </row>
    <row r="443" spans="15:19" x14ac:dyDescent="0.2">
      <c r="O443" s="4">
        <f t="shared" ca="1" si="63"/>
        <v>0.85102016396739433</v>
      </c>
      <c r="P443" s="4">
        <f t="shared" ca="1" si="64"/>
        <v>1.040818759042438</v>
      </c>
      <c r="Q443" s="4">
        <f t="shared" ca="1" si="65"/>
        <v>1903.6254168432067</v>
      </c>
      <c r="R443" s="4">
        <f t="shared" ca="1" si="66"/>
        <v>-20.04462715679324</v>
      </c>
      <c r="S443" s="4">
        <f t="shared" ca="1" si="67"/>
        <v>-9.9832314473052879</v>
      </c>
    </row>
    <row r="444" spans="15:19" x14ac:dyDescent="0.2">
      <c r="O444" s="4">
        <f t="shared" ca="1" si="63"/>
        <v>0.52781006300718702</v>
      </c>
      <c r="P444" s="4">
        <f t="shared" ca="1" si="64"/>
        <v>6.9766044345910883E-2</v>
      </c>
      <c r="Q444" s="4">
        <f t="shared" ca="1" si="65"/>
        <v>1921.9478915869227</v>
      </c>
      <c r="R444" s="4">
        <f t="shared" ca="1" si="66"/>
        <v>-1.7221524130773105</v>
      </c>
      <c r="S444" s="4">
        <f t="shared" ca="1" si="67"/>
        <v>-0.87056313027341659</v>
      </c>
    </row>
    <row r="445" spans="15:19" x14ac:dyDescent="0.2">
      <c r="O445" s="4">
        <f t="shared" ca="1" si="63"/>
        <v>0.77040224422370029</v>
      </c>
      <c r="P445" s="4">
        <f t="shared" ca="1" si="64"/>
        <v>0.74017220356879354</v>
      </c>
      <c r="Q445" s="4">
        <f t="shared" ca="1" si="65"/>
        <v>1909.2982179549078</v>
      </c>
      <c r="R445" s="4">
        <f t="shared" ca="1" si="66"/>
        <v>-14.371826045092121</v>
      </c>
      <c r="S445" s="4">
        <f t="shared" ca="1" si="67"/>
        <v>-7.1910792169354893</v>
      </c>
    </row>
    <row r="446" spans="15:19" x14ac:dyDescent="0.2">
      <c r="O446" s="4">
        <f t="shared" ca="1" si="63"/>
        <v>0.13679367322054525</v>
      </c>
      <c r="P446" s="4">
        <f t="shared" ca="1" si="64"/>
        <v>-1.0948386135294741</v>
      </c>
      <c r="Q446" s="4">
        <f t="shared" ca="1" si="65"/>
        <v>1943.9224343768105</v>
      </c>
      <c r="R446" s="4">
        <f t="shared" ca="1" si="66"/>
        <v>20.252390376810581</v>
      </c>
      <c r="S446" s="4">
        <f t="shared" ca="1" si="67"/>
        <v>10.418921614170777</v>
      </c>
    </row>
    <row r="447" spans="15:19" x14ac:dyDescent="0.2">
      <c r="O447" s="4">
        <f t="shared" ca="1" si="63"/>
        <v>0.25633247328914943</v>
      </c>
      <c r="P447" s="4">
        <f t="shared" ca="1" si="64"/>
        <v>-0.65469375541587316</v>
      </c>
      <c r="Q447" s="4">
        <f t="shared" ca="1" si="65"/>
        <v>1935.6174856090363</v>
      </c>
      <c r="R447" s="4">
        <f t="shared" ca="1" si="66"/>
        <v>11.947441609036332</v>
      </c>
      <c r="S447" s="4">
        <f t="shared" ca="1" si="67"/>
        <v>6.1060175818577971</v>
      </c>
    </row>
    <row r="448" spans="15:19" x14ac:dyDescent="0.2">
      <c r="O448" s="4">
        <f t="shared" ca="1" si="63"/>
        <v>0.45880394930885515</v>
      </c>
      <c r="P448" s="4">
        <f t="shared" ca="1" si="64"/>
        <v>-0.10344739436805273</v>
      </c>
      <c r="Q448" s="4">
        <f t="shared" ca="1" si="65"/>
        <v>1925.2161990722691</v>
      </c>
      <c r="R448" s="4">
        <f t="shared" ca="1" si="66"/>
        <v>1.54615507226913</v>
      </c>
      <c r="S448" s="4">
        <f t="shared" ca="1" si="67"/>
        <v>0.78365197988765611</v>
      </c>
    </row>
    <row r="449" spans="15:19" x14ac:dyDescent="0.2">
      <c r="O449" s="4">
        <f t="shared" ca="1" si="63"/>
        <v>0.18097807539575395</v>
      </c>
      <c r="P449" s="4">
        <f t="shared" ca="1" si="64"/>
        <v>-0.91164400249621291</v>
      </c>
      <c r="Q449" s="4">
        <f t="shared" ca="1" si="65"/>
        <v>1940.4657954291599</v>
      </c>
      <c r="R449" s="4">
        <f t="shared" ca="1" si="66"/>
        <v>16.795751429159964</v>
      </c>
      <c r="S449" s="4">
        <f t="shared" ca="1" si="67"/>
        <v>8.61700700191812</v>
      </c>
    </row>
    <row r="450" spans="15:19" x14ac:dyDescent="0.2">
      <c r="O450" s="4">
        <f t="shared" ca="1" si="63"/>
        <v>0.91204781657764489</v>
      </c>
      <c r="P450" s="4">
        <f t="shared" ca="1" si="64"/>
        <v>1.3534736363651836</v>
      </c>
      <c r="Q450" s="4">
        <f t="shared" ca="1" si="65"/>
        <v>1897.726034650515</v>
      </c>
      <c r="R450" s="4">
        <f t="shared" ca="1" si="66"/>
        <v>-25.944009349484986</v>
      </c>
      <c r="S450" s="4">
        <f t="shared" ca="1" si="67"/>
        <v>-12.859116766769784</v>
      </c>
    </row>
    <row r="451" spans="15:19" x14ac:dyDescent="0.2">
      <c r="O451" s="4">
        <f t="shared" ref="O451:O514" ca="1" si="68">RAND()</f>
        <v>0.3014480384592011</v>
      </c>
      <c r="P451" s="4">
        <f t="shared" ref="P451:P514" ca="1" si="69">NORMSINV(O451)</f>
        <v>-0.5202403332031893</v>
      </c>
      <c r="Q451" s="4">
        <f t="shared" ref="Q451:Q514" ca="1" si="70">$B$4*(1+$B$17-$B$32*P451)</f>
        <v>1933.0805281448186</v>
      </c>
      <c r="R451" s="4">
        <f t="shared" ref="R451:R514" ca="1" si="71">Q451-$B$4</f>
        <v>9.4104841448186107</v>
      </c>
      <c r="S451" s="4">
        <f t="shared" ref="S451:S514" ca="1" si="72">R451*$B$12+0.5*$B$13*R451^2</f>
        <v>4.7997281645662238</v>
      </c>
    </row>
    <row r="452" spans="15:19" x14ac:dyDescent="0.2">
      <c r="O452" s="4">
        <f t="shared" ca="1" si="68"/>
        <v>0.34054571502982922</v>
      </c>
      <c r="P452" s="4">
        <f t="shared" ca="1" si="69"/>
        <v>-0.41097423124203453</v>
      </c>
      <c r="Q452" s="4">
        <f t="shared" ca="1" si="70"/>
        <v>1931.0188219539727</v>
      </c>
      <c r="R452" s="4">
        <f t="shared" ca="1" si="71"/>
        <v>7.3487779539727853</v>
      </c>
      <c r="S452" s="4">
        <f t="shared" ca="1" si="72"/>
        <v>3.7420069661185043</v>
      </c>
    </row>
    <row r="453" spans="15:19" x14ac:dyDescent="0.2">
      <c r="O453" s="4">
        <f t="shared" ca="1" si="68"/>
        <v>0.54107146294977582</v>
      </c>
      <c r="P453" s="4">
        <f t="shared" ca="1" si="69"/>
        <v>0.10313342883596249</v>
      </c>
      <c r="Q453" s="4">
        <f t="shared" ca="1" si="70"/>
        <v>1921.3182933680721</v>
      </c>
      <c r="R453" s="4">
        <f t="shared" ca="1" si="71"/>
        <v>-2.3517506319278709</v>
      </c>
      <c r="S453" s="4">
        <f t="shared" ca="1" si="72"/>
        <v>-1.1882278146569194</v>
      </c>
    </row>
    <row r="454" spans="15:19" x14ac:dyDescent="0.2">
      <c r="O454" s="4">
        <f t="shared" ca="1" si="68"/>
        <v>0.29831585202466837</v>
      </c>
      <c r="P454" s="4">
        <f t="shared" ca="1" si="69"/>
        <v>-0.52925047813219972</v>
      </c>
      <c r="Q454" s="4">
        <f t="shared" ca="1" si="70"/>
        <v>1933.2505376102167</v>
      </c>
      <c r="R454" s="4">
        <f t="shared" ca="1" si="71"/>
        <v>9.580493610216763</v>
      </c>
      <c r="S454" s="4">
        <f t="shared" ca="1" si="72"/>
        <v>4.8871029035948244</v>
      </c>
    </row>
    <row r="455" spans="15:19" x14ac:dyDescent="0.2">
      <c r="O455" s="4">
        <f t="shared" ca="1" si="68"/>
        <v>0.22755166226387424</v>
      </c>
      <c r="P455" s="4">
        <f t="shared" ca="1" si="69"/>
        <v>-0.74693412720682917</v>
      </c>
      <c r="Q455" s="4">
        <f t="shared" ca="1" si="70"/>
        <v>1937.3579388891849</v>
      </c>
      <c r="R455" s="4">
        <f t="shared" ca="1" si="71"/>
        <v>13.687894889184918</v>
      </c>
      <c r="S455" s="4">
        <f t="shared" ca="1" si="72"/>
        <v>7.0052143304329837</v>
      </c>
    </row>
    <row r="456" spans="15:19" x14ac:dyDescent="0.2">
      <c r="O456" s="4">
        <f t="shared" ca="1" si="68"/>
        <v>8.6188556612080247E-2</v>
      </c>
      <c r="P456" s="4">
        <f t="shared" ca="1" si="69"/>
        <v>-1.3646053790476549</v>
      </c>
      <c r="Q456" s="4">
        <f t="shared" ca="1" si="70"/>
        <v>1949.0125748739158</v>
      </c>
      <c r="R456" s="4">
        <f t="shared" ca="1" si="71"/>
        <v>25.342530873915848</v>
      </c>
      <c r="S456" s="4">
        <f t="shared" ca="1" si="72"/>
        <v>13.090075071407547</v>
      </c>
    </row>
    <row r="457" spans="15:19" x14ac:dyDescent="0.2">
      <c r="O457" s="4">
        <f t="shared" ca="1" si="68"/>
        <v>0.65651116827543543</v>
      </c>
      <c r="P457" s="4">
        <f t="shared" ca="1" si="69"/>
        <v>0.40295998290724266</v>
      </c>
      <c r="Q457" s="4">
        <f t="shared" ca="1" si="70"/>
        <v>1915.660964593513</v>
      </c>
      <c r="R457" s="4">
        <f t="shared" ca="1" si="71"/>
        <v>-8.0090794064869897</v>
      </c>
      <c r="S457" s="4">
        <f t="shared" ca="1" si="72"/>
        <v>-4.0281628445839379</v>
      </c>
    </row>
    <row r="458" spans="15:19" x14ac:dyDescent="0.2">
      <c r="O458" s="4">
        <f t="shared" ca="1" si="68"/>
        <v>0.28345467210293385</v>
      </c>
      <c r="P458" s="4">
        <f t="shared" ca="1" si="69"/>
        <v>-0.57260917770655517</v>
      </c>
      <c r="Q458" s="4">
        <f t="shared" ca="1" si="70"/>
        <v>1934.0686586718728</v>
      </c>
      <c r="R458" s="4">
        <f t="shared" ca="1" si="71"/>
        <v>10.398614671872792</v>
      </c>
      <c r="S458" s="4">
        <f t="shared" ca="1" si="72"/>
        <v>5.3078974789573516</v>
      </c>
    </row>
    <row r="459" spans="15:19" x14ac:dyDescent="0.2">
      <c r="O459" s="4">
        <f t="shared" ca="1" si="68"/>
        <v>0.42987569915431711</v>
      </c>
      <c r="P459" s="4">
        <f t="shared" ca="1" si="69"/>
        <v>-0.17669063374693569</v>
      </c>
      <c r="Q459" s="4">
        <f t="shared" ca="1" si="70"/>
        <v>1926.5982017003007</v>
      </c>
      <c r="R459" s="4">
        <f t="shared" ca="1" si="71"/>
        <v>2.9281577003007442</v>
      </c>
      <c r="S459" s="4">
        <f t="shared" ca="1" si="72"/>
        <v>1.485752364228679</v>
      </c>
    </row>
    <row r="460" spans="15:19" x14ac:dyDescent="0.2">
      <c r="O460" s="4">
        <f t="shared" ca="1" si="68"/>
        <v>0.66011212031231392</v>
      </c>
      <c r="P460" s="4">
        <f t="shared" ca="1" si="69"/>
        <v>0.4127691453491471</v>
      </c>
      <c r="Q460" s="4">
        <f t="shared" ca="1" si="70"/>
        <v>1915.4758787290912</v>
      </c>
      <c r="R460" s="4">
        <f t="shared" ca="1" si="71"/>
        <v>-8.1941652709087975</v>
      </c>
      <c r="S460" s="4">
        <f t="shared" ca="1" si="72"/>
        <v>-4.1206343248855619</v>
      </c>
    </row>
    <row r="461" spans="15:19" x14ac:dyDescent="0.2">
      <c r="O461" s="4">
        <f t="shared" ca="1" si="68"/>
        <v>5.9493000033872923E-2</v>
      </c>
      <c r="P461" s="4">
        <f t="shared" ca="1" si="69"/>
        <v>-1.559043857947874</v>
      </c>
      <c r="Q461" s="4">
        <f t="shared" ca="1" si="70"/>
        <v>1952.6813706714427</v>
      </c>
      <c r="R461" s="4">
        <f t="shared" ca="1" si="71"/>
        <v>29.011326671442703</v>
      </c>
      <c r="S461" s="4">
        <f t="shared" ca="1" si="72"/>
        <v>15.028430418234214</v>
      </c>
    </row>
    <row r="462" spans="15:19" x14ac:dyDescent="0.2">
      <c r="O462" s="4">
        <f t="shared" ca="1" si="68"/>
        <v>0.27237612908038578</v>
      </c>
      <c r="P462" s="4">
        <f t="shared" ca="1" si="69"/>
        <v>-0.60564237338777749</v>
      </c>
      <c r="Q462" s="4">
        <f t="shared" ca="1" si="70"/>
        <v>1934.6919511918495</v>
      </c>
      <c r="R462" s="4">
        <f t="shared" ca="1" si="71"/>
        <v>11.02190719184955</v>
      </c>
      <c r="S462" s="4">
        <f t="shared" ca="1" si="72"/>
        <v>5.6288491410890327</v>
      </c>
    </row>
    <row r="463" spans="15:19" x14ac:dyDescent="0.2">
      <c r="O463" s="4">
        <f t="shared" ca="1" si="68"/>
        <v>0.1634834993839559</v>
      </c>
      <c r="P463" s="4">
        <f t="shared" ca="1" si="69"/>
        <v>-0.98024134804559704</v>
      </c>
      <c r="Q463" s="4">
        <f t="shared" ca="1" si="70"/>
        <v>1941.7601362124069</v>
      </c>
      <c r="R463" s="4">
        <f t="shared" ca="1" si="71"/>
        <v>18.090092212406944</v>
      </c>
      <c r="S463" s="4">
        <f t="shared" ca="1" si="72"/>
        <v>9.2905958574383796</v>
      </c>
    </row>
    <row r="464" spans="15:19" x14ac:dyDescent="0.2">
      <c r="O464" s="4">
        <f t="shared" ca="1" si="68"/>
        <v>0.1391292956106116</v>
      </c>
      <c r="P464" s="4">
        <f t="shared" ca="1" si="69"/>
        <v>-1.0842395698573404</v>
      </c>
      <c r="Q464" s="4">
        <f t="shared" ca="1" si="70"/>
        <v>1943.7224445028819</v>
      </c>
      <c r="R464" s="4">
        <f t="shared" ca="1" si="71"/>
        <v>20.052400502881937</v>
      </c>
      <c r="S464" s="4">
        <f t="shared" ca="1" si="72"/>
        <v>10.314403579239691</v>
      </c>
    </row>
    <row r="465" spans="15:19" x14ac:dyDescent="0.2">
      <c r="O465" s="4">
        <f t="shared" ca="1" si="68"/>
        <v>0.11978118315947817</v>
      </c>
      <c r="P465" s="4">
        <f t="shared" ca="1" si="69"/>
        <v>-1.1760813586285619</v>
      </c>
      <c r="Q465" s="4">
        <f t="shared" ca="1" si="70"/>
        <v>1945.4553770509403</v>
      </c>
      <c r="R465" s="4">
        <f t="shared" ca="1" si="71"/>
        <v>21.78533305094038</v>
      </c>
      <c r="S465" s="4">
        <f t="shared" ca="1" si="72"/>
        <v>11.221144329855708</v>
      </c>
    </row>
    <row r="466" spans="15:19" x14ac:dyDescent="0.2">
      <c r="O466" s="4">
        <f t="shared" ca="1" si="68"/>
        <v>0.63981142838726279</v>
      </c>
      <c r="P466" s="4">
        <f t="shared" ca="1" si="69"/>
        <v>0.3579547951808893</v>
      </c>
      <c r="Q466" s="4">
        <f t="shared" ca="1" si="70"/>
        <v>1916.510152699341</v>
      </c>
      <c r="R466" s="4">
        <f t="shared" ca="1" si="71"/>
        <v>-7.1598913006589555</v>
      </c>
      <c r="S466" s="4">
        <f t="shared" ca="1" si="72"/>
        <v>-3.6035390923820323</v>
      </c>
    </row>
    <row r="467" spans="15:19" x14ac:dyDescent="0.2">
      <c r="O467" s="4">
        <f t="shared" ca="1" si="68"/>
        <v>0.23665502146366857</v>
      </c>
      <c r="P467" s="4">
        <f t="shared" ca="1" si="69"/>
        <v>-0.71710381343213303</v>
      </c>
      <c r="Q467" s="4">
        <f t="shared" ca="1" si="70"/>
        <v>1936.7950804959564</v>
      </c>
      <c r="R467" s="4">
        <f t="shared" ca="1" si="71"/>
        <v>13.125036495956465</v>
      </c>
      <c r="S467" s="4">
        <f t="shared" ca="1" si="72"/>
        <v>6.7141464573141096</v>
      </c>
    </row>
    <row r="468" spans="15:19" x14ac:dyDescent="0.2">
      <c r="O468" s="4">
        <f t="shared" ca="1" si="68"/>
        <v>1.317771156542713E-2</v>
      </c>
      <c r="P468" s="4">
        <f t="shared" ca="1" si="69"/>
        <v>-2.220934130387163</v>
      </c>
      <c r="Q468" s="4">
        <f t="shared" ca="1" si="70"/>
        <v>1965.1703608326723</v>
      </c>
      <c r="R468" s="4">
        <f t="shared" ca="1" si="71"/>
        <v>41.500316832672297</v>
      </c>
      <c r="S468" s="4">
        <f t="shared" ca="1" si="72"/>
        <v>21.708952551180012</v>
      </c>
    </row>
    <row r="469" spans="15:19" x14ac:dyDescent="0.2">
      <c r="O469" s="4">
        <f t="shared" ca="1" si="68"/>
        <v>0.49018185175052986</v>
      </c>
      <c r="P469" s="4">
        <f t="shared" ca="1" si="69"/>
        <v>-2.4612932852119927E-2</v>
      </c>
      <c r="Q469" s="4">
        <f t="shared" ca="1" si="70"/>
        <v>1923.7286975100994</v>
      </c>
      <c r="R469" s="4">
        <f t="shared" ca="1" si="71"/>
        <v>5.865351009947517E-2</v>
      </c>
      <c r="S469" s="4">
        <f t="shared" ca="1" si="72"/>
        <v>2.9692381731431405E-2</v>
      </c>
    </row>
    <row r="470" spans="15:19" x14ac:dyDescent="0.2">
      <c r="O470" s="4">
        <f t="shared" ca="1" si="68"/>
        <v>0.63245358042101318</v>
      </c>
      <c r="P470" s="4">
        <f t="shared" ca="1" si="69"/>
        <v>0.33835877172213075</v>
      </c>
      <c r="Q470" s="4">
        <f t="shared" ca="1" si="70"/>
        <v>1916.8799036299201</v>
      </c>
      <c r="R470" s="4">
        <f t="shared" ca="1" si="71"/>
        <v>-6.7901403700798255</v>
      </c>
      <c r="S470" s="4">
        <f t="shared" ca="1" si="72"/>
        <v>-3.4184672278534567</v>
      </c>
    </row>
    <row r="471" spans="15:19" x14ac:dyDescent="0.2">
      <c r="O471" s="4">
        <f t="shared" ca="1" si="68"/>
        <v>0.19428304211565217</v>
      </c>
      <c r="P471" s="4">
        <f t="shared" ca="1" si="69"/>
        <v>-0.86222069377320565</v>
      </c>
      <c r="Q471" s="4">
        <f t="shared" ca="1" si="70"/>
        <v>1939.5332432493215</v>
      </c>
      <c r="R471" s="4">
        <f t="shared" ca="1" si="71"/>
        <v>15.863199249321497</v>
      </c>
      <c r="S471" s="4">
        <f t="shared" ca="1" si="72"/>
        <v>8.1325421823843165</v>
      </c>
    </row>
    <row r="472" spans="15:19" x14ac:dyDescent="0.2">
      <c r="O472" s="4">
        <f t="shared" ca="1" si="68"/>
        <v>0.47389168467878195</v>
      </c>
      <c r="P472" s="4">
        <f t="shared" ca="1" si="69"/>
        <v>-6.5490626408371486E-2</v>
      </c>
      <c r="Q472" s="4">
        <f t="shared" ca="1" si="70"/>
        <v>1924.5000052840549</v>
      </c>
      <c r="R472" s="4">
        <f t="shared" ca="1" si="71"/>
        <v>0.82996128405488889</v>
      </c>
      <c r="S472" s="4">
        <f t="shared" ca="1" si="72"/>
        <v>0.42041493520939099</v>
      </c>
    </row>
    <row r="473" spans="15:19" x14ac:dyDescent="0.2">
      <c r="O473" s="4">
        <f t="shared" ca="1" si="68"/>
        <v>6.5919550934236293E-2</v>
      </c>
      <c r="P473" s="4">
        <f t="shared" ca="1" si="69"/>
        <v>-1.5068890374342865</v>
      </c>
      <c r="Q473" s="4">
        <f t="shared" ca="1" si="70"/>
        <v>1951.6972784927582</v>
      </c>
      <c r="R473" s="4">
        <f t="shared" ca="1" si="71"/>
        <v>28.027234492758225</v>
      </c>
      <c r="S473" s="4">
        <f t="shared" ca="1" si="72"/>
        <v>14.507424033387259</v>
      </c>
    </row>
    <row r="474" spans="15:19" x14ac:dyDescent="0.2">
      <c r="O474" s="4">
        <f t="shared" ca="1" si="68"/>
        <v>0.63972148257464001</v>
      </c>
      <c r="P474" s="4">
        <f t="shared" ca="1" si="69"/>
        <v>0.35771442774224388</v>
      </c>
      <c r="Q474" s="4">
        <f t="shared" ca="1" si="70"/>
        <v>1916.5146881135952</v>
      </c>
      <c r="R474" s="4">
        <f t="shared" ca="1" si="71"/>
        <v>-7.1553558864047773</v>
      </c>
      <c r="S474" s="4">
        <f t="shared" ca="1" si="72"/>
        <v>-3.6012696504666244</v>
      </c>
    </row>
    <row r="475" spans="15:19" x14ac:dyDescent="0.2">
      <c r="O475" s="4">
        <f t="shared" ca="1" si="68"/>
        <v>0.52431060050280998</v>
      </c>
      <c r="P475" s="4">
        <f t="shared" ca="1" si="69"/>
        <v>6.0975401951005002E-2</v>
      </c>
      <c r="Q475" s="4">
        <f t="shared" ca="1" si="70"/>
        <v>1922.1137593310975</v>
      </c>
      <c r="R475" s="4">
        <f t="shared" ca="1" si="71"/>
        <v>-1.5562846689024354</v>
      </c>
      <c r="S475" s="4">
        <f t="shared" ca="1" si="72"/>
        <v>-0.78682061245129886</v>
      </c>
    </row>
    <row r="476" spans="15:19" x14ac:dyDescent="0.2">
      <c r="O476" s="4">
        <f t="shared" ca="1" si="68"/>
        <v>0.91016259946943145</v>
      </c>
      <c r="P476" s="4">
        <f t="shared" ca="1" si="69"/>
        <v>1.3417569926076782</v>
      </c>
      <c r="Q476" s="4">
        <f t="shared" ca="1" si="70"/>
        <v>1897.9471121533929</v>
      </c>
      <c r="R476" s="4">
        <f t="shared" ca="1" si="71"/>
        <v>-25.722931846607025</v>
      </c>
      <c r="S476" s="4">
        <f t="shared" ca="1" si="72"/>
        <v>-12.751854876228379</v>
      </c>
    </row>
    <row r="477" spans="15:19" x14ac:dyDescent="0.2">
      <c r="O477" s="4">
        <f t="shared" ca="1" si="68"/>
        <v>0.27840732963767589</v>
      </c>
      <c r="P477" s="4">
        <f t="shared" ca="1" si="69"/>
        <v>-0.58757937343817368</v>
      </c>
      <c r="Q477" s="4">
        <f t="shared" ca="1" si="70"/>
        <v>1934.3511263783623</v>
      </c>
      <c r="R477" s="4">
        <f t="shared" ca="1" si="71"/>
        <v>10.681082378362362</v>
      </c>
      <c r="S477" s="4">
        <f t="shared" ca="1" si="72"/>
        <v>5.4533092247274197</v>
      </c>
    </row>
    <row r="478" spans="15:19" x14ac:dyDescent="0.2">
      <c r="O478" s="4">
        <f t="shared" ca="1" si="68"/>
        <v>0.44340534014699173</v>
      </c>
      <c r="P478" s="4">
        <f t="shared" ca="1" si="69"/>
        <v>-0.14234097796869877</v>
      </c>
      <c r="Q478" s="4">
        <f t="shared" ca="1" si="70"/>
        <v>1925.9500693271275</v>
      </c>
      <c r="R478" s="4">
        <f t="shared" ca="1" si="71"/>
        <v>2.2800253271275324</v>
      </c>
      <c r="S478" s="4">
        <f t="shared" ca="1" si="72"/>
        <v>1.1562873089008836</v>
      </c>
    </row>
    <row r="479" spans="15:19" x14ac:dyDescent="0.2">
      <c r="O479" s="4">
        <f t="shared" ca="1" si="68"/>
        <v>0.87573384142115351</v>
      </c>
      <c r="P479" s="4">
        <f t="shared" ca="1" si="69"/>
        <v>1.1539215892104524</v>
      </c>
      <c r="Q479" s="4">
        <f t="shared" ca="1" si="70"/>
        <v>1901.4913166879498</v>
      </c>
      <c r="R479" s="4">
        <f t="shared" ca="1" si="71"/>
        <v>-22.178727312050114</v>
      </c>
      <c r="S479" s="4">
        <f t="shared" ca="1" si="72"/>
        <v>-11.026853302351054</v>
      </c>
    </row>
    <row r="480" spans="15:19" x14ac:dyDescent="0.2">
      <c r="O480" s="4">
        <f t="shared" ca="1" si="68"/>
        <v>0.29731338773993721</v>
      </c>
      <c r="P480" s="4">
        <f t="shared" ca="1" si="69"/>
        <v>-0.53214326288720848</v>
      </c>
      <c r="Q480" s="4">
        <f t="shared" ca="1" si="70"/>
        <v>1933.3051206156608</v>
      </c>
      <c r="R480" s="4">
        <f t="shared" ca="1" si="71"/>
        <v>9.6350766156608643</v>
      </c>
      <c r="S480" s="4">
        <f t="shared" ca="1" si="72"/>
        <v>4.9151603075276897</v>
      </c>
    </row>
    <row r="481" spans="15:19" x14ac:dyDescent="0.2">
      <c r="O481" s="4">
        <f t="shared" ca="1" si="68"/>
        <v>0.22015618273252013</v>
      </c>
      <c r="P481" s="4">
        <f t="shared" ca="1" si="69"/>
        <v>-0.77166584396118476</v>
      </c>
      <c r="Q481" s="4">
        <f t="shared" ca="1" si="70"/>
        <v>1937.8245935298053</v>
      </c>
      <c r="R481" s="4">
        <f t="shared" ca="1" si="71"/>
        <v>14.154549529805308</v>
      </c>
      <c r="S481" s="4">
        <f t="shared" ca="1" si="72"/>
        <v>7.2467284517885941</v>
      </c>
    </row>
    <row r="482" spans="15:19" x14ac:dyDescent="0.2">
      <c r="O482" s="4">
        <f t="shared" ca="1" si="68"/>
        <v>0.89713190121658504</v>
      </c>
      <c r="P482" s="4">
        <f t="shared" ca="1" si="69"/>
        <v>1.265377051531958</v>
      </c>
      <c r="Q482" s="4">
        <f t="shared" ca="1" si="70"/>
        <v>1899.3883001755321</v>
      </c>
      <c r="R482" s="4">
        <f t="shared" ca="1" si="71"/>
        <v>-24.281743824467867</v>
      </c>
      <c r="S482" s="4">
        <f t="shared" ca="1" si="72"/>
        <v>-12.051647290780984</v>
      </c>
    </row>
    <row r="483" spans="15:19" x14ac:dyDescent="0.2">
      <c r="O483" s="4">
        <f t="shared" ca="1" si="68"/>
        <v>0.61859058080925899</v>
      </c>
      <c r="P483" s="4">
        <f t="shared" ca="1" si="69"/>
        <v>0.30178123272178181</v>
      </c>
      <c r="Q483" s="4">
        <f t="shared" ca="1" si="70"/>
        <v>1917.5700731998909</v>
      </c>
      <c r="R483" s="4">
        <f t="shared" ca="1" si="71"/>
        <v>-6.0999708001090767</v>
      </c>
      <c r="S483" s="4">
        <f t="shared" ca="1" si="72"/>
        <v>-3.0727180667764444</v>
      </c>
    </row>
    <row r="484" spans="15:19" x14ac:dyDescent="0.2">
      <c r="O484" s="4">
        <f t="shared" ca="1" si="68"/>
        <v>0.6572715983528572</v>
      </c>
      <c r="P484" s="4">
        <f t="shared" ca="1" si="69"/>
        <v>0.40502817155570653</v>
      </c>
      <c r="Q484" s="4">
        <f t="shared" ca="1" si="70"/>
        <v>1915.6219406211753</v>
      </c>
      <c r="R484" s="4">
        <f t="shared" ca="1" si="71"/>
        <v>-8.048103378824635</v>
      </c>
      <c r="S484" s="4">
        <f t="shared" ca="1" si="72"/>
        <v>-4.0476620859113561</v>
      </c>
    </row>
    <row r="485" spans="15:19" x14ac:dyDescent="0.2">
      <c r="O485" s="4">
        <f t="shared" ca="1" si="68"/>
        <v>0.48898410838271711</v>
      </c>
      <c r="P485" s="4">
        <f t="shared" ca="1" si="69"/>
        <v>-2.7616255287576968E-2</v>
      </c>
      <c r="Q485" s="4">
        <f t="shared" ca="1" si="70"/>
        <v>1923.7853662147313</v>
      </c>
      <c r="R485" s="4">
        <f t="shared" ca="1" si="71"/>
        <v>0.11532221473134996</v>
      </c>
      <c r="S485" s="4">
        <f t="shared" ca="1" si="72"/>
        <v>5.8382648367623538E-2</v>
      </c>
    </row>
    <row r="486" spans="15:19" x14ac:dyDescent="0.2">
      <c r="O486" s="4">
        <f t="shared" ca="1" si="68"/>
        <v>0.61197676353371477</v>
      </c>
      <c r="P486" s="4">
        <f t="shared" ca="1" si="69"/>
        <v>0.28447489186044828</v>
      </c>
      <c r="Q486" s="4">
        <f t="shared" ca="1" si="70"/>
        <v>1917.8966208615564</v>
      </c>
      <c r="R486" s="4">
        <f t="shared" ca="1" si="71"/>
        <v>-5.7734231384436043</v>
      </c>
      <c r="S486" s="4">
        <f t="shared" ca="1" si="72"/>
        <v>-2.9089947425557794</v>
      </c>
    </row>
    <row r="487" spans="15:19" x14ac:dyDescent="0.2">
      <c r="O487" s="4">
        <f t="shared" ca="1" si="68"/>
        <v>0.50673932078568706</v>
      </c>
      <c r="P487" s="4">
        <f t="shared" ca="1" si="69"/>
        <v>1.6893775578427059E-2</v>
      </c>
      <c r="Q487" s="4">
        <f t="shared" ca="1" si="70"/>
        <v>1922.9455210610731</v>
      </c>
      <c r="R487" s="4">
        <f t="shared" ca="1" si="71"/>
        <v>-0.72452293892683883</v>
      </c>
      <c r="S487" s="4">
        <f t="shared" ca="1" si="72"/>
        <v>-0.36654692404950956</v>
      </c>
    </row>
    <row r="488" spans="15:19" x14ac:dyDescent="0.2">
      <c r="O488" s="4">
        <f t="shared" ca="1" si="68"/>
        <v>0.45197187328636568</v>
      </c>
      <c r="P488" s="4">
        <f t="shared" ca="1" si="69"/>
        <v>-0.12068095230514365</v>
      </c>
      <c r="Q488" s="4">
        <f t="shared" ca="1" si="70"/>
        <v>1925.5413734168417</v>
      </c>
      <c r="R488" s="4">
        <f t="shared" ca="1" si="71"/>
        <v>1.8713294168417178</v>
      </c>
      <c r="S488" s="4">
        <f t="shared" ca="1" si="72"/>
        <v>0.94871078535079734</v>
      </c>
    </row>
    <row r="489" spans="15:19" x14ac:dyDescent="0.2">
      <c r="O489" s="4">
        <f t="shared" ca="1" si="68"/>
        <v>0.48195833456970305</v>
      </c>
      <c r="P489" s="4">
        <f t="shared" ca="1" si="69"/>
        <v>-4.5239174907037862E-2</v>
      </c>
      <c r="Q489" s="4">
        <f t="shared" ca="1" si="70"/>
        <v>1924.1178872970072</v>
      </c>
      <c r="R489" s="4">
        <f t="shared" ca="1" si="71"/>
        <v>0.44784329700723902</v>
      </c>
      <c r="S489" s="4">
        <f t="shared" ca="1" si="72"/>
        <v>0.22678430680477923</v>
      </c>
    </row>
    <row r="490" spans="15:19" x14ac:dyDescent="0.2">
      <c r="O490" s="4">
        <f t="shared" ca="1" si="68"/>
        <v>0.50526461700307457</v>
      </c>
      <c r="P490" s="4">
        <f t="shared" ca="1" si="69"/>
        <v>1.3196820876104865E-2</v>
      </c>
      <c r="Q490" s="4">
        <f t="shared" ca="1" si="70"/>
        <v>1923.0152776851335</v>
      </c>
      <c r="R490" s="4">
        <f t="shared" ca="1" si="71"/>
        <v>-0.65476631486649239</v>
      </c>
      <c r="S490" s="4">
        <f t="shared" ca="1" si="72"/>
        <v>-0.33127460367786093</v>
      </c>
    </row>
    <row r="491" spans="15:19" x14ac:dyDescent="0.2">
      <c r="O491" s="4">
        <f t="shared" ca="1" si="68"/>
        <v>0.65408380648782738</v>
      </c>
      <c r="P491" s="4">
        <f t="shared" ca="1" si="69"/>
        <v>0.3963696029028117</v>
      </c>
      <c r="Q491" s="4">
        <f t="shared" ca="1" si="70"/>
        <v>1915.7853163092902</v>
      </c>
      <c r="R491" s="4">
        <f t="shared" ca="1" si="71"/>
        <v>-7.8847276907097239</v>
      </c>
      <c r="S491" s="4">
        <f t="shared" ca="1" si="72"/>
        <v>-3.9660193286918459</v>
      </c>
    </row>
    <row r="492" spans="15:19" x14ac:dyDescent="0.2">
      <c r="O492" s="4">
        <f t="shared" ca="1" si="68"/>
        <v>0.57417869202610727</v>
      </c>
      <c r="P492" s="4">
        <f t="shared" ca="1" si="69"/>
        <v>0.18702297929558154</v>
      </c>
      <c r="Q492" s="4">
        <f t="shared" ca="1" si="70"/>
        <v>1919.7354089929036</v>
      </c>
      <c r="R492" s="4">
        <f t="shared" ca="1" si="71"/>
        <v>-3.9346350070964036</v>
      </c>
      <c r="S492" s="4">
        <f t="shared" ca="1" si="72"/>
        <v>-1.9854487977380191</v>
      </c>
    </row>
    <row r="493" spans="15:19" x14ac:dyDescent="0.2">
      <c r="O493" s="4">
        <f t="shared" ca="1" si="68"/>
        <v>0.91508586639714662</v>
      </c>
      <c r="P493" s="4">
        <f t="shared" ca="1" si="69"/>
        <v>1.3727558274734675</v>
      </c>
      <c r="Q493" s="4">
        <f t="shared" ca="1" si="70"/>
        <v>1897.3622053194829</v>
      </c>
      <c r="R493" s="4">
        <f t="shared" ca="1" si="71"/>
        <v>-26.307838680517079</v>
      </c>
      <c r="S493" s="4">
        <f t="shared" ca="1" si="72"/>
        <v>-13.035552044528737</v>
      </c>
    </row>
    <row r="494" spans="15:19" x14ac:dyDescent="0.2">
      <c r="O494" s="4">
        <f t="shared" ca="1" si="68"/>
        <v>0.38830600334057652</v>
      </c>
      <c r="P494" s="4">
        <f t="shared" ca="1" si="69"/>
        <v>-0.28373690986497541</v>
      </c>
      <c r="Q494" s="4">
        <f t="shared" ca="1" si="70"/>
        <v>1928.618022726386</v>
      </c>
      <c r="R494" s="4">
        <f t="shared" ca="1" si="71"/>
        <v>4.9479787263860544</v>
      </c>
      <c r="S494" s="4">
        <f t="shared" ca="1" si="72"/>
        <v>2.5146813659439835</v>
      </c>
    </row>
    <row r="495" spans="15:19" x14ac:dyDescent="0.2">
      <c r="O495" s="4">
        <f t="shared" ca="1" si="68"/>
        <v>0.4656349885814266</v>
      </c>
      <c r="P495" s="4">
        <f t="shared" ca="1" si="69"/>
        <v>-8.6247115875419708E-2</v>
      </c>
      <c r="Q495" s="4">
        <f t="shared" ca="1" si="70"/>
        <v>1924.8916526666039</v>
      </c>
      <c r="R495" s="4">
        <f t="shared" ca="1" si="71"/>
        <v>1.2216086666039701</v>
      </c>
      <c r="S495" s="4">
        <f t="shared" ca="1" si="72"/>
        <v>0.61899775327166551</v>
      </c>
    </row>
    <row r="496" spans="15:19" x14ac:dyDescent="0.2">
      <c r="O496" s="4">
        <f t="shared" ca="1" si="68"/>
        <v>0.95279830072076255</v>
      </c>
      <c r="P496" s="4">
        <f t="shared" ca="1" si="69"/>
        <v>1.6726135455644551</v>
      </c>
      <c r="Q496" s="4">
        <f t="shared" ca="1" si="70"/>
        <v>1891.7042885212713</v>
      </c>
      <c r="R496" s="4">
        <f t="shared" ca="1" si="71"/>
        <v>-31.965755478728624</v>
      </c>
      <c r="S496" s="4">
        <f t="shared" ca="1" si="72"/>
        <v>-15.765431313379787</v>
      </c>
    </row>
    <row r="497" spans="15:19" x14ac:dyDescent="0.2">
      <c r="O497" s="4">
        <f t="shared" ca="1" si="68"/>
        <v>0.4635631380972981</v>
      </c>
      <c r="P497" s="4">
        <f t="shared" ca="1" si="69"/>
        <v>-9.1461022159123606E-2</v>
      </c>
      <c r="Q497" s="4">
        <f t="shared" ca="1" si="70"/>
        <v>1924.9900321518303</v>
      </c>
      <c r="R497" s="4">
        <f t="shared" ca="1" si="71"/>
        <v>1.31998815183033</v>
      </c>
      <c r="S497" s="4">
        <f t="shared" ca="1" si="72"/>
        <v>0.66890019630184205</v>
      </c>
    </row>
    <row r="498" spans="15:19" x14ac:dyDescent="0.2">
      <c r="O498" s="4">
        <f t="shared" ca="1" si="68"/>
        <v>0.18125604603640333</v>
      </c>
      <c r="P498" s="4">
        <f t="shared" ca="1" si="69"/>
        <v>-0.91058876559389546</v>
      </c>
      <c r="Q498" s="4">
        <f t="shared" ca="1" si="70"/>
        <v>1940.4458845106292</v>
      </c>
      <c r="R498" s="4">
        <f t="shared" ca="1" si="71"/>
        <v>16.775840510629223</v>
      </c>
      <c r="S498" s="4">
        <f t="shared" ca="1" si="72"/>
        <v>8.6066557980775134</v>
      </c>
    </row>
    <row r="499" spans="15:19" x14ac:dyDescent="0.2">
      <c r="O499" s="4">
        <f t="shared" ca="1" si="68"/>
        <v>0.83289591178773914</v>
      </c>
      <c r="P499" s="4">
        <f t="shared" ca="1" si="69"/>
        <v>0.96567231610519066</v>
      </c>
      <c r="Q499" s="4">
        <f t="shared" ca="1" si="70"/>
        <v>1905.0433303940979</v>
      </c>
      <c r="R499" s="4">
        <f t="shared" ca="1" si="71"/>
        <v>-18.626713605902069</v>
      </c>
      <c r="S499" s="4">
        <f t="shared" ca="1" si="72"/>
        <v>-9.2877903909092119</v>
      </c>
    </row>
    <row r="500" spans="15:19" x14ac:dyDescent="0.2">
      <c r="O500" s="4">
        <f t="shared" ca="1" si="68"/>
        <v>0.37905872789250894</v>
      </c>
      <c r="P500" s="4">
        <f t="shared" ca="1" si="69"/>
        <v>-0.30795384131478976</v>
      </c>
      <c r="Q500" s="4">
        <f t="shared" ca="1" si="70"/>
        <v>1929.0749640521699</v>
      </c>
      <c r="R500" s="4">
        <f t="shared" ca="1" si="71"/>
        <v>5.4049200521699277</v>
      </c>
      <c r="S500" s="4">
        <f t="shared" ca="1" si="72"/>
        <v>2.7479152498252537</v>
      </c>
    </row>
    <row r="501" spans="15:19" x14ac:dyDescent="0.2">
      <c r="O501" s="4">
        <f t="shared" ca="1" si="68"/>
        <v>0.60925890671095617</v>
      </c>
      <c r="P501" s="4">
        <f t="shared" ca="1" si="69"/>
        <v>0.27738801079371422</v>
      </c>
      <c r="Q501" s="4">
        <f t="shared" ca="1" si="70"/>
        <v>1918.0303408928087</v>
      </c>
      <c r="R501" s="4">
        <f t="shared" ca="1" si="71"/>
        <v>-5.6397031071912807</v>
      </c>
      <c r="S501" s="4">
        <f t="shared" ca="1" si="72"/>
        <v>-2.8419256071950709</v>
      </c>
    </row>
    <row r="502" spans="15:19" x14ac:dyDescent="0.2">
      <c r="O502" s="4">
        <f t="shared" ca="1" si="68"/>
        <v>9.6401655752186954E-2</v>
      </c>
      <c r="P502" s="4">
        <f t="shared" ca="1" si="69"/>
        <v>-1.302330845697643</v>
      </c>
      <c r="Q502" s="4">
        <f t="shared" ca="1" si="70"/>
        <v>1947.8375371574116</v>
      </c>
      <c r="R502" s="4">
        <f t="shared" ca="1" si="71"/>
        <v>24.167493157411627</v>
      </c>
      <c r="S502" s="4">
        <f t="shared" ca="1" si="72"/>
        <v>12.471577751391738</v>
      </c>
    </row>
    <row r="503" spans="15:19" x14ac:dyDescent="0.2">
      <c r="O503" s="4">
        <f t="shared" ca="1" si="68"/>
        <v>0.2246513642693635</v>
      </c>
      <c r="P503" s="4">
        <f t="shared" ca="1" si="69"/>
        <v>-0.75657799541627246</v>
      </c>
      <c r="Q503" s="4">
        <f t="shared" ca="1" si="70"/>
        <v>1937.5399058710232</v>
      </c>
      <c r="R503" s="4">
        <f t="shared" ca="1" si="71"/>
        <v>13.869861871023204</v>
      </c>
      <c r="S503" s="4">
        <f t="shared" ca="1" si="72"/>
        <v>7.0993690890707075</v>
      </c>
    </row>
    <row r="504" spans="15:19" x14ac:dyDescent="0.2">
      <c r="O504" s="4">
        <f t="shared" ca="1" si="68"/>
        <v>0.73041706506388426</v>
      </c>
      <c r="P504" s="4">
        <f t="shared" ca="1" si="69"/>
        <v>0.61407484525137157</v>
      </c>
      <c r="Q504" s="4">
        <f t="shared" ca="1" si="70"/>
        <v>1911.6775075939286</v>
      </c>
      <c r="R504" s="4">
        <f t="shared" ca="1" si="71"/>
        <v>-11.992536406071395</v>
      </c>
      <c r="S504" s="4">
        <f t="shared" ca="1" si="72"/>
        <v>-6.0121943201179908</v>
      </c>
    </row>
    <row r="505" spans="15:19" x14ac:dyDescent="0.2">
      <c r="O505" s="4">
        <f t="shared" ca="1" si="68"/>
        <v>0.16872197069351058</v>
      </c>
      <c r="P505" s="4">
        <f t="shared" ca="1" si="69"/>
        <v>-0.95922791340066049</v>
      </c>
      <c r="Q505" s="4">
        <f t="shared" ca="1" si="70"/>
        <v>1941.3636406156868</v>
      </c>
      <c r="R505" s="4">
        <f t="shared" ca="1" si="71"/>
        <v>17.693596615686829</v>
      </c>
      <c r="S505" s="4">
        <f t="shared" ca="1" si="72"/>
        <v>9.084110374014621</v>
      </c>
    </row>
    <row r="506" spans="15:19" x14ac:dyDescent="0.2">
      <c r="O506" s="4">
        <f t="shared" ca="1" si="68"/>
        <v>0.86214156771759698</v>
      </c>
      <c r="P506" s="4">
        <f t="shared" ca="1" si="69"/>
        <v>1.0899915539826139</v>
      </c>
      <c r="Q506" s="4">
        <f t="shared" ca="1" si="70"/>
        <v>1902.6975915256585</v>
      </c>
      <c r="R506" s="4">
        <f t="shared" ca="1" si="71"/>
        <v>-20.97245247434148</v>
      </c>
      <c r="S506" s="4">
        <f t="shared" ca="1" si="72"/>
        <v>-10.437414005739619</v>
      </c>
    </row>
    <row r="507" spans="15:19" x14ac:dyDescent="0.2">
      <c r="O507" s="4">
        <f t="shared" ca="1" si="68"/>
        <v>0.31378758674096163</v>
      </c>
      <c r="P507" s="4">
        <f t="shared" ca="1" si="69"/>
        <v>-0.48514263098890581</v>
      </c>
      <c r="Q507" s="4">
        <f t="shared" ca="1" si="70"/>
        <v>1932.4182811291305</v>
      </c>
      <c r="R507" s="4">
        <f t="shared" ca="1" si="71"/>
        <v>8.7482371291305299</v>
      </c>
      <c r="S507" s="4">
        <f t="shared" ca="1" si="72"/>
        <v>4.4595970035981374</v>
      </c>
    </row>
    <row r="508" spans="15:19" x14ac:dyDescent="0.2">
      <c r="O508" s="4">
        <f t="shared" ca="1" si="68"/>
        <v>0.23975703148506788</v>
      </c>
      <c r="P508" s="4">
        <f t="shared" ca="1" si="69"/>
        <v>-0.70708434664045627</v>
      </c>
      <c r="Q508" s="4">
        <f t="shared" ca="1" si="70"/>
        <v>1936.6060264678308</v>
      </c>
      <c r="R508" s="4">
        <f t="shared" ca="1" si="71"/>
        <v>12.935982467830854</v>
      </c>
      <c r="S508" s="4">
        <f t="shared" ca="1" si="72"/>
        <v>6.6164398506103774</v>
      </c>
    </row>
    <row r="509" spans="15:19" x14ac:dyDescent="0.2">
      <c r="O509" s="4">
        <f t="shared" ca="1" si="68"/>
        <v>7.462546745600096E-3</v>
      </c>
      <c r="P509" s="4">
        <f t="shared" ca="1" si="69"/>
        <v>-2.4341915727086079</v>
      </c>
      <c r="Q509" s="4">
        <f t="shared" ca="1" si="70"/>
        <v>1969.1942454701455</v>
      </c>
      <c r="R509" s="4">
        <f t="shared" ca="1" si="71"/>
        <v>45.524201470145499</v>
      </c>
      <c r="S509" s="4">
        <f t="shared" ca="1" si="72"/>
        <v>23.888428494740179</v>
      </c>
    </row>
    <row r="510" spans="15:19" x14ac:dyDescent="0.2">
      <c r="O510" s="4">
        <f t="shared" ca="1" si="68"/>
        <v>0.46944174077708178</v>
      </c>
      <c r="P510" s="4">
        <f t="shared" ca="1" si="69"/>
        <v>-7.6673254693444506E-2</v>
      </c>
      <c r="Q510" s="4">
        <f t="shared" ca="1" si="70"/>
        <v>1924.711006624374</v>
      </c>
      <c r="R510" s="4">
        <f t="shared" ca="1" si="71"/>
        <v>1.0409626243740604</v>
      </c>
      <c r="S510" s="4">
        <f t="shared" ca="1" si="72"/>
        <v>0.52738657809829148</v>
      </c>
    </row>
    <row r="511" spans="15:19" x14ac:dyDescent="0.2">
      <c r="O511" s="4">
        <f t="shared" ca="1" si="68"/>
        <v>0.55600067452689284</v>
      </c>
      <c r="P511" s="4">
        <f t="shared" ca="1" si="69"/>
        <v>0.14083707803699158</v>
      </c>
      <c r="Q511" s="4">
        <f t="shared" ca="1" si="70"/>
        <v>1920.6068755945812</v>
      </c>
      <c r="R511" s="4">
        <f t="shared" ca="1" si="71"/>
        <v>-3.0631684054187645</v>
      </c>
      <c r="S511" s="4">
        <f t="shared" ca="1" si="72"/>
        <v>-1.5467863194460645</v>
      </c>
    </row>
    <row r="512" spans="15:19" x14ac:dyDescent="0.2">
      <c r="O512" s="4">
        <f t="shared" ca="1" si="68"/>
        <v>0.47360871987593378</v>
      </c>
      <c r="P512" s="4">
        <f t="shared" ca="1" si="69"/>
        <v>-6.6201453296109297E-2</v>
      </c>
      <c r="Q512" s="4">
        <f t="shared" ca="1" si="70"/>
        <v>1924.5134176431375</v>
      </c>
      <c r="R512" s="4">
        <f t="shared" ca="1" si="71"/>
        <v>0.84337364313751095</v>
      </c>
      <c r="S512" s="4">
        <f t="shared" ca="1" si="72"/>
        <v>0.42721353875460799</v>
      </c>
    </row>
    <row r="513" spans="15:19" x14ac:dyDescent="0.2">
      <c r="O513" s="4">
        <f t="shared" ca="1" si="68"/>
        <v>0.49766080608878172</v>
      </c>
      <c r="P513" s="4">
        <f t="shared" ca="1" si="69"/>
        <v>-5.8635231964027793E-3</v>
      </c>
      <c r="Q513" s="4">
        <f t="shared" ca="1" si="70"/>
        <v>1923.3749210573105</v>
      </c>
      <c r="R513" s="4">
        <f t="shared" ca="1" si="71"/>
        <v>-0.29512294268943151</v>
      </c>
      <c r="S513" s="4">
        <f t="shared" ca="1" si="72"/>
        <v>-0.14935866955793894</v>
      </c>
    </row>
    <row r="514" spans="15:19" x14ac:dyDescent="0.2">
      <c r="O514" s="4">
        <f t="shared" ca="1" si="68"/>
        <v>0.33632928516968874</v>
      </c>
      <c r="P514" s="4">
        <f t="shared" ca="1" si="69"/>
        <v>-0.42250209710334152</v>
      </c>
      <c r="Q514" s="4">
        <f t="shared" ca="1" si="70"/>
        <v>1931.2363374687288</v>
      </c>
      <c r="R514" s="4">
        <f t="shared" ca="1" si="71"/>
        <v>7.5662934687288725</v>
      </c>
      <c r="S514" s="4">
        <f t="shared" ca="1" si="72"/>
        <v>3.8534360884094894</v>
      </c>
    </row>
    <row r="515" spans="15:19" x14ac:dyDescent="0.2">
      <c r="O515" s="4">
        <f t="shared" ref="O515:O578" ca="1" si="73">RAND()</f>
        <v>0.31598623018262262</v>
      </c>
      <c r="P515" s="4">
        <f t="shared" ref="P515:P578" ca="1" si="74">NORMSINV(O515)</f>
        <v>-0.47895244442468393</v>
      </c>
      <c r="Q515" s="4">
        <f t="shared" ref="Q515:Q578" ca="1" si="75">$B$4*(1+$B$17-$B$32*P515)</f>
        <v>1932.3014805319378</v>
      </c>
      <c r="R515" s="4">
        <f t="shared" ref="R515:R578" ca="1" si="76">Q515-$B$4</f>
        <v>8.6314365319378794</v>
      </c>
      <c r="S515" s="4">
        <f t="shared" ref="S515:S578" ca="1" si="77">R515*$B$12+0.5*$B$13*R515^2</f>
        <v>4.3996450645243153</v>
      </c>
    </row>
    <row r="516" spans="15:19" x14ac:dyDescent="0.2">
      <c r="O516" s="4">
        <f t="shared" ca="1" si="73"/>
        <v>0.1045416083878058</v>
      </c>
      <c r="P516" s="4">
        <f t="shared" ca="1" si="74"/>
        <v>-1.256090343593208</v>
      </c>
      <c r="Q516" s="4">
        <f t="shared" ca="1" si="75"/>
        <v>1946.9650403103067</v>
      </c>
      <c r="R516" s="4">
        <f t="shared" ca="1" si="76"/>
        <v>23.294996310306715</v>
      </c>
      <c r="S516" s="4">
        <f t="shared" ca="1" si="77"/>
        <v>12.013054209591729</v>
      </c>
    </row>
    <row r="517" spans="15:19" x14ac:dyDescent="0.2">
      <c r="O517" s="4">
        <f t="shared" ca="1" si="73"/>
        <v>0.58904563635800899</v>
      </c>
      <c r="P517" s="4">
        <f t="shared" ca="1" si="74"/>
        <v>0.22509068508555533</v>
      </c>
      <c r="Q517" s="4">
        <f t="shared" ca="1" si="75"/>
        <v>1919.0171219552055</v>
      </c>
      <c r="R517" s="4">
        <f t="shared" ca="1" si="76"/>
        <v>-4.6529220447944226</v>
      </c>
      <c r="S517" s="4">
        <f t="shared" ca="1" si="77"/>
        <v>-2.3465417940844011</v>
      </c>
    </row>
    <row r="518" spans="15:19" x14ac:dyDescent="0.2">
      <c r="O518" s="4">
        <f t="shared" ca="1" si="73"/>
        <v>0.78742876483958324</v>
      </c>
      <c r="P518" s="4">
        <f t="shared" ca="1" si="74"/>
        <v>0.79753140647102794</v>
      </c>
      <c r="Q518" s="4">
        <f t="shared" ca="1" si="75"/>
        <v>1908.2159259942453</v>
      </c>
      <c r="R518" s="4">
        <f t="shared" ca="1" si="76"/>
        <v>-15.454118005754708</v>
      </c>
      <c r="S518" s="4">
        <f t="shared" ca="1" si="77"/>
        <v>-7.7258056592950179</v>
      </c>
    </row>
    <row r="519" spans="15:19" x14ac:dyDescent="0.2">
      <c r="O519" s="4">
        <f t="shared" ca="1" si="73"/>
        <v>0.3391293459823328</v>
      </c>
      <c r="P519" s="4">
        <f t="shared" ca="1" si="74"/>
        <v>-0.41484046899684329</v>
      </c>
      <c r="Q519" s="4">
        <f t="shared" ca="1" si="75"/>
        <v>1931.0917727243516</v>
      </c>
      <c r="R519" s="4">
        <f t="shared" ca="1" si="76"/>
        <v>7.4217287243516239</v>
      </c>
      <c r="S519" s="4">
        <f t="shared" ca="1" si="77"/>
        <v>3.7793739857975854</v>
      </c>
    </row>
    <row r="520" spans="15:19" x14ac:dyDescent="0.2">
      <c r="O520" s="4">
        <f t="shared" ca="1" si="73"/>
        <v>6.8895536668947099E-2</v>
      </c>
      <c r="P520" s="4">
        <f t="shared" ca="1" si="74"/>
        <v>-1.4840672770308487</v>
      </c>
      <c r="Q520" s="4">
        <f t="shared" ca="1" si="75"/>
        <v>1951.2666621912222</v>
      </c>
      <c r="R520" s="4">
        <f t="shared" ca="1" si="76"/>
        <v>27.596618191222205</v>
      </c>
      <c r="S520" s="4">
        <f t="shared" ca="1" si="77"/>
        <v>14.279691502719801</v>
      </c>
    </row>
    <row r="521" spans="15:19" x14ac:dyDescent="0.2">
      <c r="O521" s="4">
        <f t="shared" ca="1" si="73"/>
        <v>0.65684019617314326</v>
      </c>
      <c r="P521" s="4">
        <f t="shared" ca="1" si="74"/>
        <v>0.40385464834418194</v>
      </c>
      <c r="Q521" s="4">
        <f t="shared" ca="1" si="75"/>
        <v>1915.6440834452249</v>
      </c>
      <c r="R521" s="4">
        <f t="shared" ca="1" si="76"/>
        <v>-8.0259605547751107</v>
      </c>
      <c r="S521" s="4">
        <f t="shared" ca="1" si="77"/>
        <v>-4.0365980576737623</v>
      </c>
    </row>
    <row r="522" spans="15:19" x14ac:dyDescent="0.2">
      <c r="O522" s="4">
        <f t="shared" ca="1" si="73"/>
        <v>0.82146423181438333</v>
      </c>
      <c r="P522" s="4">
        <f t="shared" ca="1" si="74"/>
        <v>0.92095956849847416</v>
      </c>
      <c r="Q522" s="4">
        <f t="shared" ca="1" si="75"/>
        <v>1905.8870005433566</v>
      </c>
      <c r="R522" s="4">
        <f t="shared" ca="1" si="76"/>
        <v>-17.783043456643327</v>
      </c>
      <c r="S522" s="4">
        <f t="shared" ca="1" si="77"/>
        <v>-8.8732205789954097</v>
      </c>
    </row>
    <row r="523" spans="15:19" x14ac:dyDescent="0.2">
      <c r="O523" s="4">
        <f t="shared" ca="1" si="73"/>
        <v>0.51059255086486455</v>
      </c>
      <c r="P523" s="4">
        <f t="shared" ca="1" si="74"/>
        <v>2.6554708021467432E-2</v>
      </c>
      <c r="Q523" s="4">
        <f t="shared" ca="1" si="75"/>
        <v>1922.7632320998155</v>
      </c>
      <c r="R523" s="4">
        <f t="shared" ca="1" si="76"/>
        <v>-0.90681190018449342</v>
      </c>
      <c r="S523" s="4">
        <f t="shared" ca="1" si="77"/>
        <v>-0.45870232980167192</v>
      </c>
    </row>
    <row r="524" spans="15:19" x14ac:dyDescent="0.2">
      <c r="O524" s="4">
        <f t="shared" ca="1" si="73"/>
        <v>0.3284011784750126</v>
      </c>
      <c r="P524" s="4">
        <f t="shared" ca="1" si="74"/>
        <v>-0.44433229305975475</v>
      </c>
      <c r="Q524" s="4">
        <f t="shared" ca="1" si="75"/>
        <v>1931.6482442663805</v>
      </c>
      <c r="R524" s="4">
        <f t="shared" ca="1" si="76"/>
        <v>7.9782002663805542</v>
      </c>
      <c r="S524" s="4">
        <f t="shared" ca="1" si="77"/>
        <v>4.0645537604458086</v>
      </c>
    </row>
    <row r="525" spans="15:19" x14ac:dyDescent="0.2">
      <c r="O525" s="4">
        <f t="shared" ca="1" si="73"/>
        <v>0.92921274417574851</v>
      </c>
      <c r="P525" s="4">
        <f t="shared" ca="1" si="74"/>
        <v>1.4699528968908835</v>
      </c>
      <c r="Q525" s="4">
        <f t="shared" ca="1" si="75"/>
        <v>1895.5282257397846</v>
      </c>
      <c r="R525" s="4">
        <f t="shared" ca="1" si="76"/>
        <v>-28.141818260215359</v>
      </c>
      <c r="S525" s="4">
        <f t="shared" ca="1" si="77"/>
        <v>-13.923280718084575</v>
      </c>
    </row>
    <row r="526" spans="15:19" x14ac:dyDescent="0.2">
      <c r="O526" s="4">
        <f t="shared" ca="1" si="73"/>
        <v>0.22974225844782292</v>
      </c>
      <c r="P526" s="4">
        <f t="shared" ca="1" si="74"/>
        <v>-0.73969593222331997</v>
      </c>
      <c r="Q526" s="4">
        <f t="shared" ca="1" si="75"/>
        <v>1937.221363765334</v>
      </c>
      <c r="R526" s="4">
        <f t="shared" ca="1" si="76"/>
        <v>13.551319765334028</v>
      </c>
      <c r="S526" s="4">
        <f t="shared" ca="1" si="77"/>
        <v>6.9345642864259105</v>
      </c>
    </row>
    <row r="527" spans="15:19" x14ac:dyDescent="0.2">
      <c r="O527" s="4">
        <f t="shared" ca="1" si="73"/>
        <v>0.69484852210039694</v>
      </c>
      <c r="P527" s="4">
        <f t="shared" ca="1" si="74"/>
        <v>0.50964105506557134</v>
      </c>
      <c r="Q527" s="4">
        <f t="shared" ca="1" si="75"/>
        <v>1913.6480344809963</v>
      </c>
      <c r="R527" s="4">
        <f t="shared" ca="1" si="76"/>
        <v>-10.022009519003632</v>
      </c>
      <c r="S527" s="4">
        <f t="shared" ca="1" si="77"/>
        <v>-5.0323530754329413</v>
      </c>
    </row>
    <row r="528" spans="15:19" x14ac:dyDescent="0.2">
      <c r="O528" s="4">
        <f t="shared" ca="1" si="73"/>
        <v>0.47938491632289226</v>
      </c>
      <c r="P528" s="4">
        <f t="shared" ca="1" si="74"/>
        <v>-5.169737028802629E-2</v>
      </c>
      <c r="Q528" s="4">
        <f t="shared" ca="1" si="75"/>
        <v>1924.2397448645393</v>
      </c>
      <c r="R528" s="4">
        <f t="shared" ca="1" si="76"/>
        <v>0.5697008645392998</v>
      </c>
      <c r="S528" s="4">
        <f t="shared" ca="1" si="77"/>
        <v>0.28852027580728473</v>
      </c>
    </row>
    <row r="529" spans="15:19" x14ac:dyDescent="0.2">
      <c r="O529" s="4">
        <f t="shared" ca="1" si="73"/>
        <v>0.97127248947506239</v>
      </c>
      <c r="P529" s="4">
        <f t="shared" ca="1" si="74"/>
        <v>1.8998331351490192</v>
      </c>
      <c r="Q529" s="4">
        <f t="shared" ca="1" si="75"/>
        <v>1887.4169567127794</v>
      </c>
      <c r="R529" s="4">
        <f t="shared" ca="1" si="76"/>
        <v>-36.253087287220524</v>
      </c>
      <c r="S529" s="4">
        <f t="shared" ca="1" si="77"/>
        <v>-17.816662358413399</v>
      </c>
    </row>
    <row r="530" spans="15:19" x14ac:dyDescent="0.2">
      <c r="O530" s="4">
        <f t="shared" ca="1" si="73"/>
        <v>0.50860821925072197</v>
      </c>
      <c r="P530" s="4">
        <f t="shared" ca="1" si="74"/>
        <v>2.1579280438281119E-2</v>
      </c>
      <c r="Q530" s="4">
        <f t="shared" ca="1" si="75"/>
        <v>1922.8571118087671</v>
      </c>
      <c r="R530" s="4">
        <f t="shared" ca="1" si="76"/>
        <v>-0.81293219123290328</v>
      </c>
      <c r="S530" s="4">
        <f t="shared" ca="1" si="77"/>
        <v>-0.41124522253736706</v>
      </c>
    </row>
    <row r="531" spans="15:19" x14ac:dyDescent="0.2">
      <c r="O531" s="4">
        <f t="shared" ca="1" si="73"/>
        <v>0.16899064787962714</v>
      </c>
      <c r="P531" s="4">
        <f t="shared" ca="1" si="74"/>
        <v>-0.9581615633323789</v>
      </c>
      <c r="Q531" s="4">
        <f t="shared" ca="1" si="75"/>
        <v>1941.3435200064773</v>
      </c>
      <c r="R531" s="4">
        <f t="shared" ca="1" si="76"/>
        <v>17.673476006477358</v>
      </c>
      <c r="S531" s="4">
        <f t="shared" ca="1" si="77"/>
        <v>9.0736354512236286</v>
      </c>
    </row>
    <row r="532" spans="15:19" x14ac:dyDescent="0.2">
      <c r="O532" s="4">
        <f t="shared" ca="1" si="73"/>
        <v>1.2629747105992739E-2</v>
      </c>
      <c r="P532" s="4">
        <f t="shared" ca="1" si="74"/>
        <v>-2.237410939452908</v>
      </c>
      <c r="Q532" s="4">
        <f t="shared" ca="1" si="75"/>
        <v>1965.4812563313358</v>
      </c>
      <c r="R532" s="4">
        <f t="shared" ca="1" si="76"/>
        <v>41.81121233133581</v>
      </c>
      <c r="S532" s="4">
        <f t="shared" ca="1" si="77"/>
        <v>21.876874470840956</v>
      </c>
    </row>
    <row r="533" spans="15:19" x14ac:dyDescent="0.2">
      <c r="O533" s="4">
        <f t="shared" ca="1" si="73"/>
        <v>0.92949433841787599</v>
      </c>
      <c r="P533" s="4">
        <f t="shared" ca="1" si="74"/>
        <v>1.47203538232453</v>
      </c>
      <c r="Q533" s="4">
        <f t="shared" ca="1" si="75"/>
        <v>1895.4889320061029</v>
      </c>
      <c r="R533" s="4">
        <f t="shared" ca="1" si="76"/>
        <v>-28.181111993897048</v>
      </c>
      <c r="S533" s="4">
        <f t="shared" ca="1" si="77"/>
        <v>-13.942270690490357</v>
      </c>
    </row>
    <row r="534" spans="15:19" x14ac:dyDescent="0.2">
      <c r="O534" s="4">
        <f t="shared" ca="1" si="73"/>
        <v>0.33162335870860504</v>
      </c>
      <c r="P534" s="4">
        <f t="shared" ca="1" si="74"/>
        <v>-0.435434989820493</v>
      </c>
      <c r="Q534" s="4">
        <f t="shared" ca="1" si="75"/>
        <v>1931.4803639737652</v>
      </c>
      <c r="R534" s="4">
        <f t="shared" ca="1" si="76"/>
        <v>7.8103199737652176</v>
      </c>
      <c r="S534" s="4">
        <f t="shared" ca="1" si="77"/>
        <v>3.9784921418349595</v>
      </c>
    </row>
    <row r="535" spans="15:19" x14ac:dyDescent="0.2">
      <c r="O535" s="4">
        <f t="shared" ca="1" si="73"/>
        <v>0.54627550600659414</v>
      </c>
      <c r="P535" s="4">
        <f t="shared" ca="1" si="74"/>
        <v>0.11625684290919812</v>
      </c>
      <c r="Q535" s="4">
        <f t="shared" ca="1" si="75"/>
        <v>1921.0706719781424</v>
      </c>
      <c r="R535" s="4">
        <f t="shared" ca="1" si="76"/>
        <v>-2.5993720218575618</v>
      </c>
      <c r="S535" s="4">
        <f t="shared" ca="1" si="77"/>
        <v>-1.3130771192200064</v>
      </c>
    </row>
    <row r="536" spans="15:19" x14ac:dyDescent="0.2">
      <c r="O536" s="4">
        <f t="shared" ca="1" si="73"/>
        <v>0.5934830168526849</v>
      </c>
      <c r="P536" s="4">
        <f t="shared" ca="1" si="74"/>
        <v>0.23651384363921873</v>
      </c>
      <c r="Q536" s="4">
        <f t="shared" ca="1" si="75"/>
        <v>1918.8015821282474</v>
      </c>
      <c r="R536" s="4">
        <f t="shared" ca="1" si="76"/>
        <v>-4.8684618717525154</v>
      </c>
      <c r="S536" s="4">
        <f t="shared" ca="1" si="77"/>
        <v>-2.4548147629763739</v>
      </c>
    </row>
    <row r="537" spans="15:19" x14ac:dyDescent="0.2">
      <c r="O537" s="4">
        <f t="shared" ca="1" si="73"/>
        <v>0.80336260702042683</v>
      </c>
      <c r="P537" s="4">
        <f t="shared" ca="1" si="74"/>
        <v>0.85369359136275347</v>
      </c>
      <c r="Q537" s="4">
        <f t="shared" ca="1" si="75"/>
        <v>1907.1562201732772</v>
      </c>
      <c r="R537" s="4">
        <f t="shared" ca="1" si="76"/>
        <v>-16.513823826722728</v>
      </c>
      <c r="S537" s="4">
        <f t="shared" ca="1" si="77"/>
        <v>-8.2484489985379614</v>
      </c>
    </row>
    <row r="538" spans="15:19" x14ac:dyDescent="0.2">
      <c r="O538" s="4">
        <f t="shared" ca="1" si="73"/>
        <v>0.61162825428956846</v>
      </c>
      <c r="P538" s="4">
        <f t="shared" ca="1" si="74"/>
        <v>0.28356535362665392</v>
      </c>
      <c r="Q538" s="4">
        <f t="shared" ca="1" si="75"/>
        <v>1917.9137826397637</v>
      </c>
      <c r="R538" s="4">
        <f t="shared" ca="1" si="76"/>
        <v>-5.7562613602362944</v>
      </c>
      <c r="S538" s="4">
        <f t="shared" ca="1" si="77"/>
        <v>-2.9003878290714158</v>
      </c>
    </row>
    <row r="539" spans="15:19" x14ac:dyDescent="0.2">
      <c r="O539" s="4">
        <f t="shared" ca="1" si="73"/>
        <v>0.38527796095924216</v>
      </c>
      <c r="P539" s="4">
        <f t="shared" ca="1" si="74"/>
        <v>-0.29164780312163152</v>
      </c>
      <c r="Q539" s="4">
        <f t="shared" ca="1" si="75"/>
        <v>1928.7672907730139</v>
      </c>
      <c r="R539" s="4">
        <f t="shared" ca="1" si="76"/>
        <v>5.0972467730139215</v>
      </c>
      <c r="S539" s="4">
        <f t="shared" ca="1" si="77"/>
        <v>2.5908526855062446</v>
      </c>
    </row>
    <row r="540" spans="15:19" x14ac:dyDescent="0.2">
      <c r="O540" s="4">
        <f t="shared" ca="1" si="73"/>
        <v>0.46792176603368663</v>
      </c>
      <c r="P540" s="4">
        <f t="shared" ca="1" si="74"/>
        <v>-8.0495051159382075E-2</v>
      </c>
      <c r="Q540" s="4">
        <f t="shared" ca="1" si="75"/>
        <v>1924.7831188466694</v>
      </c>
      <c r="R540" s="4">
        <f t="shared" ca="1" si="76"/>
        <v>1.1130748466694058</v>
      </c>
      <c r="S540" s="4">
        <f t="shared" ca="1" si="77"/>
        <v>0.56395372240817598</v>
      </c>
    </row>
    <row r="541" spans="15:19" x14ac:dyDescent="0.2">
      <c r="O541" s="4">
        <f t="shared" ca="1" si="73"/>
        <v>0.83289347414275483</v>
      </c>
      <c r="P541" s="4">
        <f t="shared" ca="1" si="74"/>
        <v>0.96566257623544438</v>
      </c>
      <c r="Q541" s="4">
        <f t="shared" ca="1" si="75"/>
        <v>1905.0435141725011</v>
      </c>
      <c r="R541" s="4">
        <f t="shared" ca="1" si="76"/>
        <v>-18.626529827498871</v>
      </c>
      <c r="S541" s="4">
        <f t="shared" ca="1" si="77"/>
        <v>-9.2877001474163929</v>
      </c>
    </row>
    <row r="542" spans="15:19" x14ac:dyDescent="0.2">
      <c r="O542" s="4">
        <f t="shared" ca="1" si="73"/>
        <v>0.51137525324678546</v>
      </c>
      <c r="P542" s="4">
        <f t="shared" ca="1" si="74"/>
        <v>2.8517396204864872E-2</v>
      </c>
      <c r="Q542" s="4">
        <f t="shared" ca="1" si="75"/>
        <v>1922.726198781103</v>
      </c>
      <c r="R542" s="4">
        <f t="shared" ca="1" si="76"/>
        <v>-0.94384521889696771</v>
      </c>
      <c r="S542" s="4">
        <f t="shared" ca="1" si="77"/>
        <v>-0.47742105958553693</v>
      </c>
    </row>
    <row r="543" spans="15:19" x14ac:dyDescent="0.2">
      <c r="O543" s="4">
        <f t="shared" ca="1" si="73"/>
        <v>0.54003380430558512</v>
      </c>
      <c r="P543" s="4">
        <f t="shared" ca="1" si="74"/>
        <v>0.10051888414069968</v>
      </c>
      <c r="Q543" s="4">
        <f t="shared" ca="1" si="75"/>
        <v>1921.3676263532132</v>
      </c>
      <c r="R543" s="4">
        <f t="shared" ca="1" si="76"/>
        <v>-2.3024176467868074</v>
      </c>
      <c r="S543" s="4">
        <f t="shared" ca="1" si="77"/>
        <v>-1.1633484390950106</v>
      </c>
    </row>
    <row r="544" spans="15:19" x14ac:dyDescent="0.2">
      <c r="O544" s="4">
        <f t="shared" ca="1" si="73"/>
        <v>0.69037425690611709</v>
      </c>
      <c r="P544" s="4">
        <f t="shared" ca="1" si="74"/>
        <v>0.49691146502769445</v>
      </c>
      <c r="Q544" s="4">
        <f t="shared" ca="1" si="75"/>
        <v>1913.8882249345495</v>
      </c>
      <c r="R544" s="4">
        <f t="shared" ca="1" si="76"/>
        <v>-9.7818190654504633</v>
      </c>
      <c r="S544" s="4">
        <f t="shared" ca="1" si="77"/>
        <v>-4.912702617548832</v>
      </c>
    </row>
    <row r="545" spans="15:19" x14ac:dyDescent="0.2">
      <c r="O545" s="4">
        <f t="shared" ca="1" si="73"/>
        <v>0.78321828680758299</v>
      </c>
      <c r="P545" s="4">
        <f t="shared" ca="1" si="74"/>
        <v>0.78310845526429262</v>
      </c>
      <c r="Q545" s="4">
        <f t="shared" ca="1" si="75"/>
        <v>1908.4880679235305</v>
      </c>
      <c r="R545" s="4">
        <f t="shared" ca="1" si="76"/>
        <v>-15.181976076469482</v>
      </c>
      <c r="S545" s="4">
        <f t="shared" ca="1" si="77"/>
        <v>-7.5914386341065772</v>
      </c>
    </row>
    <row r="546" spans="15:19" x14ac:dyDescent="0.2">
      <c r="O546" s="4">
        <f t="shared" ca="1" si="73"/>
        <v>0.31674992305109773</v>
      </c>
      <c r="P546" s="4">
        <f t="shared" ca="1" si="74"/>
        <v>-0.47680659918761953</v>
      </c>
      <c r="Q546" s="4">
        <f t="shared" ca="1" si="75"/>
        <v>1932.2609912829355</v>
      </c>
      <c r="R546" s="4">
        <f t="shared" ca="1" si="76"/>
        <v>8.5909472829355309</v>
      </c>
      <c r="S546" s="4">
        <f t="shared" ca="1" si="77"/>
        <v>4.3788651520139936</v>
      </c>
    </row>
    <row r="547" spans="15:19" x14ac:dyDescent="0.2">
      <c r="O547" s="4">
        <f t="shared" ca="1" si="73"/>
        <v>0.38512267363887298</v>
      </c>
      <c r="P547" s="4">
        <f t="shared" ca="1" si="74"/>
        <v>-0.29205398624172652</v>
      </c>
      <c r="Q547" s="4">
        <f t="shared" ca="1" si="75"/>
        <v>1928.7749549089012</v>
      </c>
      <c r="R547" s="4">
        <f t="shared" ca="1" si="76"/>
        <v>5.1049109089012745</v>
      </c>
      <c r="S547" s="4">
        <f t="shared" ca="1" si="77"/>
        <v>2.5947641751989061</v>
      </c>
    </row>
    <row r="548" spans="15:19" x14ac:dyDescent="0.2">
      <c r="O548" s="4">
        <f t="shared" ca="1" si="73"/>
        <v>0.43482097456954105</v>
      </c>
      <c r="P548" s="4">
        <f t="shared" ca="1" si="74"/>
        <v>-0.16411330348782374</v>
      </c>
      <c r="Q548" s="4">
        <f t="shared" ca="1" si="75"/>
        <v>1926.360884186505</v>
      </c>
      <c r="R548" s="4">
        <f t="shared" ca="1" si="76"/>
        <v>2.6908401865050564</v>
      </c>
      <c r="S548" s="4">
        <f t="shared" ca="1" si="77"/>
        <v>1.3650770928814389</v>
      </c>
    </row>
    <row r="549" spans="15:19" x14ac:dyDescent="0.2">
      <c r="O549" s="4">
        <f t="shared" ca="1" si="73"/>
        <v>0.99635245352110224</v>
      </c>
      <c r="P549" s="4">
        <f t="shared" ca="1" si="74"/>
        <v>2.683064452275981</v>
      </c>
      <c r="Q549" s="4">
        <f t="shared" ca="1" si="75"/>
        <v>1872.6384222322586</v>
      </c>
      <c r="R549" s="4">
        <f t="shared" ca="1" si="76"/>
        <v>-51.031621767741399</v>
      </c>
      <c r="S549" s="4">
        <f t="shared" ca="1" si="77"/>
        <v>-24.772606356222205</v>
      </c>
    </row>
    <row r="550" spans="15:19" x14ac:dyDescent="0.2">
      <c r="O550" s="4">
        <f t="shared" ca="1" si="73"/>
        <v>0.39374901733375767</v>
      </c>
      <c r="P550" s="4">
        <f t="shared" ca="1" si="74"/>
        <v>-0.26956096459493717</v>
      </c>
      <c r="Q550" s="4">
        <f t="shared" ca="1" si="75"/>
        <v>1928.3505414709944</v>
      </c>
      <c r="R550" s="4">
        <f t="shared" ca="1" si="76"/>
        <v>4.6804974709943963</v>
      </c>
      <c r="S550" s="4">
        <f t="shared" ca="1" si="77"/>
        <v>2.3782313534059973</v>
      </c>
    </row>
    <row r="551" spans="15:19" x14ac:dyDescent="0.2">
      <c r="O551" s="4">
        <f t="shared" ca="1" si="73"/>
        <v>0.60765481236531482</v>
      </c>
      <c r="P551" s="4">
        <f t="shared" ca="1" si="74"/>
        <v>0.27321184497787177</v>
      </c>
      <c r="Q551" s="4">
        <f t="shared" ca="1" si="75"/>
        <v>1918.1091395939793</v>
      </c>
      <c r="R551" s="4">
        <f t="shared" ca="1" si="76"/>
        <v>-5.5609044060206543</v>
      </c>
      <c r="S551" s="4">
        <f t="shared" ca="1" si="77"/>
        <v>-2.8023962094178563</v>
      </c>
    </row>
    <row r="552" spans="15:19" x14ac:dyDescent="0.2">
      <c r="O552" s="4">
        <f t="shared" ca="1" si="73"/>
        <v>0.71371559960142616</v>
      </c>
      <c r="P552" s="4">
        <f t="shared" ca="1" si="74"/>
        <v>0.56427234276618765</v>
      </c>
      <c r="Q552" s="4">
        <f t="shared" ca="1" si="75"/>
        <v>1912.617214656324</v>
      </c>
      <c r="R552" s="4">
        <f t="shared" ca="1" si="76"/>
        <v>-11.052829343675967</v>
      </c>
      <c r="S552" s="4">
        <f t="shared" ca="1" si="77"/>
        <v>-5.5453208483674885</v>
      </c>
    </row>
    <row r="553" spans="15:19" x14ac:dyDescent="0.2">
      <c r="O553" s="4">
        <f t="shared" ca="1" si="73"/>
        <v>0.15545524316599901</v>
      </c>
      <c r="P553" s="4">
        <f t="shared" ca="1" si="74"/>
        <v>-1.0133134055972204</v>
      </c>
      <c r="Q553" s="4">
        <f t="shared" ca="1" si="75"/>
        <v>1942.3841620042526</v>
      </c>
      <c r="R553" s="4">
        <f t="shared" ca="1" si="76"/>
        <v>18.714118004252668</v>
      </c>
      <c r="S553" s="4">
        <f t="shared" ca="1" si="77"/>
        <v>9.6158328934406612</v>
      </c>
    </row>
    <row r="554" spans="15:19" x14ac:dyDescent="0.2">
      <c r="O554" s="4">
        <f t="shared" ca="1" si="73"/>
        <v>0.17778670379501527</v>
      </c>
      <c r="P554" s="4">
        <f t="shared" ca="1" si="74"/>
        <v>-0.92383273745202654</v>
      </c>
      <c r="Q554" s="4">
        <f t="shared" ca="1" si="75"/>
        <v>1940.6957806658065</v>
      </c>
      <c r="R554" s="4">
        <f t="shared" ca="1" si="76"/>
        <v>17.025736665806562</v>
      </c>
      <c r="S554" s="4">
        <f t="shared" ca="1" si="77"/>
        <v>8.7365941461385859</v>
      </c>
    </row>
    <row r="555" spans="15:19" x14ac:dyDescent="0.2">
      <c r="O555" s="4">
        <f t="shared" ca="1" si="73"/>
        <v>0.47871373426678998</v>
      </c>
      <c r="P555" s="4">
        <f t="shared" ca="1" si="74"/>
        <v>-5.338209808298143E-2</v>
      </c>
      <c r="Q555" s="4">
        <f t="shared" ca="1" si="75"/>
        <v>1924.2715334399747</v>
      </c>
      <c r="R555" s="4">
        <f t="shared" ca="1" si="76"/>
        <v>0.60148943997478455</v>
      </c>
      <c r="S555" s="4">
        <f t="shared" ca="1" si="77"/>
        <v>0.30462711943796172</v>
      </c>
    </row>
    <row r="556" spans="15:19" x14ac:dyDescent="0.2">
      <c r="O556" s="4">
        <f t="shared" ca="1" si="73"/>
        <v>0.71736796627362043</v>
      </c>
      <c r="P556" s="4">
        <f t="shared" ca="1" si="74"/>
        <v>0.57504026239481021</v>
      </c>
      <c r="Q556" s="4">
        <f t="shared" ca="1" si="75"/>
        <v>1912.4140383174374</v>
      </c>
      <c r="R556" s="4">
        <f t="shared" ca="1" si="76"/>
        <v>-11.256005682562545</v>
      </c>
      <c r="S556" s="4">
        <f t="shared" ca="1" si="77"/>
        <v>-5.6463256080682953</v>
      </c>
    </row>
    <row r="557" spans="15:19" x14ac:dyDescent="0.2">
      <c r="O557" s="4">
        <f t="shared" ca="1" si="73"/>
        <v>0.59872241631328893</v>
      </c>
      <c r="P557" s="4">
        <f t="shared" ca="1" si="74"/>
        <v>0.25004161375962936</v>
      </c>
      <c r="Q557" s="4">
        <f t="shared" ca="1" si="75"/>
        <v>1918.5463310768691</v>
      </c>
      <c r="R557" s="4">
        <f t="shared" ca="1" si="76"/>
        <v>-5.1237129231308245</v>
      </c>
      <c r="S557" s="4">
        <f t="shared" ca="1" si="77"/>
        <v>-2.5829871099422186</v>
      </c>
    </row>
    <row r="558" spans="15:19" x14ac:dyDescent="0.2">
      <c r="O558" s="4">
        <f t="shared" ca="1" si="73"/>
        <v>0.99407974881546279</v>
      </c>
      <c r="P558" s="4">
        <f t="shared" ca="1" si="74"/>
        <v>2.516862511693942</v>
      </c>
      <c r="Q558" s="4">
        <f t="shared" ca="1" si="75"/>
        <v>1875.7744320621912</v>
      </c>
      <c r="R558" s="4">
        <f t="shared" ca="1" si="76"/>
        <v>-47.895611937808781</v>
      </c>
      <c r="S558" s="4">
        <f t="shared" ca="1" si="77"/>
        <v>-23.311415308139253</v>
      </c>
    </row>
    <row r="559" spans="15:19" x14ac:dyDescent="0.2">
      <c r="O559" s="4">
        <f t="shared" ca="1" si="73"/>
        <v>0.99420066665639883</v>
      </c>
      <c r="P559" s="4">
        <f t="shared" ca="1" si="74"/>
        <v>2.5241250342984189</v>
      </c>
      <c r="Q559" s="4">
        <f t="shared" ca="1" si="75"/>
        <v>1875.6373979084503</v>
      </c>
      <c r="R559" s="4">
        <f t="shared" ca="1" si="76"/>
        <v>-48.032646091549623</v>
      </c>
      <c r="S559" s="4">
        <f t="shared" ca="1" si="77"/>
        <v>-23.375432231799053</v>
      </c>
    </row>
    <row r="560" spans="15:19" x14ac:dyDescent="0.2">
      <c r="O560" s="4">
        <f t="shared" ca="1" si="73"/>
        <v>0.13584770522722722</v>
      </c>
      <c r="P560" s="4">
        <f t="shared" ca="1" si="74"/>
        <v>-1.099166586006276</v>
      </c>
      <c r="Q560" s="4">
        <f t="shared" ca="1" si="75"/>
        <v>1944.004097468008</v>
      </c>
      <c r="R560" s="4">
        <f t="shared" ca="1" si="76"/>
        <v>20.334053468008051</v>
      </c>
      <c r="S560" s="4">
        <f t="shared" ca="1" si="77"/>
        <v>10.461609466947248</v>
      </c>
    </row>
    <row r="561" spans="15:19" x14ac:dyDescent="0.2">
      <c r="O561" s="4">
        <f t="shared" ca="1" si="73"/>
        <v>0.85799681792615601</v>
      </c>
      <c r="P561" s="4">
        <f t="shared" ca="1" si="74"/>
        <v>1.071362729744431</v>
      </c>
      <c r="Q561" s="4">
        <f t="shared" ca="1" si="75"/>
        <v>1903.0490926918087</v>
      </c>
      <c r="R561" s="4">
        <f t="shared" ca="1" si="76"/>
        <v>-20.620951308191252</v>
      </c>
      <c r="S561" s="4">
        <f t="shared" ca="1" si="77"/>
        <v>-10.265432077485896</v>
      </c>
    </row>
    <row r="562" spans="15:19" x14ac:dyDescent="0.2">
      <c r="O562" s="4">
        <f t="shared" ca="1" si="73"/>
        <v>0.8566281227428526</v>
      </c>
      <c r="P562" s="4">
        <f t="shared" ca="1" si="74"/>
        <v>1.0652921268226918</v>
      </c>
      <c r="Q562" s="4">
        <f t="shared" ca="1" si="75"/>
        <v>1903.1636369045268</v>
      </c>
      <c r="R562" s="4">
        <f t="shared" ca="1" si="76"/>
        <v>-20.506407095473151</v>
      </c>
      <c r="S562" s="4">
        <f t="shared" ca="1" si="77"/>
        <v>-10.209366337835855</v>
      </c>
    </row>
    <row r="563" spans="15:19" x14ac:dyDescent="0.2">
      <c r="O563" s="4">
        <f t="shared" ca="1" si="73"/>
        <v>0.14506381293292858</v>
      </c>
      <c r="P563" s="4">
        <f t="shared" ca="1" si="74"/>
        <v>-1.0578416828063057</v>
      </c>
      <c r="Q563" s="4">
        <f t="shared" ca="1" si="75"/>
        <v>1943.2243514421657</v>
      </c>
      <c r="R563" s="4">
        <f t="shared" ca="1" si="76"/>
        <v>19.554307442165737</v>
      </c>
      <c r="S563" s="4">
        <f t="shared" ca="1" si="77"/>
        <v>10.054233402118712</v>
      </c>
    </row>
    <row r="564" spans="15:19" x14ac:dyDescent="0.2">
      <c r="O564" s="4">
        <f t="shared" ca="1" si="73"/>
        <v>0.15063877067912601</v>
      </c>
      <c r="P564" s="4">
        <f t="shared" ca="1" si="74"/>
        <v>-1.0336976301079546</v>
      </c>
      <c r="Q564" s="4">
        <f t="shared" ca="1" si="75"/>
        <v>1942.768785241607</v>
      </c>
      <c r="R564" s="4">
        <f t="shared" ca="1" si="76"/>
        <v>19.098741241607058</v>
      </c>
      <c r="S564" s="4">
        <f t="shared" ca="1" si="77"/>
        <v>9.8164532380013299</v>
      </c>
    </row>
    <row r="565" spans="15:19" x14ac:dyDescent="0.2">
      <c r="O565" s="4">
        <f t="shared" ca="1" si="73"/>
        <v>0.15502850267192481</v>
      </c>
      <c r="P565" s="4">
        <f t="shared" ca="1" si="74"/>
        <v>-1.0151024259567878</v>
      </c>
      <c r="Q565" s="4">
        <f t="shared" ca="1" si="75"/>
        <v>1942.4179184418363</v>
      </c>
      <c r="R565" s="4">
        <f t="shared" ca="1" si="76"/>
        <v>18.747874441836302</v>
      </c>
      <c r="S565" s="4">
        <f t="shared" ca="1" si="77"/>
        <v>9.6334355057760952</v>
      </c>
    </row>
    <row r="566" spans="15:19" x14ac:dyDescent="0.2">
      <c r="O566" s="4">
        <f t="shared" ca="1" si="73"/>
        <v>0.55878135522455086</v>
      </c>
      <c r="P566" s="4">
        <f t="shared" ca="1" si="74"/>
        <v>0.14788023161056185</v>
      </c>
      <c r="Q566" s="4">
        <f t="shared" ca="1" si="75"/>
        <v>1920.4739806430355</v>
      </c>
      <c r="R566" s="4">
        <f t="shared" ca="1" si="76"/>
        <v>-3.196063356964487</v>
      </c>
      <c r="S566" s="4">
        <f t="shared" ca="1" si="77"/>
        <v>-1.6137204371658032</v>
      </c>
    </row>
    <row r="567" spans="15:19" x14ac:dyDescent="0.2">
      <c r="O567" s="4">
        <f t="shared" ca="1" si="73"/>
        <v>0.50848184738124536</v>
      </c>
      <c r="P567" s="4">
        <f t="shared" ca="1" si="74"/>
        <v>2.1262440452616219E-2</v>
      </c>
      <c r="Q567" s="4">
        <f t="shared" ca="1" si="75"/>
        <v>1922.8630901583942</v>
      </c>
      <c r="R567" s="4">
        <f t="shared" ca="1" si="76"/>
        <v>-0.80695384160571848</v>
      </c>
      <c r="S567" s="4">
        <f t="shared" ca="1" si="77"/>
        <v>-0.40822286555685539</v>
      </c>
    </row>
    <row r="568" spans="15:19" x14ac:dyDescent="0.2">
      <c r="O568" s="4">
        <f t="shared" ca="1" si="73"/>
        <v>0.14183621864216855</v>
      </c>
      <c r="P568" s="4">
        <f t="shared" ca="1" si="74"/>
        <v>-1.0721059709319081</v>
      </c>
      <c r="Q568" s="4">
        <f t="shared" ca="1" si="75"/>
        <v>1943.4934996098839</v>
      </c>
      <c r="R568" s="4">
        <f t="shared" ca="1" si="76"/>
        <v>19.823455609883922</v>
      </c>
      <c r="S568" s="4">
        <f t="shared" ca="1" si="77"/>
        <v>10.194793144863297</v>
      </c>
    </row>
    <row r="569" spans="15:19" x14ac:dyDescent="0.2">
      <c r="O569" s="4">
        <f t="shared" ca="1" si="73"/>
        <v>0.85695561401584852</v>
      </c>
      <c r="P569" s="4">
        <f t="shared" ca="1" si="74"/>
        <v>1.0667410785499651</v>
      </c>
      <c r="Q569" s="4">
        <f t="shared" ca="1" si="75"/>
        <v>1903.1362971102749</v>
      </c>
      <c r="R569" s="4">
        <f t="shared" ca="1" si="76"/>
        <v>-20.53374688972508</v>
      </c>
      <c r="S569" s="4">
        <f t="shared" ca="1" si="77"/>
        <v>-10.222749265851606</v>
      </c>
    </row>
    <row r="570" spans="15:19" x14ac:dyDescent="0.2">
      <c r="O570" s="4">
        <f t="shared" ca="1" si="73"/>
        <v>0.71318993245870188</v>
      </c>
      <c r="P570" s="4">
        <f t="shared" ca="1" si="74"/>
        <v>0.56272797017328569</v>
      </c>
      <c r="Q570" s="4">
        <f t="shared" ca="1" si="75"/>
        <v>1912.6463549155499</v>
      </c>
      <c r="R570" s="4">
        <f t="shared" ca="1" si="76"/>
        <v>-11.023689084450098</v>
      </c>
      <c r="S570" s="4">
        <f t="shared" ca="1" si="77"/>
        <v>-5.5308316376514632</v>
      </c>
    </row>
    <row r="571" spans="15:19" x14ac:dyDescent="0.2">
      <c r="O571" s="4">
        <f t="shared" ca="1" si="73"/>
        <v>0.28459767414672144</v>
      </c>
      <c r="P571" s="4">
        <f t="shared" ca="1" si="74"/>
        <v>-0.56923694989416085</v>
      </c>
      <c r="Q571" s="4">
        <f t="shared" ca="1" si="75"/>
        <v>1934.0050292128458</v>
      </c>
      <c r="R571" s="4">
        <f t="shared" ca="1" si="76"/>
        <v>10.334985212845822</v>
      </c>
      <c r="S571" s="4">
        <f t="shared" ca="1" si="77"/>
        <v>5.2751505902541407</v>
      </c>
    </row>
    <row r="572" spans="15:19" x14ac:dyDescent="0.2">
      <c r="O572" s="4">
        <f t="shared" ca="1" si="73"/>
        <v>0.43196746043241752</v>
      </c>
      <c r="P572" s="4">
        <f t="shared" ca="1" si="74"/>
        <v>-0.17136735642512257</v>
      </c>
      <c r="Q572" s="4">
        <f t="shared" ca="1" si="75"/>
        <v>1926.4977585288777</v>
      </c>
      <c r="R572" s="4">
        <f t="shared" ca="1" si="76"/>
        <v>2.8277145288777774</v>
      </c>
      <c r="S572" s="4">
        <f t="shared" ca="1" si="77"/>
        <v>1.4346717048101472</v>
      </c>
    </row>
    <row r="573" spans="15:19" x14ac:dyDescent="0.2">
      <c r="O573" s="4">
        <f t="shared" ca="1" si="73"/>
        <v>5.4910440517862757E-2</v>
      </c>
      <c r="P573" s="4">
        <f t="shared" ca="1" si="74"/>
        <v>-1.5989987468947455</v>
      </c>
      <c r="Q573" s="4">
        <f t="shared" ca="1" si="75"/>
        <v>1953.4352663483069</v>
      </c>
      <c r="R573" s="4">
        <f t="shared" ca="1" si="76"/>
        <v>29.765222348306906</v>
      </c>
      <c r="S573" s="4">
        <f t="shared" ca="1" si="77"/>
        <v>15.428097595874112</v>
      </c>
    </row>
    <row r="574" spans="15:19" x14ac:dyDescent="0.2">
      <c r="O574" s="4">
        <f t="shared" ca="1" si="73"/>
        <v>0.40322985481914453</v>
      </c>
      <c r="P574" s="4">
        <f t="shared" ca="1" si="74"/>
        <v>-0.2449957661064672</v>
      </c>
      <c r="Q574" s="4">
        <f t="shared" ca="1" si="75"/>
        <v>1927.8870288088419</v>
      </c>
      <c r="R574" s="4">
        <f t="shared" ca="1" si="76"/>
        <v>4.2169848088419712</v>
      </c>
      <c r="S574" s="4">
        <f t="shared" ca="1" si="77"/>
        <v>2.1419179113191191</v>
      </c>
    </row>
    <row r="575" spans="15:19" x14ac:dyDescent="0.2">
      <c r="O575" s="4">
        <f t="shared" ca="1" si="73"/>
        <v>0.2346354538204235</v>
      </c>
      <c r="P575" s="4">
        <f t="shared" ca="1" si="74"/>
        <v>-0.72366584337296291</v>
      </c>
      <c r="Q575" s="4">
        <f t="shared" ca="1" si="75"/>
        <v>1936.9188972836951</v>
      </c>
      <c r="R575" s="4">
        <f t="shared" ca="1" si="76"/>
        <v>13.248853283695098</v>
      </c>
      <c r="S575" s="4">
        <f t="shared" ca="1" si="77"/>
        <v>6.7781530249371231</v>
      </c>
    </row>
    <row r="576" spans="15:19" x14ac:dyDescent="0.2">
      <c r="O576" s="4">
        <f t="shared" ca="1" si="73"/>
        <v>0.46538379694906651</v>
      </c>
      <c r="P576" s="4">
        <f t="shared" ca="1" si="74"/>
        <v>-8.6879123374641307E-2</v>
      </c>
      <c r="Q576" s="4">
        <f t="shared" ca="1" si="75"/>
        <v>1924.903577808532</v>
      </c>
      <c r="R576" s="4">
        <f t="shared" ca="1" si="76"/>
        <v>1.2335338085320018</v>
      </c>
      <c r="S576" s="4">
        <f t="shared" ca="1" si="77"/>
        <v>0.62504629506250353</v>
      </c>
    </row>
    <row r="577" spans="15:19" x14ac:dyDescent="0.2">
      <c r="O577" s="4">
        <f t="shared" ca="1" si="73"/>
        <v>0.78427214629508413</v>
      </c>
      <c r="P577" s="4">
        <f t="shared" ca="1" si="74"/>
        <v>0.786703068477139</v>
      </c>
      <c r="Q577" s="4">
        <f t="shared" ca="1" si="75"/>
        <v>1908.4202423474223</v>
      </c>
      <c r="R577" s="4">
        <f t="shared" ca="1" si="76"/>
        <v>-15.249801652577617</v>
      </c>
      <c r="S577" s="4">
        <f t="shared" ca="1" si="77"/>
        <v>-7.6249323926794688</v>
      </c>
    </row>
    <row r="578" spans="15:19" x14ac:dyDescent="0.2">
      <c r="O578" s="4">
        <f t="shared" ca="1" si="73"/>
        <v>0.15445992182328416</v>
      </c>
      <c r="P578" s="4">
        <f t="shared" ca="1" si="74"/>
        <v>-1.0174911428103874</v>
      </c>
      <c r="Q578" s="4">
        <f t="shared" ca="1" si="75"/>
        <v>1942.4629903556033</v>
      </c>
      <c r="R578" s="4">
        <f t="shared" ca="1" si="76"/>
        <v>18.792946355603362</v>
      </c>
      <c r="S578" s="4">
        <f t="shared" ca="1" si="77"/>
        <v>9.6569401260441445</v>
      </c>
    </row>
    <row r="579" spans="15:19" x14ac:dyDescent="0.2">
      <c r="O579" s="4">
        <f t="shared" ref="O579:O642" ca="1" si="78">RAND()</f>
        <v>0.52893292008737214</v>
      </c>
      <c r="P579" s="4">
        <f t="shared" ref="P579:P642" ca="1" si="79">NORMSINV(O579)</f>
        <v>7.2587769178905165E-2</v>
      </c>
      <c r="Q579" s="4">
        <f t="shared" ref="Q579:Q642" ca="1" si="80">$B$4*(1+$B$17-$B$32*P579)</f>
        <v>1921.8946493878084</v>
      </c>
      <c r="R579" s="4">
        <f t="shared" ref="R579:R642" ca="1" si="81">Q579-$B$4</f>
        <v>-1.775394612191576</v>
      </c>
      <c r="S579" s="4">
        <f t="shared" ref="S579:S642" ca="1" si="82">R579*$B$12+0.5*$B$13*R579^2</f>
        <v>-0.8974390497186312</v>
      </c>
    </row>
    <row r="580" spans="15:19" x14ac:dyDescent="0.2">
      <c r="O580" s="4">
        <f t="shared" ca="1" si="78"/>
        <v>9.9572312076336544E-2</v>
      </c>
      <c r="P580" s="4">
        <f t="shared" ca="1" si="79"/>
        <v>-1.2839923728214473</v>
      </c>
      <c r="Q580" s="4">
        <f t="shared" ca="1" si="80"/>
        <v>1947.4915145357484</v>
      </c>
      <c r="R580" s="4">
        <f t="shared" ca="1" si="81"/>
        <v>23.821470535748404</v>
      </c>
      <c r="S580" s="4">
        <f t="shared" ca="1" si="82"/>
        <v>12.289658217854798</v>
      </c>
    </row>
    <row r="581" spans="15:19" x14ac:dyDescent="0.2">
      <c r="O581" s="4">
        <f t="shared" ca="1" si="78"/>
        <v>0.46266735746142418</v>
      </c>
      <c r="P581" s="4">
        <f t="shared" ca="1" si="79"/>
        <v>-9.3716056812251466E-2</v>
      </c>
      <c r="Q581" s="4">
        <f t="shared" ca="1" si="80"/>
        <v>1925.0325816600625</v>
      </c>
      <c r="R581" s="4">
        <f t="shared" ca="1" si="81"/>
        <v>1.3625376600625714</v>
      </c>
      <c r="S581" s="4">
        <f t="shared" ca="1" si="82"/>
        <v>0.69048563708157384</v>
      </c>
    </row>
    <row r="582" spans="15:19" x14ac:dyDescent="0.2">
      <c r="O582" s="4">
        <f t="shared" ca="1" si="78"/>
        <v>0.91471266391045125</v>
      </c>
      <c r="P582" s="4">
        <f t="shared" ca="1" si="79"/>
        <v>1.370359614731725</v>
      </c>
      <c r="Q582" s="4">
        <f t="shared" ca="1" si="80"/>
        <v>1897.4074186707012</v>
      </c>
      <c r="R582" s="4">
        <f t="shared" ca="1" si="81"/>
        <v>-26.262625329298771</v>
      </c>
      <c r="S582" s="4">
        <f t="shared" ca="1" si="82"/>
        <v>-13.013632160772424</v>
      </c>
    </row>
    <row r="583" spans="15:19" x14ac:dyDescent="0.2">
      <c r="O583" s="4">
        <f t="shared" ca="1" si="78"/>
        <v>0.23500473756252072</v>
      </c>
      <c r="P583" s="4">
        <f t="shared" ca="1" si="79"/>
        <v>-0.7224636353454722</v>
      </c>
      <c r="Q583" s="4">
        <f t="shared" ca="1" si="80"/>
        <v>1936.8962132152742</v>
      </c>
      <c r="R583" s="4">
        <f t="shared" ca="1" si="81"/>
        <v>13.22616921527424</v>
      </c>
      <c r="S583" s="4">
        <f t="shared" ca="1" si="82"/>
        <v>6.7664256573226131</v>
      </c>
    </row>
    <row r="584" spans="15:19" x14ac:dyDescent="0.2">
      <c r="O584" s="4">
        <f t="shared" ca="1" si="78"/>
        <v>0.88470269828336601</v>
      </c>
      <c r="P584" s="4">
        <f t="shared" ca="1" si="79"/>
        <v>1.1988285894447579</v>
      </c>
      <c r="Q584" s="4">
        <f t="shared" ca="1" si="80"/>
        <v>1900.643981249661</v>
      </c>
      <c r="R584" s="4">
        <f t="shared" ca="1" si="81"/>
        <v>-23.026062750338951</v>
      </c>
      <c r="S584" s="4">
        <f t="shared" ca="1" si="82"/>
        <v>-11.440190575602905</v>
      </c>
    </row>
    <row r="585" spans="15:19" x14ac:dyDescent="0.2">
      <c r="O585" s="4">
        <f t="shared" ca="1" si="78"/>
        <v>0.8544250981938345</v>
      </c>
      <c r="P585" s="4">
        <f t="shared" ca="1" si="79"/>
        <v>1.0556026195761525</v>
      </c>
      <c r="Q585" s="4">
        <f t="shared" ca="1" si="80"/>
        <v>1903.3464650343667</v>
      </c>
      <c r="R585" s="4">
        <f t="shared" ca="1" si="81"/>
        <v>-20.32357896563326</v>
      </c>
      <c r="S585" s="4">
        <f t="shared" ca="1" si="82"/>
        <v>-10.119855666574868</v>
      </c>
    </row>
    <row r="586" spans="15:19" x14ac:dyDescent="0.2">
      <c r="O586" s="4">
        <f t="shared" ca="1" si="78"/>
        <v>0.20016861763341232</v>
      </c>
      <c r="P586" s="4">
        <f t="shared" ca="1" si="79"/>
        <v>-0.84101909839036859</v>
      </c>
      <c r="Q586" s="4">
        <f t="shared" ca="1" si="80"/>
        <v>1939.1331973094368</v>
      </c>
      <c r="R586" s="4">
        <f t="shared" ca="1" si="81"/>
        <v>15.463153309436848</v>
      </c>
      <c r="S586" s="4">
        <f t="shared" ca="1" si="82"/>
        <v>7.9249336257449796</v>
      </c>
    </row>
    <row r="587" spans="15:19" x14ac:dyDescent="0.2">
      <c r="O587" s="4">
        <f t="shared" ca="1" si="78"/>
        <v>0.22436271706508948</v>
      </c>
      <c r="P587" s="4">
        <f t="shared" ca="1" si="79"/>
        <v>-0.75754163131626906</v>
      </c>
      <c r="Q587" s="4">
        <f t="shared" ca="1" si="80"/>
        <v>1937.5580884003261</v>
      </c>
      <c r="R587" s="4">
        <f t="shared" ca="1" si="81"/>
        <v>13.88804440032618</v>
      </c>
      <c r="S587" s="4">
        <f t="shared" ca="1" si="82"/>
        <v>7.1087787149791515</v>
      </c>
    </row>
    <row r="588" spans="15:19" x14ac:dyDescent="0.2">
      <c r="O588" s="4">
        <f t="shared" ca="1" si="78"/>
        <v>0.98270228821482652</v>
      </c>
      <c r="P588" s="4">
        <f t="shared" ca="1" si="79"/>
        <v>2.1130624442654025</v>
      </c>
      <c r="Q588" s="4">
        <f t="shared" ca="1" si="80"/>
        <v>1883.3936029115125</v>
      </c>
      <c r="R588" s="4">
        <f t="shared" ca="1" si="81"/>
        <v>-40.276441088487445</v>
      </c>
      <c r="S588" s="4">
        <f t="shared" ca="1" si="82"/>
        <v>-19.727984660868302</v>
      </c>
    </row>
    <row r="589" spans="15:19" x14ac:dyDescent="0.2">
      <c r="O589" s="4">
        <f t="shared" ca="1" si="78"/>
        <v>0.68112460859073942</v>
      </c>
      <c r="P589" s="4">
        <f t="shared" ca="1" si="79"/>
        <v>0.47084590158910317</v>
      </c>
      <c r="Q589" s="4">
        <f t="shared" ca="1" si="80"/>
        <v>1914.38004749017</v>
      </c>
      <c r="R589" s="4">
        <f t="shared" ca="1" si="81"/>
        <v>-9.2899965098299617</v>
      </c>
      <c r="S589" s="4">
        <f t="shared" ca="1" si="82"/>
        <v>-4.6675555111462979</v>
      </c>
    </row>
    <row r="590" spans="15:19" x14ac:dyDescent="0.2">
      <c r="O590" s="4">
        <f t="shared" ca="1" si="78"/>
        <v>5.9140869755635039E-3</v>
      </c>
      <c r="P590" s="4">
        <f t="shared" ca="1" si="79"/>
        <v>-2.5172295472328567</v>
      </c>
      <c r="Q590" s="4">
        <f t="shared" ca="1" si="80"/>
        <v>1970.7610617386788</v>
      </c>
      <c r="R590" s="4">
        <f t="shared" ca="1" si="81"/>
        <v>47.091017738678829</v>
      </c>
      <c r="S590" s="4">
        <f t="shared" ca="1" si="82"/>
        <v>24.740636472199554</v>
      </c>
    </row>
    <row r="591" spans="15:19" x14ac:dyDescent="0.2">
      <c r="O591" s="4">
        <f t="shared" ca="1" si="78"/>
        <v>0.29805945391468003</v>
      </c>
      <c r="P591" s="4">
        <f t="shared" ca="1" si="79"/>
        <v>-0.52998993701955466</v>
      </c>
      <c r="Q591" s="4">
        <f t="shared" ca="1" si="80"/>
        <v>1933.2644902170964</v>
      </c>
      <c r="R591" s="4">
        <f t="shared" ca="1" si="81"/>
        <v>9.5944462170964471</v>
      </c>
      <c r="S591" s="4">
        <f t="shared" ca="1" si="82"/>
        <v>4.8942747573241876</v>
      </c>
    </row>
    <row r="592" spans="15:19" x14ac:dyDescent="0.2">
      <c r="O592" s="4">
        <f t="shared" ca="1" si="78"/>
        <v>1.5730636288637134E-2</v>
      </c>
      <c r="P592" s="4">
        <f t="shared" ca="1" si="79"/>
        <v>-2.1511891563804215</v>
      </c>
      <c r="Q592" s="4">
        <f t="shared" ca="1" si="80"/>
        <v>1963.8543658249869</v>
      </c>
      <c r="R592" s="4">
        <f t="shared" ca="1" si="81"/>
        <v>40.18432182498691</v>
      </c>
      <c r="S592" s="4">
        <f t="shared" ca="1" si="82"/>
        <v>20.999024440005876</v>
      </c>
    </row>
    <row r="593" spans="15:19" x14ac:dyDescent="0.2">
      <c r="O593" s="4">
        <f t="shared" ca="1" si="78"/>
        <v>0.59162704840734193</v>
      </c>
      <c r="P593" s="4">
        <f t="shared" ca="1" si="79"/>
        <v>0.2317323504582732</v>
      </c>
      <c r="Q593" s="4">
        <f t="shared" ca="1" si="80"/>
        <v>1918.8918025526582</v>
      </c>
      <c r="R593" s="4">
        <f t="shared" ca="1" si="81"/>
        <v>-4.7782414473417703</v>
      </c>
      <c r="S593" s="4">
        <f t="shared" ca="1" si="82"/>
        <v>-2.4094985848630541</v>
      </c>
    </row>
    <row r="594" spans="15:19" x14ac:dyDescent="0.2">
      <c r="O594" s="4">
        <f t="shared" ca="1" si="78"/>
        <v>0.90388826563506219</v>
      </c>
      <c r="P594" s="4">
        <f t="shared" ca="1" si="79"/>
        <v>1.3040296631041615</v>
      </c>
      <c r="Q594" s="4">
        <f t="shared" ca="1" si="80"/>
        <v>1898.658976742734</v>
      </c>
      <c r="R594" s="4">
        <f t="shared" ca="1" si="81"/>
        <v>-25.01106725726595</v>
      </c>
      <c r="S594" s="4">
        <f t="shared" ca="1" si="82"/>
        <v>-12.406203653733066</v>
      </c>
    </row>
    <row r="595" spans="15:19" x14ac:dyDescent="0.2">
      <c r="O595" s="4">
        <f t="shared" ca="1" si="78"/>
        <v>6.6345588895090235E-2</v>
      </c>
      <c r="P595" s="4">
        <f t="shared" ca="1" si="79"/>
        <v>-1.5035736588102653</v>
      </c>
      <c r="Q595" s="4">
        <f t="shared" ca="1" si="80"/>
        <v>1951.6347217023956</v>
      </c>
      <c r="R595" s="4">
        <f t="shared" ca="1" si="81"/>
        <v>27.964677702395647</v>
      </c>
      <c r="S595" s="4">
        <f t="shared" ca="1" si="82"/>
        <v>14.474331342447215</v>
      </c>
    </row>
    <row r="596" spans="15:19" x14ac:dyDescent="0.2">
      <c r="O596" s="4">
        <f t="shared" ca="1" si="78"/>
        <v>0.31525840363229707</v>
      </c>
      <c r="P596" s="4">
        <f t="shared" ca="1" si="79"/>
        <v>-0.48099956587567394</v>
      </c>
      <c r="Q596" s="4">
        <f t="shared" ca="1" si="80"/>
        <v>1932.3401069942458</v>
      </c>
      <c r="R596" s="4">
        <f t="shared" ca="1" si="81"/>
        <v>8.6700629942458818</v>
      </c>
      <c r="S596" s="4">
        <f t="shared" ca="1" si="82"/>
        <v>4.4194702007081954</v>
      </c>
    </row>
    <row r="597" spans="15:19" x14ac:dyDescent="0.2">
      <c r="O597" s="4">
        <f t="shared" ca="1" si="78"/>
        <v>0.31001196771047235</v>
      </c>
      <c r="P597" s="4">
        <f t="shared" ca="1" si="79"/>
        <v>-0.49581642492802835</v>
      </c>
      <c r="Q597" s="4">
        <f t="shared" ca="1" si="80"/>
        <v>1932.6196814412961</v>
      </c>
      <c r="R597" s="4">
        <f t="shared" ca="1" si="81"/>
        <v>8.9496374412960904</v>
      </c>
      <c r="S597" s="4">
        <f t="shared" ca="1" si="82"/>
        <v>4.5629987545461148</v>
      </c>
    </row>
    <row r="598" spans="15:19" x14ac:dyDescent="0.2">
      <c r="O598" s="4">
        <f t="shared" ca="1" si="78"/>
        <v>0.84980426070403392</v>
      </c>
      <c r="P598" s="4">
        <f t="shared" ca="1" si="79"/>
        <v>1.0355942436714145</v>
      </c>
      <c r="Q598" s="4">
        <f t="shared" ca="1" si="80"/>
        <v>1903.723996507817</v>
      </c>
      <c r="R598" s="4">
        <f t="shared" ca="1" si="81"/>
        <v>-19.94604749218297</v>
      </c>
      <c r="S598" s="4">
        <f t="shared" ca="1" si="82"/>
        <v>-9.9349342311962463</v>
      </c>
    </row>
    <row r="599" spans="15:19" x14ac:dyDescent="0.2">
      <c r="O599" s="4">
        <f t="shared" ca="1" si="78"/>
        <v>0.864441357016284</v>
      </c>
      <c r="P599" s="4">
        <f t="shared" ca="1" si="79"/>
        <v>1.1004932110845622</v>
      </c>
      <c r="Q599" s="4">
        <f t="shared" ca="1" si="80"/>
        <v>1902.4994392069373</v>
      </c>
      <c r="R599" s="4">
        <f t="shared" ca="1" si="81"/>
        <v>-21.170604793062694</v>
      </c>
      <c r="S599" s="4">
        <f t="shared" ca="1" si="82"/>
        <v>-10.534321319255305</v>
      </c>
    </row>
    <row r="600" spans="15:19" x14ac:dyDescent="0.2">
      <c r="O600" s="4">
        <f t="shared" ca="1" si="78"/>
        <v>0.26707290176908505</v>
      </c>
      <c r="P600" s="4">
        <f t="shared" ca="1" si="79"/>
        <v>-0.62168988573595341</v>
      </c>
      <c r="Q600" s="4">
        <f t="shared" ca="1" si="80"/>
        <v>1934.9947464317461</v>
      </c>
      <c r="R600" s="4">
        <f t="shared" ca="1" si="81"/>
        <v>11.324702431746118</v>
      </c>
      <c r="S600" s="4">
        <f t="shared" ca="1" si="82"/>
        <v>5.7848814697255584</v>
      </c>
    </row>
    <row r="601" spans="15:19" x14ac:dyDescent="0.2">
      <c r="O601" s="4">
        <f t="shared" ca="1" si="78"/>
        <v>4.5466832896563836E-2</v>
      </c>
      <c r="P601" s="4">
        <f t="shared" ca="1" si="79"/>
        <v>-1.6904930551029442</v>
      </c>
      <c r="Q601" s="4">
        <f t="shared" ca="1" si="80"/>
        <v>1955.1616423997477</v>
      </c>
      <c r="R601" s="4">
        <f t="shared" ca="1" si="81"/>
        <v>31.491598399747772</v>
      </c>
      <c r="S601" s="4">
        <f t="shared" ca="1" si="82"/>
        <v>16.345054573073593</v>
      </c>
    </row>
    <row r="602" spans="15:19" x14ac:dyDescent="0.2">
      <c r="O602" s="4">
        <f t="shared" ca="1" si="78"/>
        <v>0.88699051890920633</v>
      </c>
      <c r="P602" s="4">
        <f t="shared" ca="1" si="79"/>
        <v>1.2106776740875236</v>
      </c>
      <c r="Q602" s="4">
        <f t="shared" ca="1" si="80"/>
        <v>1900.4204047632174</v>
      </c>
      <c r="R602" s="4">
        <f t="shared" ca="1" si="81"/>
        <v>-23.249639236782514</v>
      </c>
      <c r="S602" s="4">
        <f t="shared" ca="1" si="82"/>
        <v>-11.549155580075567</v>
      </c>
    </row>
    <row r="603" spans="15:19" x14ac:dyDescent="0.2">
      <c r="O603" s="4">
        <f t="shared" ca="1" si="78"/>
        <v>0.37019996041261483</v>
      </c>
      <c r="P603" s="4">
        <f t="shared" ca="1" si="79"/>
        <v>-0.33132379333672402</v>
      </c>
      <c r="Q603" s="4">
        <f t="shared" ca="1" si="80"/>
        <v>1929.5159240013088</v>
      </c>
      <c r="R603" s="4">
        <f t="shared" ca="1" si="81"/>
        <v>5.8458800013088421</v>
      </c>
      <c r="S603" s="4">
        <f t="shared" ca="1" si="82"/>
        <v>2.9731530276330496</v>
      </c>
    </row>
    <row r="604" spans="15:19" x14ac:dyDescent="0.2">
      <c r="O604" s="4">
        <f t="shared" ca="1" si="78"/>
        <v>0.15031595593655878</v>
      </c>
      <c r="P604" s="4">
        <f t="shared" ca="1" si="79"/>
        <v>-1.0350792291667392</v>
      </c>
      <c r="Q604" s="4">
        <f t="shared" ca="1" si="80"/>
        <v>1942.7948541804783</v>
      </c>
      <c r="R604" s="4">
        <f t="shared" ca="1" si="81"/>
        <v>19.124810180478335</v>
      </c>
      <c r="S604" s="4">
        <f t="shared" ca="1" si="82"/>
        <v>9.8300552132827299</v>
      </c>
    </row>
    <row r="605" spans="15:19" x14ac:dyDescent="0.2">
      <c r="O605" s="4">
        <f t="shared" ca="1" si="78"/>
        <v>0.5385466049900276</v>
      </c>
      <c r="P605" s="4">
        <f t="shared" ca="1" si="79"/>
        <v>9.6772844025894186E-2</v>
      </c>
      <c r="Q605" s="4">
        <f t="shared" ca="1" si="80"/>
        <v>1921.4383091538002</v>
      </c>
      <c r="R605" s="4">
        <f t="shared" ca="1" si="81"/>
        <v>-2.2317348461997426</v>
      </c>
      <c r="S605" s="4">
        <f t="shared" ca="1" si="82"/>
        <v>-1.1276985733371814</v>
      </c>
    </row>
    <row r="606" spans="15:19" x14ac:dyDescent="0.2">
      <c r="O606" s="4">
        <f t="shared" ca="1" si="78"/>
        <v>0.95719947288387486</v>
      </c>
      <c r="P606" s="4">
        <f t="shared" ca="1" si="79"/>
        <v>1.7190731438609674</v>
      </c>
      <c r="Q606" s="4">
        <f t="shared" ca="1" si="80"/>
        <v>1890.8276576200774</v>
      </c>
      <c r="R606" s="4">
        <f t="shared" ca="1" si="81"/>
        <v>-32.842386379922573</v>
      </c>
      <c r="S606" s="4">
        <f t="shared" ca="1" si="82"/>
        <v>-16.186063711512436</v>
      </c>
    </row>
    <row r="607" spans="15:19" x14ac:dyDescent="0.2">
      <c r="O607" s="4">
        <f t="shared" ca="1" si="78"/>
        <v>0.42292466716752619</v>
      </c>
      <c r="P607" s="4">
        <f t="shared" ca="1" si="79"/>
        <v>-0.19441705806849802</v>
      </c>
      <c r="Q607" s="4">
        <f t="shared" ca="1" si="80"/>
        <v>1926.9326757788058</v>
      </c>
      <c r="R607" s="4">
        <f t="shared" ca="1" si="81"/>
        <v>3.2626317788058259</v>
      </c>
      <c r="S607" s="4">
        <f t="shared" ca="1" si="82"/>
        <v>1.6559093203055237</v>
      </c>
    </row>
    <row r="608" spans="15:19" x14ac:dyDescent="0.2">
      <c r="O608" s="4">
        <f t="shared" ca="1" si="78"/>
        <v>0.62120213652443756</v>
      </c>
      <c r="P608" s="4">
        <f t="shared" ca="1" si="79"/>
        <v>0.30863955678505195</v>
      </c>
      <c r="Q608" s="4">
        <f t="shared" ca="1" si="80"/>
        <v>1917.4406657356703</v>
      </c>
      <c r="R608" s="4">
        <f t="shared" ca="1" si="81"/>
        <v>-6.2293782643296254</v>
      </c>
      <c r="S608" s="4">
        <f t="shared" ca="1" si="82"/>
        <v>-3.137575909760677</v>
      </c>
    </row>
    <row r="609" spans="15:19" x14ac:dyDescent="0.2">
      <c r="O609" s="4">
        <f t="shared" ca="1" si="78"/>
        <v>0.95391254533467629</v>
      </c>
      <c r="P609" s="4">
        <f t="shared" ca="1" si="79"/>
        <v>1.6840349767634117</v>
      </c>
      <c r="Q609" s="4">
        <f t="shared" ca="1" si="80"/>
        <v>1891.4887812872016</v>
      </c>
      <c r="R609" s="4">
        <f t="shared" ca="1" si="81"/>
        <v>-32.181262712798343</v>
      </c>
      <c r="S609" s="4">
        <f t="shared" ca="1" si="82"/>
        <v>-15.868895801541251</v>
      </c>
    </row>
    <row r="610" spans="15:19" x14ac:dyDescent="0.2">
      <c r="O610" s="4">
        <f t="shared" ca="1" si="78"/>
        <v>0.21964663824921338</v>
      </c>
      <c r="P610" s="4">
        <f t="shared" ca="1" si="79"/>
        <v>-0.77338717708974003</v>
      </c>
      <c r="Q610" s="4">
        <f t="shared" ca="1" si="80"/>
        <v>1937.8570727992583</v>
      </c>
      <c r="R610" s="4">
        <f t="shared" ca="1" si="81"/>
        <v>14.187028799258314</v>
      </c>
      <c r="S610" s="4">
        <f t="shared" ca="1" si="82"/>
        <v>7.263544488940342</v>
      </c>
    </row>
    <row r="611" spans="15:19" x14ac:dyDescent="0.2">
      <c r="O611" s="4">
        <f t="shared" ca="1" si="78"/>
        <v>0.6612895742774817</v>
      </c>
      <c r="P611" s="4">
        <f t="shared" ca="1" si="79"/>
        <v>0.41598517495260973</v>
      </c>
      <c r="Q611" s="4">
        <f t="shared" ca="1" si="80"/>
        <v>1915.4151965227675</v>
      </c>
      <c r="R611" s="4">
        <f t="shared" ca="1" si="81"/>
        <v>-8.254847477232488</v>
      </c>
      <c r="S611" s="4">
        <f t="shared" ca="1" si="82"/>
        <v>-4.1509459309137071</v>
      </c>
    </row>
    <row r="612" spans="15:19" x14ac:dyDescent="0.2">
      <c r="O612" s="4">
        <f t="shared" ca="1" si="78"/>
        <v>9.6125707367163415E-2</v>
      </c>
      <c r="P612" s="4">
        <f t="shared" ca="1" si="79"/>
        <v>-1.3039477008497082</v>
      </c>
      <c r="Q612" s="4">
        <f t="shared" ca="1" si="80"/>
        <v>1947.8680450662403</v>
      </c>
      <c r="R612" s="4">
        <f t="shared" ca="1" si="81"/>
        <v>24.198001066240295</v>
      </c>
      <c r="S612" s="4">
        <f t="shared" ca="1" si="82"/>
        <v>12.487621796553452</v>
      </c>
    </row>
    <row r="613" spans="15:19" x14ac:dyDescent="0.2">
      <c r="O613" s="4">
        <f t="shared" ca="1" si="78"/>
        <v>0.34224566732320172</v>
      </c>
      <c r="P613" s="4">
        <f t="shared" ca="1" si="79"/>
        <v>-0.40634199291060824</v>
      </c>
      <c r="Q613" s="4">
        <f t="shared" ca="1" si="80"/>
        <v>1930.9314177702965</v>
      </c>
      <c r="R613" s="4">
        <f t="shared" ca="1" si="81"/>
        <v>7.2613737702965864</v>
      </c>
      <c r="S613" s="4">
        <f t="shared" ca="1" si="82"/>
        <v>3.6972422895528103</v>
      </c>
    </row>
    <row r="614" spans="15:19" x14ac:dyDescent="0.2">
      <c r="O614" s="4">
        <f t="shared" ca="1" si="78"/>
        <v>0.81794762760129403</v>
      </c>
      <c r="P614" s="4">
        <f t="shared" ca="1" si="79"/>
        <v>0.90757133493619857</v>
      </c>
      <c r="Q614" s="4">
        <f t="shared" ca="1" si="80"/>
        <v>1906.1396187252485</v>
      </c>
      <c r="R614" s="4">
        <f t="shared" ca="1" si="81"/>
        <v>-17.530425274751451</v>
      </c>
      <c r="S614" s="4">
        <f t="shared" ca="1" si="82"/>
        <v>-8.7489741739778779</v>
      </c>
    </row>
    <row r="615" spans="15:19" x14ac:dyDescent="0.2">
      <c r="O615" s="4">
        <f t="shared" ca="1" si="78"/>
        <v>0.17643946477324723</v>
      </c>
      <c r="P615" s="4">
        <f t="shared" ca="1" si="79"/>
        <v>-0.92901959869301154</v>
      </c>
      <c r="Q615" s="4">
        <f t="shared" ca="1" si="80"/>
        <v>1940.7936498470042</v>
      </c>
      <c r="R615" s="4">
        <f t="shared" ca="1" si="81"/>
        <v>17.123605847004228</v>
      </c>
      <c r="S615" s="4">
        <f t="shared" ca="1" si="82"/>
        <v>8.7874969780976571</v>
      </c>
    </row>
    <row r="616" spans="15:19" x14ac:dyDescent="0.2">
      <c r="O616" s="4">
        <f t="shared" ca="1" si="78"/>
        <v>0.84783815964656517</v>
      </c>
      <c r="P616" s="4">
        <f t="shared" ca="1" si="79"/>
        <v>1.0272055597301153</v>
      </c>
      <c r="Q616" s="4">
        <f t="shared" ca="1" si="80"/>
        <v>1903.8822798299491</v>
      </c>
      <c r="R616" s="4">
        <f t="shared" ca="1" si="81"/>
        <v>-19.787764170050878</v>
      </c>
      <c r="S616" s="4">
        <f t="shared" ca="1" si="82"/>
        <v>-9.8573698028195817</v>
      </c>
    </row>
    <row r="617" spans="15:19" x14ac:dyDescent="0.2">
      <c r="O617" s="4">
        <f t="shared" ca="1" si="78"/>
        <v>0.68021096194903219</v>
      </c>
      <c r="P617" s="4">
        <f t="shared" ca="1" si="79"/>
        <v>0.46828880081778701</v>
      </c>
      <c r="Q617" s="4">
        <f t="shared" ca="1" si="80"/>
        <v>1914.4282965847767</v>
      </c>
      <c r="R617" s="4">
        <f t="shared" ca="1" si="81"/>
        <v>-9.2417474152232444</v>
      </c>
      <c r="S617" s="4">
        <f t="shared" ca="1" si="82"/>
        <v>-4.6434953236839513</v>
      </c>
    </row>
    <row r="618" spans="15:19" x14ac:dyDescent="0.2">
      <c r="O618" s="4">
        <f t="shared" ca="1" si="78"/>
        <v>0.60838274725142494</v>
      </c>
      <c r="P618" s="4">
        <f t="shared" ca="1" si="79"/>
        <v>0.27510638600068527</v>
      </c>
      <c r="Q618" s="4">
        <f t="shared" ca="1" si="80"/>
        <v>1918.0733921216577</v>
      </c>
      <c r="R618" s="4">
        <f t="shared" ca="1" si="81"/>
        <v>-5.5966518783422998</v>
      </c>
      <c r="S618" s="4">
        <f t="shared" ca="1" si="82"/>
        <v>-2.8203295686843726</v>
      </c>
    </row>
    <row r="619" spans="15:19" x14ac:dyDescent="0.2">
      <c r="O619" s="4">
        <f t="shared" ca="1" si="78"/>
        <v>0.44576150647461321</v>
      </c>
      <c r="P619" s="4">
        <f t="shared" ca="1" si="79"/>
        <v>-0.1363773063647826</v>
      </c>
      <c r="Q619" s="4">
        <f t="shared" ca="1" si="80"/>
        <v>1925.8375427663254</v>
      </c>
      <c r="R619" s="4">
        <f t="shared" ca="1" si="81"/>
        <v>2.1674987663254797</v>
      </c>
      <c r="S619" s="4">
        <f t="shared" ca="1" si="82"/>
        <v>1.0991215379025729</v>
      </c>
    </row>
    <row r="620" spans="15:19" x14ac:dyDescent="0.2">
      <c r="O620" s="4">
        <f t="shared" ca="1" si="78"/>
        <v>0.7738341576275316</v>
      </c>
      <c r="P620" s="4">
        <f t="shared" ca="1" si="79"/>
        <v>0.75153343813578888</v>
      </c>
      <c r="Q620" s="4">
        <f t="shared" ca="1" si="80"/>
        <v>1909.0838465513159</v>
      </c>
      <c r="R620" s="4">
        <f t="shared" ca="1" si="81"/>
        <v>-14.586197448684061</v>
      </c>
      <c r="S620" s="4">
        <f t="shared" ca="1" si="82"/>
        <v>-7.297069128182156</v>
      </c>
    </row>
    <row r="621" spans="15:19" x14ac:dyDescent="0.2">
      <c r="O621" s="4">
        <f t="shared" ca="1" si="78"/>
        <v>0.16422790131947829</v>
      </c>
      <c r="P621" s="4">
        <f t="shared" ca="1" si="79"/>
        <v>-0.97722898252639678</v>
      </c>
      <c r="Q621" s="4">
        <f t="shared" ca="1" si="80"/>
        <v>1941.7032968767985</v>
      </c>
      <c r="R621" s="4">
        <f t="shared" ca="1" si="81"/>
        <v>18.033252876798542</v>
      </c>
      <c r="S621" s="4">
        <f t="shared" ca="1" si="82"/>
        <v>9.2609874235188787</v>
      </c>
    </row>
    <row r="622" spans="15:19" x14ac:dyDescent="0.2">
      <c r="O622" s="4">
        <f t="shared" ca="1" si="78"/>
        <v>0.82212450855182329</v>
      </c>
      <c r="P622" s="4">
        <f t="shared" ca="1" si="79"/>
        <v>0.92349177849252495</v>
      </c>
      <c r="Q622" s="4">
        <f t="shared" ca="1" si="80"/>
        <v>1905.839221104651</v>
      </c>
      <c r="R622" s="4">
        <f t="shared" ca="1" si="81"/>
        <v>-17.830822895349002</v>
      </c>
      <c r="S622" s="4">
        <f t="shared" ca="1" si="82"/>
        <v>-8.896714325576486</v>
      </c>
    </row>
    <row r="623" spans="15:19" x14ac:dyDescent="0.2">
      <c r="O623" s="4">
        <f t="shared" ca="1" si="78"/>
        <v>0.98240239482399261</v>
      </c>
      <c r="P623" s="4">
        <f t="shared" ca="1" si="79"/>
        <v>2.1061052563741938</v>
      </c>
      <c r="Q623" s="4">
        <f t="shared" ca="1" si="80"/>
        <v>1883.5248758048319</v>
      </c>
      <c r="R623" s="4">
        <f t="shared" ca="1" si="81"/>
        <v>-40.145168195168026</v>
      </c>
      <c r="S623" s="4">
        <f t="shared" ca="1" si="82"/>
        <v>-19.665830538468537</v>
      </c>
    </row>
    <row r="624" spans="15:19" x14ac:dyDescent="0.2">
      <c r="O624" s="4">
        <f t="shared" ca="1" si="78"/>
        <v>0.43357765155233052</v>
      </c>
      <c r="P624" s="4">
        <f t="shared" ca="1" si="79"/>
        <v>-0.16727292956309925</v>
      </c>
      <c r="Q624" s="4">
        <f t="shared" ca="1" si="80"/>
        <v>1926.4205021331807</v>
      </c>
      <c r="R624" s="4">
        <f t="shared" ca="1" si="81"/>
        <v>2.7504581331807003</v>
      </c>
      <c r="S624" s="4">
        <f t="shared" ca="1" si="82"/>
        <v>1.3953883343040201</v>
      </c>
    </row>
    <row r="625" spans="15:19" x14ac:dyDescent="0.2">
      <c r="O625" s="4">
        <f t="shared" ca="1" si="78"/>
        <v>0.42671041425572465</v>
      </c>
      <c r="P625" s="4">
        <f t="shared" ca="1" si="79"/>
        <v>-0.18475547988203042</v>
      </c>
      <c r="Q625" s="4">
        <f t="shared" ca="1" si="80"/>
        <v>1926.7503746332277</v>
      </c>
      <c r="R625" s="4">
        <f t="shared" ca="1" si="81"/>
        <v>3.0803306332277316</v>
      </c>
      <c r="S625" s="4">
        <f t="shared" ca="1" si="82"/>
        <v>1.5631559887128377</v>
      </c>
    </row>
    <row r="626" spans="15:19" x14ac:dyDescent="0.2">
      <c r="O626" s="4">
        <f t="shared" ca="1" si="78"/>
        <v>0.73595855523174614</v>
      </c>
      <c r="P626" s="4">
        <f t="shared" ca="1" si="79"/>
        <v>0.63093520837738959</v>
      </c>
      <c r="Q626" s="4">
        <f t="shared" ca="1" si="80"/>
        <v>1911.3593749396753</v>
      </c>
      <c r="R626" s="4">
        <f t="shared" ca="1" si="81"/>
        <v>-12.310669060324699</v>
      </c>
      <c r="S626" s="4">
        <f t="shared" ca="1" si="82"/>
        <v>-6.170088871744035</v>
      </c>
    </row>
    <row r="627" spans="15:19" x14ac:dyDescent="0.2">
      <c r="O627" s="4">
        <f t="shared" ca="1" si="78"/>
        <v>0.57000598210365061</v>
      </c>
      <c r="P627" s="4">
        <f t="shared" ca="1" si="79"/>
        <v>0.17638939476440635</v>
      </c>
      <c r="Q627" s="4">
        <f t="shared" ca="1" si="80"/>
        <v>1919.936050606957</v>
      </c>
      <c r="R627" s="4">
        <f t="shared" ca="1" si="81"/>
        <v>-3.7339933930429652</v>
      </c>
      <c r="S627" s="4">
        <f t="shared" ca="1" si="82"/>
        <v>-1.884508382866193</v>
      </c>
    </row>
    <row r="628" spans="15:19" x14ac:dyDescent="0.2">
      <c r="O628" s="4">
        <f t="shared" ca="1" si="78"/>
        <v>0.88848727736839306</v>
      </c>
      <c r="P628" s="4">
        <f t="shared" ca="1" si="79"/>
        <v>1.2185225910239832</v>
      </c>
      <c r="Q628" s="4">
        <f t="shared" ca="1" si="80"/>
        <v>1900.2723816021066</v>
      </c>
      <c r="R628" s="4">
        <f t="shared" ca="1" si="81"/>
        <v>-23.397662397893328</v>
      </c>
      <c r="S628" s="4">
        <f t="shared" ca="1" si="82"/>
        <v>-11.621275589521868</v>
      </c>
    </row>
    <row r="629" spans="15:19" x14ac:dyDescent="0.2">
      <c r="O629" s="4">
        <f t="shared" ca="1" si="78"/>
        <v>0.29474744474575154</v>
      </c>
      <c r="P629" s="4">
        <f t="shared" ca="1" si="79"/>
        <v>-0.53956814560270416</v>
      </c>
      <c r="Q629" s="4">
        <f t="shared" ca="1" si="80"/>
        <v>1933.4452182890111</v>
      </c>
      <c r="R629" s="4">
        <f t="shared" ca="1" si="81"/>
        <v>9.7751742890111473</v>
      </c>
      <c r="S629" s="4">
        <f t="shared" ca="1" si="82"/>
        <v>4.9871860779820363</v>
      </c>
    </row>
    <row r="630" spans="15:19" x14ac:dyDescent="0.2">
      <c r="O630" s="4">
        <f t="shared" ca="1" si="78"/>
        <v>0.513607135232515</v>
      </c>
      <c r="P630" s="4">
        <f t="shared" ca="1" si="79"/>
        <v>3.4114645911241089E-2</v>
      </c>
      <c r="Q630" s="4">
        <f t="shared" ca="1" si="80"/>
        <v>1922.6205861147389</v>
      </c>
      <c r="R630" s="4">
        <f t="shared" ca="1" si="81"/>
        <v>-1.049457885261063</v>
      </c>
      <c r="S630" s="4">
        <f t="shared" ca="1" si="82"/>
        <v>-0.53079753034318644</v>
      </c>
    </row>
    <row r="631" spans="15:19" x14ac:dyDescent="0.2">
      <c r="O631" s="4">
        <f t="shared" ca="1" si="78"/>
        <v>0.15769344608241476</v>
      </c>
      <c r="P631" s="4">
        <f t="shared" ca="1" si="79"/>
        <v>-1.0039828248804399</v>
      </c>
      <c r="Q631" s="4">
        <f t="shared" ca="1" si="80"/>
        <v>1942.2081063412181</v>
      </c>
      <c r="R631" s="4">
        <f t="shared" ca="1" si="81"/>
        <v>18.538062341218165</v>
      </c>
      <c r="S631" s="4">
        <f t="shared" ca="1" si="82"/>
        <v>9.5240420462247624</v>
      </c>
    </row>
    <row r="632" spans="15:19" x14ac:dyDescent="0.2">
      <c r="O632" s="4">
        <f t="shared" ca="1" si="78"/>
        <v>0.30514051116743401</v>
      </c>
      <c r="P632" s="4">
        <f t="shared" ca="1" si="79"/>
        <v>-0.50967235699861368</v>
      </c>
      <c r="Q632" s="4">
        <f t="shared" ca="1" si="80"/>
        <v>1932.8811244727315</v>
      </c>
      <c r="R632" s="4">
        <f t="shared" ca="1" si="81"/>
        <v>9.2110804727315099</v>
      </c>
      <c r="S632" s="4">
        <f t="shared" ca="1" si="82"/>
        <v>4.6972765397616021</v>
      </c>
    </row>
    <row r="633" spans="15:19" x14ac:dyDescent="0.2">
      <c r="O633" s="4">
        <f t="shared" ca="1" si="78"/>
        <v>0.58452863024945956</v>
      </c>
      <c r="P633" s="4">
        <f t="shared" ca="1" si="79"/>
        <v>0.21349262682627551</v>
      </c>
      <c r="Q633" s="4">
        <f t="shared" ca="1" si="80"/>
        <v>1919.2359619072654</v>
      </c>
      <c r="R633" s="4">
        <f t="shared" ca="1" si="81"/>
        <v>-4.4340820927345703</v>
      </c>
      <c r="S633" s="4">
        <f t="shared" ca="1" si="82"/>
        <v>-2.2365723645141014</v>
      </c>
    </row>
    <row r="634" spans="15:19" x14ac:dyDescent="0.2">
      <c r="O634" s="4">
        <f t="shared" ca="1" si="78"/>
        <v>0.20744143392165582</v>
      </c>
      <c r="P634" s="4">
        <f t="shared" ca="1" si="79"/>
        <v>-0.81533100150563165</v>
      </c>
      <c r="Q634" s="4">
        <f t="shared" ca="1" si="80"/>
        <v>1938.6484970462466</v>
      </c>
      <c r="R634" s="4">
        <f t="shared" ca="1" si="81"/>
        <v>14.978453046246614</v>
      </c>
      <c r="S634" s="4">
        <f t="shared" ca="1" si="82"/>
        <v>7.6735672762680842</v>
      </c>
    </row>
    <row r="635" spans="15:19" x14ac:dyDescent="0.2">
      <c r="O635" s="4">
        <f t="shared" ca="1" si="78"/>
        <v>0.78481830365134397</v>
      </c>
      <c r="P635" s="4">
        <f t="shared" ca="1" si="79"/>
        <v>0.78856996246731081</v>
      </c>
      <c r="Q635" s="4">
        <f t="shared" ca="1" si="80"/>
        <v>1908.3850165378792</v>
      </c>
      <c r="R635" s="4">
        <f t="shared" ca="1" si="81"/>
        <v>-15.285027462120752</v>
      </c>
      <c r="S635" s="4">
        <f t="shared" ca="1" si="82"/>
        <v>-7.6423261931150535</v>
      </c>
    </row>
    <row r="636" spans="15:19" x14ac:dyDescent="0.2">
      <c r="O636" s="4">
        <f t="shared" ca="1" si="78"/>
        <v>0.43561591399630151</v>
      </c>
      <c r="P636" s="4">
        <f t="shared" ca="1" si="79"/>
        <v>-0.16209400384561137</v>
      </c>
      <c r="Q636" s="4">
        <f t="shared" ca="1" si="80"/>
        <v>1926.3227826847697</v>
      </c>
      <c r="R636" s="4">
        <f t="shared" ca="1" si="81"/>
        <v>2.6527386847697016</v>
      </c>
      <c r="S636" s="4">
        <f t="shared" ca="1" si="82"/>
        <v>1.3457068608676364</v>
      </c>
    </row>
    <row r="637" spans="15:19" x14ac:dyDescent="0.2">
      <c r="O637" s="4">
        <f t="shared" ca="1" si="78"/>
        <v>0.38265780831713547</v>
      </c>
      <c r="P637" s="4">
        <f t="shared" ca="1" si="79"/>
        <v>-0.29850780939064486</v>
      </c>
      <c r="Q637" s="4">
        <f t="shared" ca="1" si="80"/>
        <v>1928.8967299782221</v>
      </c>
      <c r="R637" s="4">
        <f t="shared" ca="1" si="81"/>
        <v>5.2266859782221218</v>
      </c>
      <c r="S637" s="4">
        <f t="shared" ca="1" si="82"/>
        <v>2.656920054446783</v>
      </c>
    </row>
    <row r="638" spans="15:19" x14ac:dyDescent="0.2">
      <c r="O638" s="4">
        <f t="shared" ca="1" si="78"/>
        <v>0.57216548507341791</v>
      </c>
      <c r="P638" s="4">
        <f t="shared" ca="1" si="79"/>
        <v>0.18189002877500265</v>
      </c>
      <c r="Q638" s="4">
        <f t="shared" ca="1" si="80"/>
        <v>1919.8322609504241</v>
      </c>
      <c r="R638" s="4">
        <f t="shared" ca="1" si="81"/>
        <v>-3.8377830495758189</v>
      </c>
      <c r="S638" s="4">
        <f t="shared" ca="1" si="82"/>
        <v>-1.9367278192753636</v>
      </c>
    </row>
    <row r="639" spans="15:19" x14ac:dyDescent="0.2">
      <c r="O639" s="4">
        <f t="shared" ca="1" si="78"/>
        <v>0.12569896572239214</v>
      </c>
      <c r="P639" s="4">
        <f t="shared" ca="1" si="79"/>
        <v>-1.1469605362043207</v>
      </c>
      <c r="Q639" s="4">
        <f t="shared" ca="1" si="80"/>
        <v>1944.9059058169807</v>
      </c>
      <c r="R639" s="4">
        <f t="shared" ca="1" si="81"/>
        <v>21.235861816980787</v>
      </c>
      <c r="S639" s="4">
        <f t="shared" ca="1" si="82"/>
        <v>10.933373936810399</v>
      </c>
    </row>
    <row r="640" spans="15:19" x14ac:dyDescent="0.2">
      <c r="O640" s="4">
        <f t="shared" ca="1" si="78"/>
        <v>0.61810134113132476</v>
      </c>
      <c r="P640" s="4">
        <f t="shared" ca="1" si="79"/>
        <v>0.30049800525861431</v>
      </c>
      <c r="Q640" s="4">
        <f t="shared" ca="1" si="80"/>
        <v>1917.5942859974339</v>
      </c>
      <c r="R640" s="4">
        <f t="shared" ca="1" si="81"/>
        <v>-6.07575800256609</v>
      </c>
      <c r="S640" s="4">
        <f t="shared" ca="1" si="82"/>
        <v>-3.0605813189482229</v>
      </c>
    </row>
    <row r="641" spans="15:19" x14ac:dyDescent="0.2">
      <c r="O641" s="4">
        <f t="shared" ca="1" si="78"/>
        <v>0.26016700390445247</v>
      </c>
      <c r="P641" s="4">
        <f t="shared" ca="1" si="79"/>
        <v>-0.64283062683168224</v>
      </c>
      <c r="Q641" s="4">
        <f t="shared" ca="1" si="80"/>
        <v>1935.3936441320745</v>
      </c>
      <c r="R641" s="4">
        <f t="shared" ca="1" si="81"/>
        <v>11.72360013207458</v>
      </c>
      <c r="S641" s="4">
        <f t="shared" ca="1" si="82"/>
        <v>5.990549952612465</v>
      </c>
    </row>
    <row r="642" spans="15:19" x14ac:dyDescent="0.2">
      <c r="O642" s="4">
        <f t="shared" ca="1" si="78"/>
        <v>0.42673909102392638</v>
      </c>
      <c r="P642" s="4">
        <f t="shared" ca="1" si="79"/>
        <v>-0.18468236101752369</v>
      </c>
      <c r="Q642" s="4">
        <f t="shared" ca="1" si="80"/>
        <v>1926.7489949773883</v>
      </c>
      <c r="R642" s="4">
        <f t="shared" ca="1" si="81"/>
        <v>3.078950977388331</v>
      </c>
      <c r="S642" s="4">
        <f t="shared" ca="1" si="82"/>
        <v>1.5624541342657177</v>
      </c>
    </row>
    <row r="643" spans="15:19" x14ac:dyDescent="0.2">
      <c r="O643" s="4">
        <f t="shared" ref="O643:O706" ca="1" si="83">RAND()</f>
        <v>0.81091460861714437</v>
      </c>
      <c r="P643" s="4">
        <f t="shared" ref="P643:P706" ca="1" si="84">NORMSINV(O643)</f>
        <v>0.88127169424318885</v>
      </c>
      <c r="Q643" s="4">
        <f t="shared" ref="Q643:Q706" ca="1" si="85">$B$4*(1+$B$17-$B$32*P643)</f>
        <v>1906.6358580077028</v>
      </c>
      <c r="R643" s="4">
        <f t="shared" ref="R643:R706" ca="1" si="86">Q643-$B$4</f>
        <v>-17.034185992297125</v>
      </c>
      <c r="S643" s="4">
        <f t="shared" ref="S643:S706" ca="1" si="87">R643*$B$12+0.5*$B$13*R643^2</f>
        <v>-8.5047551693470407</v>
      </c>
    </row>
    <row r="644" spans="15:19" x14ac:dyDescent="0.2">
      <c r="O644" s="4">
        <f t="shared" ca="1" si="83"/>
        <v>0.2960872637668005</v>
      </c>
      <c r="P644" s="4">
        <f t="shared" ca="1" si="84"/>
        <v>-0.53568752391502461</v>
      </c>
      <c r="Q644" s="4">
        <f t="shared" ca="1" si="85"/>
        <v>1933.3719961129273</v>
      </c>
      <c r="R644" s="4">
        <f t="shared" ca="1" si="86"/>
        <v>9.7019521129273016</v>
      </c>
      <c r="S644" s="4">
        <f t="shared" ca="1" si="87"/>
        <v>4.9495397503826428</v>
      </c>
    </row>
    <row r="645" spans="15:19" x14ac:dyDescent="0.2">
      <c r="O645" s="4">
        <f t="shared" ca="1" si="83"/>
        <v>0.68950367846481431</v>
      </c>
      <c r="P645" s="4">
        <f t="shared" ca="1" si="84"/>
        <v>0.49444400443981146</v>
      </c>
      <c r="Q645" s="4">
        <f t="shared" ca="1" si="85"/>
        <v>1913.9347826379765</v>
      </c>
      <c r="R645" s="4">
        <f t="shared" ca="1" si="86"/>
        <v>-9.7352613620234933</v>
      </c>
      <c r="S645" s="4">
        <f t="shared" ca="1" si="87"/>
        <v>-4.8895045438191902</v>
      </c>
    </row>
    <row r="646" spans="15:19" x14ac:dyDescent="0.2">
      <c r="O646" s="4">
        <f t="shared" ca="1" si="83"/>
        <v>0.79810445598086943</v>
      </c>
      <c r="P646" s="4">
        <f t="shared" ca="1" si="84"/>
        <v>0.83486967958134084</v>
      </c>
      <c r="Q646" s="4">
        <f t="shared" ca="1" si="85"/>
        <v>1907.5114023822066</v>
      </c>
      <c r="R646" s="4">
        <f t="shared" ca="1" si="86"/>
        <v>-16.158641617793364</v>
      </c>
      <c r="S646" s="4">
        <f t="shared" ca="1" si="87"/>
        <v>-8.0733761928723506</v>
      </c>
    </row>
    <row r="647" spans="15:19" x14ac:dyDescent="0.2">
      <c r="O647" s="4">
        <f t="shared" ca="1" si="83"/>
        <v>0.3939705270469297</v>
      </c>
      <c r="P647" s="4">
        <f t="shared" ca="1" si="84"/>
        <v>-0.26898522297368055</v>
      </c>
      <c r="Q647" s="4">
        <f t="shared" ca="1" si="85"/>
        <v>1928.3396779914378</v>
      </c>
      <c r="R647" s="4">
        <f t="shared" ca="1" si="86"/>
        <v>4.6696339914378768</v>
      </c>
      <c r="S647" s="4">
        <f t="shared" ca="1" si="87"/>
        <v>2.3726908056066001</v>
      </c>
    </row>
    <row r="648" spans="15:19" x14ac:dyDescent="0.2">
      <c r="O648" s="4">
        <f t="shared" ca="1" si="83"/>
        <v>3.0814017390011772E-3</v>
      </c>
      <c r="P648" s="4">
        <f t="shared" ca="1" si="84"/>
        <v>-2.7389911370605011</v>
      </c>
      <c r="Q648" s="4">
        <f t="shared" ca="1" si="85"/>
        <v>1974.9454083423675</v>
      </c>
      <c r="R648" s="4">
        <f t="shared" ca="1" si="86"/>
        <v>51.275364342367538</v>
      </c>
      <c r="S648" s="4">
        <f t="shared" ca="1" si="87"/>
        <v>27.026343009479142</v>
      </c>
    </row>
    <row r="649" spans="15:19" x14ac:dyDescent="0.2">
      <c r="O649" s="4">
        <f t="shared" ca="1" si="83"/>
        <v>0.40856193629999293</v>
      </c>
      <c r="P649" s="4">
        <f t="shared" ca="1" si="84"/>
        <v>-0.23124577196399215</v>
      </c>
      <c r="Q649" s="4">
        <f t="shared" ca="1" si="85"/>
        <v>1927.6275846853778</v>
      </c>
      <c r="R649" s="4">
        <f t="shared" ca="1" si="86"/>
        <v>3.9575406853778077</v>
      </c>
      <c r="S649" s="4">
        <f t="shared" ca="1" si="87"/>
        <v>2.009721429105868</v>
      </c>
    </row>
    <row r="650" spans="15:19" x14ac:dyDescent="0.2">
      <c r="O650" s="4">
        <f t="shared" ca="1" si="83"/>
        <v>0.10740414801137343</v>
      </c>
      <c r="P650" s="4">
        <f t="shared" ca="1" si="84"/>
        <v>-1.2404518963198066</v>
      </c>
      <c r="Q650" s="4">
        <f t="shared" ca="1" si="85"/>
        <v>1946.6699635849536</v>
      </c>
      <c r="R650" s="4">
        <f t="shared" ca="1" si="86"/>
        <v>22.999919584953659</v>
      </c>
      <c r="S650" s="4">
        <f t="shared" ca="1" si="87"/>
        <v>11.858122690569241</v>
      </c>
    </row>
    <row r="651" spans="15:19" x14ac:dyDescent="0.2">
      <c r="O651" s="4">
        <f t="shared" ca="1" si="83"/>
        <v>0.78188242797551544</v>
      </c>
      <c r="P651" s="4">
        <f t="shared" ca="1" si="84"/>
        <v>0.77856645800421076</v>
      </c>
      <c r="Q651" s="4">
        <f t="shared" ca="1" si="85"/>
        <v>1908.57376937807</v>
      </c>
      <c r="R651" s="4">
        <f t="shared" ca="1" si="86"/>
        <v>-15.096274621929979</v>
      </c>
      <c r="S651" s="4">
        <f t="shared" ca="1" si="87"/>
        <v>-7.5491120182953892</v>
      </c>
    </row>
    <row r="652" spans="15:19" x14ac:dyDescent="0.2">
      <c r="O652" s="4">
        <f t="shared" ca="1" si="83"/>
        <v>0.13412944031786256</v>
      </c>
      <c r="P652" s="4">
        <f t="shared" ca="1" si="84"/>
        <v>-1.1070810665612962</v>
      </c>
      <c r="Q652" s="4">
        <f t="shared" ca="1" si="85"/>
        <v>1944.1534332021902</v>
      </c>
      <c r="R652" s="4">
        <f t="shared" ca="1" si="86"/>
        <v>20.48338920219021</v>
      </c>
      <c r="S652" s="4">
        <f t="shared" ca="1" si="87"/>
        <v>10.539685969912108</v>
      </c>
    </row>
    <row r="653" spans="15:19" x14ac:dyDescent="0.2">
      <c r="O653" s="4">
        <f t="shared" ca="1" si="83"/>
        <v>0.68578674127283445</v>
      </c>
      <c r="P653" s="4">
        <f t="shared" ca="1" si="84"/>
        <v>0.4839427250520339</v>
      </c>
      <c r="Q653" s="4">
        <f t="shared" ca="1" si="85"/>
        <v>1914.132927829733</v>
      </c>
      <c r="R653" s="4">
        <f t="shared" ca="1" si="86"/>
        <v>-9.5371161702669269</v>
      </c>
      <c r="S653" s="4">
        <f t="shared" ca="1" si="87"/>
        <v>-4.7907559939721898</v>
      </c>
    </row>
    <row r="654" spans="15:19" x14ac:dyDescent="0.2">
      <c r="O654" s="4">
        <f t="shared" ca="1" si="83"/>
        <v>0.29752743258123726</v>
      </c>
      <c r="P654" s="4">
        <f t="shared" ca="1" si="84"/>
        <v>-0.53152522614549846</v>
      </c>
      <c r="Q654" s="4">
        <f t="shared" ca="1" si="85"/>
        <v>1933.2934590833675</v>
      </c>
      <c r="R654" s="4">
        <f t="shared" ca="1" si="86"/>
        <v>9.6234150833674903</v>
      </c>
      <c r="S654" s="4">
        <f t="shared" ca="1" si="87"/>
        <v>4.9091657046164112</v>
      </c>
    </row>
    <row r="655" spans="15:19" x14ac:dyDescent="0.2">
      <c r="O655" s="4">
        <f t="shared" ca="1" si="83"/>
        <v>0.55147559470497765</v>
      </c>
      <c r="P655" s="4">
        <f t="shared" ca="1" si="84"/>
        <v>0.12939031522996372</v>
      </c>
      <c r="Q655" s="4">
        <f t="shared" ca="1" si="85"/>
        <v>1920.8228608024435</v>
      </c>
      <c r="R655" s="4">
        <f t="shared" ca="1" si="86"/>
        <v>-2.8471831975564328</v>
      </c>
      <c r="S655" s="4">
        <f t="shared" ca="1" si="87"/>
        <v>-1.437972135288907</v>
      </c>
    </row>
    <row r="656" spans="15:19" x14ac:dyDescent="0.2">
      <c r="O656" s="4">
        <f t="shared" ca="1" si="83"/>
        <v>0.97118782207326293</v>
      </c>
      <c r="P656" s="4">
        <f t="shared" ca="1" si="84"/>
        <v>1.8985447713055736</v>
      </c>
      <c r="Q656" s="4">
        <f t="shared" ca="1" si="85"/>
        <v>1887.4412664269948</v>
      </c>
      <c r="R656" s="4">
        <f t="shared" ca="1" si="86"/>
        <v>-36.228777573005118</v>
      </c>
      <c r="S656" s="4">
        <f t="shared" ca="1" si="87"/>
        <v>-17.805073804405037</v>
      </c>
    </row>
    <row r="657" spans="15:19" x14ac:dyDescent="0.2">
      <c r="O657" s="4">
        <f t="shared" ca="1" si="83"/>
        <v>0.47070569565410469</v>
      </c>
      <c r="P657" s="4">
        <f t="shared" ca="1" si="84"/>
        <v>-7.3496044861542112E-2</v>
      </c>
      <c r="Q657" s="4">
        <f t="shared" ca="1" si="85"/>
        <v>1924.6510568955698</v>
      </c>
      <c r="R657" s="4">
        <f t="shared" ca="1" si="86"/>
        <v>0.98101289556984739</v>
      </c>
      <c r="S657" s="4">
        <f t="shared" ca="1" si="87"/>
        <v>0.49699009451252968</v>
      </c>
    </row>
    <row r="658" spans="15:19" x14ac:dyDescent="0.2">
      <c r="O658" s="4">
        <f t="shared" ca="1" si="83"/>
        <v>0.42508610472204467</v>
      </c>
      <c r="P658" s="4">
        <f t="shared" ca="1" si="84"/>
        <v>-0.18889870387801599</v>
      </c>
      <c r="Q658" s="4">
        <f t="shared" ca="1" si="85"/>
        <v>1926.8285517660188</v>
      </c>
      <c r="R658" s="4">
        <f t="shared" ca="1" si="86"/>
        <v>3.158507766018829</v>
      </c>
      <c r="S658" s="4">
        <f t="shared" ca="1" si="87"/>
        <v>1.6029285607737789</v>
      </c>
    </row>
    <row r="659" spans="15:19" x14ac:dyDescent="0.2">
      <c r="O659" s="4">
        <f t="shared" ca="1" si="83"/>
        <v>0.17841540530825761</v>
      </c>
      <c r="P659" s="4">
        <f t="shared" ca="1" si="84"/>
        <v>-0.92142072862890589</v>
      </c>
      <c r="Q659" s="4">
        <f t="shared" ca="1" si="85"/>
        <v>1940.6502692635167</v>
      </c>
      <c r="R659" s="4">
        <f t="shared" ca="1" si="86"/>
        <v>16.980225263516786</v>
      </c>
      <c r="S659" s="4">
        <f t="shared" ca="1" si="87"/>
        <v>8.7129258241632517</v>
      </c>
    </row>
    <row r="660" spans="15:19" x14ac:dyDescent="0.2">
      <c r="O660" s="4">
        <f t="shared" ca="1" si="83"/>
        <v>0.22943410577050161</v>
      </c>
      <c r="P660" s="4">
        <f t="shared" ca="1" si="84"/>
        <v>-0.74071178609930288</v>
      </c>
      <c r="Q660" s="4">
        <f t="shared" ca="1" si="85"/>
        <v>1937.2405315784756</v>
      </c>
      <c r="R660" s="4">
        <f t="shared" ca="1" si="86"/>
        <v>13.57048757847565</v>
      </c>
      <c r="S660" s="4">
        <f t="shared" ca="1" si="87"/>
        <v>6.9444788425274409</v>
      </c>
    </row>
    <row r="661" spans="15:19" x14ac:dyDescent="0.2">
      <c r="O661" s="4">
        <f t="shared" ca="1" si="83"/>
        <v>0.76294574941096083</v>
      </c>
      <c r="P661" s="4">
        <f t="shared" ca="1" si="84"/>
        <v>0.71581028443397832</v>
      </c>
      <c r="Q661" s="4">
        <f t="shared" ca="1" si="85"/>
        <v>1909.7578950057009</v>
      </c>
      <c r="R661" s="4">
        <f t="shared" ca="1" si="86"/>
        <v>-13.912148994299059</v>
      </c>
      <c r="S661" s="4">
        <f t="shared" ca="1" si="87"/>
        <v>-6.9636786995206776</v>
      </c>
    </row>
    <row r="662" spans="15:19" x14ac:dyDescent="0.2">
      <c r="O662" s="4">
        <f t="shared" ca="1" si="83"/>
        <v>0.13208066066763446</v>
      </c>
      <c r="P662" s="4">
        <f t="shared" ca="1" si="84"/>
        <v>-1.1166095154024811</v>
      </c>
      <c r="Q662" s="4">
        <f t="shared" ca="1" si="85"/>
        <v>1944.3332223738769</v>
      </c>
      <c r="R662" s="4">
        <f t="shared" ca="1" si="86"/>
        <v>20.663178373876917</v>
      </c>
      <c r="S662" s="4">
        <f t="shared" ca="1" si="87"/>
        <v>10.633708388621571</v>
      </c>
    </row>
    <row r="663" spans="15:19" x14ac:dyDescent="0.2">
      <c r="O663" s="4">
        <f t="shared" ca="1" si="83"/>
        <v>0.46536765895270649</v>
      </c>
      <c r="P663" s="4">
        <f t="shared" ca="1" si="84"/>
        <v>-8.6919728358014356E-2</v>
      </c>
      <c r="Q663" s="4">
        <f t="shared" ca="1" si="85"/>
        <v>1924.904343970627</v>
      </c>
      <c r="R663" s="4">
        <f t="shared" ca="1" si="86"/>
        <v>1.2342999706270348</v>
      </c>
      <c r="S663" s="4">
        <f t="shared" ca="1" si="87"/>
        <v>0.62543490348998809</v>
      </c>
    </row>
    <row r="664" spans="15:19" x14ac:dyDescent="0.2">
      <c r="O664" s="4">
        <f t="shared" ca="1" si="83"/>
        <v>0.92085683799815177</v>
      </c>
      <c r="P664" s="4">
        <f t="shared" ca="1" si="84"/>
        <v>1.4108585575986385</v>
      </c>
      <c r="Q664" s="4">
        <f t="shared" ca="1" si="85"/>
        <v>1896.6432574191072</v>
      </c>
      <c r="R664" s="4">
        <f t="shared" ca="1" si="86"/>
        <v>-27.026786580892804</v>
      </c>
      <c r="S664" s="4">
        <f t="shared" ca="1" si="87"/>
        <v>-13.383881518820095</v>
      </c>
    </row>
    <row r="665" spans="15:19" x14ac:dyDescent="0.2">
      <c r="O665" s="4">
        <f t="shared" ca="1" si="83"/>
        <v>0.80999138757990286</v>
      </c>
      <c r="P665" s="4">
        <f t="shared" ca="1" si="84"/>
        <v>0.87786455812355724</v>
      </c>
      <c r="Q665" s="4">
        <f t="shared" ca="1" si="85"/>
        <v>1906.7001461401137</v>
      </c>
      <c r="R665" s="4">
        <f t="shared" ca="1" si="86"/>
        <v>-16.96989785988626</v>
      </c>
      <c r="S665" s="4">
        <f t="shared" ca="1" si="87"/>
        <v>-8.4731017643874136</v>
      </c>
    </row>
    <row r="666" spans="15:19" x14ac:dyDescent="0.2">
      <c r="O666" s="4">
        <f t="shared" ca="1" si="83"/>
        <v>0.19713765997877597</v>
      </c>
      <c r="P666" s="4">
        <f t="shared" ca="1" si="84"/>
        <v>-0.85188968947090293</v>
      </c>
      <c r="Q666" s="4">
        <f t="shared" ca="1" si="85"/>
        <v>1939.3383109222282</v>
      </c>
      <c r="R666" s="4">
        <f t="shared" ca="1" si="86"/>
        <v>15.668266922228213</v>
      </c>
      <c r="S666" s="4">
        <f t="shared" ca="1" si="87"/>
        <v>8.0313634772243461</v>
      </c>
    </row>
    <row r="667" spans="15:19" x14ac:dyDescent="0.2">
      <c r="O667" s="4">
        <f t="shared" ca="1" si="83"/>
        <v>6.4517518680922148E-2</v>
      </c>
      <c r="P667" s="4">
        <f t="shared" ca="1" si="84"/>
        <v>-1.5179181360255867</v>
      </c>
      <c r="Q667" s="4">
        <f t="shared" ca="1" si="85"/>
        <v>1951.9053829317106</v>
      </c>
      <c r="R667" s="4">
        <f t="shared" ca="1" si="86"/>
        <v>28.235338931710658</v>
      </c>
      <c r="S667" s="4">
        <f t="shared" ca="1" si="87"/>
        <v>14.617534705226699</v>
      </c>
    </row>
    <row r="668" spans="15:19" x14ac:dyDescent="0.2">
      <c r="O668" s="4">
        <f t="shared" ca="1" si="83"/>
        <v>0.20190971386594236</v>
      </c>
      <c r="P668" s="4">
        <f t="shared" ca="1" si="84"/>
        <v>-0.83481935279538932</v>
      </c>
      <c r="Q668" s="4">
        <f t="shared" ca="1" si="85"/>
        <v>1939.0162163460325</v>
      </c>
      <c r="R668" s="4">
        <f t="shared" ca="1" si="86"/>
        <v>15.346172346032517</v>
      </c>
      <c r="S668" s="4">
        <f t="shared" ca="1" si="87"/>
        <v>7.8642495961844707</v>
      </c>
    </row>
    <row r="669" spans="15:19" x14ac:dyDescent="0.2">
      <c r="O669" s="4">
        <f t="shared" ca="1" si="83"/>
        <v>0.14370240702102721</v>
      </c>
      <c r="P669" s="4">
        <f t="shared" ca="1" si="84"/>
        <v>-1.0638319958398714</v>
      </c>
      <c r="Q669" s="4">
        <f t="shared" ca="1" si="85"/>
        <v>1943.3373806913537</v>
      </c>
      <c r="R669" s="4">
        <f t="shared" ca="1" si="86"/>
        <v>19.667336691353739</v>
      </c>
      <c r="S669" s="4">
        <f t="shared" ca="1" si="87"/>
        <v>10.113254531605765</v>
      </c>
    </row>
    <row r="670" spans="15:19" x14ac:dyDescent="0.2">
      <c r="O670" s="4">
        <f t="shared" ca="1" si="83"/>
        <v>0.6235698877475101</v>
      </c>
      <c r="P670" s="4">
        <f t="shared" ca="1" si="84"/>
        <v>0.31487017896399622</v>
      </c>
      <c r="Q670" s="4">
        <f t="shared" ca="1" si="85"/>
        <v>1917.3231021721442</v>
      </c>
      <c r="R670" s="4">
        <f t="shared" ca="1" si="86"/>
        <v>-6.3469418278557441</v>
      </c>
      <c r="S670" s="4">
        <f t="shared" ca="1" si="87"/>
        <v>-3.1964858783686911</v>
      </c>
    </row>
    <row r="671" spans="15:19" x14ac:dyDescent="0.2">
      <c r="O671" s="4">
        <f t="shared" ca="1" si="83"/>
        <v>0.3342225897716673</v>
      </c>
      <c r="P671" s="4">
        <f t="shared" ca="1" si="84"/>
        <v>-0.42828288285476368</v>
      </c>
      <c r="Q671" s="4">
        <f t="shared" ca="1" si="85"/>
        <v>1931.345413216447</v>
      </c>
      <c r="R671" s="4">
        <f t="shared" ca="1" si="86"/>
        <v>7.6753692164470522</v>
      </c>
      <c r="S671" s="4">
        <f t="shared" ca="1" si="87"/>
        <v>3.909328051150371</v>
      </c>
    </row>
    <row r="672" spans="15:19" x14ac:dyDescent="0.2">
      <c r="O672" s="4">
        <f t="shared" ca="1" si="83"/>
        <v>0.59792071143402137</v>
      </c>
      <c r="P672" s="4">
        <f t="shared" ca="1" si="84"/>
        <v>0.24796876106268992</v>
      </c>
      <c r="Q672" s="4">
        <f t="shared" ca="1" si="85"/>
        <v>1918.5854430536056</v>
      </c>
      <c r="R672" s="4">
        <f t="shared" ca="1" si="86"/>
        <v>-5.0846009463944029</v>
      </c>
      <c r="S672" s="4">
        <f t="shared" ca="1" si="87"/>
        <v>-2.5633507736648764</v>
      </c>
    </row>
    <row r="673" spans="15:19" x14ac:dyDescent="0.2">
      <c r="O673" s="4">
        <f t="shared" ca="1" si="83"/>
        <v>0.27039529991756373</v>
      </c>
      <c r="P673" s="4">
        <f t="shared" ca="1" si="84"/>
        <v>-0.61161788855274135</v>
      </c>
      <c r="Q673" s="4">
        <f t="shared" ca="1" si="85"/>
        <v>1934.8047012249151</v>
      </c>
      <c r="R673" s="4">
        <f t="shared" ca="1" si="86"/>
        <v>11.134657224915145</v>
      </c>
      <c r="S673" s="4">
        <f t="shared" ca="1" si="87"/>
        <v>5.6869412335610825</v>
      </c>
    </row>
    <row r="674" spans="15:19" x14ac:dyDescent="0.2">
      <c r="O674" s="4">
        <f t="shared" ca="1" si="83"/>
        <v>6.669052246635998E-2</v>
      </c>
      <c r="P674" s="4">
        <f t="shared" ca="1" si="84"/>
        <v>-1.5009014815579855</v>
      </c>
      <c r="Q674" s="4">
        <f t="shared" ca="1" si="85"/>
        <v>1951.5843012674648</v>
      </c>
      <c r="R674" s="4">
        <f t="shared" ca="1" si="86"/>
        <v>27.914257267464791</v>
      </c>
      <c r="S674" s="4">
        <f t="shared" ca="1" si="87"/>
        <v>14.447661131219169</v>
      </c>
    </row>
    <row r="675" spans="15:19" x14ac:dyDescent="0.2">
      <c r="O675" s="4">
        <f t="shared" ca="1" si="83"/>
        <v>0.9518799360520358</v>
      </c>
      <c r="P675" s="4">
        <f t="shared" ca="1" si="84"/>
        <v>1.6633613350047647</v>
      </c>
      <c r="Q675" s="4">
        <f t="shared" ca="1" si="85"/>
        <v>1891.8788654435514</v>
      </c>
      <c r="R675" s="4">
        <f t="shared" ca="1" si="86"/>
        <v>-31.791178556448585</v>
      </c>
      <c r="S675" s="4">
        <f t="shared" ca="1" si="87"/>
        <v>-15.681589645025822</v>
      </c>
    </row>
    <row r="676" spans="15:19" x14ac:dyDescent="0.2">
      <c r="O676" s="4">
        <f t="shared" ca="1" si="83"/>
        <v>0.42579725212420139</v>
      </c>
      <c r="P676" s="4">
        <f t="shared" ca="1" si="84"/>
        <v>-0.18708434255448023</v>
      </c>
      <c r="Q676" s="4">
        <f t="shared" ca="1" si="85"/>
        <v>1926.7943171781089</v>
      </c>
      <c r="R676" s="4">
        <f t="shared" ca="1" si="86"/>
        <v>3.1242731781089788</v>
      </c>
      <c r="S676" s="4">
        <f t="shared" ca="1" si="87"/>
        <v>1.585511121174072</v>
      </c>
    </row>
    <row r="677" spans="15:19" x14ac:dyDescent="0.2">
      <c r="O677" s="4">
        <f t="shared" ca="1" si="83"/>
        <v>0.3713713184102877</v>
      </c>
      <c r="P677" s="4">
        <f t="shared" ca="1" si="84"/>
        <v>-0.32822355811607296</v>
      </c>
      <c r="Q677" s="4">
        <f t="shared" ca="1" si="85"/>
        <v>1929.457426681163</v>
      </c>
      <c r="R677" s="4">
        <f t="shared" ca="1" si="86"/>
        <v>5.7873826811630806</v>
      </c>
      <c r="S677" s="4">
        <f t="shared" ca="1" si="87"/>
        <v>2.9432640946109871</v>
      </c>
    </row>
    <row r="678" spans="15:19" x14ac:dyDescent="0.2">
      <c r="O678" s="4">
        <f t="shared" ca="1" si="83"/>
        <v>7.5179451354692173E-3</v>
      </c>
      <c r="P678" s="4">
        <f t="shared" ca="1" si="84"/>
        <v>-2.4315134448809821</v>
      </c>
      <c r="Q678" s="4">
        <f t="shared" ca="1" si="85"/>
        <v>1969.1437127557629</v>
      </c>
      <c r="R678" s="4">
        <f t="shared" ca="1" si="86"/>
        <v>45.473668755762901</v>
      </c>
      <c r="S678" s="4">
        <f t="shared" ca="1" si="87"/>
        <v>23.860976485091147</v>
      </c>
    </row>
    <row r="679" spans="15:19" x14ac:dyDescent="0.2">
      <c r="O679" s="4">
        <f t="shared" ca="1" si="83"/>
        <v>0.12764784967552467</v>
      </c>
      <c r="P679" s="4">
        <f t="shared" ca="1" si="84"/>
        <v>-1.1375804847137148</v>
      </c>
      <c r="Q679" s="4">
        <f t="shared" ca="1" si="85"/>
        <v>1944.7289167061629</v>
      </c>
      <c r="R679" s="4">
        <f t="shared" ca="1" si="86"/>
        <v>21.058872706162902</v>
      </c>
      <c r="S679" s="4">
        <f t="shared" ca="1" si="87"/>
        <v>10.840733114184804</v>
      </c>
    </row>
    <row r="680" spans="15:19" x14ac:dyDescent="0.2">
      <c r="O680" s="4">
        <f t="shared" ca="1" si="83"/>
        <v>0.64387056114912866</v>
      </c>
      <c r="P680" s="4">
        <f t="shared" ca="1" si="84"/>
        <v>0.36882404937251656</v>
      </c>
      <c r="Q680" s="4">
        <f t="shared" ca="1" si="85"/>
        <v>1916.3050643118672</v>
      </c>
      <c r="R680" s="4">
        <f t="shared" ca="1" si="86"/>
        <v>-7.3649796881327347</v>
      </c>
      <c r="S680" s="4">
        <f t="shared" ca="1" si="87"/>
        <v>-3.7061442316029849</v>
      </c>
    </row>
    <row r="681" spans="15:19" x14ac:dyDescent="0.2">
      <c r="O681" s="4">
        <f t="shared" ca="1" si="83"/>
        <v>0.94398893299938291</v>
      </c>
      <c r="P681" s="4">
        <f t="shared" ca="1" si="84"/>
        <v>1.5891694838602293</v>
      </c>
      <c r="Q681" s="4">
        <f t="shared" ca="1" si="85"/>
        <v>1893.2787671154292</v>
      </c>
      <c r="R681" s="4">
        <f t="shared" ca="1" si="86"/>
        <v>-30.391276884570743</v>
      </c>
      <c r="S681" s="4">
        <f t="shared" ca="1" si="87"/>
        <v>-15.008380807466491</v>
      </c>
    </row>
    <row r="682" spans="15:19" x14ac:dyDescent="0.2">
      <c r="O682" s="4">
        <f t="shared" ca="1" si="83"/>
        <v>0.16312611035604518</v>
      </c>
      <c r="P682" s="4">
        <f t="shared" ca="1" si="84"/>
        <v>-0.98169075627833902</v>
      </c>
      <c r="Q682" s="4">
        <f t="shared" ca="1" si="85"/>
        <v>1941.787484620311</v>
      </c>
      <c r="R682" s="4">
        <f t="shared" ca="1" si="86"/>
        <v>18.117440620311072</v>
      </c>
      <c r="S682" s="4">
        <f t="shared" ca="1" si="87"/>
        <v>9.3048429768225951</v>
      </c>
    </row>
    <row r="683" spans="15:19" x14ac:dyDescent="0.2">
      <c r="O683" s="4">
        <f t="shared" ca="1" si="83"/>
        <v>5.1511262124646073E-3</v>
      </c>
      <c r="P683" s="4">
        <f t="shared" ca="1" si="84"/>
        <v>-2.5655158167585967</v>
      </c>
      <c r="Q683" s="4">
        <f t="shared" ca="1" si="85"/>
        <v>1971.6721594993501</v>
      </c>
      <c r="R683" s="4">
        <f t="shared" ca="1" si="86"/>
        <v>48.002115499350111</v>
      </c>
      <c r="S683" s="4">
        <f t="shared" ca="1" si="87"/>
        <v>25.23711121071026</v>
      </c>
    </row>
    <row r="684" spans="15:19" x14ac:dyDescent="0.2">
      <c r="O684" s="4">
        <f t="shared" ca="1" si="83"/>
        <v>0.61115228697128088</v>
      </c>
      <c r="P684" s="4">
        <f t="shared" ca="1" si="84"/>
        <v>0.28232355443602064</v>
      </c>
      <c r="Q684" s="4">
        <f t="shared" ca="1" si="85"/>
        <v>1917.9372137408386</v>
      </c>
      <c r="R684" s="4">
        <f t="shared" ca="1" si="86"/>
        <v>-5.7328302591613465</v>
      </c>
      <c r="S684" s="4">
        <f t="shared" ca="1" si="87"/>
        <v>-2.8886363600788338</v>
      </c>
    </row>
    <row r="685" spans="15:19" x14ac:dyDescent="0.2">
      <c r="O685" s="4">
        <f t="shared" ca="1" si="83"/>
        <v>0.2134531253562163</v>
      </c>
      <c r="P685" s="4">
        <f t="shared" ca="1" si="84"/>
        <v>-0.79449683509134716</v>
      </c>
      <c r="Q685" s="4">
        <f t="shared" ca="1" si="85"/>
        <v>1938.2553840028922</v>
      </c>
      <c r="R685" s="4">
        <f t="shared" ca="1" si="86"/>
        <v>14.585340002892281</v>
      </c>
      <c r="S685" s="4">
        <f t="shared" ca="1" si="87"/>
        <v>7.4698386802295573</v>
      </c>
    </row>
    <row r="686" spans="15:19" x14ac:dyDescent="0.2">
      <c r="O686" s="4">
        <f t="shared" ca="1" si="83"/>
        <v>0.52496319309641426</v>
      </c>
      <c r="P686" s="4">
        <f t="shared" ca="1" si="84"/>
        <v>6.2614335415328459E-2</v>
      </c>
      <c r="Q686" s="4">
        <f t="shared" ca="1" si="85"/>
        <v>1922.0828348338459</v>
      </c>
      <c r="R686" s="4">
        <f t="shared" ca="1" si="86"/>
        <v>-1.5872091661540253</v>
      </c>
      <c r="S686" s="4">
        <f t="shared" ca="1" si="87"/>
        <v>-0.80243532426972985</v>
      </c>
    </row>
    <row r="687" spans="15:19" x14ac:dyDescent="0.2">
      <c r="O687" s="4">
        <f t="shared" ca="1" si="83"/>
        <v>0.58972076721076894</v>
      </c>
      <c r="P687" s="4">
        <f t="shared" ca="1" si="84"/>
        <v>0.22682674576973974</v>
      </c>
      <c r="Q687" s="4">
        <f t="shared" ca="1" si="85"/>
        <v>1918.9843647963428</v>
      </c>
      <c r="R687" s="4">
        <f t="shared" ca="1" si="86"/>
        <v>-4.6856792036571733</v>
      </c>
      <c r="S687" s="4">
        <f t="shared" ca="1" si="87"/>
        <v>-2.3629992638172568</v>
      </c>
    </row>
    <row r="688" spans="15:19" x14ac:dyDescent="0.2">
      <c r="O688" s="4">
        <f t="shared" ca="1" si="83"/>
        <v>0.97548191848869192</v>
      </c>
      <c r="P688" s="4">
        <f t="shared" ca="1" si="84"/>
        <v>1.9682771027091692</v>
      </c>
      <c r="Q688" s="4">
        <f t="shared" ca="1" si="85"/>
        <v>1886.1255099684363</v>
      </c>
      <c r="R688" s="4">
        <f t="shared" ca="1" si="86"/>
        <v>-37.544534031563671</v>
      </c>
      <c r="S688" s="4">
        <f t="shared" ca="1" si="87"/>
        <v>-18.431609333390508</v>
      </c>
    </row>
    <row r="689" spans="15:19" x14ac:dyDescent="0.2">
      <c r="O689" s="4">
        <f t="shared" ca="1" si="83"/>
        <v>0.51842768406020345</v>
      </c>
      <c r="P689" s="4">
        <f t="shared" ca="1" si="84"/>
        <v>4.6207792141515908E-2</v>
      </c>
      <c r="Q689" s="4">
        <f t="shared" ca="1" si="85"/>
        <v>1922.3924045103595</v>
      </c>
      <c r="R689" s="4">
        <f t="shared" ca="1" si="86"/>
        <v>-1.2776394896404781</v>
      </c>
      <c r="S689" s="4">
        <f t="shared" ca="1" si="87"/>
        <v>-0.64608913940765866</v>
      </c>
    </row>
    <row r="690" spans="15:19" x14ac:dyDescent="0.2">
      <c r="O690" s="4">
        <f t="shared" ca="1" si="83"/>
        <v>0.76258978168666192</v>
      </c>
      <c r="P690" s="4">
        <f t="shared" ca="1" si="84"/>
        <v>0.71465793451923709</v>
      </c>
      <c r="Q690" s="4">
        <f t="shared" ca="1" si="85"/>
        <v>1909.7796383177674</v>
      </c>
      <c r="R690" s="4">
        <f t="shared" ca="1" si="86"/>
        <v>-13.89040568223254</v>
      </c>
      <c r="S690" s="4">
        <f t="shared" ca="1" si="87"/>
        <v>-6.9529181033136229</v>
      </c>
    </row>
    <row r="691" spans="15:19" x14ac:dyDescent="0.2">
      <c r="O691" s="4">
        <f t="shared" ca="1" si="83"/>
        <v>0.44810848499049649</v>
      </c>
      <c r="P691" s="4">
        <f t="shared" ca="1" si="84"/>
        <v>-0.13044170833428417</v>
      </c>
      <c r="Q691" s="4">
        <f t="shared" ca="1" si="85"/>
        <v>1925.7255459165594</v>
      </c>
      <c r="R691" s="4">
        <f t="shared" ca="1" si="86"/>
        <v>2.0555019165594786</v>
      </c>
      <c r="S691" s="4">
        <f t="shared" ca="1" si="87"/>
        <v>1.0422351069626465</v>
      </c>
    </row>
    <row r="692" spans="15:19" x14ac:dyDescent="0.2">
      <c r="O692" s="4">
        <f t="shared" ca="1" si="83"/>
        <v>0.41875671159826755</v>
      </c>
      <c r="P692" s="4">
        <f t="shared" ca="1" si="84"/>
        <v>-0.20507513469471483</v>
      </c>
      <c r="Q692" s="4">
        <f t="shared" ca="1" si="85"/>
        <v>1927.1337795261566</v>
      </c>
      <c r="R692" s="4">
        <f t="shared" ca="1" si="86"/>
        <v>3.4637355261565972</v>
      </c>
      <c r="S692" s="4">
        <f t="shared" ca="1" si="87"/>
        <v>1.7582606486002927</v>
      </c>
    </row>
    <row r="693" spans="15:19" x14ac:dyDescent="0.2">
      <c r="O693" s="4">
        <f t="shared" ca="1" si="83"/>
        <v>0.39997173268334762</v>
      </c>
      <c r="P693" s="4">
        <f t="shared" ca="1" si="84"/>
        <v>-0.25342027027692116</v>
      </c>
      <c r="Q693" s="4">
        <f t="shared" ca="1" si="85"/>
        <v>1928.045988011113</v>
      </c>
      <c r="R693" s="4">
        <f t="shared" ca="1" si="86"/>
        <v>4.3759440111130061</v>
      </c>
      <c r="S693" s="4">
        <f t="shared" ca="1" si="87"/>
        <v>2.2229406425761686</v>
      </c>
    </row>
    <row r="694" spans="15:19" x14ac:dyDescent="0.2">
      <c r="O694" s="4">
        <f t="shared" ca="1" si="83"/>
        <v>0.95765650342136988</v>
      </c>
      <c r="P694" s="4">
        <f t="shared" ca="1" si="84"/>
        <v>1.7241155072314551</v>
      </c>
      <c r="Q694" s="4">
        <f t="shared" ca="1" si="85"/>
        <v>1890.7325149217397</v>
      </c>
      <c r="R694" s="4">
        <f t="shared" ca="1" si="86"/>
        <v>-32.937529078260241</v>
      </c>
      <c r="S694" s="4">
        <f t="shared" ca="1" si="87"/>
        <v>-16.231678243265115</v>
      </c>
    </row>
    <row r="695" spans="15:19" x14ac:dyDescent="0.2">
      <c r="O695" s="4">
        <f t="shared" ca="1" si="83"/>
        <v>8.1253966612936157E-2</v>
      </c>
      <c r="P695" s="4">
        <f t="shared" ca="1" si="84"/>
        <v>-1.3966862751586624</v>
      </c>
      <c r="Q695" s="4">
        <f t="shared" ca="1" si="85"/>
        <v>1949.6178987660726</v>
      </c>
      <c r="R695" s="4">
        <f t="shared" ca="1" si="86"/>
        <v>25.947854766072624</v>
      </c>
      <c r="S695" s="4">
        <f t="shared" ca="1" si="87"/>
        <v>13.409134353396752</v>
      </c>
    </row>
    <row r="696" spans="15:19" x14ac:dyDescent="0.2">
      <c r="O696" s="4">
        <f t="shared" ca="1" si="83"/>
        <v>0.79765753722459787</v>
      </c>
      <c r="P696" s="4">
        <f t="shared" ca="1" si="84"/>
        <v>0.83328338326057172</v>
      </c>
      <c r="Q696" s="4">
        <f t="shared" ca="1" si="85"/>
        <v>1907.5413336864847</v>
      </c>
      <c r="R696" s="4">
        <f t="shared" ca="1" si="86"/>
        <v>-16.128710313515285</v>
      </c>
      <c r="S696" s="4">
        <f t="shared" ca="1" si="87"/>
        <v>-8.0586180662122953</v>
      </c>
    </row>
    <row r="697" spans="15:19" x14ac:dyDescent="0.2">
      <c r="O697" s="4">
        <f t="shared" ca="1" si="83"/>
        <v>0.31255698715703895</v>
      </c>
      <c r="P697" s="4">
        <f t="shared" ca="1" si="84"/>
        <v>-0.48861544782619154</v>
      </c>
      <c r="Q697" s="4">
        <f t="shared" ca="1" si="85"/>
        <v>1932.4838085694309</v>
      </c>
      <c r="R697" s="4">
        <f t="shared" ca="1" si="86"/>
        <v>8.8137645694309867</v>
      </c>
      <c r="S697" s="4">
        <f t="shared" ca="1" si="87"/>
        <v>4.4932360881360678</v>
      </c>
    </row>
    <row r="698" spans="15:19" x14ac:dyDescent="0.2">
      <c r="O698" s="4">
        <f t="shared" ca="1" si="83"/>
        <v>0.42386817311878489</v>
      </c>
      <c r="P698" s="4">
        <f t="shared" ca="1" si="84"/>
        <v>-0.19200748001655102</v>
      </c>
      <c r="Q698" s="4">
        <f t="shared" ca="1" si="85"/>
        <v>1926.8872102419386</v>
      </c>
      <c r="R698" s="4">
        <f t="shared" ca="1" si="86"/>
        <v>3.2171662419386848</v>
      </c>
      <c r="S698" s="4">
        <f t="shared" ca="1" si="87"/>
        <v>1.6327742945675305</v>
      </c>
    </row>
    <row r="699" spans="15:19" x14ac:dyDescent="0.2">
      <c r="O699" s="4">
        <f t="shared" ca="1" si="83"/>
        <v>2.2014650994134577E-2</v>
      </c>
      <c r="P699" s="4">
        <f t="shared" ca="1" si="84"/>
        <v>-2.0138117464981069</v>
      </c>
      <c r="Q699" s="4">
        <f t="shared" ca="1" si="85"/>
        <v>1961.2622365977779</v>
      </c>
      <c r="R699" s="4">
        <f t="shared" ca="1" si="86"/>
        <v>37.592192597777967</v>
      </c>
      <c r="S699" s="4">
        <f t="shared" ca="1" si="87"/>
        <v>19.604795321231617</v>
      </c>
    </row>
    <row r="700" spans="15:19" x14ac:dyDescent="0.2">
      <c r="O700" s="4">
        <f t="shared" ca="1" si="83"/>
        <v>0.28302394774058193</v>
      </c>
      <c r="P700" s="4">
        <f t="shared" ca="1" si="84"/>
        <v>-0.57388164377650086</v>
      </c>
      <c r="Q700" s="4">
        <f t="shared" ca="1" si="85"/>
        <v>1934.0926684162214</v>
      </c>
      <c r="R700" s="4">
        <f t="shared" ca="1" si="86"/>
        <v>10.422624416221424</v>
      </c>
      <c r="S700" s="4">
        <f t="shared" ca="1" si="87"/>
        <v>5.3202549457660258</v>
      </c>
    </row>
    <row r="701" spans="15:19" x14ac:dyDescent="0.2">
      <c r="O701" s="4">
        <f t="shared" ca="1" si="83"/>
        <v>7.7610820789803747E-2</v>
      </c>
      <c r="P701" s="4">
        <f t="shared" ca="1" si="84"/>
        <v>-1.421327262037998</v>
      </c>
      <c r="Q701" s="4">
        <f t="shared" ca="1" si="85"/>
        <v>1950.0828414544808</v>
      </c>
      <c r="R701" s="4">
        <f t="shared" ca="1" si="86"/>
        <v>26.412797454480824</v>
      </c>
      <c r="S701" s="4">
        <f t="shared" ca="1" si="87"/>
        <v>13.654402875499448</v>
      </c>
    </row>
    <row r="702" spans="15:19" x14ac:dyDescent="0.2">
      <c r="O702" s="4">
        <f t="shared" ca="1" si="83"/>
        <v>0.75802814361026005</v>
      </c>
      <c r="P702" s="4">
        <f t="shared" ca="1" si="84"/>
        <v>0.69997372621976162</v>
      </c>
      <c r="Q702" s="4">
        <f t="shared" ca="1" si="85"/>
        <v>1910.0567098213289</v>
      </c>
      <c r="R702" s="4">
        <f t="shared" ca="1" si="86"/>
        <v>-13.613334178671039</v>
      </c>
      <c r="S702" s="4">
        <f t="shared" ca="1" si="87"/>
        <v>-6.8157638663971012</v>
      </c>
    </row>
    <row r="703" spans="15:19" x14ac:dyDescent="0.2">
      <c r="O703" s="4">
        <f t="shared" ca="1" si="83"/>
        <v>0.3357518782434965</v>
      </c>
      <c r="P703" s="4">
        <f t="shared" ca="1" si="84"/>
        <v>-0.42408509323373894</v>
      </c>
      <c r="Q703" s="4">
        <f t="shared" ca="1" si="85"/>
        <v>1931.2662065027982</v>
      </c>
      <c r="R703" s="4">
        <f t="shared" ca="1" si="86"/>
        <v>7.5961625027982791</v>
      </c>
      <c r="S703" s="4">
        <f t="shared" ca="1" si="87"/>
        <v>3.8687404427522782</v>
      </c>
    </row>
    <row r="704" spans="15:19" x14ac:dyDescent="0.2">
      <c r="O704" s="4">
        <f t="shared" ca="1" si="83"/>
        <v>0.23564830823486249</v>
      </c>
      <c r="P704" s="4">
        <f t="shared" ca="1" si="84"/>
        <v>-0.72037097394890404</v>
      </c>
      <c r="Q704" s="4">
        <f t="shared" ca="1" si="85"/>
        <v>1936.8567274746902</v>
      </c>
      <c r="R704" s="4">
        <f t="shared" ca="1" si="86"/>
        <v>13.186683474690199</v>
      </c>
      <c r="S704" s="4">
        <f t="shared" ca="1" si="87"/>
        <v>6.7460130435451049</v>
      </c>
    </row>
    <row r="705" spans="15:19" x14ac:dyDescent="0.2">
      <c r="O705" s="4">
        <f t="shared" ca="1" si="83"/>
        <v>0.61085381514386805</v>
      </c>
      <c r="P705" s="4">
        <f t="shared" ca="1" si="84"/>
        <v>0.28154506331843038</v>
      </c>
      <c r="Q705" s="4">
        <f t="shared" ca="1" si="85"/>
        <v>1917.9519028340508</v>
      </c>
      <c r="R705" s="4">
        <f t="shared" ca="1" si="86"/>
        <v>-5.7181411659491914</v>
      </c>
      <c r="S705" s="4">
        <f t="shared" ca="1" si="87"/>
        <v>-2.8812690680459934</v>
      </c>
    </row>
    <row r="706" spans="15:19" x14ac:dyDescent="0.2">
      <c r="O706" s="4">
        <f t="shared" ca="1" si="83"/>
        <v>0.79407257778198292</v>
      </c>
      <c r="P706" s="4">
        <f t="shared" ca="1" si="84"/>
        <v>0.8206338781803646</v>
      </c>
      <c r="Q706" s="4">
        <f t="shared" ca="1" si="85"/>
        <v>1907.7800130432743</v>
      </c>
      <c r="R706" s="4">
        <f t="shared" ca="1" si="86"/>
        <v>-15.890030956725695</v>
      </c>
      <c r="S706" s="4">
        <f t="shared" ca="1" si="87"/>
        <v>-7.9409071475180655</v>
      </c>
    </row>
    <row r="707" spans="15:19" x14ac:dyDescent="0.2">
      <c r="O707" s="4">
        <f t="shared" ref="O707:O770" ca="1" si="88">RAND()</f>
        <v>0.53300066870468665</v>
      </c>
      <c r="P707" s="4">
        <f t="shared" ref="P707:P770" ca="1" si="89">NORMSINV(O707)</f>
        <v>8.2814973883643242E-2</v>
      </c>
      <c r="Q707" s="4">
        <f t="shared" ref="Q707:Q770" ca="1" si="90">$B$4*(1+$B$17-$B$32*P707)</f>
        <v>1921.7016756212297</v>
      </c>
      <c r="R707" s="4">
        <f t="shared" ref="R707:R770" ca="1" si="91">Q707-$B$4</f>
        <v>-1.9683683787702648</v>
      </c>
      <c r="S707" s="4">
        <f t="shared" ref="S707:S770" ca="1" si="92">R707*$B$12+0.5*$B$13*R707^2</f>
        <v>-0.99483017415403108</v>
      </c>
    </row>
    <row r="708" spans="15:19" x14ac:dyDescent="0.2">
      <c r="O708" s="4">
        <f t="shared" ca="1" si="88"/>
        <v>1.8389145393141404E-2</v>
      </c>
      <c r="P708" s="4">
        <f t="shared" ca="1" si="89"/>
        <v>-2.0882167084022463</v>
      </c>
      <c r="Q708" s="4">
        <f t="shared" ca="1" si="90"/>
        <v>1962.6661593865852</v>
      </c>
      <c r="R708" s="4">
        <f t="shared" ca="1" si="91"/>
        <v>38.996115386585188</v>
      </c>
      <c r="S708" s="4">
        <f t="shared" ca="1" si="92"/>
        <v>20.359244528519984</v>
      </c>
    </row>
    <row r="709" spans="15:19" x14ac:dyDescent="0.2">
      <c r="O709" s="4">
        <f t="shared" ca="1" si="88"/>
        <v>0.31934905356893539</v>
      </c>
      <c r="P709" s="4">
        <f t="shared" ca="1" si="89"/>
        <v>-0.46951983965057775</v>
      </c>
      <c r="Q709" s="4">
        <f t="shared" ca="1" si="90"/>
        <v>1932.1234998104742</v>
      </c>
      <c r="R709" s="4">
        <f t="shared" ca="1" si="91"/>
        <v>8.4534558104742246</v>
      </c>
      <c r="S709" s="4">
        <f t="shared" ca="1" si="92"/>
        <v>4.3083116714584042</v>
      </c>
    </row>
    <row r="710" spans="15:19" x14ac:dyDescent="0.2">
      <c r="O710" s="4">
        <f t="shared" ca="1" si="88"/>
        <v>0.48399251145461886</v>
      </c>
      <c r="P710" s="4">
        <f t="shared" ca="1" si="89"/>
        <v>-4.013559630234869E-2</v>
      </c>
      <c r="Q710" s="4">
        <f t="shared" ca="1" si="90"/>
        <v>1924.0215895485208</v>
      </c>
      <c r="R710" s="4">
        <f t="shared" ca="1" si="91"/>
        <v>0.35154554852078945</v>
      </c>
      <c r="S710" s="4">
        <f t="shared" ca="1" si="92"/>
        <v>0.17800610737082759</v>
      </c>
    </row>
    <row r="711" spans="15:19" x14ac:dyDescent="0.2">
      <c r="O711" s="4">
        <f t="shared" ca="1" si="88"/>
        <v>0.18049899102265932</v>
      </c>
      <c r="P711" s="4">
        <f t="shared" ca="1" si="89"/>
        <v>-0.91346509738379034</v>
      </c>
      <c r="Q711" s="4">
        <f t="shared" ca="1" si="90"/>
        <v>1940.5001570704783</v>
      </c>
      <c r="R711" s="4">
        <f t="shared" ca="1" si="91"/>
        <v>16.830113070478319</v>
      </c>
      <c r="S711" s="4">
        <f t="shared" ca="1" si="92"/>
        <v>8.6348715453459199</v>
      </c>
    </row>
    <row r="712" spans="15:19" x14ac:dyDescent="0.2">
      <c r="O712" s="4">
        <f t="shared" ca="1" si="88"/>
        <v>0.72756102044045157</v>
      </c>
      <c r="P712" s="4">
        <f t="shared" ca="1" si="89"/>
        <v>0.60545312864126033</v>
      </c>
      <c r="Q712" s="4">
        <f t="shared" ca="1" si="90"/>
        <v>1911.8401879329517</v>
      </c>
      <c r="R712" s="4">
        <f t="shared" ca="1" si="91"/>
        <v>-11.82985606704824</v>
      </c>
      <c r="S712" s="4">
        <f t="shared" ca="1" si="92"/>
        <v>-5.9314215093434797</v>
      </c>
    </row>
    <row r="713" spans="15:19" x14ac:dyDescent="0.2">
      <c r="O713" s="4">
        <f t="shared" ca="1" si="88"/>
        <v>0.8221705384518615</v>
      </c>
      <c r="P713" s="4">
        <f t="shared" ca="1" si="89"/>
        <v>0.92366852735500382</v>
      </c>
      <c r="Q713" s="4">
        <f t="shared" ca="1" si="90"/>
        <v>1905.8358860884159</v>
      </c>
      <c r="R713" s="4">
        <f t="shared" ca="1" si="91"/>
        <v>-17.834157911584043</v>
      </c>
      <c r="S713" s="4">
        <f t="shared" ca="1" si="92"/>
        <v>-8.8983541253078613</v>
      </c>
    </row>
    <row r="714" spans="15:19" x14ac:dyDescent="0.2">
      <c r="O714" s="4">
        <f t="shared" ca="1" si="88"/>
        <v>0.65431249880371567</v>
      </c>
      <c r="P714" s="4">
        <f t="shared" ca="1" si="89"/>
        <v>0.39698977277967878</v>
      </c>
      <c r="Q714" s="4">
        <f t="shared" ca="1" si="90"/>
        <v>1915.7736145275705</v>
      </c>
      <c r="R714" s="4">
        <f t="shared" ca="1" si="91"/>
        <v>-7.8964294724294177</v>
      </c>
      <c r="S714" s="4">
        <f t="shared" ca="1" si="92"/>
        <v>-3.9718677126962891</v>
      </c>
    </row>
    <row r="715" spans="15:19" x14ac:dyDescent="0.2">
      <c r="O715" s="4">
        <f t="shared" ca="1" si="88"/>
        <v>0.74037302319989595</v>
      </c>
      <c r="P715" s="4">
        <f t="shared" ca="1" si="89"/>
        <v>0.64449584114661229</v>
      </c>
      <c r="Q715" s="4">
        <f t="shared" ca="1" si="90"/>
        <v>1911.1035038137697</v>
      </c>
      <c r="R715" s="4">
        <f t="shared" ca="1" si="91"/>
        <v>-12.566540186230213</v>
      </c>
      <c r="S715" s="4">
        <f t="shared" ca="1" si="92"/>
        <v>-6.2970221999317255</v>
      </c>
    </row>
    <row r="716" spans="15:19" x14ac:dyDescent="0.2">
      <c r="O716" s="4">
        <f t="shared" ca="1" si="88"/>
        <v>0.90575198187503736</v>
      </c>
      <c r="P716" s="4">
        <f t="shared" ca="1" si="89"/>
        <v>1.3150412597355849</v>
      </c>
      <c r="Q716" s="4">
        <f t="shared" ca="1" si="90"/>
        <v>1898.4512025425145</v>
      </c>
      <c r="R716" s="4">
        <f t="shared" ca="1" si="91"/>
        <v>-25.218841457485496</v>
      </c>
      <c r="S716" s="4">
        <f t="shared" ca="1" si="92"/>
        <v>-12.50713261954205</v>
      </c>
    </row>
    <row r="717" spans="15:19" x14ac:dyDescent="0.2">
      <c r="O717" s="4">
        <f t="shared" ca="1" si="88"/>
        <v>3.5601737631096864E-3</v>
      </c>
      <c r="P717" s="4">
        <f t="shared" ca="1" si="89"/>
        <v>-2.691162628702592</v>
      </c>
      <c r="Q717" s="4">
        <f t="shared" ca="1" si="90"/>
        <v>1974.0429479268266</v>
      </c>
      <c r="R717" s="4">
        <f t="shared" ca="1" si="91"/>
        <v>50.372903926826666</v>
      </c>
      <c r="S717" s="4">
        <f t="shared" ca="1" si="92"/>
        <v>26.532166807159175</v>
      </c>
    </row>
    <row r="718" spans="15:19" x14ac:dyDescent="0.2">
      <c r="O718" s="4">
        <f t="shared" ca="1" si="88"/>
        <v>0.28630447029431583</v>
      </c>
      <c r="P718" s="4">
        <f t="shared" ca="1" si="89"/>
        <v>-0.56421335414893359</v>
      </c>
      <c r="Q718" s="4">
        <f t="shared" ca="1" si="90"/>
        <v>1933.9102406346653</v>
      </c>
      <c r="R718" s="4">
        <f t="shared" ca="1" si="91"/>
        <v>10.240196634665381</v>
      </c>
      <c r="S718" s="4">
        <f t="shared" ca="1" si="92"/>
        <v>5.2263737795847511</v>
      </c>
    </row>
    <row r="719" spans="15:19" x14ac:dyDescent="0.2">
      <c r="O719" s="4">
        <f t="shared" ca="1" si="88"/>
        <v>0.66706273247790471</v>
      </c>
      <c r="P719" s="4">
        <f t="shared" ca="1" si="89"/>
        <v>0.43181684571654017</v>
      </c>
      <c r="Q719" s="4">
        <f t="shared" ca="1" si="90"/>
        <v>1915.1164739268334</v>
      </c>
      <c r="R719" s="4">
        <f t="shared" ca="1" si="91"/>
        <v>-8.5535700731666111</v>
      </c>
      <c r="S719" s="4">
        <f t="shared" ca="1" si="92"/>
        <v>-4.3001183183204503</v>
      </c>
    </row>
    <row r="720" spans="15:19" x14ac:dyDescent="0.2">
      <c r="O720" s="4">
        <f t="shared" ca="1" si="88"/>
        <v>0.32942137732809706</v>
      </c>
      <c r="P720" s="4">
        <f t="shared" ca="1" si="89"/>
        <v>-0.4415114769037442</v>
      </c>
      <c r="Q720" s="4">
        <f t="shared" ca="1" si="90"/>
        <v>1931.5950192127943</v>
      </c>
      <c r="R720" s="4">
        <f t="shared" ca="1" si="91"/>
        <v>7.9249752127943793</v>
      </c>
      <c r="S720" s="4">
        <f t="shared" ca="1" si="92"/>
        <v>4.0372661543117845</v>
      </c>
    </row>
    <row r="721" spans="15:19" x14ac:dyDescent="0.2">
      <c r="O721" s="4">
        <f t="shared" ca="1" si="88"/>
        <v>0.16556108771968647</v>
      </c>
      <c r="P721" s="4">
        <f t="shared" ca="1" si="89"/>
        <v>-0.9718560330420466</v>
      </c>
      <c r="Q721" s="4">
        <f t="shared" ca="1" si="90"/>
        <v>1941.6019164576549</v>
      </c>
      <c r="R721" s="4">
        <f t="shared" ca="1" si="91"/>
        <v>17.93187245765489</v>
      </c>
      <c r="S721" s="4">
        <f t="shared" ca="1" si="92"/>
        <v>9.2081834230199338</v>
      </c>
    </row>
    <row r="722" spans="15:19" x14ac:dyDescent="0.2">
      <c r="O722" s="4">
        <f t="shared" ca="1" si="88"/>
        <v>0.19200644065566086</v>
      </c>
      <c r="P722" s="4">
        <f t="shared" ca="1" si="89"/>
        <v>-0.87052624811527424</v>
      </c>
      <c r="Q722" s="4">
        <f t="shared" ca="1" si="90"/>
        <v>1939.6899580263484</v>
      </c>
      <c r="R722" s="4">
        <f t="shared" ca="1" si="91"/>
        <v>16.019914026348488</v>
      </c>
      <c r="S722" s="4">
        <f t="shared" ca="1" si="92"/>
        <v>8.2139066812920625</v>
      </c>
    </row>
    <row r="723" spans="15:19" x14ac:dyDescent="0.2">
      <c r="O723" s="4">
        <f t="shared" ca="1" si="88"/>
        <v>0.26259243595665904</v>
      </c>
      <c r="P723" s="4">
        <f t="shared" ca="1" si="89"/>
        <v>-0.63537346202071943</v>
      </c>
      <c r="Q723" s="4">
        <f t="shared" ca="1" si="90"/>
        <v>1935.2529373384671</v>
      </c>
      <c r="R723" s="4">
        <f t="shared" ca="1" si="91"/>
        <v>11.582893338467102</v>
      </c>
      <c r="S723" s="4">
        <f t="shared" ca="1" si="92"/>
        <v>5.9179878600006504</v>
      </c>
    </row>
    <row r="724" spans="15:19" x14ac:dyDescent="0.2">
      <c r="O724" s="4">
        <f t="shared" ca="1" si="88"/>
        <v>0.54381370241753135</v>
      </c>
      <c r="P724" s="4">
        <f t="shared" ca="1" si="89"/>
        <v>0.1100463764291338</v>
      </c>
      <c r="Q724" s="4">
        <f t="shared" ca="1" si="90"/>
        <v>1921.1878552304061</v>
      </c>
      <c r="R724" s="4">
        <f t="shared" ca="1" si="91"/>
        <v>-2.482188769593904</v>
      </c>
      <c r="S724" s="4">
        <f t="shared" ca="1" si="92"/>
        <v>-1.2540002081921651</v>
      </c>
    </row>
    <row r="725" spans="15:19" x14ac:dyDescent="0.2">
      <c r="O725" s="4">
        <f t="shared" ca="1" si="88"/>
        <v>9.7331837472159677E-2</v>
      </c>
      <c r="P725" s="4">
        <f t="shared" ca="1" si="89"/>
        <v>-1.2969055840603692</v>
      </c>
      <c r="Q725" s="4">
        <f t="shared" ca="1" si="90"/>
        <v>1947.7351696774358</v>
      </c>
      <c r="R725" s="4">
        <f t="shared" ca="1" si="91"/>
        <v>24.065125677435844</v>
      </c>
      <c r="S725" s="4">
        <f t="shared" ca="1" si="92"/>
        <v>12.417748445730908</v>
      </c>
    </row>
    <row r="726" spans="15:19" x14ac:dyDescent="0.2">
      <c r="O726" s="4">
        <f t="shared" ca="1" si="88"/>
        <v>0.7885218311565737</v>
      </c>
      <c r="P726" s="4">
        <f t="shared" ca="1" si="89"/>
        <v>0.80130285632332854</v>
      </c>
      <c r="Q726" s="4">
        <f t="shared" ca="1" si="90"/>
        <v>1908.1447637456668</v>
      </c>
      <c r="R726" s="4">
        <f t="shared" ca="1" si="91"/>
        <v>-15.525280254333211</v>
      </c>
      <c r="S726" s="4">
        <f t="shared" ca="1" si="92"/>
        <v>-7.7609312765390257</v>
      </c>
    </row>
    <row r="727" spans="15:19" x14ac:dyDescent="0.2">
      <c r="O727" s="4">
        <f t="shared" ca="1" si="88"/>
        <v>0.6741021425930448</v>
      </c>
      <c r="P727" s="4">
        <f t="shared" ca="1" si="89"/>
        <v>0.45126895807529616</v>
      </c>
      <c r="Q727" s="4">
        <f t="shared" ca="1" si="90"/>
        <v>1914.7494384075344</v>
      </c>
      <c r="R727" s="4">
        <f t="shared" ca="1" si="91"/>
        <v>-8.9206055924655629</v>
      </c>
      <c r="S727" s="4">
        <f t="shared" ca="1" si="92"/>
        <v>-4.4833044965207698</v>
      </c>
    </row>
    <row r="728" spans="15:19" x14ac:dyDescent="0.2">
      <c r="O728" s="4">
        <f t="shared" ca="1" si="88"/>
        <v>0.93385797373867396</v>
      </c>
      <c r="P728" s="4">
        <f t="shared" ca="1" si="89"/>
        <v>1.5051556960425199</v>
      </c>
      <c r="Q728" s="4">
        <f t="shared" ca="1" si="90"/>
        <v>1894.8639956845034</v>
      </c>
      <c r="R728" s="4">
        <f t="shared" ca="1" si="91"/>
        <v>-28.806048315496582</v>
      </c>
      <c r="S728" s="4">
        <f t="shared" ca="1" si="92"/>
        <v>-14.244122480355021</v>
      </c>
    </row>
    <row r="729" spans="15:19" x14ac:dyDescent="0.2">
      <c r="O729" s="4">
        <f t="shared" ca="1" si="88"/>
        <v>0.15682239931806119</v>
      </c>
      <c r="P729" s="4">
        <f t="shared" ca="1" si="89"/>
        <v>-1.00760360283827</v>
      </c>
      <c r="Q729" s="4">
        <f t="shared" ca="1" si="90"/>
        <v>1942.2764256113062</v>
      </c>
      <c r="R729" s="4">
        <f t="shared" ca="1" si="91"/>
        <v>18.606381611306233</v>
      </c>
      <c r="S729" s="4">
        <f t="shared" ca="1" si="92"/>
        <v>9.5596589418855338</v>
      </c>
    </row>
    <row r="730" spans="15:19" x14ac:dyDescent="0.2">
      <c r="O730" s="4">
        <f t="shared" ca="1" si="88"/>
        <v>0.2408851204809096</v>
      </c>
      <c r="P730" s="4">
        <f t="shared" ca="1" si="89"/>
        <v>-0.70345821054897872</v>
      </c>
      <c r="Q730" s="4">
        <f t="shared" ca="1" si="90"/>
        <v>1936.5376060968786</v>
      </c>
      <c r="R730" s="4">
        <f t="shared" ca="1" si="91"/>
        <v>12.867562096878601</v>
      </c>
      <c r="S730" s="4">
        <f t="shared" ca="1" si="92"/>
        <v>6.5810861127930407</v>
      </c>
    </row>
    <row r="731" spans="15:19" x14ac:dyDescent="0.2">
      <c r="O731" s="4">
        <f t="shared" ca="1" si="88"/>
        <v>0.26677715751130615</v>
      </c>
      <c r="P731" s="4">
        <f t="shared" ca="1" si="89"/>
        <v>-0.62258949681765019</v>
      </c>
      <c r="Q731" s="4">
        <f t="shared" ca="1" si="90"/>
        <v>1935.0117208977811</v>
      </c>
      <c r="R731" s="4">
        <f t="shared" ca="1" si="91"/>
        <v>11.341676897781099</v>
      </c>
      <c r="S731" s="4">
        <f t="shared" ca="1" si="92"/>
        <v>5.7936307304525627</v>
      </c>
    </row>
    <row r="732" spans="15:19" x14ac:dyDescent="0.2">
      <c r="O732" s="4">
        <f t="shared" ca="1" si="88"/>
        <v>0.15811810797523829</v>
      </c>
      <c r="P732" s="4">
        <f t="shared" ca="1" si="89"/>
        <v>-1.0022223493512905</v>
      </c>
      <c r="Q732" s="4">
        <f t="shared" ca="1" si="90"/>
        <v>1942.1748885066645</v>
      </c>
      <c r="R732" s="4">
        <f t="shared" ca="1" si="91"/>
        <v>18.50484450666454</v>
      </c>
      <c r="S732" s="4">
        <f t="shared" ca="1" si="92"/>
        <v>9.5067259603704546</v>
      </c>
    </row>
    <row r="733" spans="15:19" x14ac:dyDescent="0.2">
      <c r="O733" s="4">
        <f t="shared" ca="1" si="88"/>
        <v>0.71406022303616834</v>
      </c>
      <c r="P733" s="4">
        <f t="shared" ca="1" si="89"/>
        <v>0.56528555249444257</v>
      </c>
      <c r="Q733" s="4">
        <f t="shared" ca="1" si="90"/>
        <v>1912.5980967347373</v>
      </c>
      <c r="R733" s="4">
        <f t="shared" ca="1" si="91"/>
        <v>-11.071947265262679</v>
      </c>
      <c r="S733" s="4">
        <f t="shared" ca="1" si="92"/>
        <v>-5.5548263454958917</v>
      </c>
    </row>
    <row r="734" spans="15:19" x14ac:dyDescent="0.2">
      <c r="O734" s="4">
        <f t="shared" ca="1" si="88"/>
        <v>0.10728267728354768</v>
      </c>
      <c r="P734" s="4">
        <f t="shared" ca="1" si="89"/>
        <v>-1.2411093538136189</v>
      </c>
      <c r="Q734" s="4">
        <f t="shared" ca="1" si="90"/>
        <v>1946.682368934471</v>
      </c>
      <c r="R734" s="4">
        <f t="shared" ca="1" si="91"/>
        <v>23.012324934471053</v>
      </c>
      <c r="S734" s="4">
        <f t="shared" ca="1" si="92"/>
        <v>11.864634754294045</v>
      </c>
    </row>
    <row r="735" spans="15:19" x14ac:dyDescent="0.2">
      <c r="O735" s="4">
        <f t="shared" ca="1" si="88"/>
        <v>0.45561610463758306</v>
      </c>
      <c r="P735" s="4">
        <f t="shared" ca="1" si="89"/>
        <v>-0.11148443304549681</v>
      </c>
      <c r="Q735" s="4">
        <f t="shared" ca="1" si="90"/>
        <v>1925.3678473154107</v>
      </c>
      <c r="R735" s="4">
        <f t="shared" ca="1" si="91"/>
        <v>1.6978033154107379</v>
      </c>
      <c r="S735" s="4">
        <f t="shared" ca="1" si="92"/>
        <v>0.86061805982134731</v>
      </c>
    </row>
    <row r="736" spans="15:19" x14ac:dyDescent="0.2">
      <c r="O736" s="4">
        <f t="shared" ca="1" si="88"/>
        <v>0.10974960430612457</v>
      </c>
      <c r="P736" s="4">
        <f t="shared" ca="1" si="89"/>
        <v>-1.2278608491574619</v>
      </c>
      <c r="Q736" s="4">
        <f t="shared" ca="1" si="90"/>
        <v>1946.4323872514162</v>
      </c>
      <c r="R736" s="4">
        <f t="shared" ca="1" si="91"/>
        <v>22.762343251416269</v>
      </c>
      <c r="S736" s="4">
        <f t="shared" ca="1" si="92"/>
        <v>11.73343355440867</v>
      </c>
    </row>
    <row r="737" spans="15:19" x14ac:dyDescent="0.2">
      <c r="O737" s="4">
        <f t="shared" ca="1" si="88"/>
        <v>0.49386221908651118</v>
      </c>
      <c r="P737" s="4">
        <f t="shared" ca="1" si="89"/>
        <v>-1.5385742181227293E-2</v>
      </c>
      <c r="Q737" s="4">
        <f t="shared" ca="1" si="90"/>
        <v>1923.5545926798836</v>
      </c>
      <c r="R737" s="4">
        <f t="shared" ca="1" si="91"/>
        <v>-0.11545132011633541</v>
      </c>
      <c r="S737" s="4">
        <f t="shared" ca="1" si="92"/>
        <v>-5.8437163248965626E-2</v>
      </c>
    </row>
    <row r="738" spans="15:19" x14ac:dyDescent="0.2">
      <c r="O738" s="4">
        <f t="shared" ca="1" si="88"/>
        <v>0.97498953104592323</v>
      </c>
      <c r="P738" s="4">
        <f t="shared" ca="1" si="89"/>
        <v>1.9597848913010796</v>
      </c>
      <c r="Q738" s="4">
        <f t="shared" ca="1" si="90"/>
        <v>1886.2857467163367</v>
      </c>
      <c r="R738" s="4">
        <f t="shared" ca="1" si="91"/>
        <v>-37.384297283663273</v>
      </c>
      <c r="S738" s="4">
        <f t="shared" ca="1" si="92"/>
        <v>-18.355383338615393</v>
      </c>
    </row>
    <row r="739" spans="15:19" x14ac:dyDescent="0.2">
      <c r="O739" s="4">
        <f t="shared" ca="1" si="88"/>
        <v>9.5029400053580959E-2</v>
      </c>
      <c r="P739" s="4">
        <f t="shared" ca="1" si="89"/>
        <v>-1.3104051861778254</v>
      </c>
      <c r="Q739" s="4">
        <f t="shared" ca="1" si="90"/>
        <v>1947.9898892360177</v>
      </c>
      <c r="R739" s="4">
        <f t="shared" ca="1" si="91"/>
        <v>24.319845236017727</v>
      </c>
      <c r="S739" s="4">
        <f t="shared" ca="1" si="92"/>
        <v>12.55170694598065</v>
      </c>
    </row>
    <row r="740" spans="15:19" x14ac:dyDescent="0.2">
      <c r="O740" s="4">
        <f t="shared" ca="1" si="88"/>
        <v>0.25147316638612416</v>
      </c>
      <c r="P740" s="4">
        <f t="shared" ca="1" si="89"/>
        <v>-0.66986111053344255</v>
      </c>
      <c r="Q740" s="4">
        <f t="shared" ca="1" si="90"/>
        <v>1935.9036734512251</v>
      </c>
      <c r="R740" s="4">
        <f t="shared" ca="1" si="91"/>
        <v>12.23362945122517</v>
      </c>
      <c r="S740" s="4">
        <f t="shared" ca="1" si="92"/>
        <v>6.2537057235407083</v>
      </c>
    </row>
    <row r="741" spans="15:19" x14ac:dyDescent="0.2">
      <c r="O741" s="4">
        <f t="shared" ca="1" si="88"/>
        <v>0.23880343511655222</v>
      </c>
      <c r="P741" s="4">
        <f t="shared" ca="1" si="89"/>
        <v>-0.71015685879225432</v>
      </c>
      <c r="Q741" s="4">
        <f t="shared" ca="1" si="90"/>
        <v>1936.6640006904954</v>
      </c>
      <c r="R741" s="4">
        <f t="shared" ca="1" si="91"/>
        <v>12.993956690495452</v>
      </c>
      <c r="S741" s="4">
        <f t="shared" ca="1" si="92"/>
        <v>6.6463989041431004</v>
      </c>
    </row>
    <row r="742" spans="15:19" x14ac:dyDescent="0.2">
      <c r="O742" s="4">
        <f t="shared" ca="1" si="88"/>
        <v>0.59550305132832126</v>
      </c>
      <c r="P742" s="4">
        <f t="shared" ca="1" si="89"/>
        <v>0.24172417329900509</v>
      </c>
      <c r="Q742" s="4">
        <f t="shared" ca="1" si="90"/>
        <v>1918.7032701291635</v>
      </c>
      <c r="R742" s="4">
        <f t="shared" ca="1" si="91"/>
        <v>-4.966773870836505</v>
      </c>
      <c r="S742" s="4">
        <f t="shared" ca="1" si="92"/>
        <v>-2.5041876558068266</v>
      </c>
    </row>
    <row r="743" spans="15:19" x14ac:dyDescent="0.2">
      <c r="O743" s="4">
        <f t="shared" ca="1" si="88"/>
        <v>0.75978571200749001</v>
      </c>
      <c r="P743" s="4">
        <f t="shared" ca="1" si="89"/>
        <v>0.70561342055734999</v>
      </c>
      <c r="Q743" s="4">
        <f t="shared" ca="1" si="90"/>
        <v>1909.9502962811589</v>
      </c>
      <c r="R743" s="4">
        <f t="shared" ca="1" si="91"/>
        <v>-13.719747718841063</v>
      </c>
      <c r="S743" s="4">
        <f t="shared" ca="1" si="92"/>
        <v>-6.868447437117629</v>
      </c>
    </row>
    <row r="744" spans="15:19" x14ac:dyDescent="0.2">
      <c r="O744" s="4">
        <f t="shared" ca="1" si="88"/>
        <v>0.3810902866378707</v>
      </c>
      <c r="P744" s="4">
        <f t="shared" ca="1" si="89"/>
        <v>-0.30261855370560781</v>
      </c>
      <c r="Q744" s="4">
        <f t="shared" ca="1" si="90"/>
        <v>1928.9742942625799</v>
      </c>
      <c r="R744" s="4">
        <f t="shared" ca="1" si="91"/>
        <v>5.3042502625798988</v>
      </c>
      <c r="S744" s="4">
        <f t="shared" ca="1" si="92"/>
        <v>2.6965163590537831</v>
      </c>
    </row>
    <row r="745" spans="15:19" x14ac:dyDescent="0.2">
      <c r="O745" s="4">
        <f t="shared" ca="1" si="88"/>
        <v>0.58991887811233357</v>
      </c>
      <c r="P745" s="4">
        <f t="shared" ca="1" si="89"/>
        <v>0.2273363062424868</v>
      </c>
      <c r="Q745" s="4">
        <f t="shared" ca="1" si="90"/>
        <v>1918.9747500671413</v>
      </c>
      <c r="R745" s="4">
        <f t="shared" ca="1" si="91"/>
        <v>-4.6952939328587036</v>
      </c>
      <c r="S745" s="4">
        <f t="shared" ca="1" si="92"/>
        <v>-2.3678296180954281</v>
      </c>
    </row>
    <row r="746" spans="15:19" x14ac:dyDescent="0.2">
      <c r="O746" s="4">
        <f t="shared" ca="1" si="88"/>
        <v>0.22709034210516121</v>
      </c>
      <c r="P746" s="4">
        <f t="shared" ca="1" si="89"/>
        <v>-0.74846341527600546</v>
      </c>
      <c r="Q746" s="4">
        <f t="shared" ca="1" si="90"/>
        <v>1937.386794523487</v>
      </c>
      <c r="R746" s="4">
        <f t="shared" ca="1" si="91"/>
        <v>13.716750523487008</v>
      </c>
      <c r="S746" s="4">
        <f t="shared" ca="1" si="92"/>
        <v>7.0201432367165921</v>
      </c>
    </row>
    <row r="747" spans="15:19" x14ac:dyDescent="0.2">
      <c r="O747" s="4">
        <f t="shared" ca="1" si="88"/>
        <v>0.22799905461833225</v>
      </c>
      <c r="P747" s="4">
        <f t="shared" ca="1" si="89"/>
        <v>-0.74545267689042294</v>
      </c>
      <c r="Q747" s="4">
        <f t="shared" ca="1" si="90"/>
        <v>1937.3299858897281</v>
      </c>
      <c r="R747" s="4">
        <f t="shared" ca="1" si="91"/>
        <v>13.659941889728088</v>
      </c>
      <c r="S747" s="4">
        <f t="shared" ca="1" si="92"/>
        <v>6.9907530625859406</v>
      </c>
    </row>
    <row r="748" spans="15:19" x14ac:dyDescent="0.2">
      <c r="O748" s="4">
        <f t="shared" ca="1" si="88"/>
        <v>0.14548957626079473</v>
      </c>
      <c r="P748" s="4">
        <f t="shared" ca="1" si="89"/>
        <v>-1.0559760598132146</v>
      </c>
      <c r="Q748" s="4">
        <f t="shared" ca="1" si="90"/>
        <v>1943.1891496146493</v>
      </c>
      <c r="R748" s="4">
        <f t="shared" ca="1" si="91"/>
        <v>19.519105614649334</v>
      </c>
      <c r="S748" s="4">
        <f t="shared" ca="1" si="92"/>
        <v>10.035853986606829</v>
      </c>
    </row>
    <row r="749" spans="15:19" x14ac:dyDescent="0.2">
      <c r="O749" s="4">
        <f t="shared" ca="1" si="88"/>
        <v>0.98405372607761066</v>
      </c>
      <c r="P749" s="4">
        <f t="shared" ca="1" si="89"/>
        <v>2.1457547837353843</v>
      </c>
      <c r="Q749" s="4">
        <f t="shared" ca="1" si="90"/>
        <v>1882.7767418954359</v>
      </c>
      <c r="R749" s="4">
        <f t="shared" ca="1" si="91"/>
        <v>-40.8933021045641</v>
      </c>
      <c r="S749" s="4">
        <f t="shared" ca="1" si="92"/>
        <v>-20.01986360988197</v>
      </c>
    </row>
    <row r="750" spans="15:19" x14ac:dyDescent="0.2">
      <c r="O750" s="4">
        <f t="shared" ca="1" si="88"/>
        <v>0.82191114714113112</v>
      </c>
      <c r="P750" s="4">
        <f t="shared" ca="1" si="89"/>
        <v>0.92267287477178095</v>
      </c>
      <c r="Q750" s="4">
        <f t="shared" ca="1" si="90"/>
        <v>1905.8546727299993</v>
      </c>
      <c r="R750" s="4">
        <f t="shared" ca="1" si="91"/>
        <v>-17.815371270000696</v>
      </c>
      <c r="S750" s="4">
        <f t="shared" ca="1" si="92"/>
        <v>-8.8891167718033142</v>
      </c>
    </row>
    <row r="751" spans="15:19" x14ac:dyDescent="0.2">
      <c r="O751" s="4">
        <f t="shared" ca="1" si="88"/>
        <v>0.36027446817952535</v>
      </c>
      <c r="P751" s="4">
        <f t="shared" ca="1" si="89"/>
        <v>-0.3577252483335856</v>
      </c>
      <c r="Q751" s="4">
        <f t="shared" ca="1" si="90"/>
        <v>1930.0140843844231</v>
      </c>
      <c r="R751" s="4">
        <f t="shared" ca="1" si="91"/>
        <v>6.3440403844231241</v>
      </c>
      <c r="S751" s="4">
        <f t="shared" ca="1" si="92"/>
        <v>3.2277986352867187</v>
      </c>
    </row>
    <row r="752" spans="15:19" x14ac:dyDescent="0.2">
      <c r="O752" s="4">
        <f t="shared" ca="1" si="88"/>
        <v>0.70038729180877735</v>
      </c>
      <c r="P752" s="4">
        <f t="shared" ca="1" si="89"/>
        <v>0.52551472977981495</v>
      </c>
      <c r="Q752" s="4">
        <f t="shared" ca="1" si="90"/>
        <v>1913.3485193263198</v>
      </c>
      <c r="R752" s="4">
        <f t="shared" ca="1" si="91"/>
        <v>-10.321524673680187</v>
      </c>
      <c r="S752" s="4">
        <f t="shared" ca="1" si="92"/>
        <v>-5.1814902275531418</v>
      </c>
    </row>
    <row r="753" spans="15:19" x14ac:dyDescent="0.2">
      <c r="O753" s="4">
        <f t="shared" ca="1" si="88"/>
        <v>0.31395877601672384</v>
      </c>
      <c r="P753" s="4">
        <f t="shared" ca="1" si="89"/>
        <v>-0.48465999003948695</v>
      </c>
      <c r="Q753" s="4">
        <f t="shared" ca="1" si="90"/>
        <v>1932.409174335573</v>
      </c>
      <c r="R753" s="4">
        <f t="shared" ca="1" si="91"/>
        <v>8.7391303355730088</v>
      </c>
      <c r="S753" s="4">
        <f t="shared" ca="1" si="92"/>
        <v>4.454922228159611</v>
      </c>
    </row>
    <row r="754" spans="15:19" x14ac:dyDescent="0.2">
      <c r="O754" s="4">
        <f t="shared" ca="1" si="88"/>
        <v>0.40575596051328067</v>
      </c>
      <c r="P754" s="4">
        <f t="shared" ca="1" si="89"/>
        <v>-0.23847600858035561</v>
      </c>
      <c r="Q754" s="4">
        <f t="shared" ca="1" si="90"/>
        <v>1927.7640096454131</v>
      </c>
      <c r="R754" s="4">
        <f t="shared" ca="1" si="91"/>
        <v>4.0939656454131637</v>
      </c>
      <c r="S754" s="4">
        <f t="shared" ca="1" si="92"/>
        <v>2.0792282157414896</v>
      </c>
    </row>
    <row r="755" spans="15:19" x14ac:dyDescent="0.2">
      <c r="O755" s="4">
        <f t="shared" ca="1" si="88"/>
        <v>0.52132073625859066</v>
      </c>
      <c r="P755" s="4">
        <f t="shared" ca="1" si="89"/>
        <v>5.3468626275877458E-2</v>
      </c>
      <c r="Q755" s="4">
        <f t="shared" ca="1" si="90"/>
        <v>1922.2554022158067</v>
      </c>
      <c r="R755" s="4">
        <f t="shared" ca="1" si="91"/>
        <v>-1.4146417841932362</v>
      </c>
      <c r="S755" s="4">
        <f t="shared" ca="1" si="92"/>
        <v>-0.71529089587514127</v>
      </c>
    </row>
    <row r="756" spans="15:19" x14ac:dyDescent="0.2">
      <c r="O756" s="4">
        <f t="shared" ca="1" si="88"/>
        <v>0.94778092519534984</v>
      </c>
      <c r="P756" s="4">
        <f t="shared" ca="1" si="89"/>
        <v>1.6237079682585582</v>
      </c>
      <c r="Q756" s="4">
        <f t="shared" ca="1" si="90"/>
        <v>1892.6270717970424</v>
      </c>
      <c r="R756" s="4">
        <f t="shared" ca="1" si="91"/>
        <v>-31.042972202957571</v>
      </c>
      <c r="S756" s="4">
        <f t="shared" ca="1" si="92"/>
        <v>-15.321977769482778</v>
      </c>
    </row>
    <row r="757" spans="15:19" x14ac:dyDescent="0.2">
      <c r="O757" s="4">
        <f t="shared" ca="1" si="88"/>
        <v>0.38073933124733395</v>
      </c>
      <c r="P757" s="4">
        <f t="shared" ca="1" si="89"/>
        <v>-0.30353961460190954</v>
      </c>
      <c r="Q757" s="4">
        <f t="shared" ca="1" si="90"/>
        <v>1928.9916734581213</v>
      </c>
      <c r="R757" s="4">
        <f t="shared" ca="1" si="91"/>
        <v>5.3216294581213788</v>
      </c>
      <c r="S757" s="4">
        <f t="shared" ca="1" si="92"/>
        <v>2.7053890512295973</v>
      </c>
    </row>
    <row r="758" spans="15:19" x14ac:dyDescent="0.2">
      <c r="O758" s="4">
        <f t="shared" ca="1" si="88"/>
        <v>0.55326247689713515</v>
      </c>
      <c r="P758" s="4">
        <f t="shared" ca="1" si="89"/>
        <v>0.13390835152551894</v>
      </c>
      <c r="Q758" s="4">
        <f t="shared" ca="1" si="90"/>
        <v>1920.7376114594742</v>
      </c>
      <c r="R758" s="4">
        <f t="shared" ca="1" si="91"/>
        <v>-2.9324325405257241</v>
      </c>
      <c r="S758" s="4">
        <f t="shared" ca="1" si="92"/>
        <v>-1.4809256212642894</v>
      </c>
    </row>
    <row r="759" spans="15:19" x14ac:dyDescent="0.2">
      <c r="O759" s="4">
        <f t="shared" ca="1" si="88"/>
        <v>0.68932194275303149</v>
      </c>
      <c r="P759" s="4">
        <f t="shared" ca="1" si="89"/>
        <v>0.49392929514632805</v>
      </c>
      <c r="Q759" s="4">
        <f t="shared" ca="1" si="90"/>
        <v>1913.9444945185853</v>
      </c>
      <c r="R759" s="4">
        <f t="shared" ca="1" si="91"/>
        <v>-9.7255494814146459</v>
      </c>
      <c r="S759" s="4">
        <f t="shared" ca="1" si="92"/>
        <v>-4.8846652312478618</v>
      </c>
    </row>
    <row r="760" spans="15:19" x14ac:dyDescent="0.2">
      <c r="O760" s="4">
        <f t="shared" ca="1" si="88"/>
        <v>0.62409181957801141</v>
      </c>
      <c r="P760" s="4">
        <f t="shared" ca="1" si="89"/>
        <v>0.31624525447664176</v>
      </c>
      <c r="Q760" s="4">
        <f t="shared" ca="1" si="90"/>
        <v>1917.2971563239221</v>
      </c>
      <c r="R760" s="4">
        <f t="shared" ca="1" si="91"/>
        <v>-6.3728876760778803</v>
      </c>
      <c r="S760" s="4">
        <f t="shared" ca="1" si="92"/>
        <v>-3.2094855771358737</v>
      </c>
    </row>
    <row r="761" spans="15:19" x14ac:dyDescent="0.2">
      <c r="O761" s="4">
        <f t="shared" ca="1" si="88"/>
        <v>0.79693476878593339</v>
      </c>
      <c r="P761" s="4">
        <f t="shared" ca="1" si="89"/>
        <v>0.83072241185584816</v>
      </c>
      <c r="Q761" s="4">
        <f t="shared" ca="1" si="90"/>
        <v>1907.5896558148017</v>
      </c>
      <c r="R761" s="4">
        <f t="shared" ca="1" si="91"/>
        <v>-16.080388185198217</v>
      </c>
      <c r="S761" s="4">
        <f t="shared" ca="1" si="92"/>
        <v>-8.0347904990528765</v>
      </c>
    </row>
    <row r="762" spans="15:19" x14ac:dyDescent="0.2">
      <c r="O762" s="4">
        <f t="shared" ca="1" si="88"/>
        <v>0.79153605490139556</v>
      </c>
      <c r="P762" s="4">
        <f t="shared" ca="1" si="89"/>
        <v>0.81176255826363075</v>
      </c>
      <c r="Q762" s="4">
        <f t="shared" ca="1" si="90"/>
        <v>1907.9474030651111</v>
      </c>
      <c r="R762" s="4">
        <f t="shared" ca="1" si="91"/>
        <v>-15.722640934888886</v>
      </c>
      <c r="S762" s="4">
        <f t="shared" ca="1" si="92"/>
        <v>-7.8583267450690597</v>
      </c>
    </row>
    <row r="763" spans="15:19" x14ac:dyDescent="0.2">
      <c r="O763" s="4">
        <f t="shared" ca="1" si="88"/>
        <v>0.57987791760613727</v>
      </c>
      <c r="P763" s="4">
        <f t="shared" ca="1" si="89"/>
        <v>0.20158117307583345</v>
      </c>
      <c r="Q763" s="4">
        <f t="shared" ca="1" si="90"/>
        <v>1919.4607152159174</v>
      </c>
      <c r="R763" s="4">
        <f t="shared" ca="1" si="91"/>
        <v>-4.2093287840825724</v>
      </c>
      <c r="S763" s="4">
        <f t="shared" ca="1" si="92"/>
        <v>-2.1235908252407838</v>
      </c>
    </row>
    <row r="764" spans="15:19" x14ac:dyDescent="0.2">
      <c r="O764" s="4">
        <f t="shared" ca="1" si="88"/>
        <v>0.77612316338167209</v>
      </c>
      <c r="P764" s="4">
        <f t="shared" ca="1" si="89"/>
        <v>0.75916531247947139</v>
      </c>
      <c r="Q764" s="4">
        <f t="shared" ca="1" si="90"/>
        <v>1908.9398432209171</v>
      </c>
      <c r="R764" s="4">
        <f t="shared" ca="1" si="91"/>
        <v>-14.730200779082907</v>
      </c>
      <c r="S764" s="4">
        <f t="shared" ca="1" si="92"/>
        <v>-7.3682465170767282</v>
      </c>
    </row>
    <row r="765" spans="15:19" x14ac:dyDescent="0.2">
      <c r="O765" s="4">
        <f t="shared" ca="1" si="88"/>
        <v>0.12645711677500349</v>
      </c>
      <c r="P765" s="4">
        <f t="shared" ca="1" si="89"/>
        <v>-1.1432995698522599</v>
      </c>
      <c r="Q765" s="4">
        <f t="shared" ca="1" si="90"/>
        <v>1944.8368282452814</v>
      </c>
      <c r="R765" s="4">
        <f t="shared" ca="1" si="91"/>
        <v>21.166784245281406</v>
      </c>
      <c r="S765" s="4">
        <f t="shared" ca="1" si="92"/>
        <v>10.89721385840854</v>
      </c>
    </row>
    <row r="766" spans="15:19" x14ac:dyDescent="0.2">
      <c r="O766" s="4">
        <f t="shared" ca="1" si="88"/>
        <v>0.17209751290871289</v>
      </c>
      <c r="P766" s="4">
        <f t="shared" ca="1" si="89"/>
        <v>-0.94590895456898383</v>
      </c>
      <c r="Q766" s="4">
        <f t="shared" ca="1" si="90"/>
        <v>1941.1123295559341</v>
      </c>
      <c r="R766" s="4">
        <f t="shared" ca="1" si="91"/>
        <v>17.442285555934177</v>
      </c>
      <c r="S766" s="4">
        <f t="shared" ca="1" si="92"/>
        <v>8.9532998181700307</v>
      </c>
    </row>
    <row r="767" spans="15:19" x14ac:dyDescent="0.2">
      <c r="O767" s="4">
        <f t="shared" ca="1" si="88"/>
        <v>0.71799954701056856</v>
      </c>
      <c r="P767" s="4">
        <f t="shared" ca="1" si="89"/>
        <v>0.57690903626776235</v>
      </c>
      <c r="Q767" s="4">
        <f t="shared" ca="1" si="90"/>
        <v>1912.3787770370038</v>
      </c>
      <c r="R767" s="4">
        <f t="shared" ca="1" si="91"/>
        <v>-11.291266962996133</v>
      </c>
      <c r="S767" s="4">
        <f t="shared" ca="1" si="92"/>
        <v>-5.6638515749656317</v>
      </c>
    </row>
    <row r="768" spans="15:19" x14ac:dyDescent="0.2">
      <c r="O768" s="4">
        <f t="shared" ca="1" si="88"/>
        <v>0.26814329185241381</v>
      </c>
      <c r="P768" s="4">
        <f t="shared" ca="1" si="89"/>
        <v>-0.61843810868893179</v>
      </c>
      <c r="Q768" s="4">
        <f t="shared" ca="1" si="90"/>
        <v>1934.9333897186505</v>
      </c>
      <c r="R768" s="4">
        <f t="shared" ca="1" si="91"/>
        <v>11.263345718650498</v>
      </c>
      <c r="S768" s="4">
        <f t="shared" ca="1" si="92"/>
        <v>5.7532579317768153</v>
      </c>
    </row>
    <row r="769" spans="15:19" x14ac:dyDescent="0.2">
      <c r="O769" s="4">
        <f t="shared" ca="1" si="88"/>
        <v>0.2518701767158309</v>
      </c>
      <c r="P769" s="4">
        <f t="shared" ca="1" si="89"/>
        <v>-0.6686161724838906</v>
      </c>
      <c r="Q769" s="4">
        <f t="shared" ca="1" si="90"/>
        <v>1935.8801831240519</v>
      </c>
      <c r="R769" s="4">
        <f t="shared" ca="1" si="91"/>
        <v>12.210139124051921</v>
      </c>
      <c r="S769" s="4">
        <f t="shared" ca="1" si="92"/>
        <v>6.2415809538978859</v>
      </c>
    </row>
    <row r="770" spans="15:19" x14ac:dyDescent="0.2">
      <c r="O770" s="4">
        <f t="shared" ca="1" si="88"/>
        <v>0.72666624768648858</v>
      </c>
      <c r="P770" s="4">
        <f t="shared" ca="1" si="89"/>
        <v>0.60276128592223699</v>
      </c>
      <c r="Q770" s="4">
        <f t="shared" ca="1" si="90"/>
        <v>1911.8909794291155</v>
      </c>
      <c r="R770" s="4">
        <f t="shared" ca="1" si="91"/>
        <v>-11.779064570884429</v>
      </c>
      <c r="S770" s="4">
        <f t="shared" ca="1" si="92"/>
        <v>-5.9061984863858941</v>
      </c>
    </row>
    <row r="771" spans="15:19" x14ac:dyDescent="0.2">
      <c r="O771" s="4">
        <f t="shared" ref="O771:O834" ca="1" si="93">RAND()</f>
        <v>0.93809877637773176</v>
      </c>
      <c r="P771" s="4">
        <f t="shared" ref="P771:P834" ca="1" si="94">NORMSINV(O771)</f>
        <v>1.5390075738595079</v>
      </c>
      <c r="Q771" s="4">
        <f t="shared" ref="Q771:Q834" ca="1" si="95">$B$4*(1+$B$17-$B$32*P771)</f>
        <v>1894.2252557201928</v>
      </c>
      <c r="R771" s="4">
        <f t="shared" ref="R771:R834" ca="1" si="96">Q771-$B$4</f>
        <v>-29.444788279807199</v>
      </c>
      <c r="S771" s="4">
        <f t="shared" ref="S771:S834" ca="1" si="97">R771*$B$12+0.5*$B$13*R771^2</f>
        <v>-14.552313026119124</v>
      </c>
    </row>
    <row r="772" spans="15:19" x14ac:dyDescent="0.2">
      <c r="O772" s="4">
        <f t="shared" ca="1" si="93"/>
        <v>0.5452710421257817</v>
      </c>
      <c r="P772" s="4">
        <f t="shared" ca="1" si="94"/>
        <v>0.11372232347518217</v>
      </c>
      <c r="Q772" s="4">
        <f t="shared" ca="1" si="95"/>
        <v>1921.1184949929122</v>
      </c>
      <c r="R772" s="4">
        <f t="shared" ca="1" si="96"/>
        <v>-2.5515490070877149</v>
      </c>
      <c r="S772" s="4">
        <f t="shared" ca="1" si="97"/>
        <v>-1.2889689151311396</v>
      </c>
    </row>
    <row r="773" spans="15:19" x14ac:dyDescent="0.2">
      <c r="O773" s="4">
        <f t="shared" ca="1" si="93"/>
        <v>0.19045231582953148</v>
      </c>
      <c r="P773" s="4">
        <f t="shared" ca="1" si="94"/>
        <v>-0.87623069717677415</v>
      </c>
      <c r="Q773" s="4">
        <f t="shared" ca="1" si="95"/>
        <v>1939.7975934021363</v>
      </c>
      <c r="R773" s="4">
        <f t="shared" ca="1" si="96"/>
        <v>16.12754940213631</v>
      </c>
      <c r="S773" s="4">
        <f t="shared" ca="1" si="97"/>
        <v>8.2698013054822077</v>
      </c>
    </row>
    <row r="774" spans="15:19" x14ac:dyDescent="0.2">
      <c r="O774" s="4">
        <f t="shared" ca="1" si="93"/>
        <v>0.69887057894031512</v>
      </c>
      <c r="P774" s="4">
        <f t="shared" ca="1" si="94"/>
        <v>0.52115493848023886</v>
      </c>
      <c r="Q774" s="4">
        <f t="shared" ca="1" si="95"/>
        <v>1913.4307827964335</v>
      </c>
      <c r="R774" s="4">
        <f t="shared" ca="1" si="96"/>
        <v>-10.239261203566457</v>
      </c>
      <c r="S774" s="4">
        <f t="shared" ca="1" si="97"/>
        <v>-5.1405361707561443</v>
      </c>
    </row>
    <row r="775" spans="15:19" x14ac:dyDescent="0.2">
      <c r="O775" s="4">
        <f t="shared" ca="1" si="93"/>
        <v>0.13072871932868357</v>
      </c>
      <c r="P775" s="4">
        <f t="shared" ca="1" si="94"/>
        <v>-1.1229530413150572</v>
      </c>
      <c r="Q775" s="4">
        <f t="shared" ca="1" si="95"/>
        <v>1944.452916280871</v>
      </c>
      <c r="R775" s="4">
        <f t="shared" ca="1" si="96"/>
        <v>20.782872280871061</v>
      </c>
      <c r="S775" s="4">
        <f t="shared" ca="1" si="97"/>
        <v>10.696318021921332</v>
      </c>
    </row>
    <row r="776" spans="15:19" x14ac:dyDescent="0.2">
      <c r="O776" s="4">
        <f t="shared" ca="1" si="93"/>
        <v>0.36382658902274401</v>
      </c>
      <c r="P776" s="4">
        <f t="shared" ca="1" si="94"/>
        <v>-0.34824901781659451</v>
      </c>
      <c r="Q776" s="4">
        <f t="shared" ca="1" si="95"/>
        <v>1929.8352805031452</v>
      </c>
      <c r="R776" s="4">
        <f t="shared" ca="1" si="96"/>
        <v>6.1652365031452518</v>
      </c>
      <c r="S776" s="4">
        <f t="shared" ca="1" si="97"/>
        <v>3.1363758645244451</v>
      </c>
    </row>
    <row r="777" spans="15:19" x14ac:dyDescent="0.2">
      <c r="O777" s="4">
        <f t="shared" ca="1" si="93"/>
        <v>0.31873987131820525</v>
      </c>
      <c r="P777" s="4">
        <f t="shared" ca="1" si="94"/>
        <v>-0.47122545515892533</v>
      </c>
      <c r="Q777" s="4">
        <f t="shared" ca="1" si="95"/>
        <v>1932.1556825093135</v>
      </c>
      <c r="R777" s="4">
        <f t="shared" ca="1" si="96"/>
        <v>8.4856385093135032</v>
      </c>
      <c r="S777" s="4">
        <f t="shared" ca="1" si="97"/>
        <v>4.3248247809042937</v>
      </c>
    </row>
    <row r="778" spans="15:19" x14ac:dyDescent="0.2">
      <c r="O778" s="4">
        <f t="shared" ca="1" si="93"/>
        <v>0.7672697730171123</v>
      </c>
      <c r="P778" s="4">
        <f t="shared" ca="1" si="94"/>
        <v>0.72988504562502521</v>
      </c>
      <c r="Q778" s="4">
        <f t="shared" ca="1" si="95"/>
        <v>1909.4923229594629</v>
      </c>
      <c r="R778" s="4">
        <f t="shared" ca="1" si="96"/>
        <v>-14.177721040537108</v>
      </c>
      <c r="S778" s="4">
        <f t="shared" ca="1" si="97"/>
        <v>-7.095077181268187</v>
      </c>
    </row>
    <row r="779" spans="15:19" x14ac:dyDescent="0.2">
      <c r="O779" s="4">
        <f t="shared" ca="1" si="93"/>
        <v>5.392402196580337E-2</v>
      </c>
      <c r="P779" s="4">
        <f t="shared" ca="1" si="94"/>
        <v>-1.6079412613249864</v>
      </c>
      <c r="Q779" s="4">
        <f t="shared" ca="1" si="95"/>
        <v>1953.6039997160362</v>
      </c>
      <c r="R779" s="4">
        <f t="shared" ca="1" si="96"/>
        <v>29.93395571603628</v>
      </c>
      <c r="S779" s="4">
        <f t="shared" ca="1" si="97"/>
        <v>15.517612586723491</v>
      </c>
    </row>
    <row r="780" spans="15:19" x14ac:dyDescent="0.2">
      <c r="O780" s="4">
        <f t="shared" ca="1" si="93"/>
        <v>0.30180067087554707</v>
      </c>
      <c r="P780" s="4">
        <f t="shared" ca="1" si="94"/>
        <v>-0.5192285933837022</v>
      </c>
      <c r="Q780" s="4">
        <f t="shared" ca="1" si="95"/>
        <v>1933.0614379584579</v>
      </c>
      <c r="R780" s="4">
        <f t="shared" ca="1" si="96"/>
        <v>9.3913939584579111</v>
      </c>
      <c r="S780" s="4">
        <f t="shared" ca="1" si="97"/>
        <v>4.7899184153343137</v>
      </c>
    </row>
    <row r="781" spans="15:19" x14ac:dyDescent="0.2">
      <c r="O781" s="4">
        <f t="shared" ca="1" si="93"/>
        <v>4.7354439337262244E-2</v>
      </c>
      <c r="P781" s="4">
        <f t="shared" ca="1" si="94"/>
        <v>-1.6710648024686092</v>
      </c>
      <c r="Q781" s="4">
        <f t="shared" ca="1" si="95"/>
        <v>1954.7950570817525</v>
      </c>
      <c r="R781" s="4">
        <f t="shared" ca="1" si="96"/>
        <v>31.125013081752513</v>
      </c>
      <c r="S781" s="4">
        <f t="shared" ca="1" si="97"/>
        <v>16.150141492919836</v>
      </c>
    </row>
    <row r="782" spans="15:19" x14ac:dyDescent="0.2">
      <c r="O782" s="4">
        <f t="shared" ca="1" si="93"/>
        <v>0.14948833914487558</v>
      </c>
      <c r="P782" s="4">
        <f t="shared" ca="1" si="94"/>
        <v>-1.0386303645724733</v>
      </c>
      <c r="Q782" s="4">
        <f t="shared" ca="1" si="95"/>
        <v>1942.861859388124</v>
      </c>
      <c r="R782" s="4">
        <f t="shared" ca="1" si="96"/>
        <v>19.191815388124041</v>
      </c>
      <c r="S782" s="4">
        <f t="shared" ca="1" si="97"/>
        <v>9.8650190207089032</v>
      </c>
    </row>
    <row r="783" spans="15:19" x14ac:dyDescent="0.2">
      <c r="O783" s="4">
        <f t="shared" ca="1" si="93"/>
        <v>0.77356704406378385</v>
      </c>
      <c r="P783" s="4">
        <f t="shared" ca="1" si="94"/>
        <v>0.75064569697303019</v>
      </c>
      <c r="Q783" s="4">
        <f t="shared" ca="1" si="95"/>
        <v>1909.1005970477488</v>
      </c>
      <c r="R783" s="4">
        <f t="shared" ca="1" si="96"/>
        <v>-14.569446952251155</v>
      </c>
      <c r="S783" s="4">
        <f t="shared" ca="1" si="97"/>
        <v>-7.2887886638338042</v>
      </c>
    </row>
    <row r="784" spans="15:19" x14ac:dyDescent="0.2">
      <c r="O784" s="4">
        <f t="shared" ca="1" si="93"/>
        <v>0.98056427238757715</v>
      </c>
      <c r="P784" s="4">
        <f t="shared" ca="1" si="94"/>
        <v>2.0655450748907742</v>
      </c>
      <c r="Q784" s="4">
        <f t="shared" ca="1" si="95"/>
        <v>1884.2901925477679</v>
      </c>
      <c r="R784" s="4">
        <f t="shared" ca="1" si="96"/>
        <v>-39.37985145223206</v>
      </c>
      <c r="S784" s="4">
        <f t="shared" ca="1" si="97"/>
        <v>-19.303194684604357</v>
      </c>
    </row>
    <row r="785" spans="15:19" x14ac:dyDescent="0.2">
      <c r="O785" s="4">
        <f t="shared" ca="1" si="93"/>
        <v>0.23406701175666866</v>
      </c>
      <c r="P785" s="4">
        <f t="shared" ca="1" si="94"/>
        <v>-0.72551846107485696</v>
      </c>
      <c r="Q785" s="4">
        <f t="shared" ca="1" si="95"/>
        <v>1936.9538537186431</v>
      </c>
      <c r="R785" s="4">
        <f t="shared" ca="1" si="96"/>
        <v>13.28380971864317</v>
      </c>
      <c r="S785" s="4">
        <f t="shared" ca="1" si="97"/>
        <v>6.7962258662432538</v>
      </c>
    </row>
    <row r="786" spans="15:19" x14ac:dyDescent="0.2">
      <c r="O786" s="4">
        <f t="shared" ca="1" si="93"/>
        <v>0.78641170604227018</v>
      </c>
      <c r="P786" s="4">
        <f t="shared" ca="1" si="94"/>
        <v>0.79403236853115955</v>
      </c>
      <c r="Q786" s="4">
        <f t="shared" ca="1" si="95"/>
        <v>1908.2819481919182</v>
      </c>
      <c r="R786" s="4">
        <f t="shared" ca="1" si="96"/>
        <v>-15.388095808081744</v>
      </c>
      <c r="S786" s="4">
        <f t="shared" ca="1" si="97"/>
        <v>-7.6932134793041058</v>
      </c>
    </row>
    <row r="787" spans="15:19" x14ac:dyDescent="0.2">
      <c r="O787" s="4">
        <f t="shared" ca="1" si="93"/>
        <v>0.56901549857305145</v>
      </c>
      <c r="P787" s="4">
        <f t="shared" ca="1" si="94"/>
        <v>0.17386825319653076</v>
      </c>
      <c r="Q787" s="4">
        <f t="shared" ca="1" si="95"/>
        <v>1919.9836211991644</v>
      </c>
      <c r="R787" s="4">
        <f t="shared" ca="1" si="96"/>
        <v>-3.686422800835544</v>
      </c>
      <c r="S787" s="4">
        <f t="shared" ca="1" si="97"/>
        <v>-1.8605713759698399</v>
      </c>
    </row>
    <row r="788" spans="15:19" x14ac:dyDescent="0.2">
      <c r="O788" s="4">
        <f t="shared" ca="1" si="93"/>
        <v>0.9377046919705343</v>
      </c>
      <c r="P788" s="4">
        <f t="shared" ca="1" si="94"/>
        <v>1.5357870532302054</v>
      </c>
      <c r="Q788" s="4">
        <f t="shared" ca="1" si="95"/>
        <v>1894.2860226662081</v>
      </c>
      <c r="R788" s="4">
        <f t="shared" ca="1" si="96"/>
        <v>-29.384021333791907</v>
      </c>
      <c r="S788" s="4">
        <f t="shared" ca="1" si="97"/>
        <v>-14.523007413079958</v>
      </c>
    </row>
    <row r="789" spans="15:19" x14ac:dyDescent="0.2">
      <c r="O789" s="4">
        <f t="shared" ca="1" si="93"/>
        <v>5.6993359457311099E-2</v>
      </c>
      <c r="P789" s="4">
        <f t="shared" ca="1" si="94"/>
        <v>-1.5805248574325521</v>
      </c>
      <c r="Q789" s="4">
        <f t="shared" ca="1" si="95"/>
        <v>1953.0866885955586</v>
      </c>
      <c r="R789" s="4">
        <f t="shared" ca="1" si="96"/>
        <v>29.416644595558637</v>
      </c>
      <c r="S789" s="4">
        <f t="shared" ca="1" si="97"/>
        <v>15.243246495807439</v>
      </c>
    </row>
    <row r="790" spans="15:19" x14ac:dyDescent="0.2">
      <c r="O790" s="4">
        <f t="shared" ca="1" si="93"/>
        <v>0.66153584268484678</v>
      </c>
      <c r="P790" s="4">
        <f t="shared" ca="1" si="94"/>
        <v>0.41665836150343838</v>
      </c>
      <c r="Q790" s="4">
        <f t="shared" ca="1" si="95"/>
        <v>1915.4024943868394</v>
      </c>
      <c r="R790" s="4">
        <f t="shared" ca="1" si="96"/>
        <v>-8.2675496131605541</v>
      </c>
      <c r="S790" s="4">
        <f t="shared" ca="1" si="97"/>
        <v>-4.157290445026713</v>
      </c>
    </row>
    <row r="791" spans="15:19" x14ac:dyDescent="0.2">
      <c r="O791" s="4">
        <f t="shared" ca="1" si="93"/>
        <v>0.83760616146384792</v>
      </c>
      <c r="P791" s="4">
        <f t="shared" ca="1" si="94"/>
        <v>0.98466698031046085</v>
      </c>
      <c r="Q791" s="4">
        <f t="shared" ca="1" si="95"/>
        <v>1904.684926313764</v>
      </c>
      <c r="R791" s="4">
        <f t="shared" ca="1" si="96"/>
        <v>-18.985117686235981</v>
      </c>
      <c r="S791" s="4">
        <f t="shared" ca="1" si="97"/>
        <v>-9.4637306585710732</v>
      </c>
    </row>
    <row r="792" spans="15:19" x14ac:dyDescent="0.2">
      <c r="O792" s="4">
        <f t="shared" ca="1" si="93"/>
        <v>0.43196744211004112</v>
      </c>
      <c r="P792" s="4">
        <f t="shared" ca="1" si="94"/>
        <v>-0.17136740303185433</v>
      </c>
      <c r="Q792" s="4">
        <f t="shared" ca="1" si="95"/>
        <v>1926.497759408285</v>
      </c>
      <c r="R792" s="4">
        <f t="shared" ca="1" si="96"/>
        <v>2.8277154082850302</v>
      </c>
      <c r="S792" s="4">
        <f t="shared" ca="1" si="97"/>
        <v>1.4346721519992407</v>
      </c>
    </row>
    <row r="793" spans="15:19" x14ac:dyDescent="0.2">
      <c r="O793" s="4">
        <f t="shared" ca="1" si="93"/>
        <v>0.6819209979882519</v>
      </c>
      <c r="P793" s="4">
        <f t="shared" ca="1" si="94"/>
        <v>0.4730773381145037</v>
      </c>
      <c r="Q793" s="4">
        <f t="shared" ca="1" si="95"/>
        <v>1914.3379432472593</v>
      </c>
      <c r="R793" s="4">
        <f t="shared" ca="1" si="96"/>
        <v>-9.3321007527406437</v>
      </c>
      <c r="S793" s="4">
        <f t="shared" ca="1" si="97"/>
        <v>-4.6885499208291854</v>
      </c>
    </row>
    <row r="794" spans="15:19" x14ac:dyDescent="0.2">
      <c r="O794" s="4">
        <f t="shared" ca="1" si="93"/>
        <v>0.78216751053388289</v>
      </c>
      <c r="P794" s="4">
        <f t="shared" ca="1" si="94"/>
        <v>0.77953440482899861</v>
      </c>
      <c r="Q794" s="4">
        <f t="shared" ca="1" si="95"/>
        <v>1908.5555055073426</v>
      </c>
      <c r="R794" s="4">
        <f t="shared" ca="1" si="96"/>
        <v>-15.114538492657402</v>
      </c>
      <c r="S794" s="4">
        <f t="shared" ca="1" si="97"/>
        <v>-7.5581327614352514</v>
      </c>
    </row>
    <row r="795" spans="15:19" x14ac:dyDescent="0.2">
      <c r="O795" s="4">
        <f t="shared" ca="1" si="93"/>
        <v>0.18319863977465978</v>
      </c>
      <c r="P795" s="4">
        <f t="shared" ca="1" si="94"/>
        <v>-0.90324236182155571</v>
      </c>
      <c r="Q795" s="4">
        <f t="shared" ca="1" si="95"/>
        <v>1940.3072676306817</v>
      </c>
      <c r="R795" s="4">
        <f t="shared" ca="1" si="96"/>
        <v>16.637223630681774</v>
      </c>
      <c r="S795" s="4">
        <f t="shared" ca="1" si="97"/>
        <v>8.53460118789876</v>
      </c>
    </row>
    <row r="796" spans="15:19" x14ac:dyDescent="0.2">
      <c r="O796" s="4">
        <f t="shared" ca="1" si="93"/>
        <v>0.62600065430463869</v>
      </c>
      <c r="P796" s="4">
        <f t="shared" ca="1" si="94"/>
        <v>0.32127936651222483</v>
      </c>
      <c r="Q796" s="4">
        <f t="shared" ca="1" si="95"/>
        <v>1917.2021693173128</v>
      </c>
      <c r="R796" s="4">
        <f t="shared" ca="1" si="96"/>
        <v>-6.4678746826871247</v>
      </c>
      <c r="S796" s="4">
        <f t="shared" ca="1" si="97"/>
        <v>-3.2570724256645422</v>
      </c>
    </row>
    <row r="797" spans="15:19" x14ac:dyDescent="0.2">
      <c r="O797" s="4">
        <f t="shared" ca="1" si="93"/>
        <v>0.88084011671635098</v>
      </c>
      <c r="P797" s="4">
        <f t="shared" ca="1" si="94"/>
        <v>1.1791969342788313</v>
      </c>
      <c r="Q797" s="4">
        <f t="shared" ca="1" si="95"/>
        <v>1901.0144045032198</v>
      </c>
      <c r="R797" s="4">
        <f t="shared" ca="1" si="96"/>
        <v>-22.655639496780168</v>
      </c>
      <c r="S797" s="4">
        <f t="shared" ca="1" si="97"/>
        <v>-11.259566944661614</v>
      </c>
    </row>
    <row r="798" spans="15:19" x14ac:dyDescent="0.2">
      <c r="O798" s="4">
        <f t="shared" ca="1" si="93"/>
        <v>0.32649781609727324</v>
      </c>
      <c r="P798" s="4">
        <f t="shared" ca="1" si="94"/>
        <v>-0.44960451467013968</v>
      </c>
      <c r="Q798" s="4">
        <f t="shared" ca="1" si="95"/>
        <v>1931.747724084353</v>
      </c>
      <c r="R798" s="4">
        <f t="shared" ca="1" si="96"/>
        <v>8.0776800843530054</v>
      </c>
      <c r="S798" s="4">
        <f t="shared" ca="1" si="97"/>
        <v>4.1155616043429637</v>
      </c>
    </row>
    <row r="799" spans="15:19" x14ac:dyDescent="0.2">
      <c r="O799" s="4">
        <f t="shared" ca="1" si="93"/>
        <v>0.91538475686763476</v>
      </c>
      <c r="P799" s="4">
        <f t="shared" ca="1" si="94"/>
        <v>1.3746806065081483</v>
      </c>
      <c r="Q799" s="4">
        <f t="shared" ca="1" si="95"/>
        <v>1897.3258872960466</v>
      </c>
      <c r="R799" s="4">
        <f t="shared" ca="1" si="96"/>
        <v>-26.344156703953331</v>
      </c>
      <c r="S799" s="4">
        <f t="shared" ca="1" si="97"/>
        <v>-13.053158179273442</v>
      </c>
    </row>
    <row r="800" spans="15:19" x14ac:dyDescent="0.2">
      <c r="O800" s="4">
        <f t="shared" ca="1" si="93"/>
        <v>0.76650869843926861</v>
      </c>
      <c r="P800" s="4">
        <f t="shared" ca="1" si="94"/>
        <v>0.72739730800702074</v>
      </c>
      <c r="Q800" s="4">
        <f t="shared" ca="1" si="95"/>
        <v>1909.5392632635112</v>
      </c>
      <c r="R800" s="4">
        <f t="shared" ca="1" si="96"/>
        <v>-14.130780736488759</v>
      </c>
      <c r="S800" s="4">
        <f t="shared" ca="1" si="97"/>
        <v>-7.0718564571108855</v>
      </c>
    </row>
    <row r="801" spans="15:19" x14ac:dyDescent="0.2">
      <c r="O801" s="4">
        <f t="shared" ca="1" si="93"/>
        <v>0.25442046823904652</v>
      </c>
      <c r="P801" s="4">
        <f t="shared" ca="1" si="94"/>
        <v>-0.66064354498767042</v>
      </c>
      <c r="Q801" s="4">
        <f t="shared" ca="1" si="95"/>
        <v>1935.7297502343338</v>
      </c>
      <c r="R801" s="4">
        <f t="shared" ca="1" si="96"/>
        <v>12.059706234333817</v>
      </c>
      <c r="S801" s="4">
        <f t="shared" ca="1" si="97"/>
        <v>6.1639441488357818</v>
      </c>
    </row>
    <row r="802" spans="15:19" x14ac:dyDescent="0.2">
      <c r="O802" s="4">
        <f t="shared" ca="1" si="93"/>
        <v>7.814579209705097E-2</v>
      </c>
      <c r="P802" s="4">
        <f t="shared" ca="1" si="94"/>
        <v>-1.4176547600762819</v>
      </c>
      <c r="Q802" s="4">
        <f t="shared" ca="1" si="95"/>
        <v>1950.0135462211515</v>
      </c>
      <c r="R802" s="4">
        <f t="shared" ca="1" si="96"/>
        <v>26.343502221151539</v>
      </c>
      <c r="S802" s="4">
        <f t="shared" ca="1" si="97"/>
        <v>13.617836802216326</v>
      </c>
    </row>
    <row r="803" spans="15:19" x14ac:dyDescent="0.2">
      <c r="O803" s="4">
        <f t="shared" ca="1" si="93"/>
        <v>0.48752559529884598</v>
      </c>
      <c r="P803" s="4">
        <f t="shared" ca="1" si="94"/>
        <v>-3.1273792674676108E-2</v>
      </c>
      <c r="Q803" s="4">
        <f t="shared" ca="1" si="95"/>
        <v>1923.8543790864167</v>
      </c>
      <c r="R803" s="4">
        <f t="shared" ca="1" si="96"/>
        <v>0.18433508641669505</v>
      </c>
      <c r="S803" s="4">
        <f t="shared" ca="1" si="97"/>
        <v>9.332605826672663E-2</v>
      </c>
    </row>
    <row r="804" spans="15:19" x14ac:dyDescent="0.2">
      <c r="O804" s="4">
        <f t="shared" ca="1" si="93"/>
        <v>0.55516372287276405</v>
      </c>
      <c r="P804" s="4">
        <f t="shared" ca="1" si="94"/>
        <v>0.13871855606065345</v>
      </c>
      <c r="Q804" s="4">
        <f t="shared" ca="1" si="95"/>
        <v>1920.646849289951</v>
      </c>
      <c r="R804" s="4">
        <f t="shared" ca="1" si="96"/>
        <v>-3.0231947100489833</v>
      </c>
      <c r="S804" s="4">
        <f t="shared" ca="1" si="97"/>
        <v>-1.5266502809845597</v>
      </c>
    </row>
    <row r="805" spans="15:19" x14ac:dyDescent="0.2">
      <c r="O805" s="4">
        <f t="shared" ca="1" si="93"/>
        <v>0.32087468424774468</v>
      </c>
      <c r="P805" s="4">
        <f t="shared" ca="1" si="94"/>
        <v>-0.46525428447306877</v>
      </c>
      <c r="Q805" s="4">
        <f t="shared" ca="1" si="95"/>
        <v>1932.043014450797</v>
      </c>
      <c r="R805" s="4">
        <f t="shared" ca="1" si="96"/>
        <v>8.3729704507970837</v>
      </c>
      <c r="S805" s="4">
        <f t="shared" ca="1" si="97"/>
        <v>4.2670179079375812</v>
      </c>
    </row>
    <row r="806" spans="15:19" x14ac:dyDescent="0.2">
      <c r="O806" s="4">
        <f t="shared" ca="1" si="93"/>
        <v>4.5002304528369508E-2</v>
      </c>
      <c r="P806" s="4">
        <f t="shared" ca="1" si="94"/>
        <v>-1.6953733980141914</v>
      </c>
      <c r="Q806" s="4">
        <f t="shared" ca="1" si="95"/>
        <v>1955.2537279872533</v>
      </c>
      <c r="R806" s="4">
        <f t="shared" ca="1" si="96"/>
        <v>31.58368398725338</v>
      </c>
      <c r="S806" s="4">
        <f t="shared" ca="1" si="97"/>
        <v>16.394033589569389</v>
      </c>
    </row>
    <row r="807" spans="15:19" x14ac:dyDescent="0.2">
      <c r="O807" s="4">
        <f t="shared" ca="1" si="93"/>
        <v>0.74911184828690325</v>
      </c>
      <c r="P807" s="4">
        <f t="shared" ca="1" si="94"/>
        <v>0.67169748401594442</v>
      </c>
      <c r="Q807" s="4">
        <f t="shared" ca="1" si="95"/>
        <v>1910.5902449485015</v>
      </c>
      <c r="R807" s="4">
        <f t="shared" ca="1" si="96"/>
        <v>-13.079799051498412</v>
      </c>
      <c r="S807" s="4">
        <f t="shared" ca="1" si="97"/>
        <v>-6.5514805267526341</v>
      </c>
    </row>
    <row r="808" spans="15:19" x14ac:dyDescent="0.2">
      <c r="O808" s="4">
        <f t="shared" ca="1" si="93"/>
        <v>0.72215453029870147</v>
      </c>
      <c r="P808" s="4">
        <f t="shared" ca="1" si="94"/>
        <v>0.58925393772839418</v>
      </c>
      <c r="Q808" s="4">
        <f t="shared" ca="1" si="95"/>
        <v>1912.1458451458689</v>
      </c>
      <c r="R808" s="4">
        <f t="shared" ca="1" si="96"/>
        <v>-11.5241988541311</v>
      </c>
      <c r="S808" s="4">
        <f t="shared" ca="1" si="97"/>
        <v>-5.7796006309201786</v>
      </c>
    </row>
    <row r="809" spans="15:19" x14ac:dyDescent="0.2">
      <c r="O809" s="4">
        <f t="shared" ca="1" si="93"/>
        <v>0.72677824183064343</v>
      </c>
      <c r="P809" s="4">
        <f t="shared" ca="1" si="94"/>
        <v>0.60309797072528737</v>
      </c>
      <c r="Q809" s="4">
        <f t="shared" ca="1" si="95"/>
        <v>1911.8846266341466</v>
      </c>
      <c r="R809" s="4">
        <f t="shared" ca="1" si="96"/>
        <v>-11.785417365853391</v>
      </c>
      <c r="S809" s="4">
        <f t="shared" ca="1" si="97"/>
        <v>-5.9093533950299202</v>
      </c>
    </row>
    <row r="810" spans="15:19" x14ac:dyDescent="0.2">
      <c r="O810" s="4">
        <f t="shared" ca="1" si="93"/>
        <v>6.0932955057792171E-2</v>
      </c>
      <c r="P810" s="4">
        <f t="shared" ca="1" si="94"/>
        <v>-1.5469889504291217</v>
      </c>
      <c r="Q810" s="4">
        <f t="shared" ca="1" si="95"/>
        <v>1952.4539105807523</v>
      </c>
      <c r="R810" s="4">
        <f t="shared" ca="1" si="96"/>
        <v>28.783866580752374</v>
      </c>
      <c r="S810" s="4">
        <f t="shared" ca="1" si="97"/>
        <v>14.907936519669573</v>
      </c>
    </row>
    <row r="811" spans="15:19" x14ac:dyDescent="0.2">
      <c r="O811" s="4">
        <f t="shared" ca="1" si="93"/>
        <v>0.44892620101362679</v>
      </c>
      <c r="P811" s="4">
        <f t="shared" ca="1" si="94"/>
        <v>-0.12837476308708881</v>
      </c>
      <c r="Q811" s="4">
        <f t="shared" ca="1" si="95"/>
        <v>1925.6865454055521</v>
      </c>
      <c r="R811" s="4">
        <f t="shared" ca="1" si="96"/>
        <v>2.0165014055521624</v>
      </c>
      <c r="S811" s="4">
        <f t="shared" ca="1" si="97"/>
        <v>1.0224280195350453</v>
      </c>
    </row>
    <row r="812" spans="15:19" x14ac:dyDescent="0.2">
      <c r="O812" s="4">
        <f t="shared" ca="1" si="93"/>
        <v>0.11781080444479852</v>
      </c>
      <c r="P812" s="4">
        <f t="shared" ca="1" si="94"/>
        <v>-1.1860017488276875</v>
      </c>
      <c r="Q812" s="4">
        <f t="shared" ca="1" si="95"/>
        <v>1945.642561635382</v>
      </c>
      <c r="R812" s="4">
        <f t="shared" ca="1" si="96"/>
        <v>21.972517635382019</v>
      </c>
      <c r="S812" s="4">
        <f t="shared" ca="1" si="97"/>
        <v>11.319233220573542</v>
      </c>
    </row>
    <row r="813" spans="15:19" x14ac:dyDescent="0.2">
      <c r="O813" s="4">
        <f t="shared" ca="1" si="93"/>
        <v>0.39204874976223947</v>
      </c>
      <c r="P813" s="4">
        <f t="shared" ca="1" si="94"/>
        <v>-0.2739832426470139</v>
      </c>
      <c r="Q813" s="4">
        <f t="shared" ca="1" si="95"/>
        <v>1928.4339839831182</v>
      </c>
      <c r="R813" s="4">
        <f t="shared" ca="1" si="96"/>
        <v>4.7639399831182345</v>
      </c>
      <c r="S813" s="4">
        <f t="shared" ca="1" si="97"/>
        <v>2.4207915684169707</v>
      </c>
    </row>
    <row r="814" spans="15:19" x14ac:dyDescent="0.2">
      <c r="O814" s="4">
        <f t="shared" ca="1" si="93"/>
        <v>0.94813169031229638</v>
      </c>
      <c r="P814" s="4">
        <f t="shared" ca="1" si="94"/>
        <v>1.6270022525909749</v>
      </c>
      <c r="Q814" s="4">
        <f t="shared" ca="1" si="95"/>
        <v>1892.5649130279398</v>
      </c>
      <c r="R814" s="4">
        <f t="shared" ca="1" si="96"/>
        <v>-31.105130972060124</v>
      </c>
      <c r="S814" s="4">
        <f t="shared" ca="1" si="97"/>
        <v>-15.351870618633987</v>
      </c>
    </row>
    <row r="815" spans="15:19" x14ac:dyDescent="0.2">
      <c r="O815" s="4">
        <f t="shared" ca="1" si="93"/>
        <v>0.9009378569513643</v>
      </c>
      <c r="P815" s="4">
        <f t="shared" ca="1" si="94"/>
        <v>1.2869139395645948</v>
      </c>
      <c r="Q815" s="4">
        <f t="shared" ca="1" si="95"/>
        <v>1898.9819277087608</v>
      </c>
      <c r="R815" s="4">
        <f t="shared" ca="1" si="96"/>
        <v>-24.688116291239112</v>
      </c>
      <c r="S815" s="4">
        <f t="shared" ca="1" si="97"/>
        <v>-12.249256335087194</v>
      </c>
    </row>
    <row r="816" spans="15:19" x14ac:dyDescent="0.2">
      <c r="O816" s="4">
        <f t="shared" ca="1" si="93"/>
        <v>0.74624815056360694</v>
      </c>
      <c r="P816" s="4">
        <f t="shared" ca="1" si="94"/>
        <v>0.66272967783142167</v>
      </c>
      <c r="Q816" s="4">
        <f t="shared" ca="1" si="95"/>
        <v>1910.7594555380356</v>
      </c>
      <c r="R816" s="4">
        <f t="shared" ca="1" si="96"/>
        <v>-12.91058846196438</v>
      </c>
      <c r="S816" s="4">
        <f t="shared" ca="1" si="97"/>
        <v>-6.4676146978319826</v>
      </c>
    </row>
    <row r="817" spans="15:19" x14ac:dyDescent="0.2">
      <c r="O817" s="4">
        <f t="shared" ca="1" si="93"/>
        <v>0.38824242582197199</v>
      </c>
      <c r="P817" s="4">
        <f t="shared" ca="1" si="94"/>
        <v>-0.28390282481695667</v>
      </c>
      <c r="Q817" s="4">
        <f t="shared" ca="1" si="95"/>
        <v>1928.6211533211224</v>
      </c>
      <c r="R817" s="4">
        <f t="shared" ca="1" si="96"/>
        <v>4.9511093211224306</v>
      </c>
      <c r="S817" s="4">
        <f t="shared" ca="1" si="97"/>
        <v>2.5162787187521296</v>
      </c>
    </row>
    <row r="818" spans="15:19" x14ac:dyDescent="0.2">
      <c r="O818" s="4">
        <f t="shared" ca="1" si="93"/>
        <v>0.48806236451680274</v>
      </c>
      <c r="P818" s="4">
        <f t="shared" ca="1" si="94"/>
        <v>-2.9927681569364088E-2</v>
      </c>
      <c r="Q818" s="4">
        <f t="shared" ca="1" si="95"/>
        <v>1923.8289797580837</v>
      </c>
      <c r="R818" s="4">
        <f t="shared" ca="1" si="96"/>
        <v>0.15893575808377136</v>
      </c>
      <c r="S818" s="4">
        <f t="shared" ca="1" si="97"/>
        <v>8.0465120305515572E-2</v>
      </c>
    </row>
    <row r="819" spans="15:19" x14ac:dyDescent="0.2">
      <c r="O819" s="4">
        <f t="shared" ca="1" si="93"/>
        <v>0.14290252830166517</v>
      </c>
      <c r="P819" s="4">
        <f t="shared" ca="1" si="94"/>
        <v>-1.0673694090466215</v>
      </c>
      <c r="Q819" s="4">
        <f t="shared" ca="1" si="95"/>
        <v>1943.4041269793338</v>
      </c>
      <c r="R819" s="4">
        <f t="shared" ca="1" si="96"/>
        <v>19.734082979333834</v>
      </c>
      <c r="S819" s="4">
        <f t="shared" ca="1" si="97"/>
        <v>10.148112707102712</v>
      </c>
    </row>
    <row r="820" spans="15:19" x14ac:dyDescent="0.2">
      <c r="O820" s="4">
        <f t="shared" ca="1" si="93"/>
        <v>0.64045344263431736</v>
      </c>
      <c r="P820" s="4">
        <f t="shared" ca="1" si="94"/>
        <v>0.35967108901770606</v>
      </c>
      <c r="Q820" s="4">
        <f t="shared" ca="1" si="95"/>
        <v>1916.4777685146291</v>
      </c>
      <c r="R820" s="4">
        <f t="shared" ca="1" si="96"/>
        <v>-7.1922754853708284</v>
      </c>
      <c r="S820" s="4">
        <f t="shared" ca="1" si="97"/>
        <v>-3.6197430849376242</v>
      </c>
    </row>
    <row r="821" spans="15:19" x14ac:dyDescent="0.2">
      <c r="O821" s="4">
        <f t="shared" ca="1" si="93"/>
        <v>0.51557124735068338</v>
      </c>
      <c r="P821" s="4">
        <f t="shared" ca="1" si="94"/>
        <v>3.9041244512985566E-2</v>
      </c>
      <c r="Q821" s="4">
        <f t="shared" ca="1" si="95"/>
        <v>1922.5276277438008</v>
      </c>
      <c r="R821" s="4">
        <f t="shared" ca="1" si="96"/>
        <v>-1.1424162561991125</v>
      </c>
      <c r="S821" s="4">
        <f t="shared" ca="1" si="97"/>
        <v>-0.5777710266343844</v>
      </c>
    </row>
    <row r="822" spans="15:19" x14ac:dyDescent="0.2">
      <c r="O822" s="4">
        <f t="shared" ca="1" si="93"/>
        <v>0.62393842323794824</v>
      </c>
      <c r="P822" s="4">
        <f t="shared" ca="1" si="94"/>
        <v>0.31584105633503973</v>
      </c>
      <c r="Q822" s="4">
        <f t="shared" ca="1" si="95"/>
        <v>1917.3047830059024</v>
      </c>
      <c r="R822" s="4">
        <f t="shared" ca="1" si="96"/>
        <v>-6.3652609940975253</v>
      </c>
      <c r="S822" s="4">
        <f t="shared" ca="1" si="97"/>
        <v>-3.2056644227122888</v>
      </c>
    </row>
    <row r="823" spans="15:19" x14ac:dyDescent="0.2">
      <c r="O823" s="4">
        <f t="shared" ca="1" si="93"/>
        <v>1.6300377880197892E-2</v>
      </c>
      <c r="P823" s="4">
        <f t="shared" ca="1" si="94"/>
        <v>-2.1369660167003599</v>
      </c>
      <c r="Q823" s="4">
        <f t="shared" ca="1" si="95"/>
        <v>1963.585994073773</v>
      </c>
      <c r="R823" s="4">
        <f t="shared" ca="1" si="96"/>
        <v>39.915950073773047</v>
      </c>
      <c r="S823" s="4">
        <f t="shared" ca="1" si="97"/>
        <v>20.854421406095586</v>
      </c>
    </row>
    <row r="824" spans="15:19" x14ac:dyDescent="0.2">
      <c r="O824" s="4">
        <f t="shared" ca="1" si="93"/>
        <v>0.27933278707652265</v>
      </c>
      <c r="P824" s="4">
        <f t="shared" ca="1" si="94"/>
        <v>-0.58482472995176804</v>
      </c>
      <c r="Q824" s="4">
        <f t="shared" ca="1" si="95"/>
        <v>1934.2991499151451</v>
      </c>
      <c r="R824" s="4">
        <f t="shared" ca="1" si="96"/>
        <v>10.629105915145146</v>
      </c>
      <c r="S824" s="4">
        <f t="shared" ca="1" si="97"/>
        <v>5.4265473485812263</v>
      </c>
    </row>
    <row r="825" spans="15:19" x14ac:dyDescent="0.2">
      <c r="O825" s="4">
        <f t="shared" ca="1" si="93"/>
        <v>0.8252564189068794</v>
      </c>
      <c r="P825" s="4">
        <f t="shared" ca="1" si="94"/>
        <v>0.93558449209447136</v>
      </c>
      <c r="Q825" s="4">
        <f t="shared" ca="1" si="95"/>
        <v>1905.6110476633935</v>
      </c>
      <c r="R825" s="4">
        <f t="shared" ca="1" si="96"/>
        <v>-18.058996336606469</v>
      </c>
      <c r="S825" s="4">
        <f t="shared" ca="1" si="97"/>
        <v>-9.0088844244325887</v>
      </c>
    </row>
    <row r="826" spans="15:19" x14ac:dyDescent="0.2">
      <c r="O826" s="4">
        <f t="shared" ca="1" si="93"/>
        <v>0.41456473010404249</v>
      </c>
      <c r="P826" s="4">
        <f t="shared" ca="1" si="94"/>
        <v>-0.21581820110717989</v>
      </c>
      <c r="Q826" s="4">
        <f t="shared" ca="1" si="95"/>
        <v>1927.3364869178699</v>
      </c>
      <c r="R826" s="4">
        <f t="shared" ca="1" si="96"/>
        <v>3.666442917869972</v>
      </c>
      <c r="S826" s="4">
        <f t="shared" ca="1" si="97"/>
        <v>1.8614614691691089</v>
      </c>
    </row>
    <row r="827" spans="15:19" x14ac:dyDescent="0.2">
      <c r="O827" s="4">
        <f t="shared" ca="1" si="93"/>
        <v>0.2875526669217231</v>
      </c>
      <c r="P827" s="4">
        <f t="shared" ca="1" si="94"/>
        <v>-0.56054855000251325</v>
      </c>
      <c r="Q827" s="4">
        <f t="shared" ca="1" si="95"/>
        <v>1933.8410906488846</v>
      </c>
      <c r="R827" s="4">
        <f t="shared" ca="1" si="96"/>
        <v>10.171046648884612</v>
      </c>
      <c r="S827" s="4">
        <f t="shared" ca="1" si="97"/>
        <v>5.1907948268237716</v>
      </c>
    </row>
    <row r="828" spans="15:19" x14ac:dyDescent="0.2">
      <c r="O828" s="4">
        <f t="shared" ca="1" si="93"/>
        <v>0.50146015188407</v>
      </c>
      <c r="P828" s="4">
        <f t="shared" ca="1" si="94"/>
        <v>3.660066169608379E-3</v>
      </c>
      <c r="Q828" s="4">
        <f t="shared" ca="1" si="95"/>
        <v>1923.195223577465</v>
      </c>
      <c r="R828" s="4">
        <f t="shared" ca="1" si="96"/>
        <v>-0.47482042253500367</v>
      </c>
      <c r="S828" s="4">
        <f t="shared" ca="1" si="97"/>
        <v>-0.24026697314661777</v>
      </c>
    </row>
    <row r="829" spans="15:19" x14ac:dyDescent="0.2">
      <c r="O829" s="4">
        <f t="shared" ca="1" si="93"/>
        <v>0.55288193699569976</v>
      </c>
      <c r="P829" s="4">
        <f t="shared" ca="1" si="94"/>
        <v>0.13294595071096546</v>
      </c>
      <c r="Q829" s="4">
        <f t="shared" ca="1" si="95"/>
        <v>1920.7557706843556</v>
      </c>
      <c r="R829" s="4">
        <f t="shared" ca="1" si="96"/>
        <v>-2.9142733156443228</v>
      </c>
      <c r="S829" s="4">
        <f t="shared" ca="1" si="97"/>
        <v>-1.4717764629713512</v>
      </c>
    </row>
    <row r="830" spans="15:19" x14ac:dyDescent="0.2">
      <c r="O830" s="4">
        <f t="shared" ca="1" si="93"/>
        <v>0.30286224159730546</v>
      </c>
      <c r="P830" s="4">
        <f t="shared" ca="1" si="94"/>
        <v>-0.5161860345854854</v>
      </c>
      <c r="Q830" s="4">
        <f t="shared" ca="1" si="95"/>
        <v>1933.0040289157837</v>
      </c>
      <c r="R830" s="4">
        <f t="shared" ca="1" si="96"/>
        <v>9.3339849157837307</v>
      </c>
      <c r="S830" s="4">
        <f t="shared" ca="1" si="97"/>
        <v>4.7604197937259407</v>
      </c>
    </row>
    <row r="831" spans="15:19" x14ac:dyDescent="0.2">
      <c r="O831" s="4">
        <f t="shared" ca="1" si="93"/>
        <v>0.98163719125624116</v>
      </c>
      <c r="P831" s="4">
        <f t="shared" ca="1" si="94"/>
        <v>2.0888012540350869</v>
      </c>
      <c r="Q831" s="4">
        <f t="shared" ca="1" si="95"/>
        <v>1883.8513793416896</v>
      </c>
      <c r="R831" s="4">
        <f t="shared" ca="1" si="96"/>
        <v>-39.818664658310354</v>
      </c>
      <c r="S831" s="4">
        <f t="shared" ca="1" si="97"/>
        <v>-19.511179206436811</v>
      </c>
    </row>
    <row r="832" spans="15:19" x14ac:dyDescent="0.2">
      <c r="O832" s="4">
        <f t="shared" ca="1" si="93"/>
        <v>0.22562502618915881</v>
      </c>
      <c r="P832" s="4">
        <f t="shared" ca="1" si="94"/>
        <v>-0.75333263521651184</v>
      </c>
      <c r="Q832" s="4">
        <f t="shared" ca="1" si="95"/>
        <v>1937.478670235311</v>
      </c>
      <c r="R832" s="4">
        <f t="shared" ca="1" si="96"/>
        <v>13.808626235311067</v>
      </c>
      <c r="S832" s="4">
        <f t="shared" ca="1" si="97"/>
        <v>7.0676810648499906</v>
      </c>
    </row>
    <row r="833" spans="15:19" x14ac:dyDescent="0.2">
      <c r="O833" s="4">
        <f t="shared" ca="1" si="93"/>
        <v>0.47682190788094414</v>
      </c>
      <c r="P833" s="4">
        <f t="shared" ca="1" si="94"/>
        <v>-5.813158496347931E-2</v>
      </c>
      <c r="Q833" s="4">
        <f t="shared" ca="1" si="95"/>
        <v>1924.3611499480146</v>
      </c>
      <c r="R833" s="4">
        <f t="shared" ca="1" si="96"/>
        <v>0.69110594801463776</v>
      </c>
      <c r="S833" s="4">
        <f t="shared" ca="1" si="97"/>
        <v>0.35003902763110772</v>
      </c>
    </row>
    <row r="834" spans="15:19" x14ac:dyDescent="0.2">
      <c r="O834" s="4">
        <f t="shared" ca="1" si="93"/>
        <v>0.8670909871199538</v>
      </c>
      <c r="P834" s="4">
        <f t="shared" ca="1" si="94"/>
        <v>1.1127448536703413</v>
      </c>
      <c r="Q834" s="4">
        <f t="shared" ca="1" si="95"/>
        <v>1902.2682669868823</v>
      </c>
      <c r="R834" s="4">
        <f t="shared" ca="1" si="96"/>
        <v>-21.40177701311768</v>
      </c>
      <c r="S834" s="4">
        <f t="shared" ca="1" si="97"/>
        <v>-10.647336768398368</v>
      </c>
    </row>
    <row r="835" spans="15:19" x14ac:dyDescent="0.2">
      <c r="O835" s="4">
        <f t="shared" ref="O835:O898" ca="1" si="98">RAND()</f>
        <v>0.10381488691385665</v>
      </c>
      <c r="P835" s="4">
        <f t="shared" ref="P835:P898" ca="1" si="99">NORMSINV(O835)</f>
        <v>-1.2601097491182678</v>
      </c>
      <c r="Q835" s="4">
        <f t="shared" ref="Q835:Q898" ca="1" si="100">$B$4*(1+$B$17-$B$32*P835)</f>
        <v>1947.0408811530367</v>
      </c>
      <c r="R835" s="4">
        <f t="shared" ref="R835:R898" ca="1" si="101">Q835-$B$4</f>
        <v>23.370837153036746</v>
      </c>
      <c r="S835" s="4">
        <f t="shared" ref="S835:S898" ca="1" si="102">R835*$B$12+0.5*$B$13*R835^2</f>
        <v>12.052886276725189</v>
      </c>
    </row>
    <row r="836" spans="15:19" x14ac:dyDescent="0.2">
      <c r="O836" s="4">
        <f t="shared" ca="1" si="98"/>
        <v>0.23624813373271003</v>
      </c>
      <c r="P836" s="4">
        <f t="shared" ca="1" si="99"/>
        <v>-0.71842339261695132</v>
      </c>
      <c r="Q836" s="4">
        <f t="shared" ca="1" si="100"/>
        <v>1936.819979202196</v>
      </c>
      <c r="R836" s="4">
        <f t="shared" ca="1" si="101"/>
        <v>13.149935202196048</v>
      </c>
      <c r="S836" s="4">
        <f t="shared" ca="1" si="102"/>
        <v>6.7270167361917386</v>
      </c>
    </row>
    <row r="837" spans="15:19" x14ac:dyDescent="0.2">
      <c r="O837" s="4">
        <f t="shared" ca="1" si="98"/>
        <v>5.035310407807414E-2</v>
      </c>
      <c r="P837" s="4">
        <f t="shared" ca="1" si="99"/>
        <v>-1.6414395381782534</v>
      </c>
      <c r="Q837" s="4">
        <f t="shared" ca="1" si="100"/>
        <v>1954.2360676998985</v>
      </c>
      <c r="R837" s="4">
        <f t="shared" ca="1" si="101"/>
        <v>30.566023699898551</v>
      </c>
      <c r="S837" s="4">
        <f t="shared" ca="1" si="102"/>
        <v>15.853137959104952</v>
      </c>
    </row>
    <row r="838" spans="15:19" x14ac:dyDescent="0.2">
      <c r="O838" s="4">
        <f t="shared" ca="1" si="98"/>
        <v>0.17489996356953752</v>
      </c>
      <c r="P838" s="4">
        <f t="shared" ca="1" si="99"/>
        <v>-0.93497743760519558</v>
      </c>
      <c r="Q838" s="4">
        <f t="shared" ca="1" si="100"/>
        <v>1940.9060663526618</v>
      </c>
      <c r="R838" s="4">
        <f t="shared" ca="1" si="101"/>
        <v>17.236022352661848</v>
      </c>
      <c r="S838" s="4">
        <f t="shared" ca="1" si="102"/>
        <v>8.845975655621686</v>
      </c>
    </row>
    <row r="839" spans="15:19" x14ac:dyDescent="0.2">
      <c r="O839" s="4">
        <f t="shared" ca="1" si="98"/>
        <v>0.41584207216076463</v>
      </c>
      <c r="P839" s="4">
        <f t="shared" ca="1" si="99"/>
        <v>-0.212542090500594</v>
      </c>
      <c r="Q839" s="4">
        <f t="shared" ca="1" si="100"/>
        <v>1927.2746710628312</v>
      </c>
      <c r="R839" s="4">
        <f t="shared" ca="1" si="101"/>
        <v>3.6046270628312413</v>
      </c>
      <c r="S839" s="4">
        <f t="shared" ca="1" si="102"/>
        <v>1.8299867135183212</v>
      </c>
    </row>
    <row r="840" spans="15:19" x14ac:dyDescent="0.2">
      <c r="O840" s="4">
        <f t="shared" ca="1" si="98"/>
        <v>0.9042643947833241</v>
      </c>
      <c r="P840" s="4">
        <f t="shared" ca="1" si="99"/>
        <v>1.3062392457442003</v>
      </c>
      <c r="Q840" s="4">
        <f t="shared" ca="1" si="100"/>
        <v>1898.6172848536085</v>
      </c>
      <c r="R840" s="4">
        <f t="shared" ca="1" si="101"/>
        <v>-25.052759146391509</v>
      </c>
      <c r="S840" s="4">
        <f t="shared" ca="1" si="102"/>
        <v>-12.426458838896401</v>
      </c>
    </row>
    <row r="841" spans="15:19" x14ac:dyDescent="0.2">
      <c r="O841" s="4">
        <f t="shared" ca="1" si="98"/>
        <v>0.88745950931645612</v>
      </c>
      <c r="P841" s="4">
        <f t="shared" ca="1" si="99"/>
        <v>1.2131277513116836</v>
      </c>
      <c r="Q841" s="4">
        <f t="shared" ca="1" si="100"/>
        <v>1900.3741750607714</v>
      </c>
      <c r="R841" s="4">
        <f t="shared" ca="1" si="101"/>
        <v>-23.295868939228512</v>
      </c>
      <c r="S841" s="4">
        <f t="shared" ca="1" si="102"/>
        <v>-11.571681582818183</v>
      </c>
    </row>
    <row r="842" spans="15:19" x14ac:dyDescent="0.2">
      <c r="O842" s="4">
        <f t="shared" ca="1" si="98"/>
        <v>4.9360991117186614E-4</v>
      </c>
      <c r="P842" s="4">
        <f t="shared" ca="1" si="99"/>
        <v>-3.2941437924223624</v>
      </c>
      <c r="Q842" s="4">
        <f t="shared" ca="1" si="100"/>
        <v>1985.4204014635739</v>
      </c>
      <c r="R842" s="4">
        <f t="shared" ca="1" si="101"/>
        <v>61.750357463573891</v>
      </c>
      <c r="S842" s="4">
        <f t="shared" ca="1" si="102"/>
        <v>32.810834157350421</v>
      </c>
    </row>
    <row r="843" spans="15:19" x14ac:dyDescent="0.2">
      <c r="O843" s="4">
        <f t="shared" ca="1" si="98"/>
        <v>0.693797840035008</v>
      </c>
      <c r="P843" s="4">
        <f t="shared" ca="1" si="99"/>
        <v>0.50664444138973386</v>
      </c>
      <c r="Q843" s="4">
        <f t="shared" ca="1" si="100"/>
        <v>1913.7045766002464</v>
      </c>
      <c r="R843" s="4">
        <f t="shared" ca="1" si="101"/>
        <v>-9.9654673997536065</v>
      </c>
      <c r="S843" s="4">
        <f t="shared" ca="1" si="102"/>
        <v>-5.0041909437397436</v>
      </c>
    </row>
    <row r="844" spans="15:19" x14ac:dyDescent="0.2">
      <c r="O844" s="4">
        <f t="shared" ca="1" si="98"/>
        <v>0.85298578925228519</v>
      </c>
      <c r="P844" s="4">
        <f t="shared" ca="1" si="99"/>
        <v>1.0493253089085222</v>
      </c>
      <c r="Q844" s="4">
        <f t="shared" ca="1" si="100"/>
        <v>1903.4649095476516</v>
      </c>
      <c r="R844" s="4">
        <f t="shared" ca="1" si="101"/>
        <v>-20.205134452348375</v>
      </c>
      <c r="S844" s="4">
        <f t="shared" ca="1" si="102"/>
        <v>-10.061851990428798</v>
      </c>
    </row>
    <row r="845" spans="15:19" x14ac:dyDescent="0.2">
      <c r="O845" s="4">
        <f t="shared" ca="1" si="98"/>
        <v>0.66693454982049682</v>
      </c>
      <c r="P845" s="4">
        <f t="shared" ca="1" si="99"/>
        <v>0.43146416909212132</v>
      </c>
      <c r="Q845" s="4">
        <f t="shared" ca="1" si="100"/>
        <v>1915.1231284662274</v>
      </c>
      <c r="R845" s="4">
        <f t="shared" ca="1" si="101"/>
        <v>-8.5469155337725624</v>
      </c>
      <c r="S845" s="4">
        <f t="shared" ca="1" si="102"/>
        <v>-4.2967960480892371</v>
      </c>
    </row>
    <row r="846" spans="15:19" x14ac:dyDescent="0.2">
      <c r="O846" s="4">
        <f t="shared" ca="1" si="98"/>
        <v>0.94416150633058571</v>
      </c>
      <c r="P846" s="4">
        <f t="shared" ca="1" si="99"/>
        <v>1.5907005311794935</v>
      </c>
      <c r="Q846" s="4">
        <f t="shared" ca="1" si="100"/>
        <v>1893.2498782864152</v>
      </c>
      <c r="R846" s="4">
        <f t="shared" ca="1" si="101"/>
        <v>-30.420165713584765</v>
      </c>
      <c r="S846" s="4">
        <f t="shared" ca="1" si="102"/>
        <v>-15.022289488116458</v>
      </c>
    </row>
    <row r="847" spans="15:19" x14ac:dyDescent="0.2">
      <c r="O847" s="4">
        <f t="shared" ca="1" si="98"/>
        <v>0.65382332882331429</v>
      </c>
      <c r="P847" s="4">
        <f t="shared" ca="1" si="99"/>
        <v>0.3956634228716373</v>
      </c>
      <c r="Q847" s="4">
        <f t="shared" ca="1" si="100"/>
        <v>1915.7986409883626</v>
      </c>
      <c r="R847" s="4">
        <f t="shared" ca="1" si="101"/>
        <v>-7.8714030116373124</v>
      </c>
      <c r="S847" s="4">
        <f t="shared" ca="1" si="102"/>
        <v>-3.9593597079367502</v>
      </c>
    </row>
    <row r="848" spans="15:19" x14ac:dyDescent="0.2">
      <c r="O848" s="4">
        <f t="shared" ca="1" si="98"/>
        <v>0.34420279510261165</v>
      </c>
      <c r="P848" s="4">
        <f t="shared" ca="1" si="99"/>
        <v>-0.40101974037877314</v>
      </c>
      <c r="Q848" s="4">
        <f t="shared" ca="1" si="100"/>
        <v>1930.8309939352994</v>
      </c>
      <c r="R848" s="4">
        <f t="shared" ca="1" si="101"/>
        <v>7.1609499352994135</v>
      </c>
      <c r="S848" s="4">
        <f t="shared" ca="1" si="102"/>
        <v>3.6458171839346991</v>
      </c>
    </row>
    <row r="849" spans="15:19" x14ac:dyDescent="0.2">
      <c r="O849" s="4">
        <f t="shared" ca="1" si="98"/>
        <v>9.4908612831429706E-2</v>
      </c>
      <c r="P849" s="4">
        <f t="shared" ca="1" si="99"/>
        <v>-1.3111199972741656</v>
      </c>
      <c r="Q849" s="4">
        <f t="shared" ca="1" si="100"/>
        <v>1948.0033767718242</v>
      </c>
      <c r="R849" s="4">
        <f t="shared" ca="1" si="101"/>
        <v>24.333332771824189</v>
      </c>
      <c r="S849" s="4">
        <f t="shared" ca="1" si="102"/>
        <v>12.558801592214293</v>
      </c>
    </row>
    <row r="850" spans="15:19" x14ac:dyDescent="0.2">
      <c r="O850" s="4">
        <f t="shared" ca="1" si="98"/>
        <v>0.20125827767621685</v>
      </c>
      <c r="P850" s="4">
        <f t="shared" ca="1" si="99"/>
        <v>-0.83713523752853036</v>
      </c>
      <c r="Q850" s="4">
        <f t="shared" ca="1" si="100"/>
        <v>1939.0599140144391</v>
      </c>
      <c r="R850" s="4">
        <f t="shared" ca="1" si="101"/>
        <v>15.389870014439111</v>
      </c>
      <c r="S850" s="4">
        <f t="shared" ca="1" si="102"/>
        <v>7.886916515931631</v>
      </c>
    </row>
    <row r="851" spans="15:19" x14ac:dyDescent="0.2">
      <c r="O851" s="4">
        <f t="shared" ca="1" si="98"/>
        <v>0.36454510100721682</v>
      </c>
      <c r="P851" s="4">
        <f t="shared" ca="1" si="99"/>
        <v>-0.34633601948120873</v>
      </c>
      <c r="Q851" s="4">
        <f t="shared" ca="1" si="100"/>
        <v>1929.7991847658548</v>
      </c>
      <c r="R851" s="4">
        <f t="shared" ca="1" si="101"/>
        <v>6.1291407658547996</v>
      </c>
      <c r="S851" s="4">
        <f t="shared" ca="1" si="102"/>
        <v>3.1179232017659571</v>
      </c>
    </row>
    <row r="852" spans="15:19" x14ac:dyDescent="0.2">
      <c r="O852" s="4">
        <f t="shared" ca="1" si="98"/>
        <v>0.5760134175242293</v>
      </c>
      <c r="P852" s="4">
        <f t="shared" ca="1" si="99"/>
        <v>0.19170515861094548</v>
      </c>
      <c r="Q852" s="4">
        <f t="shared" ca="1" si="100"/>
        <v>1919.6470624892042</v>
      </c>
      <c r="R852" s="4">
        <f t="shared" ca="1" si="101"/>
        <v>-4.0229815107957165</v>
      </c>
      <c r="S852" s="4">
        <f t="shared" ca="1" si="102"/>
        <v>-2.0298844823566284</v>
      </c>
    </row>
    <row r="853" spans="15:19" x14ac:dyDescent="0.2">
      <c r="O853" s="4">
        <f t="shared" ca="1" si="98"/>
        <v>0.86568192329731997</v>
      </c>
      <c r="P853" s="4">
        <f t="shared" ca="1" si="99"/>
        <v>1.1062088032819204</v>
      </c>
      <c r="Q853" s="4">
        <f t="shared" ca="1" si="100"/>
        <v>1902.391593574979</v>
      </c>
      <c r="R853" s="4">
        <f t="shared" ca="1" si="101"/>
        <v>-21.278450425020992</v>
      </c>
      <c r="S853" s="4">
        <f t="shared" ca="1" si="102"/>
        <v>-10.587050293888046</v>
      </c>
    </row>
    <row r="854" spans="15:19" x14ac:dyDescent="0.2">
      <c r="O854" s="4">
        <f t="shared" ca="1" si="98"/>
        <v>0.47733301550471952</v>
      </c>
      <c r="P854" s="4">
        <f t="shared" ca="1" si="99"/>
        <v>-5.6848309132385817E-2</v>
      </c>
      <c r="Q854" s="4">
        <f t="shared" ca="1" si="100"/>
        <v>1924.3369362378332</v>
      </c>
      <c r="R854" s="4">
        <f t="shared" ca="1" si="101"/>
        <v>0.66689223783328089</v>
      </c>
      <c r="S854" s="4">
        <f t="shared" ca="1" si="102"/>
        <v>0.33776842504498944</v>
      </c>
    </row>
    <row r="855" spans="15:19" x14ac:dyDescent="0.2">
      <c r="O855" s="4">
        <f t="shared" ca="1" si="98"/>
        <v>0.33483593391263888</v>
      </c>
      <c r="P855" s="4">
        <f t="shared" ca="1" si="99"/>
        <v>-0.4265983938047142</v>
      </c>
      <c r="Q855" s="4">
        <f t="shared" ca="1" si="100"/>
        <v>1931.3136291458109</v>
      </c>
      <c r="R855" s="4">
        <f t="shared" ca="1" si="101"/>
        <v>7.6435851458109028</v>
      </c>
      <c r="S855" s="4">
        <f t="shared" ca="1" si="102"/>
        <v>3.8930404417843634</v>
      </c>
    </row>
    <row r="856" spans="15:19" x14ac:dyDescent="0.2">
      <c r="O856" s="4">
        <f t="shared" ca="1" si="98"/>
        <v>0.45457433098492672</v>
      </c>
      <c r="P856" s="4">
        <f t="shared" ca="1" si="99"/>
        <v>-0.11411243871160973</v>
      </c>
      <c r="Q856" s="4">
        <f t="shared" ca="1" si="100"/>
        <v>1925.4174342911899</v>
      </c>
      <c r="R856" s="4">
        <f t="shared" ca="1" si="101"/>
        <v>1.7473902911899586</v>
      </c>
      <c r="S856" s="4">
        <f t="shared" ca="1" si="102"/>
        <v>0.88578901503671947</v>
      </c>
    </row>
    <row r="857" spans="15:19" x14ac:dyDescent="0.2">
      <c r="O857" s="4">
        <f t="shared" ca="1" si="98"/>
        <v>0.45523238652176212</v>
      </c>
      <c r="P857" s="4">
        <f t="shared" ca="1" si="99"/>
        <v>-0.11245231994399643</v>
      </c>
      <c r="Q857" s="4">
        <f t="shared" ca="1" si="100"/>
        <v>1925.3861100554088</v>
      </c>
      <c r="R857" s="4">
        <f t="shared" ca="1" si="101"/>
        <v>1.7160660554088736</v>
      </c>
      <c r="S857" s="4">
        <f t="shared" ca="1" si="102"/>
        <v>0.86988821707594843</v>
      </c>
    </row>
    <row r="858" spans="15:19" x14ac:dyDescent="0.2">
      <c r="O858" s="4">
        <f t="shared" ca="1" si="98"/>
        <v>0.89408663960557777</v>
      </c>
      <c r="P858" s="4">
        <f t="shared" ca="1" si="99"/>
        <v>1.2485581676485127</v>
      </c>
      <c r="Q858" s="4">
        <f t="shared" ca="1" si="100"/>
        <v>1899.7056501715808</v>
      </c>
      <c r="R858" s="4">
        <f t="shared" ca="1" si="101"/>
        <v>-23.964393828419134</v>
      </c>
      <c r="S858" s="4">
        <f t="shared" ca="1" si="102"/>
        <v>-11.897234215295521</v>
      </c>
    </row>
    <row r="859" spans="15:19" x14ac:dyDescent="0.2">
      <c r="O859" s="4">
        <f t="shared" ca="1" si="98"/>
        <v>0.61712565299009181</v>
      </c>
      <c r="P859" s="4">
        <f t="shared" ca="1" si="99"/>
        <v>0.29794034579614581</v>
      </c>
      <c r="Q859" s="4">
        <f t="shared" ca="1" si="100"/>
        <v>1917.6425456338004</v>
      </c>
      <c r="R859" s="4">
        <f t="shared" ca="1" si="101"/>
        <v>-6.027498366199552</v>
      </c>
      <c r="S859" s="4">
        <f t="shared" ca="1" si="102"/>
        <v>-3.036389586947311</v>
      </c>
    </row>
    <row r="860" spans="15:19" x14ac:dyDescent="0.2">
      <c r="O860" s="4">
        <f t="shared" ca="1" si="98"/>
        <v>0.19189739993358301</v>
      </c>
      <c r="P860" s="4">
        <f t="shared" ca="1" si="99"/>
        <v>-0.87092555958735385</v>
      </c>
      <c r="Q860" s="4">
        <f t="shared" ca="1" si="100"/>
        <v>1939.6974925033664</v>
      </c>
      <c r="R860" s="4">
        <f t="shared" ca="1" si="101"/>
        <v>16.027448503366486</v>
      </c>
      <c r="S860" s="4">
        <f t="shared" ca="1" si="102"/>
        <v>8.2178189983407179</v>
      </c>
    </row>
    <row r="861" spans="15:19" x14ac:dyDescent="0.2">
      <c r="O861" s="4">
        <f t="shared" ca="1" si="98"/>
        <v>0.73568708851044029</v>
      </c>
      <c r="P861" s="4">
        <f t="shared" ca="1" si="99"/>
        <v>0.63010510027063726</v>
      </c>
      <c r="Q861" s="4">
        <f t="shared" ca="1" si="100"/>
        <v>1911.3750379769031</v>
      </c>
      <c r="R861" s="4">
        <f t="shared" ca="1" si="101"/>
        <v>-12.295006023096903</v>
      </c>
      <c r="S861" s="4">
        <f t="shared" ca="1" si="102"/>
        <v>-6.162316973200098</v>
      </c>
    </row>
    <row r="862" spans="15:19" x14ac:dyDescent="0.2">
      <c r="O862" s="4">
        <f t="shared" ca="1" si="98"/>
        <v>0.88230553245085575</v>
      </c>
      <c r="P862" s="4">
        <f t="shared" ca="1" si="99"/>
        <v>1.186591133111351</v>
      </c>
      <c r="Q862" s="4">
        <f t="shared" ca="1" si="100"/>
        <v>1900.8748857939793</v>
      </c>
      <c r="R862" s="4">
        <f t="shared" ca="1" si="101"/>
        <v>-22.795158206020687</v>
      </c>
      <c r="S862" s="4">
        <f t="shared" ca="1" si="102"/>
        <v>-11.327611359566802</v>
      </c>
    </row>
    <row r="863" spans="15:19" x14ac:dyDescent="0.2">
      <c r="O863" s="4">
        <f t="shared" ca="1" si="98"/>
        <v>8.0305081979699766E-2</v>
      </c>
      <c r="P863" s="4">
        <f t="shared" ca="1" si="99"/>
        <v>-1.4030223847193637</v>
      </c>
      <c r="Q863" s="4">
        <f t="shared" ca="1" si="100"/>
        <v>1949.7374527363593</v>
      </c>
      <c r="R863" s="4">
        <f t="shared" ca="1" si="101"/>
        <v>26.067408736359312</v>
      </c>
      <c r="S863" s="4">
        <f t="shared" ca="1" si="102"/>
        <v>13.472185157590767</v>
      </c>
    </row>
    <row r="864" spans="15:19" x14ac:dyDescent="0.2">
      <c r="O864" s="4">
        <f t="shared" ca="1" si="98"/>
        <v>0.52387708143513201</v>
      </c>
      <c r="P864" s="4">
        <f t="shared" ca="1" si="99"/>
        <v>5.9886744717021462E-2</v>
      </c>
      <c r="Q864" s="4">
        <f t="shared" ca="1" si="100"/>
        <v>1922.1343008468898</v>
      </c>
      <c r="R864" s="4">
        <f t="shared" ca="1" si="101"/>
        <v>-1.5357431531101611</v>
      </c>
      <c r="S864" s="4">
        <f t="shared" ca="1" si="102"/>
        <v>-0.7764481509318153</v>
      </c>
    </row>
    <row r="865" spans="15:19" x14ac:dyDescent="0.2">
      <c r="O865" s="4">
        <f t="shared" ca="1" si="98"/>
        <v>0.89206363610126049</v>
      </c>
      <c r="P865" s="4">
        <f t="shared" ca="1" si="99"/>
        <v>1.2375775909119382</v>
      </c>
      <c r="Q865" s="4">
        <f t="shared" ca="1" si="100"/>
        <v>1899.9128390675926</v>
      </c>
      <c r="R865" s="4">
        <f t="shared" ca="1" si="101"/>
        <v>-23.757204932407376</v>
      </c>
      <c r="S865" s="4">
        <f t="shared" ca="1" si="102"/>
        <v>-11.796378017043018</v>
      </c>
    </row>
    <row r="866" spans="15:19" x14ac:dyDescent="0.2">
      <c r="O866" s="4">
        <f t="shared" ca="1" si="98"/>
        <v>0.41440138819181205</v>
      </c>
      <c r="P866" s="4">
        <f t="shared" ca="1" si="99"/>
        <v>-0.21623730471362698</v>
      </c>
      <c r="Q866" s="4">
        <f t="shared" ca="1" si="100"/>
        <v>1927.3443948461709</v>
      </c>
      <c r="R866" s="4">
        <f t="shared" ca="1" si="101"/>
        <v>3.6743508461709098</v>
      </c>
      <c r="S866" s="4">
        <f t="shared" ca="1" si="102"/>
        <v>1.8654881704926385</v>
      </c>
    </row>
    <row r="867" spans="15:19" x14ac:dyDescent="0.2">
      <c r="O867" s="4">
        <f t="shared" ca="1" si="98"/>
        <v>0.96957057243963807</v>
      </c>
      <c r="P867" s="4">
        <f t="shared" ca="1" si="99"/>
        <v>1.8745195131076546</v>
      </c>
      <c r="Q867" s="4">
        <f t="shared" ca="1" si="100"/>
        <v>1887.8945911331414</v>
      </c>
      <c r="R867" s="4">
        <f t="shared" ca="1" si="101"/>
        <v>-35.775452866858586</v>
      </c>
      <c r="S867" s="4">
        <f t="shared" ca="1" si="102"/>
        <v>-17.588883665217082</v>
      </c>
    </row>
    <row r="868" spans="15:19" x14ac:dyDescent="0.2">
      <c r="O868" s="4">
        <f t="shared" ca="1" si="98"/>
        <v>0.12613005523090615</v>
      </c>
      <c r="P868" s="4">
        <f t="shared" ca="1" si="99"/>
        <v>-1.1448770056071287</v>
      </c>
      <c r="Q868" s="4">
        <f t="shared" ca="1" si="100"/>
        <v>1944.8665923624512</v>
      </c>
      <c r="R868" s="4">
        <f t="shared" ca="1" si="101"/>
        <v>21.196548362451267</v>
      </c>
      <c r="S868" s="4">
        <f t="shared" ca="1" si="102"/>
        <v>10.912794022572406</v>
      </c>
    </row>
    <row r="869" spans="15:19" x14ac:dyDescent="0.2">
      <c r="O869" s="4">
        <f t="shared" ca="1" si="98"/>
        <v>0.28283064377113254</v>
      </c>
      <c r="P869" s="4">
        <f t="shared" ca="1" si="99"/>
        <v>-0.57445301351272782</v>
      </c>
      <c r="Q869" s="4">
        <f t="shared" ca="1" si="100"/>
        <v>1934.1034494041151</v>
      </c>
      <c r="R869" s="4">
        <f t="shared" ca="1" si="101"/>
        <v>10.433405404115092</v>
      </c>
      <c r="S869" s="4">
        <f t="shared" ca="1" si="102"/>
        <v>5.3258039163841033</v>
      </c>
    </row>
    <row r="870" spans="15:19" x14ac:dyDescent="0.2">
      <c r="O870" s="4">
        <f t="shared" ca="1" si="98"/>
        <v>0.62650011090709468</v>
      </c>
      <c r="P870" s="4">
        <f t="shared" ca="1" si="99"/>
        <v>0.32259790810863398</v>
      </c>
      <c r="Q870" s="4">
        <f t="shared" ca="1" si="100"/>
        <v>1917.1772901889883</v>
      </c>
      <c r="R870" s="4">
        <f t="shared" ca="1" si="101"/>
        <v>-6.4927538110116529</v>
      </c>
      <c r="S870" s="4">
        <f t="shared" ca="1" si="102"/>
        <v>-3.2695352249895899</v>
      </c>
    </row>
    <row r="871" spans="15:19" x14ac:dyDescent="0.2">
      <c r="O871" s="4">
        <f t="shared" ca="1" si="98"/>
        <v>0.72173810444201703</v>
      </c>
      <c r="P871" s="4">
        <f t="shared" ca="1" si="99"/>
        <v>0.58801266616462045</v>
      </c>
      <c r="Q871" s="4">
        <f t="shared" ca="1" si="100"/>
        <v>1912.1692662913258</v>
      </c>
      <c r="R871" s="4">
        <f t="shared" ca="1" si="101"/>
        <v>-11.50077770867415</v>
      </c>
      <c r="S871" s="4">
        <f t="shared" ca="1" si="102"/>
        <v>-5.7679641384427818</v>
      </c>
    </row>
    <row r="872" spans="15:19" x14ac:dyDescent="0.2">
      <c r="O872" s="4">
        <f t="shared" ca="1" si="98"/>
        <v>0.66725377142803732</v>
      </c>
      <c r="P872" s="4">
        <f t="shared" ca="1" si="99"/>
        <v>0.43234256233139989</v>
      </c>
      <c r="Q872" s="4">
        <f t="shared" ca="1" si="100"/>
        <v>1915.1065543526925</v>
      </c>
      <c r="R872" s="4">
        <f t="shared" ca="1" si="101"/>
        <v>-8.5634896473075059</v>
      </c>
      <c r="S872" s="4">
        <f t="shared" ca="1" si="102"/>
        <v>-4.3050705860229623</v>
      </c>
    </row>
    <row r="873" spans="15:19" x14ac:dyDescent="0.2">
      <c r="O873" s="4">
        <f t="shared" ca="1" si="98"/>
        <v>0.91712913823921605</v>
      </c>
      <c r="P873" s="4">
        <f t="shared" ca="1" si="99"/>
        <v>1.3860169641126219</v>
      </c>
      <c r="Q873" s="4">
        <f t="shared" ca="1" si="100"/>
        <v>1897.1119852876898</v>
      </c>
      <c r="R873" s="4">
        <f t="shared" ca="1" si="101"/>
        <v>-26.558058712310185</v>
      </c>
      <c r="S873" s="4">
        <f t="shared" ca="1" si="102"/>
        <v>-13.156831120422364</v>
      </c>
    </row>
    <row r="874" spans="15:19" x14ac:dyDescent="0.2">
      <c r="O874" s="4">
        <f t="shared" ca="1" si="98"/>
        <v>0.4648268177022995</v>
      </c>
      <c r="P874" s="4">
        <f t="shared" ca="1" si="99"/>
        <v>-8.8280628057644556E-2</v>
      </c>
      <c r="Q874" s="4">
        <f t="shared" ca="1" si="100"/>
        <v>1924.9300223400894</v>
      </c>
      <c r="R874" s="4">
        <f t="shared" ca="1" si="101"/>
        <v>1.2599783400894466</v>
      </c>
      <c r="S874" s="4">
        <f t="shared" ca="1" si="102"/>
        <v>0.63845961800590278</v>
      </c>
    </row>
    <row r="875" spans="15:19" x14ac:dyDescent="0.2">
      <c r="O875" s="4">
        <f t="shared" ca="1" si="98"/>
        <v>0.10008606760603433</v>
      </c>
      <c r="P875" s="4">
        <f t="shared" ca="1" si="99"/>
        <v>-1.2810613012026628</v>
      </c>
      <c r="Q875" s="4">
        <f t="shared" ca="1" si="100"/>
        <v>1947.4362091080466</v>
      </c>
      <c r="R875" s="4">
        <f t="shared" ca="1" si="101"/>
        <v>23.766165108046607</v>
      </c>
      <c r="S875" s="4">
        <f t="shared" ca="1" si="102"/>
        <v>12.260590721649818</v>
      </c>
    </row>
    <row r="876" spans="15:19" x14ac:dyDescent="0.2">
      <c r="O876" s="4">
        <f t="shared" ca="1" si="98"/>
        <v>0.3994300867892483</v>
      </c>
      <c r="P876" s="4">
        <f t="shared" ca="1" si="99"/>
        <v>-0.25482252944822031</v>
      </c>
      <c r="Q876" s="4">
        <f t="shared" ca="1" si="100"/>
        <v>1928.0724467788621</v>
      </c>
      <c r="R876" s="4">
        <f t="shared" ca="1" si="101"/>
        <v>4.402402778862097</v>
      </c>
      <c r="S876" s="4">
        <f t="shared" ca="1" si="102"/>
        <v>2.2364288775957957</v>
      </c>
    </row>
    <row r="877" spans="15:19" x14ac:dyDescent="0.2">
      <c r="O877" s="4">
        <f t="shared" ca="1" si="98"/>
        <v>0.98089059760161823</v>
      </c>
      <c r="P877" s="4">
        <f t="shared" ca="1" si="99"/>
        <v>2.0725003375753088</v>
      </c>
      <c r="Q877" s="4">
        <f t="shared" ca="1" si="100"/>
        <v>1884.1589559805407</v>
      </c>
      <c r="R877" s="4">
        <f t="shared" ca="1" si="101"/>
        <v>-39.511088019459294</v>
      </c>
      <c r="S877" s="4">
        <f t="shared" ca="1" si="102"/>
        <v>-19.36541337959931</v>
      </c>
    </row>
    <row r="878" spans="15:19" x14ac:dyDescent="0.2">
      <c r="O878" s="4">
        <f t="shared" ca="1" si="98"/>
        <v>0.15565449693001809</v>
      </c>
      <c r="P878" s="4">
        <f t="shared" ca="1" si="99"/>
        <v>-1.0124791855662334</v>
      </c>
      <c r="Q878" s="4">
        <f t="shared" ca="1" si="100"/>
        <v>1942.3684213804768</v>
      </c>
      <c r="R878" s="4">
        <f t="shared" ca="1" si="101"/>
        <v>18.698377380476813</v>
      </c>
      <c r="S878" s="4">
        <f t="shared" ca="1" si="102"/>
        <v>9.6076251140627953</v>
      </c>
    </row>
    <row r="879" spans="15:19" x14ac:dyDescent="0.2">
      <c r="O879" s="4">
        <f t="shared" ca="1" si="98"/>
        <v>0.22262717033305213</v>
      </c>
      <c r="P879" s="4">
        <f t="shared" ca="1" si="99"/>
        <v>-0.76335058666010847</v>
      </c>
      <c r="Q879" s="4">
        <f t="shared" ca="1" si="100"/>
        <v>1937.6676956708316</v>
      </c>
      <c r="R879" s="4">
        <f t="shared" ca="1" si="101"/>
        <v>13.997651670831601</v>
      </c>
      <c r="S879" s="4">
        <f t="shared" ca="1" si="102"/>
        <v>7.1655071858267965</v>
      </c>
    </row>
    <row r="880" spans="15:19" x14ac:dyDescent="0.2">
      <c r="O880" s="4">
        <f t="shared" ca="1" si="98"/>
        <v>5.5841310337591432E-2</v>
      </c>
      <c r="P880" s="4">
        <f t="shared" ca="1" si="99"/>
        <v>-1.5906755121325318</v>
      </c>
      <c r="Q880" s="4">
        <f t="shared" ca="1" si="100"/>
        <v>1953.2782179652393</v>
      </c>
      <c r="R880" s="4">
        <f t="shared" ca="1" si="101"/>
        <v>29.608173965239303</v>
      </c>
      <c r="S880" s="4">
        <f t="shared" ca="1" si="102"/>
        <v>15.344802450769651</v>
      </c>
    </row>
    <row r="881" spans="15:19" x14ac:dyDescent="0.2">
      <c r="O881" s="4">
        <f t="shared" ca="1" si="98"/>
        <v>0.73611446066700603</v>
      </c>
      <c r="P881" s="4">
        <f t="shared" ca="1" si="99"/>
        <v>0.63141214245649191</v>
      </c>
      <c r="Q881" s="4">
        <f t="shared" ca="1" si="100"/>
        <v>1911.3503758271795</v>
      </c>
      <c r="R881" s="4">
        <f t="shared" ca="1" si="101"/>
        <v>-12.319668172820457</v>
      </c>
      <c r="S881" s="4">
        <f t="shared" ca="1" si="102"/>
        <v>-6.1745540832624224</v>
      </c>
    </row>
    <row r="882" spans="15:19" x14ac:dyDescent="0.2">
      <c r="O882" s="4">
        <f t="shared" ca="1" si="98"/>
        <v>0.39029592075010555</v>
      </c>
      <c r="P882" s="4">
        <f t="shared" ca="1" si="99"/>
        <v>-0.27854784645709751</v>
      </c>
      <c r="Q882" s="4">
        <f t="shared" ca="1" si="100"/>
        <v>1928.5201119932246</v>
      </c>
      <c r="R882" s="4">
        <f t="shared" ca="1" si="101"/>
        <v>4.850067993224684</v>
      </c>
      <c r="S882" s="4">
        <f t="shared" ca="1" si="102"/>
        <v>2.4647274784680189</v>
      </c>
    </row>
    <row r="883" spans="15:19" x14ac:dyDescent="0.2">
      <c r="O883" s="4">
        <f t="shared" ca="1" si="98"/>
        <v>0.71574874901836405</v>
      </c>
      <c r="P883" s="4">
        <f t="shared" ca="1" si="99"/>
        <v>0.57025832566886525</v>
      </c>
      <c r="Q883" s="4">
        <f t="shared" ca="1" si="100"/>
        <v>1912.5042671109532</v>
      </c>
      <c r="R883" s="4">
        <f t="shared" ca="1" si="101"/>
        <v>-11.165776889046811</v>
      </c>
      <c r="S883" s="4">
        <f t="shared" ca="1" si="102"/>
        <v>-5.6014744468467335</v>
      </c>
    </row>
    <row r="884" spans="15:19" x14ac:dyDescent="0.2">
      <c r="O884" s="4">
        <f t="shared" ca="1" si="98"/>
        <v>0.54939606809551356</v>
      </c>
      <c r="P884" s="4">
        <f t="shared" ca="1" si="99"/>
        <v>0.12413566013270895</v>
      </c>
      <c r="Q884" s="4">
        <f t="shared" ca="1" si="100"/>
        <v>1920.9220091636491</v>
      </c>
      <c r="R884" s="4">
        <f t="shared" ca="1" si="101"/>
        <v>-2.7480348363508256</v>
      </c>
      <c r="S884" s="4">
        <f t="shared" ca="1" si="102"/>
        <v>-1.3880080880775938</v>
      </c>
    </row>
    <row r="885" spans="15:19" x14ac:dyDescent="0.2">
      <c r="O885" s="4">
        <f t="shared" ca="1" si="98"/>
        <v>5.0395375162639811E-2</v>
      </c>
      <c r="P885" s="4">
        <f t="shared" ca="1" si="99"/>
        <v>-1.6410321081095656</v>
      </c>
      <c r="Q885" s="4">
        <f t="shared" ca="1" si="100"/>
        <v>1954.2283800357475</v>
      </c>
      <c r="R885" s="4">
        <f t="shared" ca="1" si="101"/>
        <v>30.558336035747516</v>
      </c>
      <c r="S885" s="4">
        <f t="shared" ca="1" si="102"/>
        <v>15.849055104937857</v>
      </c>
    </row>
    <row r="886" spans="15:19" x14ac:dyDescent="0.2">
      <c r="O886" s="4">
        <f t="shared" ca="1" si="98"/>
        <v>0.97212570467827353</v>
      </c>
      <c r="P886" s="4">
        <f t="shared" ca="1" si="99"/>
        <v>1.9129957960221151</v>
      </c>
      <c r="Q886" s="4">
        <f t="shared" ca="1" si="100"/>
        <v>1887.1685947878732</v>
      </c>
      <c r="R886" s="4">
        <f t="shared" ca="1" si="101"/>
        <v>-36.501449212126772</v>
      </c>
      <c r="S886" s="4">
        <f t="shared" ca="1" si="102"/>
        <v>-17.935030077721784</v>
      </c>
    </row>
    <row r="887" spans="15:19" x14ac:dyDescent="0.2">
      <c r="O887" s="4">
        <f t="shared" ca="1" si="98"/>
        <v>0.16269287722421322</v>
      </c>
      <c r="P887" s="4">
        <f t="shared" ca="1" si="99"/>
        <v>-0.98345052392939025</v>
      </c>
      <c r="Q887" s="4">
        <f t="shared" ca="1" si="100"/>
        <v>1941.8206890981453</v>
      </c>
      <c r="R887" s="4">
        <f t="shared" ca="1" si="101"/>
        <v>18.150645098145333</v>
      </c>
      <c r="S887" s="4">
        <f t="shared" ca="1" si="102"/>
        <v>9.3221416270822637</v>
      </c>
    </row>
    <row r="888" spans="15:19" x14ac:dyDescent="0.2">
      <c r="O888" s="4">
        <f t="shared" ca="1" si="98"/>
        <v>0.1988305801152197</v>
      </c>
      <c r="P888" s="4">
        <f t="shared" ca="1" si="99"/>
        <v>-0.84580567297102205</v>
      </c>
      <c r="Q888" s="4">
        <f t="shared" ca="1" si="100"/>
        <v>1939.2235136131096</v>
      </c>
      <c r="R888" s="4">
        <f t="shared" ca="1" si="101"/>
        <v>15.553469613109655</v>
      </c>
      <c r="S888" s="4">
        <f t="shared" ca="1" si="102"/>
        <v>7.971792949067372</v>
      </c>
    </row>
    <row r="889" spans="15:19" x14ac:dyDescent="0.2">
      <c r="O889" s="4">
        <f t="shared" ca="1" si="98"/>
        <v>0.7635325619601373</v>
      </c>
      <c r="P889" s="4">
        <f t="shared" ca="1" si="99"/>
        <v>0.71771201069220469</v>
      </c>
      <c r="Q889" s="4">
        <f t="shared" ca="1" si="100"/>
        <v>1909.7220119575322</v>
      </c>
      <c r="R889" s="4">
        <f t="shared" ca="1" si="101"/>
        <v>-13.94803204246773</v>
      </c>
      <c r="S889" s="4">
        <f t="shared" ca="1" si="102"/>
        <v>-6.9814360995244122</v>
      </c>
    </row>
    <row r="890" spans="15:19" x14ac:dyDescent="0.2">
      <c r="O890" s="4">
        <f t="shared" ca="1" si="98"/>
        <v>0.34343123071895398</v>
      </c>
      <c r="P890" s="4">
        <f t="shared" ca="1" si="99"/>
        <v>-0.40311658348751422</v>
      </c>
      <c r="Q890" s="4">
        <f t="shared" ca="1" si="100"/>
        <v>1930.8705585792368</v>
      </c>
      <c r="R890" s="4">
        <f t="shared" ca="1" si="101"/>
        <v>7.2005145792368239</v>
      </c>
      <c r="S890" s="4">
        <f t="shared" ca="1" si="102"/>
        <v>3.6660764934978398</v>
      </c>
    </row>
    <row r="891" spans="15:19" x14ac:dyDescent="0.2">
      <c r="O891" s="4">
        <f t="shared" ca="1" si="98"/>
        <v>0.13865579623142721</v>
      </c>
      <c r="P891" s="4">
        <f t="shared" ca="1" si="99"/>
        <v>-1.0863784483963113</v>
      </c>
      <c r="Q891" s="4">
        <f t="shared" ca="1" si="100"/>
        <v>1943.7628022995461</v>
      </c>
      <c r="R891" s="4">
        <f t="shared" ca="1" si="101"/>
        <v>20.092758299546176</v>
      </c>
      <c r="S891" s="4">
        <f t="shared" ca="1" si="102"/>
        <v>10.33549261262289</v>
      </c>
    </row>
    <row r="892" spans="15:19" x14ac:dyDescent="0.2">
      <c r="O892" s="4">
        <f t="shared" ca="1" si="98"/>
        <v>0.50882996108860357</v>
      </c>
      <c r="P892" s="4">
        <f t="shared" ca="1" si="99"/>
        <v>2.2135237591500476E-2</v>
      </c>
      <c r="Q892" s="4">
        <f t="shared" ca="1" si="100"/>
        <v>1922.8466216358397</v>
      </c>
      <c r="R892" s="4">
        <f t="shared" ca="1" si="101"/>
        <v>-0.82342236416025116</v>
      </c>
      <c r="S892" s="4">
        <f t="shared" ca="1" si="102"/>
        <v>-0.41654846321874006</v>
      </c>
    </row>
    <row r="893" spans="15:19" x14ac:dyDescent="0.2">
      <c r="O893" s="4">
        <f t="shared" ca="1" si="98"/>
        <v>0.55309724237638191</v>
      </c>
      <c r="P893" s="4">
        <f t="shared" ca="1" si="99"/>
        <v>0.13349045155120406</v>
      </c>
      <c r="Q893" s="4">
        <f t="shared" ca="1" si="100"/>
        <v>1920.7454966768357</v>
      </c>
      <c r="R893" s="4">
        <f t="shared" ca="1" si="101"/>
        <v>-2.9245473231642336</v>
      </c>
      <c r="S893" s="4">
        <f t="shared" ca="1" si="102"/>
        <v>-1.4769528469066731</v>
      </c>
    </row>
    <row r="894" spans="15:19" x14ac:dyDescent="0.2">
      <c r="O894" s="4">
        <f t="shared" ca="1" si="98"/>
        <v>0.64983033720815586</v>
      </c>
      <c r="P894" s="4">
        <f t="shared" ca="1" si="99"/>
        <v>0.38486245268457808</v>
      </c>
      <c r="Q894" s="4">
        <f t="shared" ca="1" si="100"/>
        <v>1916.0024409473813</v>
      </c>
      <c r="R894" s="4">
        <f t="shared" ca="1" si="101"/>
        <v>-7.6676030526186878</v>
      </c>
      <c r="S894" s="4">
        <f t="shared" ca="1" si="102"/>
        <v>-3.857483299168845</v>
      </c>
    </row>
    <row r="895" spans="15:19" x14ac:dyDescent="0.2">
      <c r="O895" s="4">
        <f t="shared" ca="1" si="98"/>
        <v>0.835080044817193</v>
      </c>
      <c r="P895" s="4">
        <f t="shared" ca="1" si="99"/>
        <v>0.97443638612360006</v>
      </c>
      <c r="Q895" s="4">
        <f t="shared" ca="1" si="100"/>
        <v>1904.8779640353675</v>
      </c>
      <c r="R895" s="4">
        <f t="shared" ca="1" si="101"/>
        <v>-18.792079964632421</v>
      </c>
      <c r="S895" s="4">
        <f t="shared" ca="1" si="102"/>
        <v>-9.3689815945668951</v>
      </c>
    </row>
    <row r="896" spans="15:19" x14ac:dyDescent="0.2">
      <c r="O896" s="4">
        <f t="shared" ca="1" si="98"/>
        <v>0.8803880747122651</v>
      </c>
      <c r="P896" s="4">
        <f t="shared" ca="1" si="99"/>
        <v>1.1769289885725416</v>
      </c>
      <c r="Q896" s="4">
        <f t="shared" ca="1" si="100"/>
        <v>1901.0571976258741</v>
      </c>
      <c r="R896" s="4">
        <f t="shared" ca="1" si="101"/>
        <v>-22.612846374125866</v>
      </c>
      <c r="S896" s="4">
        <f t="shared" ca="1" si="102"/>
        <v>-11.238693213128487</v>
      </c>
    </row>
    <row r="897" spans="15:19" x14ac:dyDescent="0.2">
      <c r="O897" s="4">
        <f t="shared" ca="1" si="98"/>
        <v>0.91129350340665949</v>
      </c>
      <c r="P897" s="4">
        <f t="shared" ca="1" si="99"/>
        <v>1.3487633405872026</v>
      </c>
      <c r="Q897" s="4">
        <f t="shared" ca="1" si="100"/>
        <v>1897.814911674513</v>
      </c>
      <c r="R897" s="4">
        <f t="shared" ca="1" si="101"/>
        <v>-25.85513232548692</v>
      </c>
      <c r="S897" s="4">
        <f t="shared" ca="1" si="102"/>
        <v>-12.816000393076116</v>
      </c>
    </row>
    <row r="898" spans="15:19" x14ac:dyDescent="0.2">
      <c r="O898" s="4">
        <f t="shared" ca="1" si="98"/>
        <v>0.99832742382733453</v>
      </c>
      <c r="P898" s="4">
        <f t="shared" ca="1" si="99"/>
        <v>2.9341010944870716</v>
      </c>
      <c r="Q898" s="4">
        <f t="shared" ca="1" si="100"/>
        <v>1867.9016942801643</v>
      </c>
      <c r="R898" s="4">
        <f t="shared" ca="1" si="101"/>
        <v>-55.768349719835669</v>
      </c>
      <c r="S898" s="4">
        <f t="shared" ca="1" si="102"/>
        <v>-26.964455280332086</v>
      </c>
    </row>
    <row r="899" spans="15:19" x14ac:dyDescent="0.2">
      <c r="O899" s="4">
        <f t="shared" ref="O899:O962" ca="1" si="103">RAND()</f>
        <v>0.99633290545843634</v>
      </c>
      <c r="P899" s="4">
        <f t="shared" ref="P899:P962" ca="1" si="104">NORMSINV(O899)</f>
        <v>2.6812764877626165</v>
      </c>
      <c r="Q899" s="4">
        <f t="shared" ref="Q899:Q962" ca="1" si="105">$B$4*(1+$B$17-$B$32*P899)</f>
        <v>1872.6721587474269</v>
      </c>
      <c r="R899" s="4">
        <f t="shared" ref="R899:R962" ca="1" si="106">Q899-$B$4</f>
        <v>-50.997885252573042</v>
      </c>
      <c r="S899" s="4">
        <f t="shared" ref="S899:S962" ca="1" si="107">R899*$B$12+0.5*$B$13*R899^2</f>
        <v>-24.756929782925845</v>
      </c>
    </row>
    <row r="900" spans="15:19" x14ac:dyDescent="0.2">
      <c r="O900" s="4">
        <f t="shared" ca="1" si="103"/>
        <v>0.16923177242051968</v>
      </c>
      <c r="P900" s="4">
        <f t="shared" ca="1" si="104"/>
        <v>-0.95720549348370199</v>
      </c>
      <c r="Q900" s="4">
        <f t="shared" ca="1" si="105"/>
        <v>1941.3254802385118</v>
      </c>
      <c r="R900" s="4">
        <f t="shared" ca="1" si="106"/>
        <v>17.655436238511811</v>
      </c>
      <c r="S900" s="4">
        <f t="shared" ca="1" si="107"/>
        <v>9.064244108432927</v>
      </c>
    </row>
    <row r="901" spans="15:19" x14ac:dyDescent="0.2">
      <c r="O901" s="4">
        <f t="shared" ca="1" si="103"/>
        <v>0.17183142694881137</v>
      </c>
      <c r="P901" s="4">
        <f t="shared" ca="1" si="104"/>
        <v>-0.94695275504317677</v>
      </c>
      <c r="Q901" s="4">
        <f t="shared" ca="1" si="105"/>
        <v>1941.1320246842586</v>
      </c>
      <c r="R901" s="4">
        <f t="shared" ca="1" si="106"/>
        <v>17.461980684258606</v>
      </c>
      <c r="S901" s="4">
        <f t="shared" ca="1" si="107"/>
        <v>8.9635495223376775</v>
      </c>
    </row>
    <row r="902" spans="15:19" x14ac:dyDescent="0.2">
      <c r="O902" s="4">
        <f t="shared" ca="1" si="103"/>
        <v>0.40360729042737331</v>
      </c>
      <c r="P902" s="4">
        <f t="shared" ca="1" si="104"/>
        <v>-0.24402096766679943</v>
      </c>
      <c r="Q902" s="4">
        <f t="shared" ca="1" si="105"/>
        <v>1927.8686356572439</v>
      </c>
      <c r="R902" s="4">
        <f t="shared" ca="1" si="106"/>
        <v>4.1985916572439237</v>
      </c>
      <c r="S902" s="4">
        <f t="shared" ca="1" si="107"/>
        <v>2.1325441079933203</v>
      </c>
    </row>
    <row r="903" spans="15:19" x14ac:dyDescent="0.2">
      <c r="O903" s="4">
        <f t="shared" ca="1" si="103"/>
        <v>0.42372245676462694</v>
      </c>
      <c r="P903" s="4">
        <f t="shared" ca="1" si="104"/>
        <v>-0.1923795454236116</v>
      </c>
      <c r="Q903" s="4">
        <f t="shared" ca="1" si="105"/>
        <v>1926.8942306219044</v>
      </c>
      <c r="R903" s="4">
        <f t="shared" ca="1" si="106"/>
        <v>3.2241866219044368</v>
      </c>
      <c r="S903" s="4">
        <f t="shared" ca="1" si="107"/>
        <v>1.6363464876436424</v>
      </c>
    </row>
    <row r="904" spans="15:19" x14ac:dyDescent="0.2">
      <c r="O904" s="4">
        <f t="shared" ca="1" si="103"/>
        <v>0.23497213153808461</v>
      </c>
      <c r="P904" s="4">
        <f t="shared" ca="1" si="104"/>
        <v>-0.72256974263911056</v>
      </c>
      <c r="Q904" s="4">
        <f t="shared" ca="1" si="105"/>
        <v>1936.8982153189481</v>
      </c>
      <c r="R904" s="4">
        <f t="shared" ca="1" si="106"/>
        <v>13.228171318948171</v>
      </c>
      <c r="S904" s="4">
        <f t="shared" ca="1" si="107"/>
        <v>6.7674607019625448</v>
      </c>
    </row>
    <row r="905" spans="15:19" x14ac:dyDescent="0.2">
      <c r="O905" s="4">
        <f t="shared" ca="1" si="103"/>
        <v>0.86934144266331936</v>
      </c>
      <c r="P905" s="4">
        <f t="shared" ca="1" si="104"/>
        <v>1.1232834870944917</v>
      </c>
      <c r="Q905" s="4">
        <f t="shared" ca="1" si="105"/>
        <v>1902.0694169740818</v>
      </c>
      <c r="R905" s="4">
        <f t="shared" ca="1" si="106"/>
        <v>-21.600627025918129</v>
      </c>
      <c r="S905" s="4">
        <f t="shared" ca="1" si="107"/>
        <v>-10.744515732006221</v>
      </c>
    </row>
    <row r="906" spans="15:19" x14ac:dyDescent="0.2">
      <c r="O906" s="4">
        <f t="shared" ca="1" si="103"/>
        <v>0.63385403883865699</v>
      </c>
      <c r="P906" s="4">
        <f t="shared" ca="1" si="104"/>
        <v>0.34207836007168402</v>
      </c>
      <c r="Q906" s="4">
        <f t="shared" ca="1" si="105"/>
        <v>1916.8097199390038</v>
      </c>
      <c r="R906" s="4">
        <f t="shared" ca="1" si="106"/>
        <v>-6.8603240609961631</v>
      </c>
      <c r="S906" s="4">
        <f t="shared" ca="1" si="107"/>
        <v>-3.4536049110464719</v>
      </c>
    </row>
    <row r="907" spans="15:19" x14ac:dyDescent="0.2">
      <c r="O907" s="4">
        <f t="shared" ca="1" si="103"/>
        <v>0.82014229130063321</v>
      </c>
      <c r="P907" s="4">
        <f t="shared" ca="1" si="104"/>
        <v>0.91590749113796421</v>
      </c>
      <c r="Q907" s="4">
        <f t="shared" ca="1" si="105"/>
        <v>1905.9823265317816</v>
      </c>
      <c r="R907" s="4">
        <f t="shared" ca="1" si="106"/>
        <v>-17.687717468218352</v>
      </c>
      <c r="S907" s="4">
        <f t="shared" ca="1" si="107"/>
        <v>-8.8263420471531511</v>
      </c>
    </row>
    <row r="908" spans="15:19" x14ac:dyDescent="0.2">
      <c r="O908" s="4">
        <f t="shared" ca="1" si="103"/>
        <v>0.52480944366351212</v>
      </c>
      <c r="P908" s="4">
        <f t="shared" ca="1" si="104"/>
        <v>6.222819118063147E-2</v>
      </c>
      <c r="Q908" s="4">
        <f t="shared" ca="1" si="105"/>
        <v>1922.0901208625864</v>
      </c>
      <c r="R908" s="4">
        <f t="shared" ca="1" si="106"/>
        <v>-1.5799231374135161</v>
      </c>
      <c r="S908" s="4">
        <f t="shared" ca="1" si="107"/>
        <v>-0.79875645861027622</v>
      </c>
    </row>
    <row r="909" spans="15:19" x14ac:dyDescent="0.2">
      <c r="O909" s="4">
        <f t="shared" ca="1" si="103"/>
        <v>4.9118152500360335E-3</v>
      </c>
      <c r="P909" s="4">
        <f t="shared" ca="1" si="104"/>
        <v>-2.5819763907894733</v>
      </c>
      <c r="Q909" s="4">
        <f t="shared" ca="1" si="105"/>
        <v>1971.9827486644726</v>
      </c>
      <c r="R909" s="4">
        <f t="shared" ca="1" si="106"/>
        <v>48.312704664472676</v>
      </c>
      <c r="S909" s="4">
        <f t="shared" ca="1" si="107"/>
        <v>25.406511695339375</v>
      </c>
    </row>
    <row r="910" spans="15:19" x14ac:dyDescent="0.2">
      <c r="O910" s="4">
        <f t="shared" ca="1" si="103"/>
        <v>0.17274770150463681</v>
      </c>
      <c r="P910" s="4">
        <f t="shared" ca="1" si="104"/>
        <v>-0.94336272367239815</v>
      </c>
      <c r="Q910" s="4">
        <f t="shared" ca="1" si="105"/>
        <v>1941.0642855614233</v>
      </c>
      <c r="R910" s="4">
        <f t="shared" ca="1" si="106"/>
        <v>17.394241561423314</v>
      </c>
      <c r="S910" s="4">
        <f t="shared" ca="1" si="107"/>
        <v>8.928298171531651</v>
      </c>
    </row>
    <row r="911" spans="15:19" x14ac:dyDescent="0.2">
      <c r="O911" s="4">
        <f t="shared" ca="1" si="103"/>
        <v>0.53448124453293455</v>
      </c>
      <c r="P911" s="4">
        <f t="shared" ca="1" si="104"/>
        <v>8.6539558421056109E-2</v>
      </c>
      <c r="Q911" s="4">
        <f t="shared" ca="1" si="105"/>
        <v>1921.6313976588856</v>
      </c>
      <c r="R911" s="4">
        <f t="shared" ca="1" si="106"/>
        <v>-2.0386463411143723</v>
      </c>
      <c r="S911" s="4">
        <f t="shared" ca="1" si="107"/>
        <v>-1.0302909343986688</v>
      </c>
    </row>
    <row r="912" spans="15:19" x14ac:dyDescent="0.2">
      <c r="O912" s="4">
        <f t="shared" ca="1" si="103"/>
        <v>0.25940231578829642</v>
      </c>
      <c r="P912" s="4">
        <f t="shared" ca="1" si="104"/>
        <v>-0.64518912679923279</v>
      </c>
      <c r="Q912" s="4">
        <f t="shared" ca="1" si="105"/>
        <v>1935.4381458933431</v>
      </c>
      <c r="R912" s="4">
        <f t="shared" ca="1" si="106"/>
        <v>11.768101893343101</v>
      </c>
      <c r="S912" s="4">
        <f t="shared" ca="1" si="107"/>
        <v>6.0135027392281835</v>
      </c>
    </row>
    <row r="913" spans="15:19" x14ac:dyDescent="0.2">
      <c r="O913" s="4">
        <f t="shared" ca="1" si="103"/>
        <v>0.54265072154847438</v>
      </c>
      <c r="P913" s="4">
        <f t="shared" ca="1" si="104"/>
        <v>0.10711397954281383</v>
      </c>
      <c r="Q913" s="4">
        <f t="shared" ca="1" si="105"/>
        <v>1921.2431856641458</v>
      </c>
      <c r="R913" s="4">
        <f t="shared" ca="1" si="106"/>
        <v>-2.4268583358541491</v>
      </c>
      <c r="S913" s="4">
        <f t="shared" ca="1" si="107"/>
        <v>-1.2261019686999834</v>
      </c>
    </row>
    <row r="914" spans="15:19" x14ac:dyDescent="0.2">
      <c r="O914" s="4">
        <f t="shared" ca="1" si="103"/>
        <v>0.52719638404982783</v>
      </c>
      <c r="P914" s="4">
        <f t="shared" ca="1" si="104"/>
        <v>6.8224113489515792E-2</v>
      </c>
      <c r="Q914" s="4">
        <f t="shared" ca="1" si="105"/>
        <v>1921.9769857738243</v>
      </c>
      <c r="R914" s="4">
        <f t="shared" ca="1" si="106"/>
        <v>-1.6930582261757081</v>
      </c>
      <c r="S914" s="4">
        <f t="shared" ca="1" si="107"/>
        <v>-0.85587581541757174</v>
      </c>
    </row>
    <row r="915" spans="15:19" x14ac:dyDescent="0.2">
      <c r="O915" s="4">
        <f t="shared" ca="1" si="103"/>
        <v>0.87488505634689262</v>
      </c>
      <c r="P915" s="4">
        <f t="shared" ca="1" si="104"/>
        <v>1.1497911836861097</v>
      </c>
      <c r="Q915" s="4">
        <f t="shared" ca="1" si="105"/>
        <v>1901.5692519532097</v>
      </c>
      <c r="R915" s="4">
        <f t="shared" ca="1" si="106"/>
        <v>-22.100792046790275</v>
      </c>
      <c r="S915" s="4">
        <f t="shared" ca="1" si="107"/>
        <v>-10.988806477588874</v>
      </c>
    </row>
    <row r="916" spans="15:19" x14ac:dyDescent="0.2">
      <c r="O916" s="4">
        <f t="shared" ca="1" si="103"/>
        <v>0.83464379293971558</v>
      </c>
      <c r="P916" s="4">
        <f t="shared" ca="1" si="104"/>
        <v>0.97267990794232873</v>
      </c>
      <c r="Q916" s="4">
        <f t="shared" ca="1" si="105"/>
        <v>1904.911106445277</v>
      </c>
      <c r="R916" s="4">
        <f t="shared" ca="1" si="106"/>
        <v>-18.758937554722934</v>
      </c>
      <c r="S916" s="4">
        <f t="shared" ca="1" si="107"/>
        <v>-9.3527111924020883</v>
      </c>
    </row>
    <row r="917" spans="15:19" x14ac:dyDescent="0.2">
      <c r="O917" s="4">
        <f t="shared" ca="1" si="103"/>
        <v>0.58568174679933638</v>
      </c>
      <c r="P917" s="4">
        <f t="shared" ca="1" si="104"/>
        <v>0.21645062752757915</v>
      </c>
      <c r="Q917" s="4">
        <f t="shared" ca="1" si="105"/>
        <v>1919.1801483635502</v>
      </c>
      <c r="R917" s="4">
        <f t="shared" ca="1" si="106"/>
        <v>-4.4898956364497735</v>
      </c>
      <c r="S917" s="4">
        <f t="shared" ca="1" si="107"/>
        <v>-2.2646229744710618</v>
      </c>
    </row>
    <row r="918" spans="15:19" x14ac:dyDescent="0.2">
      <c r="O918" s="4">
        <f t="shared" ca="1" si="103"/>
        <v>0.20702641886953432</v>
      </c>
      <c r="P918" s="4">
        <f t="shared" ca="1" si="104"/>
        <v>-0.81678231979718952</v>
      </c>
      <c r="Q918" s="4">
        <f t="shared" ca="1" si="105"/>
        <v>1938.6758814944233</v>
      </c>
      <c r="R918" s="4">
        <f t="shared" ca="1" si="106"/>
        <v>15.005837494423304</v>
      </c>
      <c r="S918" s="4">
        <f t="shared" ca="1" si="107"/>
        <v>7.6877637980276017</v>
      </c>
    </row>
    <row r="919" spans="15:19" x14ac:dyDescent="0.2">
      <c r="O919" s="4">
        <f t="shared" ca="1" si="103"/>
        <v>0.67088916564309342</v>
      </c>
      <c r="P919" s="4">
        <f t="shared" ca="1" si="104"/>
        <v>0.44236974506683224</v>
      </c>
      <c r="Q919" s="4">
        <f t="shared" ca="1" si="105"/>
        <v>1914.9173547349581</v>
      </c>
      <c r="R919" s="4">
        <f t="shared" ca="1" si="106"/>
        <v>-8.7526892650419086</v>
      </c>
      <c r="S919" s="4">
        <f t="shared" ca="1" si="107"/>
        <v>-4.3995116396407932</v>
      </c>
    </row>
    <row r="920" spans="15:19" x14ac:dyDescent="0.2">
      <c r="O920" s="4">
        <f t="shared" ca="1" si="103"/>
        <v>6.7295542857437773E-2</v>
      </c>
      <c r="P920" s="4">
        <f t="shared" ca="1" si="104"/>
        <v>-1.4962401482175134</v>
      </c>
      <c r="Q920" s="4">
        <f t="shared" ca="1" si="105"/>
        <v>1951.4963480996189</v>
      </c>
      <c r="R920" s="4">
        <f t="shared" ca="1" si="106"/>
        <v>27.826304099618937</v>
      </c>
      <c r="S920" s="4">
        <f t="shared" ca="1" si="107"/>
        <v>14.401142695286861</v>
      </c>
    </row>
    <row r="921" spans="15:19" x14ac:dyDescent="0.2">
      <c r="O921" s="4">
        <f t="shared" ca="1" si="103"/>
        <v>0.16728106288105316</v>
      </c>
      <c r="P921" s="4">
        <f t="shared" ca="1" si="104"/>
        <v>-0.96496543293319414</v>
      </c>
      <c r="Q921" s="4">
        <f t="shared" ca="1" si="105"/>
        <v>1941.4718999873307</v>
      </c>
      <c r="R921" s="4">
        <f t="shared" ca="1" si="106"/>
        <v>17.801855987330782</v>
      </c>
      <c r="S921" s="4">
        <f t="shared" ca="1" si="107"/>
        <v>9.1404765795116578</v>
      </c>
    </row>
    <row r="922" spans="15:19" x14ac:dyDescent="0.2">
      <c r="O922" s="4">
        <f t="shared" ca="1" si="103"/>
        <v>0.53723875149937206</v>
      </c>
      <c r="P922" s="4">
        <f t="shared" ca="1" si="104"/>
        <v>9.3479673718338457E-2</v>
      </c>
      <c r="Q922" s="4">
        <f t="shared" ca="1" si="105"/>
        <v>1921.5004469027338</v>
      </c>
      <c r="R922" s="4">
        <f t="shared" ca="1" si="106"/>
        <v>-2.1695970972662053</v>
      </c>
      <c r="S922" s="4">
        <f t="shared" ca="1" si="107"/>
        <v>-1.0963551650918408</v>
      </c>
    </row>
    <row r="923" spans="15:19" x14ac:dyDescent="0.2">
      <c r="O923" s="4">
        <f t="shared" ca="1" si="103"/>
        <v>0.95917963080139723</v>
      </c>
      <c r="P923" s="4">
        <f t="shared" ca="1" si="104"/>
        <v>1.7412444522062618</v>
      </c>
      <c r="Q923" s="4">
        <f t="shared" ca="1" si="105"/>
        <v>1890.4093144847939</v>
      </c>
      <c r="R923" s="4">
        <f t="shared" ca="1" si="106"/>
        <v>-33.260729515206094</v>
      </c>
      <c r="S923" s="4">
        <f t="shared" ca="1" si="107"/>
        <v>-16.386576099475413</v>
      </c>
    </row>
    <row r="924" spans="15:19" x14ac:dyDescent="0.2">
      <c r="O924" s="4">
        <f t="shared" ca="1" si="103"/>
        <v>4.0849989910186735E-2</v>
      </c>
      <c r="P924" s="4">
        <f t="shared" ca="1" si="104"/>
        <v>-1.7409064392558029</v>
      </c>
      <c r="Q924" s="4">
        <f t="shared" ca="1" si="105"/>
        <v>1956.112875987694</v>
      </c>
      <c r="R924" s="4">
        <f t="shared" ca="1" si="106"/>
        <v>32.442831987694035</v>
      </c>
      <c r="S924" s="4">
        <f t="shared" ca="1" si="107"/>
        <v>16.851334889694691</v>
      </c>
    </row>
    <row r="925" spans="15:19" x14ac:dyDescent="0.2">
      <c r="O925" s="4">
        <f t="shared" ca="1" si="103"/>
        <v>0.83719069223809028</v>
      </c>
      <c r="P925" s="4">
        <f t="shared" ca="1" si="104"/>
        <v>0.98297729078177176</v>
      </c>
      <c r="Q925" s="4">
        <f t="shared" ca="1" si="105"/>
        <v>1904.7168085105238</v>
      </c>
      <c r="R925" s="4">
        <f t="shared" ca="1" si="106"/>
        <v>-18.953235489476128</v>
      </c>
      <c r="S925" s="4">
        <f t="shared" ca="1" si="107"/>
        <v>-9.4480839521432358</v>
      </c>
    </row>
    <row r="926" spans="15:19" x14ac:dyDescent="0.2">
      <c r="O926" s="4">
        <f t="shared" ca="1" si="103"/>
        <v>0.51988319963210805</v>
      </c>
      <c r="P926" s="4">
        <f t="shared" ca="1" si="104"/>
        <v>4.9860442058540975E-2</v>
      </c>
      <c r="Q926" s="4">
        <f t="shared" ca="1" si="105"/>
        <v>1922.3234838587414</v>
      </c>
      <c r="R926" s="4">
        <f t="shared" ca="1" si="106"/>
        <v>-1.3465601412585784</v>
      </c>
      <c r="S926" s="4">
        <f t="shared" ca="1" si="107"/>
        <v>-0.68090382515747949</v>
      </c>
    </row>
    <row r="927" spans="15:19" x14ac:dyDescent="0.2">
      <c r="O927" s="4">
        <f t="shared" ca="1" si="103"/>
        <v>0.32193372675160115</v>
      </c>
      <c r="P927" s="4">
        <f t="shared" ca="1" si="104"/>
        <v>-0.46229825127442065</v>
      </c>
      <c r="Q927" s="4">
        <f t="shared" ca="1" si="105"/>
        <v>1931.9872380312431</v>
      </c>
      <c r="R927" s="4">
        <f t="shared" ca="1" si="106"/>
        <v>8.3171940312431616</v>
      </c>
      <c r="S927" s="4">
        <f t="shared" ca="1" si="107"/>
        <v>4.2384043901212314</v>
      </c>
    </row>
    <row r="928" spans="15:19" x14ac:dyDescent="0.2">
      <c r="O928" s="4">
        <f t="shared" ca="1" si="103"/>
        <v>0.16405800050475794</v>
      </c>
      <c r="P928" s="4">
        <f t="shared" ca="1" si="104"/>
        <v>-0.97791573725982095</v>
      </c>
      <c r="Q928" s="4">
        <f t="shared" ca="1" si="105"/>
        <v>1941.7162550263076</v>
      </c>
      <c r="R928" s="4">
        <f t="shared" ca="1" si="106"/>
        <v>18.046211026307674</v>
      </c>
      <c r="S928" s="4">
        <f t="shared" ca="1" si="107"/>
        <v>9.2677372799854769</v>
      </c>
    </row>
    <row r="929" spans="15:19" x14ac:dyDescent="0.2">
      <c r="O929" s="4">
        <f t="shared" ca="1" si="103"/>
        <v>0.57509374265780988</v>
      </c>
      <c r="P929" s="4">
        <f t="shared" ca="1" si="104"/>
        <v>0.18935764956626919</v>
      </c>
      <c r="Q929" s="4">
        <f t="shared" ca="1" si="105"/>
        <v>1919.6913568663585</v>
      </c>
      <c r="R929" s="4">
        <f t="shared" ca="1" si="106"/>
        <v>-3.9786871336414151</v>
      </c>
      <c r="S929" s="4">
        <f t="shared" ca="1" si="107"/>
        <v>-2.0076065118915083</v>
      </c>
    </row>
    <row r="930" spans="15:19" x14ac:dyDescent="0.2">
      <c r="O930" s="4">
        <f t="shared" ca="1" si="103"/>
        <v>0.16633223521746454</v>
      </c>
      <c r="P930" s="4">
        <f t="shared" ca="1" si="104"/>
        <v>-0.96876095776474636</v>
      </c>
      <c r="Q930" s="4">
        <f t="shared" ca="1" si="105"/>
        <v>1941.5435164987857</v>
      </c>
      <c r="R930" s="4">
        <f t="shared" ca="1" si="106"/>
        <v>17.873472498785759</v>
      </c>
      <c r="S930" s="4">
        <f t="shared" ca="1" si="107"/>
        <v>9.1777695975813671</v>
      </c>
    </row>
    <row r="931" spans="15:19" x14ac:dyDescent="0.2">
      <c r="O931" s="4">
        <f t="shared" ca="1" si="103"/>
        <v>0.75143558806135891</v>
      </c>
      <c r="P931" s="4">
        <f t="shared" ca="1" si="104"/>
        <v>0.67901426433744239</v>
      </c>
      <c r="Q931" s="4">
        <f t="shared" ca="1" si="105"/>
        <v>1910.4521870237184</v>
      </c>
      <c r="R931" s="4">
        <f t="shared" ca="1" si="106"/>
        <v>-13.21785697628161</v>
      </c>
      <c r="S931" s="4">
        <f t="shared" ca="1" si="107"/>
        <v>-6.6198888950854125</v>
      </c>
    </row>
    <row r="932" spans="15:19" x14ac:dyDescent="0.2">
      <c r="O932" s="4">
        <f t="shared" ca="1" si="103"/>
        <v>0.10008698456058673</v>
      </c>
      <c r="P932" s="4">
        <f t="shared" ca="1" si="104"/>
        <v>-1.2810560796393187</v>
      </c>
      <c r="Q932" s="4">
        <f t="shared" ca="1" si="105"/>
        <v>1947.4361105840828</v>
      </c>
      <c r="R932" s="4">
        <f t="shared" ca="1" si="106"/>
        <v>23.766066584082864</v>
      </c>
      <c r="S932" s="4">
        <f t="shared" ca="1" si="107"/>
        <v>12.260538941523155</v>
      </c>
    </row>
    <row r="933" spans="15:19" x14ac:dyDescent="0.2">
      <c r="O933" s="4">
        <f t="shared" ca="1" si="103"/>
        <v>5.8219639634210618E-2</v>
      </c>
      <c r="P933" s="4">
        <f t="shared" ca="1" si="104"/>
        <v>-1.5698961249332115</v>
      </c>
      <c r="Q933" s="4">
        <f t="shared" ca="1" si="105"/>
        <v>1952.8861385329003</v>
      </c>
      <c r="R933" s="4">
        <f t="shared" ca="1" si="106"/>
        <v>29.216094532900343</v>
      </c>
      <c r="S933" s="4">
        <f t="shared" ca="1" si="107"/>
        <v>15.136939444310455</v>
      </c>
    </row>
    <row r="934" spans="15:19" x14ac:dyDescent="0.2">
      <c r="O934" s="4">
        <f t="shared" ca="1" si="103"/>
        <v>0.37944604582878472</v>
      </c>
      <c r="P934" s="4">
        <f t="shared" ca="1" si="104"/>
        <v>-0.30693599353480172</v>
      </c>
      <c r="Q934" s="4">
        <f t="shared" ca="1" si="105"/>
        <v>1929.0557586167085</v>
      </c>
      <c r="R934" s="4">
        <f t="shared" ca="1" si="106"/>
        <v>5.385714616708583</v>
      </c>
      <c r="S934" s="4">
        <f t="shared" ca="1" si="107"/>
        <v>2.7381089097260838</v>
      </c>
    </row>
    <row r="935" spans="15:19" x14ac:dyDescent="0.2">
      <c r="O935" s="4">
        <f t="shared" ca="1" si="103"/>
        <v>0.14292794073597548</v>
      </c>
      <c r="P935" s="4">
        <f t="shared" ca="1" si="104"/>
        <v>-1.0672568187238405</v>
      </c>
      <c r="Q935" s="4">
        <f t="shared" ca="1" si="105"/>
        <v>1943.4020025495122</v>
      </c>
      <c r="R935" s="4">
        <f t="shared" ca="1" si="106"/>
        <v>19.731958549512228</v>
      </c>
      <c r="S935" s="4">
        <f t="shared" ca="1" si="107"/>
        <v>10.147003170080268</v>
      </c>
    </row>
    <row r="936" spans="15:19" x14ac:dyDescent="0.2">
      <c r="O936" s="4">
        <f t="shared" ca="1" si="103"/>
        <v>0.30373545761665299</v>
      </c>
      <c r="P936" s="4">
        <f t="shared" ca="1" si="104"/>
        <v>-0.51368689577402249</v>
      </c>
      <c r="Q936" s="4">
        <f t="shared" ca="1" si="105"/>
        <v>1932.9568734863606</v>
      </c>
      <c r="R936" s="4">
        <f t="shared" ca="1" si="106"/>
        <v>9.2868294863606025</v>
      </c>
      <c r="S936" s="4">
        <f t="shared" ca="1" si="107"/>
        <v>4.7361918171765369</v>
      </c>
    </row>
    <row r="937" spans="15:19" x14ac:dyDescent="0.2">
      <c r="O937" s="4">
        <f t="shared" ca="1" si="103"/>
        <v>0.87737598495185543</v>
      </c>
      <c r="P937" s="4">
        <f t="shared" ca="1" si="104"/>
        <v>1.1619690669999652</v>
      </c>
      <c r="Q937" s="4">
        <f t="shared" ca="1" si="105"/>
        <v>1901.3394714726312</v>
      </c>
      <c r="R937" s="4">
        <f t="shared" ca="1" si="106"/>
        <v>-22.330572527368759</v>
      </c>
      <c r="S937" s="4">
        <f t="shared" ca="1" si="107"/>
        <v>-11.100967650434452</v>
      </c>
    </row>
    <row r="938" spans="15:19" x14ac:dyDescent="0.2">
      <c r="O938" s="4">
        <f t="shared" ca="1" si="103"/>
        <v>0.83801078978343346</v>
      </c>
      <c r="P938" s="4">
        <f t="shared" ca="1" si="104"/>
        <v>0.98631528708060512</v>
      </c>
      <c r="Q938" s="4">
        <f t="shared" ca="1" si="105"/>
        <v>1904.6538249546836</v>
      </c>
      <c r="R938" s="4">
        <f t="shared" ca="1" si="106"/>
        <v>-19.016219045316348</v>
      </c>
      <c r="S938" s="4">
        <f t="shared" ca="1" si="107"/>
        <v>-9.4789933588147814</v>
      </c>
    </row>
    <row r="939" spans="15:19" x14ac:dyDescent="0.2">
      <c r="O939" s="4">
        <f t="shared" ca="1" si="103"/>
        <v>0.38373695004019859</v>
      </c>
      <c r="P939" s="4">
        <f t="shared" ca="1" si="104"/>
        <v>-0.29568074920929743</v>
      </c>
      <c r="Q939" s="4">
        <f t="shared" ca="1" si="105"/>
        <v>1928.8433871081725</v>
      </c>
      <c r="R939" s="4">
        <f t="shared" ca="1" si="106"/>
        <v>5.173343108172503</v>
      </c>
      <c r="S939" s="4">
        <f t="shared" ca="1" si="107"/>
        <v>2.6296915424032905</v>
      </c>
    </row>
    <row r="940" spans="15:19" x14ac:dyDescent="0.2">
      <c r="O940" s="4">
        <f t="shared" ca="1" si="103"/>
        <v>0.65567838939718259</v>
      </c>
      <c r="P940" s="4">
        <f t="shared" ca="1" si="104"/>
        <v>0.40069699809410225</v>
      </c>
      <c r="Q940" s="4">
        <f t="shared" ca="1" si="105"/>
        <v>1915.7036641107036</v>
      </c>
      <c r="R940" s="4">
        <f t="shared" ca="1" si="106"/>
        <v>-7.9663798892963769</v>
      </c>
      <c r="S940" s="4">
        <f t="shared" ca="1" si="107"/>
        <v>-4.0068256107365841</v>
      </c>
    </row>
    <row r="941" spans="15:19" x14ac:dyDescent="0.2">
      <c r="O941" s="4">
        <f t="shared" ca="1" si="103"/>
        <v>0.86686701619401241</v>
      </c>
      <c r="P941" s="4">
        <f t="shared" ca="1" si="104"/>
        <v>1.1117027719185189</v>
      </c>
      <c r="Q941" s="4">
        <f t="shared" ca="1" si="105"/>
        <v>1902.2879296851988</v>
      </c>
      <c r="R941" s="4">
        <f t="shared" ca="1" si="106"/>
        <v>-21.382114314801129</v>
      </c>
      <c r="S941" s="4">
        <f t="shared" ca="1" si="107"/>
        <v>-10.637725763578612</v>
      </c>
    </row>
    <row r="942" spans="15:19" x14ac:dyDescent="0.2">
      <c r="O942" s="4">
        <f t="shared" ca="1" si="103"/>
        <v>0.71921102665668246</v>
      </c>
      <c r="P942" s="4">
        <f t="shared" ca="1" si="104"/>
        <v>0.58049931777335617</v>
      </c>
      <c r="Q942" s="4">
        <f t="shared" ca="1" si="105"/>
        <v>1912.311033194457</v>
      </c>
      <c r="R942" s="4">
        <f t="shared" ca="1" si="106"/>
        <v>-11.359010805542994</v>
      </c>
      <c r="S942" s="4">
        <f t="shared" ca="1" si="107"/>
        <v>-5.6975195577279827</v>
      </c>
    </row>
    <row r="943" spans="15:19" x14ac:dyDescent="0.2">
      <c r="O943" s="4">
        <f t="shared" ca="1" si="103"/>
        <v>0.69081379031811729</v>
      </c>
      <c r="P943" s="4">
        <f t="shared" ca="1" si="104"/>
        <v>0.49815837383952477</v>
      </c>
      <c r="Q943" s="4">
        <f t="shared" ca="1" si="105"/>
        <v>1913.8646974217104</v>
      </c>
      <c r="R943" s="4">
        <f t="shared" ca="1" si="106"/>
        <v>-9.8053465782895728</v>
      </c>
      <c r="S943" s="4">
        <f t="shared" ca="1" si="107"/>
        <v>-4.9244248823184513</v>
      </c>
    </row>
    <row r="944" spans="15:19" x14ac:dyDescent="0.2">
      <c r="O944" s="4">
        <f t="shared" ca="1" si="103"/>
        <v>0.10453077883355721</v>
      </c>
      <c r="P944" s="4">
        <f t="shared" ca="1" si="104"/>
        <v>-1.2561500916360744</v>
      </c>
      <c r="Q944" s="4">
        <f t="shared" ca="1" si="105"/>
        <v>1946.966167676504</v>
      </c>
      <c r="R944" s="4">
        <f t="shared" ca="1" si="106"/>
        <v>23.296123676504067</v>
      </c>
      <c r="S944" s="4">
        <f t="shared" ca="1" si="107"/>
        <v>12.013646274817656</v>
      </c>
    </row>
    <row r="945" spans="15:19" x14ac:dyDescent="0.2">
      <c r="O945" s="4">
        <f t="shared" ca="1" si="103"/>
        <v>0.4382920574442094</v>
      </c>
      <c r="P945" s="4">
        <f t="shared" ca="1" si="104"/>
        <v>-0.15530088888497415</v>
      </c>
      <c r="Q945" s="4">
        <f t="shared" ca="1" si="105"/>
        <v>1926.1946056296892</v>
      </c>
      <c r="R945" s="4">
        <f t="shared" ca="1" si="106"/>
        <v>2.5245616296892877</v>
      </c>
      <c r="S945" s="4">
        <f t="shared" ca="1" si="107"/>
        <v>1.2805522444440482</v>
      </c>
    </row>
    <row r="946" spans="15:19" x14ac:dyDescent="0.2">
      <c r="O946" s="4">
        <f t="shared" ca="1" si="103"/>
        <v>0.26113040448474178</v>
      </c>
      <c r="P946" s="4">
        <f t="shared" ca="1" si="104"/>
        <v>-0.63986432483231648</v>
      </c>
      <c r="Q946" s="4">
        <f t="shared" ca="1" si="105"/>
        <v>1935.3376739538928</v>
      </c>
      <c r="R946" s="4">
        <f t="shared" ca="1" si="106"/>
        <v>11.667629953892856</v>
      </c>
      <c r="S946" s="4">
        <f t="shared" ca="1" si="107"/>
        <v>5.9616843605576308</v>
      </c>
    </row>
    <row r="947" spans="15:19" x14ac:dyDescent="0.2">
      <c r="O947" s="4">
        <f t="shared" ca="1" si="103"/>
        <v>0.98833170761982303</v>
      </c>
      <c r="P947" s="4">
        <f t="shared" ca="1" si="104"/>
        <v>2.2678789649630313</v>
      </c>
      <c r="Q947" s="4">
        <f t="shared" ca="1" si="105"/>
        <v>1880.4724208299826</v>
      </c>
      <c r="R947" s="4">
        <f t="shared" ca="1" si="106"/>
        <v>-43.197623170017323</v>
      </c>
      <c r="S947" s="4">
        <f t="shared" ca="1" si="107"/>
        <v>-21.107454686135839</v>
      </c>
    </row>
    <row r="948" spans="15:19" x14ac:dyDescent="0.2">
      <c r="O948" s="4">
        <f t="shared" ca="1" si="103"/>
        <v>0.11650065587985825</v>
      </c>
      <c r="P948" s="4">
        <f t="shared" ca="1" si="104"/>
        <v>-1.1926631787238371</v>
      </c>
      <c r="Q948" s="4">
        <f t="shared" ca="1" si="105"/>
        <v>1945.7682539682307</v>
      </c>
      <c r="R948" s="4">
        <f t="shared" ca="1" si="106"/>
        <v>22.098209968230776</v>
      </c>
      <c r="S948" s="4">
        <f t="shared" ca="1" si="107"/>
        <v>11.385114810564907</v>
      </c>
    </row>
    <row r="949" spans="15:19" x14ac:dyDescent="0.2">
      <c r="O949" s="4">
        <f t="shared" ca="1" si="103"/>
        <v>0.12030262717682583</v>
      </c>
      <c r="P949" s="4">
        <f t="shared" ca="1" si="104"/>
        <v>-1.1734753048097029</v>
      </c>
      <c r="Q949" s="4">
        <f t="shared" ca="1" si="105"/>
        <v>1945.4062042773576</v>
      </c>
      <c r="R949" s="4">
        <f t="shared" ca="1" si="106"/>
        <v>21.736160277357612</v>
      </c>
      <c r="S949" s="4">
        <f t="shared" ca="1" si="107"/>
        <v>11.195381432554628</v>
      </c>
    </row>
    <row r="950" spans="15:19" x14ac:dyDescent="0.2">
      <c r="O950" s="4">
        <f t="shared" ca="1" si="103"/>
        <v>0.4412006740088007</v>
      </c>
      <c r="P950" s="4">
        <f t="shared" ca="1" si="104"/>
        <v>-0.14792577304437821</v>
      </c>
      <c r="Q950" s="4">
        <f t="shared" ca="1" si="105"/>
        <v>1926.055446991156</v>
      </c>
      <c r="R950" s="4">
        <f t="shared" ca="1" si="106"/>
        <v>2.3854029911560701</v>
      </c>
      <c r="S950" s="4">
        <f t="shared" ca="1" si="107"/>
        <v>1.20983064282868</v>
      </c>
    </row>
    <row r="951" spans="15:19" x14ac:dyDescent="0.2">
      <c r="O951" s="4">
        <f t="shared" ca="1" si="103"/>
        <v>0.25237959133789645</v>
      </c>
      <c r="P951" s="4">
        <f t="shared" ca="1" si="104"/>
        <v>-0.66702027515024864</v>
      </c>
      <c r="Q951" s="4">
        <f t="shared" ca="1" si="105"/>
        <v>1935.8500706614154</v>
      </c>
      <c r="R951" s="4">
        <f t="shared" ca="1" si="106"/>
        <v>12.180026661415468</v>
      </c>
      <c r="S951" s="4">
        <f t="shared" ca="1" si="107"/>
        <v>6.2260387592018356</v>
      </c>
    </row>
    <row r="952" spans="15:19" x14ac:dyDescent="0.2">
      <c r="O952" s="4">
        <f t="shared" ca="1" si="103"/>
        <v>0.73453788042617374</v>
      </c>
      <c r="P952" s="4">
        <f t="shared" ca="1" si="104"/>
        <v>0.62659577403823996</v>
      </c>
      <c r="Q952" s="4">
        <f t="shared" ca="1" si="105"/>
        <v>1911.4412543009887</v>
      </c>
      <c r="R952" s="4">
        <f t="shared" ca="1" si="106"/>
        <v>-12.228789699011259</v>
      </c>
      <c r="S952" s="4">
        <f t="shared" ca="1" si="107"/>
        <v>-6.1294586511506628</v>
      </c>
    </row>
    <row r="953" spans="15:19" x14ac:dyDescent="0.2">
      <c r="O953" s="4">
        <f t="shared" ca="1" si="103"/>
        <v>0.70866642542391445</v>
      </c>
      <c r="P953" s="4">
        <f t="shared" ca="1" si="104"/>
        <v>0.54949302618864004</v>
      </c>
      <c r="Q953" s="4">
        <f t="shared" ca="1" si="105"/>
        <v>1912.8960807267474</v>
      </c>
      <c r="R953" s="4">
        <f t="shared" ca="1" si="106"/>
        <v>-10.773963273252548</v>
      </c>
      <c r="S953" s="4">
        <f t="shared" ca="1" si="107"/>
        <v>-5.4066338414302333</v>
      </c>
    </row>
    <row r="954" spans="15:19" x14ac:dyDescent="0.2">
      <c r="O954" s="4">
        <f t="shared" ca="1" si="103"/>
        <v>0.29268441087199493</v>
      </c>
      <c r="P954" s="4">
        <f t="shared" ca="1" si="104"/>
        <v>-0.54555942496732857</v>
      </c>
      <c r="Q954" s="4">
        <f t="shared" ca="1" si="105"/>
        <v>1933.5582657715831</v>
      </c>
      <c r="R954" s="4">
        <f t="shared" ca="1" si="106"/>
        <v>9.8882217715831757</v>
      </c>
      <c r="S954" s="4">
        <f t="shared" ca="1" si="107"/>
        <v>5.0453166940824516</v>
      </c>
    </row>
    <row r="955" spans="15:19" x14ac:dyDescent="0.2">
      <c r="O955" s="4">
        <f t="shared" ca="1" si="103"/>
        <v>0.20775420563062275</v>
      </c>
      <c r="P955" s="4">
        <f t="shared" ca="1" si="104"/>
        <v>-0.81423836469097954</v>
      </c>
      <c r="Q955" s="4">
        <f t="shared" ca="1" si="105"/>
        <v>1938.6278804410538</v>
      </c>
      <c r="R955" s="4">
        <f t="shared" ca="1" si="106"/>
        <v>14.957836441053814</v>
      </c>
      <c r="S955" s="4">
        <f t="shared" ca="1" si="107"/>
        <v>7.6628797118995831</v>
      </c>
    </row>
    <row r="956" spans="15:19" x14ac:dyDescent="0.2">
      <c r="O956" s="4">
        <f t="shared" ca="1" si="103"/>
        <v>0.87104023043157563</v>
      </c>
      <c r="P956" s="4">
        <f t="shared" ca="1" si="104"/>
        <v>1.1313221159349305</v>
      </c>
      <c r="Q956" s="4">
        <f t="shared" ca="1" si="105"/>
        <v>1901.9177387266768</v>
      </c>
      <c r="R956" s="4">
        <f t="shared" ca="1" si="106"/>
        <v>-21.752305273323145</v>
      </c>
      <c r="S956" s="4">
        <f t="shared" ca="1" si="107"/>
        <v>-10.818619982715369</v>
      </c>
    </row>
    <row r="957" spans="15:19" x14ac:dyDescent="0.2">
      <c r="O957" s="4">
        <f t="shared" ca="1" si="103"/>
        <v>0.74907003013227336</v>
      </c>
      <c r="P957" s="4">
        <f t="shared" ca="1" si="104"/>
        <v>0.67156614081579458</v>
      </c>
      <c r="Q957" s="4">
        <f t="shared" ca="1" si="105"/>
        <v>1910.5927232202071</v>
      </c>
      <c r="R957" s="4">
        <f t="shared" ca="1" si="106"/>
        <v>-13.077320779792899</v>
      </c>
      <c r="S957" s="4">
        <f t="shared" ca="1" si="107"/>
        <v>-6.5502523893795264</v>
      </c>
    </row>
    <row r="958" spans="15:19" x14ac:dyDescent="0.2">
      <c r="O958" s="4">
        <f t="shared" ca="1" si="103"/>
        <v>0.98282266420868969</v>
      </c>
      <c r="P958" s="4">
        <f t="shared" ca="1" si="104"/>
        <v>2.1158840348688401</v>
      </c>
      <c r="Q958" s="4">
        <f t="shared" ca="1" si="105"/>
        <v>1883.3403632451316</v>
      </c>
      <c r="R958" s="4">
        <f t="shared" ca="1" si="106"/>
        <v>-40.329680754868377</v>
      </c>
      <c r="S958" s="4">
        <f t="shared" ca="1" si="107"/>
        <v>-19.753188187074219</v>
      </c>
    </row>
    <row r="959" spans="15:19" x14ac:dyDescent="0.2">
      <c r="O959" s="4">
        <f t="shared" ca="1" si="103"/>
        <v>0.70544745548900822</v>
      </c>
      <c r="P959" s="4">
        <f t="shared" ca="1" si="104"/>
        <v>0.54013332644921774</v>
      </c>
      <c r="Q959" s="4">
        <f t="shared" ca="1" si="105"/>
        <v>1913.0726858270564</v>
      </c>
      <c r="R959" s="4">
        <f t="shared" ca="1" si="106"/>
        <v>-10.597358172943586</v>
      </c>
      <c r="S959" s="4">
        <f t="shared" ca="1" si="107"/>
        <v>-5.3187710048388439</v>
      </c>
    </row>
    <row r="960" spans="15:19" x14ac:dyDescent="0.2">
      <c r="O960" s="4">
        <f t="shared" ca="1" si="103"/>
        <v>0.49370005657787308</v>
      </c>
      <c r="P960" s="4">
        <f t="shared" ca="1" si="104"/>
        <v>-1.5792272707207622E-2</v>
      </c>
      <c r="Q960" s="4">
        <f t="shared" ca="1" si="105"/>
        <v>1923.5622633708588</v>
      </c>
      <c r="R960" s="4">
        <f t="shared" ca="1" si="106"/>
        <v>-0.10778062914118891</v>
      </c>
      <c r="S960" s="4">
        <f t="shared" ca="1" si="107"/>
        <v>-5.4554881385914335E-2</v>
      </c>
    </row>
    <row r="961" spans="15:19" x14ac:dyDescent="0.2">
      <c r="O961" s="4">
        <f t="shared" ca="1" si="103"/>
        <v>0.25578226430918849</v>
      </c>
      <c r="P961" s="4">
        <f t="shared" ca="1" si="104"/>
        <v>-0.65640351625449478</v>
      </c>
      <c r="Q961" s="4">
        <f t="shared" ca="1" si="105"/>
        <v>1935.649746524751</v>
      </c>
      <c r="R961" s="4">
        <f t="shared" ca="1" si="106"/>
        <v>11.979702524751019</v>
      </c>
      <c r="S961" s="4">
        <f t="shared" ca="1" si="107"/>
        <v>6.1226625948344733</v>
      </c>
    </row>
    <row r="962" spans="15:19" x14ac:dyDescent="0.2">
      <c r="O962" s="4">
        <f t="shared" ca="1" si="103"/>
        <v>0.71611166500804879</v>
      </c>
      <c r="P962" s="4">
        <f t="shared" ca="1" si="104"/>
        <v>0.57132896647529285</v>
      </c>
      <c r="Q962" s="4">
        <f t="shared" ca="1" si="105"/>
        <v>1912.4840655412152</v>
      </c>
      <c r="R962" s="4">
        <f t="shared" ca="1" si="106"/>
        <v>-11.185978458784803</v>
      </c>
      <c r="S962" s="4">
        <f t="shared" ca="1" si="107"/>
        <v>-5.6115168710607648</v>
      </c>
    </row>
    <row r="963" spans="15:19" x14ac:dyDescent="0.2">
      <c r="O963" s="4">
        <f t="shared" ref="O963:O1026" ca="1" si="108">RAND()</f>
        <v>0.13122113424095128</v>
      </c>
      <c r="P963" s="4">
        <f t="shared" ref="P963:P1026" ca="1" si="109">NORMSINV(O963)</f>
        <v>-1.1206373295591658</v>
      </c>
      <c r="Q963" s="4">
        <f t="shared" ref="Q963:Q1026" ca="1" si="110">$B$4*(1+$B$17-$B$32*P963)</f>
        <v>1944.4092218763151</v>
      </c>
      <c r="R963" s="4">
        <f t="shared" ref="R963:R1026" ca="1" si="111">Q963-$B$4</f>
        <v>20.739177876315125</v>
      </c>
      <c r="S963" s="4">
        <f t="shared" ref="S963:S1026" ca="1" si="112">R963*$B$12+0.5*$B$13*R963^2</f>
        <v>10.673460948285783</v>
      </c>
    </row>
    <row r="964" spans="15:19" x14ac:dyDescent="0.2">
      <c r="O964" s="4">
        <f t="shared" ca="1" si="108"/>
        <v>0.82794178147121078</v>
      </c>
      <c r="P964" s="4">
        <f t="shared" ca="1" si="109"/>
        <v>0.94606303346575382</v>
      </c>
      <c r="Q964" s="4">
        <f t="shared" ca="1" si="110"/>
        <v>1905.4133315078022</v>
      </c>
      <c r="R964" s="4">
        <f t="shared" ca="1" si="111"/>
        <v>-18.256712492197721</v>
      </c>
      <c r="S964" s="4">
        <f t="shared" ca="1" si="112"/>
        <v>-9.1060474395979316</v>
      </c>
    </row>
    <row r="965" spans="15:19" x14ac:dyDescent="0.2">
      <c r="O965" s="4">
        <f t="shared" ca="1" si="108"/>
        <v>0.58523808438236991</v>
      </c>
      <c r="P965" s="4">
        <f t="shared" ca="1" si="109"/>
        <v>0.21531231188731836</v>
      </c>
      <c r="Q965" s="4">
        <f t="shared" ca="1" si="110"/>
        <v>1919.2016268675011</v>
      </c>
      <c r="R965" s="4">
        <f t="shared" ca="1" si="111"/>
        <v>-4.4684171324988711</v>
      </c>
      <c r="S965" s="4">
        <f t="shared" ca="1" si="112"/>
        <v>-2.2538286700515768</v>
      </c>
    </row>
    <row r="966" spans="15:19" x14ac:dyDescent="0.2">
      <c r="O966" s="4">
        <f t="shared" ca="1" si="108"/>
        <v>0.37906259754594607</v>
      </c>
      <c r="P966" s="4">
        <f t="shared" ca="1" si="109"/>
        <v>-0.3079436705266535</v>
      </c>
      <c r="Q966" s="4">
        <f t="shared" ca="1" si="110"/>
        <v>1929.0747721429093</v>
      </c>
      <c r="R966" s="4">
        <f t="shared" ca="1" si="111"/>
        <v>5.4047281429093346</v>
      </c>
      <c r="S966" s="4">
        <f t="shared" ca="1" si="112"/>
        <v>2.7478172590242633</v>
      </c>
    </row>
    <row r="967" spans="15:19" x14ac:dyDescent="0.2">
      <c r="O967" s="4">
        <f t="shared" ca="1" si="108"/>
        <v>0.17945091990532569</v>
      </c>
      <c r="P967" s="4">
        <f t="shared" ca="1" si="109"/>
        <v>-0.91745962669443892</v>
      </c>
      <c r="Q967" s="4">
        <f t="shared" ca="1" si="110"/>
        <v>1940.5755285320886</v>
      </c>
      <c r="R967" s="4">
        <f t="shared" ca="1" si="111"/>
        <v>16.905484532088622</v>
      </c>
      <c r="S967" s="4">
        <f t="shared" ca="1" si="112"/>
        <v>8.6740603729186887</v>
      </c>
    </row>
    <row r="968" spans="15:19" x14ac:dyDescent="0.2">
      <c r="O968" s="4">
        <f t="shared" ca="1" si="108"/>
        <v>0.50653454495164585</v>
      </c>
      <c r="P968" s="4">
        <f t="shared" ca="1" si="109"/>
        <v>1.6380407633859586E-2</v>
      </c>
      <c r="Q968" s="4">
        <f t="shared" ca="1" si="110"/>
        <v>1922.95520763221</v>
      </c>
      <c r="R968" s="4">
        <f t="shared" ca="1" si="111"/>
        <v>-0.71483636778998516</v>
      </c>
      <c r="S968" s="4">
        <f t="shared" ca="1" si="112"/>
        <v>-0.36164916240588313</v>
      </c>
    </row>
    <row r="969" spans="15:19" x14ac:dyDescent="0.2">
      <c r="O969" s="4">
        <f t="shared" ca="1" si="108"/>
        <v>0.66251239592653544</v>
      </c>
      <c r="P969" s="4">
        <f t="shared" ca="1" si="109"/>
        <v>0.41932968027434975</v>
      </c>
      <c r="Q969" s="4">
        <f t="shared" ca="1" si="110"/>
        <v>1915.3520901503116</v>
      </c>
      <c r="R969" s="4">
        <f t="shared" ca="1" si="111"/>
        <v>-8.3179538496883652</v>
      </c>
      <c r="S969" s="4">
        <f t="shared" ca="1" si="112"/>
        <v>-4.1824652616772546</v>
      </c>
    </row>
    <row r="970" spans="15:19" x14ac:dyDescent="0.2">
      <c r="O970" s="4">
        <f t="shared" ca="1" si="108"/>
        <v>0.59284900287519748</v>
      </c>
      <c r="P970" s="4">
        <f t="shared" ca="1" si="109"/>
        <v>0.234879843860407</v>
      </c>
      <c r="Q970" s="4">
        <f t="shared" ca="1" si="110"/>
        <v>1918.8324135334074</v>
      </c>
      <c r="R970" s="4">
        <f t="shared" ca="1" si="111"/>
        <v>-4.8376304665926</v>
      </c>
      <c r="S970" s="4">
        <f t="shared" ca="1" si="112"/>
        <v>-2.4393294201631157</v>
      </c>
    </row>
    <row r="971" spans="15:19" x14ac:dyDescent="0.2">
      <c r="O971" s="4">
        <f t="shared" ca="1" si="108"/>
        <v>0.56312932202508914</v>
      </c>
      <c r="P971" s="4">
        <f t="shared" ca="1" si="109"/>
        <v>0.15890800222140392</v>
      </c>
      <c r="Q971" s="4">
        <f t="shared" ca="1" si="110"/>
        <v>1920.2659012613103</v>
      </c>
      <c r="R971" s="4">
        <f t="shared" ca="1" si="111"/>
        <v>-3.404142738689643</v>
      </c>
      <c r="S971" s="4">
        <f t="shared" ca="1" si="112"/>
        <v>-1.7184932029515438</v>
      </c>
    </row>
    <row r="972" spans="15:19" x14ac:dyDescent="0.2">
      <c r="O972" s="4">
        <f t="shared" ca="1" si="108"/>
        <v>0.64693749936845601</v>
      </c>
      <c r="P972" s="4">
        <f t="shared" ca="1" si="109"/>
        <v>0.37706540291426782</v>
      </c>
      <c r="Q972" s="4">
        <f t="shared" ca="1" si="110"/>
        <v>1916.1495609186554</v>
      </c>
      <c r="R972" s="4">
        <f t="shared" ca="1" si="111"/>
        <v>-7.5204830813445369</v>
      </c>
      <c r="S972" s="4">
        <f t="shared" ca="1" si="112"/>
        <v>-3.7839193129804016</v>
      </c>
    </row>
    <row r="973" spans="15:19" x14ac:dyDescent="0.2">
      <c r="O973" s="4">
        <f t="shared" ca="1" si="108"/>
        <v>0.39259246338950615</v>
      </c>
      <c r="P973" s="4">
        <f t="shared" ca="1" si="109"/>
        <v>-0.2725685025029802</v>
      </c>
      <c r="Q973" s="4">
        <f t="shared" ca="1" si="110"/>
        <v>1928.4072897159938</v>
      </c>
      <c r="R973" s="4">
        <f t="shared" ca="1" si="111"/>
        <v>4.7372457159938222</v>
      </c>
      <c r="S973" s="4">
        <f t="shared" ca="1" si="112"/>
        <v>2.4071754251072992</v>
      </c>
    </row>
    <row r="974" spans="15:19" x14ac:dyDescent="0.2">
      <c r="O974" s="4">
        <f t="shared" ca="1" si="108"/>
        <v>5.0750401090877251E-2</v>
      </c>
      <c r="P974" s="4">
        <f t="shared" ca="1" si="109"/>
        <v>-1.6376208916972801</v>
      </c>
      <c r="Q974" s="4">
        <f t="shared" ca="1" si="110"/>
        <v>1954.1640149136347</v>
      </c>
      <c r="R974" s="4">
        <f t="shared" ca="1" si="111"/>
        <v>30.493970913634712</v>
      </c>
      <c r="S974" s="4">
        <f t="shared" ca="1" si="112"/>
        <v>15.814873214490753</v>
      </c>
    </row>
    <row r="975" spans="15:19" x14ac:dyDescent="0.2">
      <c r="O975" s="4">
        <f t="shared" ca="1" si="108"/>
        <v>0.83347798226293379</v>
      </c>
      <c r="P975" s="4">
        <f t="shared" ca="1" si="109"/>
        <v>0.96800066922592809</v>
      </c>
      <c r="Q975" s="4">
        <f t="shared" ca="1" si="110"/>
        <v>1904.9993974637805</v>
      </c>
      <c r="R975" s="4">
        <f t="shared" ca="1" si="111"/>
        <v>-18.670646536219465</v>
      </c>
      <c r="S975" s="4">
        <f t="shared" ca="1" si="112"/>
        <v>-9.3093626541167893</v>
      </c>
    </row>
    <row r="976" spans="15:19" x14ac:dyDescent="0.2">
      <c r="O976" s="4">
        <f t="shared" ca="1" si="108"/>
        <v>5.7011747472320295E-2</v>
      </c>
      <c r="P976" s="4">
        <f t="shared" ca="1" si="109"/>
        <v>-1.5803641573082534</v>
      </c>
      <c r="Q976" s="4">
        <f t="shared" ca="1" si="110"/>
        <v>1953.0836563976929</v>
      </c>
      <c r="R976" s="4">
        <f t="shared" ca="1" si="111"/>
        <v>29.413612397692987</v>
      </c>
      <c r="S976" s="4">
        <f t="shared" ca="1" si="112"/>
        <v>15.24163895251219</v>
      </c>
    </row>
    <row r="977" spans="15:19" x14ac:dyDescent="0.2">
      <c r="O977" s="4">
        <f t="shared" ca="1" si="108"/>
        <v>0.19709512742723323</v>
      </c>
      <c r="P977" s="4">
        <f t="shared" ca="1" si="109"/>
        <v>-0.85204294881400433</v>
      </c>
      <c r="Q977" s="4">
        <f t="shared" ca="1" si="110"/>
        <v>1939.3412027224369</v>
      </c>
      <c r="R977" s="4">
        <f t="shared" ca="1" si="111"/>
        <v>15.671158722436985</v>
      </c>
      <c r="S977" s="4">
        <f t="shared" ca="1" si="112"/>
        <v>8.0328642264232339</v>
      </c>
    </row>
    <row r="978" spans="15:19" x14ac:dyDescent="0.2">
      <c r="O978" s="4">
        <f t="shared" ca="1" si="108"/>
        <v>0.18352389910257549</v>
      </c>
      <c r="P978" s="4">
        <f t="shared" ca="1" si="109"/>
        <v>-0.90201707339618387</v>
      </c>
      <c r="Q978" s="4">
        <f t="shared" ca="1" si="110"/>
        <v>1940.2841480658135</v>
      </c>
      <c r="R978" s="4">
        <f t="shared" ca="1" si="111"/>
        <v>16.614104065813535</v>
      </c>
      <c r="S978" s="4">
        <f t="shared" ca="1" si="112"/>
        <v>8.5225849007061463</v>
      </c>
    </row>
    <row r="979" spans="15:19" x14ac:dyDescent="0.2">
      <c r="O979" s="4">
        <f t="shared" ca="1" si="108"/>
        <v>0.93520720172779803</v>
      </c>
      <c r="P979" s="4">
        <f t="shared" ca="1" si="109"/>
        <v>1.5157380724874521</v>
      </c>
      <c r="Q979" s="4">
        <f t="shared" ca="1" si="110"/>
        <v>1894.6643202990106</v>
      </c>
      <c r="R979" s="4">
        <f t="shared" ca="1" si="111"/>
        <v>-29.005723700989392</v>
      </c>
      <c r="S979" s="4">
        <f t="shared" ca="1" si="112"/>
        <v>-14.34050107691928</v>
      </c>
    </row>
    <row r="980" spans="15:19" x14ac:dyDescent="0.2">
      <c r="O980" s="4">
        <f t="shared" ca="1" si="108"/>
        <v>0.78881589869137825</v>
      </c>
      <c r="P980" s="4">
        <f t="shared" ca="1" si="109"/>
        <v>0.80231943553571361</v>
      </c>
      <c r="Q980" s="4">
        <f t="shared" ca="1" si="110"/>
        <v>1908.1255822463909</v>
      </c>
      <c r="R980" s="4">
        <f t="shared" ca="1" si="111"/>
        <v>-15.544461753609085</v>
      </c>
      <c r="S980" s="4">
        <f t="shared" ca="1" si="112"/>
        <v>-7.7703985406542166</v>
      </c>
    </row>
    <row r="981" spans="15:19" x14ac:dyDescent="0.2">
      <c r="O981" s="4">
        <f t="shared" ca="1" si="108"/>
        <v>0.21689479929593902</v>
      </c>
      <c r="P981" s="4">
        <f t="shared" ca="1" si="109"/>
        <v>-0.78272333075221934</v>
      </c>
      <c r="Q981" s="4">
        <f t="shared" ca="1" si="110"/>
        <v>1938.0332336163747</v>
      </c>
      <c r="R981" s="4">
        <f t="shared" ca="1" si="111"/>
        <v>14.363189616374711</v>
      </c>
      <c r="S981" s="4">
        <f t="shared" ca="1" si="112"/>
        <v>7.3547661461397817</v>
      </c>
    </row>
    <row r="982" spans="15:19" x14ac:dyDescent="0.2">
      <c r="O982" s="4">
        <f t="shared" ca="1" si="108"/>
        <v>0.35491991465743078</v>
      </c>
      <c r="P982" s="4">
        <f t="shared" ca="1" si="109"/>
        <v>-0.37207121236448004</v>
      </c>
      <c r="Q982" s="4">
        <f t="shared" ca="1" si="110"/>
        <v>1930.2847736679728</v>
      </c>
      <c r="R982" s="4">
        <f t="shared" ca="1" si="111"/>
        <v>6.6147296679728242</v>
      </c>
      <c r="S982" s="4">
        <f t="shared" ca="1" si="112"/>
        <v>3.3662521194992849</v>
      </c>
    </row>
    <row r="983" spans="15:19" x14ac:dyDescent="0.2">
      <c r="O983" s="4">
        <f t="shared" ca="1" si="108"/>
        <v>0.80701479900460671</v>
      </c>
      <c r="P983" s="4">
        <f t="shared" ca="1" si="109"/>
        <v>0.86694818232951187</v>
      </c>
      <c r="Q983" s="4">
        <f t="shared" ca="1" si="110"/>
        <v>1906.906123649627</v>
      </c>
      <c r="R983" s="4">
        <f t="shared" ca="1" si="111"/>
        <v>-16.763920350372928</v>
      </c>
      <c r="S983" s="4">
        <f t="shared" ca="1" si="112"/>
        <v>-8.3716624145497107</v>
      </c>
    </row>
    <row r="984" spans="15:19" x14ac:dyDescent="0.2">
      <c r="O984" s="4">
        <f t="shared" ca="1" si="108"/>
        <v>0.53152350594254727</v>
      </c>
      <c r="P984" s="4">
        <f t="shared" ca="1" si="109"/>
        <v>7.910011994066557E-2</v>
      </c>
      <c r="Q984" s="4">
        <f t="shared" ca="1" si="110"/>
        <v>1921.7717699801833</v>
      </c>
      <c r="R984" s="4">
        <f t="shared" ca="1" si="111"/>
        <v>-1.8982740198166539</v>
      </c>
      <c r="S984" s="4">
        <f t="shared" ca="1" si="112"/>
        <v>-0.9594580509831665</v>
      </c>
    </row>
    <row r="985" spans="15:19" x14ac:dyDescent="0.2">
      <c r="O985" s="4">
        <f t="shared" ca="1" si="108"/>
        <v>0.96645511823259533</v>
      </c>
      <c r="P985" s="4">
        <f t="shared" ca="1" si="109"/>
        <v>1.8310722251397282</v>
      </c>
      <c r="Q985" s="4">
        <f t="shared" ca="1" si="110"/>
        <v>1888.7143837400999</v>
      </c>
      <c r="R985" s="4">
        <f t="shared" ca="1" si="111"/>
        <v>-34.955660259900014</v>
      </c>
      <c r="S985" s="4">
        <f t="shared" ca="1" si="112"/>
        <v>-17.197500463181456</v>
      </c>
    </row>
    <row r="986" spans="15:19" x14ac:dyDescent="0.2">
      <c r="O986" s="4">
        <f t="shared" ca="1" si="108"/>
        <v>0.19442228825108321</v>
      </c>
      <c r="P986" s="4">
        <f t="shared" ca="1" si="109"/>
        <v>-0.86171462337634308</v>
      </c>
      <c r="Q986" s="4">
        <f t="shared" ca="1" si="110"/>
        <v>1939.5236943732154</v>
      </c>
      <c r="R986" s="4">
        <f t="shared" ca="1" si="111"/>
        <v>15.853650373215487</v>
      </c>
      <c r="S986" s="4">
        <f t="shared" ca="1" si="112"/>
        <v>8.1275851626745137</v>
      </c>
    </row>
    <row r="987" spans="15:19" x14ac:dyDescent="0.2">
      <c r="O987" s="4">
        <f t="shared" ca="1" si="108"/>
        <v>0.68557654032809201</v>
      </c>
      <c r="P987" s="4">
        <f t="shared" ca="1" si="109"/>
        <v>0.48335045688936229</v>
      </c>
      <c r="Q987" s="4">
        <f t="shared" ca="1" si="110"/>
        <v>1914.1441031431714</v>
      </c>
      <c r="R987" s="4">
        <f t="shared" ca="1" si="111"/>
        <v>-9.5259408568285835</v>
      </c>
      <c r="S987" s="4">
        <f t="shared" ca="1" si="112"/>
        <v>-4.7851856611005203</v>
      </c>
    </row>
    <row r="988" spans="15:19" x14ac:dyDescent="0.2">
      <c r="O988" s="4">
        <f t="shared" ca="1" si="108"/>
        <v>8.3416828718762326E-2</v>
      </c>
      <c r="P988" s="4">
        <f t="shared" ca="1" si="109"/>
        <v>-1.3824497240634683</v>
      </c>
      <c r="Q988" s="4">
        <f t="shared" ca="1" si="110"/>
        <v>1949.3492739592714</v>
      </c>
      <c r="R988" s="4">
        <f t="shared" ca="1" si="111"/>
        <v>25.679229959271424</v>
      </c>
      <c r="S988" s="4">
        <f t="shared" ca="1" si="112"/>
        <v>13.267508480521462</v>
      </c>
    </row>
    <row r="989" spans="15:19" x14ac:dyDescent="0.2">
      <c r="O989" s="4">
        <f t="shared" ca="1" si="108"/>
        <v>0.16062521267489516</v>
      </c>
      <c r="P989" s="4">
        <f t="shared" ca="1" si="109"/>
        <v>-0.99189156275117152</v>
      </c>
      <c r="Q989" s="4">
        <f t="shared" ca="1" si="110"/>
        <v>1941.979960287322</v>
      </c>
      <c r="R989" s="4">
        <f t="shared" ca="1" si="111"/>
        <v>18.309916287322039</v>
      </c>
      <c r="S989" s="4">
        <f t="shared" ca="1" si="112"/>
        <v>9.4051301616984251</v>
      </c>
    </row>
    <row r="990" spans="15:19" x14ac:dyDescent="0.2">
      <c r="O990" s="4">
        <f t="shared" ca="1" si="108"/>
        <v>0.54594348542237525</v>
      </c>
      <c r="P990" s="4">
        <f t="shared" ca="1" si="109"/>
        <v>0.11541898817180683</v>
      </c>
      <c r="Q990" s="4">
        <f t="shared" ca="1" si="110"/>
        <v>1921.0864811839997</v>
      </c>
      <c r="R990" s="4">
        <f t="shared" ca="1" si="111"/>
        <v>-2.583562816000267</v>
      </c>
      <c r="S990" s="4">
        <f t="shared" ca="1" si="112"/>
        <v>-1.3051076988376964</v>
      </c>
    </row>
    <row r="991" spans="15:19" x14ac:dyDescent="0.2">
      <c r="O991" s="4">
        <f t="shared" ca="1" si="108"/>
        <v>0.44686854153426736</v>
      </c>
      <c r="P991" s="4">
        <f t="shared" ca="1" si="109"/>
        <v>-0.13357698665387763</v>
      </c>
      <c r="Q991" s="4">
        <f t="shared" ca="1" si="110"/>
        <v>1925.7847044534296</v>
      </c>
      <c r="R991" s="4">
        <f t="shared" ca="1" si="111"/>
        <v>2.1146604534296785</v>
      </c>
      <c r="S991" s="4">
        <f t="shared" ca="1" si="112"/>
        <v>1.0722821620433118</v>
      </c>
    </row>
    <row r="992" spans="15:19" x14ac:dyDescent="0.2">
      <c r="O992" s="4">
        <f t="shared" ca="1" si="108"/>
        <v>0.81626036951419745</v>
      </c>
      <c r="P992" s="4">
        <f t="shared" ca="1" si="109"/>
        <v>0.90120513548938397</v>
      </c>
      <c r="Q992" s="4">
        <f t="shared" ca="1" si="110"/>
        <v>1906.2597404517132</v>
      </c>
      <c r="R992" s="4">
        <f t="shared" ca="1" si="111"/>
        <v>-17.41030354828672</v>
      </c>
      <c r="S992" s="4">
        <f t="shared" ca="1" si="112"/>
        <v>-8.6898759062633655</v>
      </c>
    </row>
    <row r="993" spans="15:19" x14ac:dyDescent="0.2">
      <c r="O993" s="4">
        <f t="shared" ca="1" si="108"/>
        <v>0.38788729985595338</v>
      </c>
      <c r="P993" s="4">
        <f t="shared" ca="1" si="109"/>
        <v>-0.28482972252790467</v>
      </c>
      <c r="Q993" s="4">
        <f t="shared" ca="1" si="110"/>
        <v>1928.6386426496024</v>
      </c>
      <c r="R993" s="4">
        <f t="shared" ca="1" si="111"/>
        <v>4.968598649602427</v>
      </c>
      <c r="S993" s="4">
        <f t="shared" ca="1" si="112"/>
        <v>2.5252026101805956</v>
      </c>
    </row>
    <row r="994" spans="15:19" x14ac:dyDescent="0.2">
      <c r="O994" s="4">
        <f t="shared" ca="1" si="108"/>
        <v>4.5263146022503031E-2</v>
      </c>
      <c r="P994" s="4">
        <f t="shared" ca="1" si="109"/>
        <v>-1.692628030919763</v>
      </c>
      <c r="Q994" s="4">
        <f t="shared" ca="1" si="110"/>
        <v>1955.2019265572296</v>
      </c>
      <c r="R994" s="4">
        <f t="shared" ca="1" si="111"/>
        <v>31.531882557229665</v>
      </c>
      <c r="S994" s="4">
        <f t="shared" ca="1" si="112"/>
        <v>16.366480294991636</v>
      </c>
    </row>
    <row r="995" spans="15:19" x14ac:dyDescent="0.2">
      <c r="O995" s="4">
        <f t="shared" ca="1" si="108"/>
        <v>0.60580600221386394</v>
      </c>
      <c r="P995" s="4">
        <f t="shared" ca="1" si="109"/>
        <v>0.26840447464612971</v>
      </c>
      <c r="Q995" s="4">
        <f t="shared" ca="1" si="110"/>
        <v>1918.1998482858496</v>
      </c>
      <c r="R995" s="4">
        <f t="shared" ca="1" si="111"/>
        <v>-5.4701957141503499</v>
      </c>
      <c r="S995" s="4">
        <f t="shared" ca="1" si="112"/>
        <v>-2.756885901359817</v>
      </c>
    </row>
    <row r="996" spans="15:19" x14ac:dyDescent="0.2">
      <c r="O996" s="4">
        <f t="shared" ca="1" si="108"/>
        <v>0.98669449600592118</v>
      </c>
      <c r="P996" s="4">
        <f t="shared" ca="1" si="109"/>
        <v>2.2171768631620976</v>
      </c>
      <c r="Q996" s="4">
        <f t="shared" ca="1" si="110"/>
        <v>1881.4291021364052</v>
      </c>
      <c r="R996" s="4">
        <f t="shared" ca="1" si="111"/>
        <v>-42.240941863594799</v>
      </c>
      <c r="S996" s="4">
        <f t="shared" ca="1" si="112"/>
        <v>-20.656446050110709</v>
      </c>
    </row>
    <row r="997" spans="15:19" x14ac:dyDescent="0.2">
      <c r="O997" s="4">
        <f t="shared" ca="1" si="108"/>
        <v>4.3292596956885698E-2</v>
      </c>
      <c r="P997" s="4">
        <f t="shared" ca="1" si="109"/>
        <v>-1.7136926150544105</v>
      </c>
      <c r="Q997" s="4">
        <f t="shared" ca="1" si="110"/>
        <v>1955.5993872768718</v>
      </c>
      <c r="R997" s="4">
        <f t="shared" ca="1" si="111"/>
        <v>31.929343276871805</v>
      </c>
      <c r="S997" s="4">
        <f t="shared" ca="1" si="112"/>
        <v>16.577946451676311</v>
      </c>
    </row>
    <row r="998" spans="15:19" x14ac:dyDescent="0.2">
      <c r="O998" s="4">
        <f t="shared" ca="1" si="108"/>
        <v>0.25510857486387895</v>
      </c>
      <c r="P998" s="4">
        <f t="shared" ca="1" si="109"/>
        <v>-0.65849960661628215</v>
      </c>
      <c r="Q998" s="4">
        <f t="shared" ca="1" si="110"/>
        <v>1935.6892969653534</v>
      </c>
      <c r="R998" s="4">
        <f t="shared" ca="1" si="111"/>
        <v>12.019252965353417</v>
      </c>
      <c r="S998" s="4">
        <f t="shared" ca="1" si="112"/>
        <v>6.1430697928574673</v>
      </c>
    </row>
    <row r="999" spans="15:19" x14ac:dyDescent="0.2">
      <c r="O999" s="4">
        <f t="shared" ca="1" si="108"/>
        <v>0.10714326267671404</v>
      </c>
      <c r="P999" s="4">
        <f t="shared" ca="1" si="109"/>
        <v>-1.2418645939423125</v>
      </c>
      <c r="Q999" s="4">
        <f t="shared" ca="1" si="110"/>
        <v>1946.6966193124101</v>
      </c>
      <c r="R999" s="4">
        <f t="shared" ca="1" si="111"/>
        <v>23.026575312410159</v>
      </c>
      <c r="S999" s="4">
        <f t="shared" ca="1" si="112"/>
        <v>11.872115501798437</v>
      </c>
    </row>
    <row r="1000" spans="15:19" x14ac:dyDescent="0.2">
      <c r="O1000" s="4">
        <f t="shared" ca="1" si="108"/>
        <v>0.21310773303739305</v>
      </c>
      <c r="P1000" s="4">
        <f t="shared" ca="1" si="109"/>
        <v>-0.79568445207968186</v>
      </c>
      <c r="Q1000" s="4">
        <f t="shared" ca="1" si="110"/>
        <v>1938.2777927577872</v>
      </c>
      <c r="R1000" s="4">
        <f t="shared" ca="1" si="111"/>
        <v>14.607748757787249</v>
      </c>
      <c r="S1000" s="4">
        <f t="shared" ca="1" si="112"/>
        <v>7.4814485083088291</v>
      </c>
    </row>
    <row r="1001" spans="15:19" x14ac:dyDescent="0.2">
      <c r="O1001" s="4">
        <f t="shared" ca="1" si="108"/>
        <v>0.70421301494532995</v>
      </c>
      <c r="P1001" s="4">
        <f t="shared" ca="1" si="109"/>
        <v>0.53655654123529495</v>
      </c>
      <c r="Q1001" s="4">
        <f t="shared" ca="1" si="110"/>
        <v>1913.1401750125087</v>
      </c>
      <c r="R1001" s="4">
        <f t="shared" ca="1" si="111"/>
        <v>-10.529868987491227</v>
      </c>
      <c r="S1001" s="4">
        <f t="shared" ca="1" si="112"/>
        <v>-5.2851877415750588</v>
      </c>
    </row>
    <row r="1002" spans="15:19" x14ac:dyDescent="0.2">
      <c r="O1002" s="4">
        <f t="shared" ca="1" si="108"/>
        <v>0.14770829176185851</v>
      </c>
      <c r="P1002" s="4">
        <f t="shared" ca="1" si="109"/>
        <v>-1.0463129171939329</v>
      </c>
      <c r="Q1002" s="4">
        <f t="shared" ca="1" si="110"/>
        <v>1943.006818950302</v>
      </c>
      <c r="R1002" s="4">
        <f t="shared" ca="1" si="111"/>
        <v>19.336774950302015</v>
      </c>
      <c r="S1002" s="4">
        <f t="shared" ca="1" si="112"/>
        <v>9.9406724882281967</v>
      </c>
    </row>
    <row r="1003" spans="15:19" x14ac:dyDescent="0.2">
      <c r="O1003" s="4">
        <f t="shared" ca="1" si="108"/>
        <v>0.21341934866998236</v>
      </c>
      <c r="P1003" s="4">
        <f t="shared" ca="1" si="109"/>
        <v>-0.79461292536044659</v>
      </c>
      <c r="Q1003" s="4">
        <f t="shared" ca="1" si="110"/>
        <v>1938.2575744720514</v>
      </c>
      <c r="R1003" s="4">
        <f t="shared" ca="1" si="111"/>
        <v>14.587530472051412</v>
      </c>
      <c r="S1003" s="4">
        <f t="shared" ca="1" si="112"/>
        <v>7.4709735298221647</v>
      </c>
    </row>
    <row r="1004" spans="15:19" x14ac:dyDescent="0.2">
      <c r="O1004" s="4">
        <f t="shared" ca="1" si="108"/>
        <v>0.74303095531432473</v>
      </c>
      <c r="P1004" s="4">
        <f t="shared" ca="1" si="109"/>
        <v>0.65271801026217713</v>
      </c>
      <c r="Q1004" s="4">
        <f t="shared" ca="1" si="110"/>
        <v>1910.9483624051948</v>
      </c>
      <c r="R1004" s="4">
        <f t="shared" ca="1" si="111"/>
        <v>-12.721681594805204</v>
      </c>
      <c r="S1004" s="4">
        <f t="shared" ca="1" si="112"/>
        <v>-6.373959266066521</v>
      </c>
    </row>
    <row r="1005" spans="15:19" x14ac:dyDescent="0.2">
      <c r="O1005" s="4">
        <f t="shared" ca="1" si="108"/>
        <v>0.38588292367724897</v>
      </c>
      <c r="P1005" s="4">
        <f t="shared" ca="1" si="109"/>
        <v>-0.29006586772494219</v>
      </c>
      <c r="Q1005" s="4">
        <f t="shared" ca="1" si="110"/>
        <v>1928.7374417535802</v>
      </c>
      <c r="R1005" s="4">
        <f t="shared" ca="1" si="111"/>
        <v>5.0673977535802806</v>
      </c>
      <c r="S1005" s="4">
        <f t="shared" ca="1" si="112"/>
        <v>2.5756193127956939</v>
      </c>
    </row>
    <row r="1006" spans="15:19" x14ac:dyDescent="0.2">
      <c r="O1006" s="4">
        <f t="shared" ca="1" si="108"/>
        <v>0.51495228682969063</v>
      </c>
      <c r="P1006" s="4">
        <f t="shared" ca="1" si="109"/>
        <v>3.7488604139097353E-2</v>
      </c>
      <c r="Q1006" s="4">
        <f t="shared" ca="1" si="110"/>
        <v>1922.5569240050711</v>
      </c>
      <c r="R1006" s="4">
        <f t="shared" ca="1" si="111"/>
        <v>-1.1131199949288657</v>
      </c>
      <c r="S1006" s="4">
        <f t="shared" ca="1" si="112"/>
        <v>-0.56296787086281042</v>
      </c>
    </row>
    <row r="1007" spans="15:19" x14ac:dyDescent="0.2">
      <c r="O1007" s="4">
        <f t="shared" ca="1" si="108"/>
        <v>0.93856647220551837</v>
      </c>
      <c r="P1007" s="4">
        <f t="shared" ca="1" si="109"/>
        <v>1.5428504907832041</v>
      </c>
      <c r="Q1007" s="4">
        <f t="shared" ca="1" si="110"/>
        <v>1894.1527449829166</v>
      </c>
      <c r="R1007" s="4">
        <f t="shared" ca="1" si="111"/>
        <v>-29.51729901708336</v>
      </c>
      <c r="S1007" s="4">
        <f t="shared" ca="1" si="112"/>
        <v>-14.587278294138075</v>
      </c>
    </row>
    <row r="1008" spans="15:19" x14ac:dyDescent="0.2">
      <c r="O1008" s="4">
        <f t="shared" ca="1" si="108"/>
        <v>0.78411395643825876</v>
      </c>
      <c r="P1008" s="4">
        <f t="shared" ca="1" si="109"/>
        <v>0.78616285041607847</v>
      </c>
      <c r="Q1008" s="4">
        <f t="shared" ca="1" si="110"/>
        <v>1908.4304355445886</v>
      </c>
      <c r="R1008" s="4">
        <f t="shared" ca="1" si="111"/>
        <v>-15.239608455411371</v>
      </c>
      <c r="S1008" s="4">
        <f t="shared" ca="1" si="112"/>
        <v>-7.6198990072662687</v>
      </c>
    </row>
    <row r="1009" spans="15:19" x14ac:dyDescent="0.2">
      <c r="O1009" s="4">
        <f t="shared" ca="1" si="108"/>
        <v>0.69341958629219347</v>
      </c>
      <c r="P1009" s="4">
        <f t="shared" ca="1" si="109"/>
        <v>0.50556675126722173</v>
      </c>
      <c r="Q1009" s="4">
        <f t="shared" ca="1" si="110"/>
        <v>1913.7249111812146</v>
      </c>
      <c r="R1009" s="4">
        <f t="shared" ca="1" si="111"/>
        <v>-9.945132818785396</v>
      </c>
      <c r="S1009" s="4">
        <f t="shared" ca="1" si="112"/>
        <v>-4.9940621913069094</v>
      </c>
    </row>
    <row r="1010" spans="15:19" x14ac:dyDescent="0.2">
      <c r="O1010" s="4">
        <f t="shared" ca="1" si="108"/>
        <v>0.67074703402913927</v>
      </c>
      <c r="P1010" s="4">
        <f t="shared" ca="1" si="109"/>
        <v>0.44197688611508079</v>
      </c>
      <c r="Q1010" s="4">
        <f t="shared" ca="1" si="110"/>
        <v>1914.9247674614892</v>
      </c>
      <c r="R1010" s="4">
        <f t="shared" ca="1" si="111"/>
        <v>-8.7452765385107796</v>
      </c>
      <c r="S1010" s="4">
        <f t="shared" ca="1" si="112"/>
        <v>-4.3958120448504747</v>
      </c>
    </row>
    <row r="1011" spans="15:19" x14ac:dyDescent="0.2">
      <c r="O1011" s="4">
        <f t="shared" ca="1" si="108"/>
        <v>0.3832007185133065</v>
      </c>
      <c r="P1011" s="4">
        <f t="shared" ca="1" si="109"/>
        <v>-0.29708523435187617</v>
      </c>
      <c r="Q1011" s="4">
        <f t="shared" ca="1" si="110"/>
        <v>1928.8698878770424</v>
      </c>
      <c r="R1011" s="4">
        <f t="shared" ca="1" si="111"/>
        <v>5.19984387704244</v>
      </c>
      <c r="S1011" s="4">
        <f t="shared" ca="1" si="112"/>
        <v>2.6432183934620648</v>
      </c>
    </row>
    <row r="1012" spans="15:19" x14ac:dyDescent="0.2">
      <c r="O1012" s="4">
        <f t="shared" ca="1" si="108"/>
        <v>0.86296246871458293</v>
      </c>
      <c r="P1012" s="4">
        <f t="shared" ca="1" si="109"/>
        <v>1.0937262393704736</v>
      </c>
      <c r="Q1012" s="4">
        <f t="shared" ca="1" si="110"/>
        <v>1902.6271229736847</v>
      </c>
      <c r="R1012" s="4">
        <f t="shared" ca="1" si="111"/>
        <v>-21.042921026315298</v>
      </c>
      <c r="S1012" s="4">
        <f t="shared" ca="1" si="112"/>
        <v>-10.471880641670406</v>
      </c>
    </row>
    <row r="1013" spans="15:19" x14ac:dyDescent="0.2">
      <c r="O1013" s="4">
        <f t="shared" ca="1" si="108"/>
        <v>0.4966519890927007</v>
      </c>
      <c r="P1013" s="4">
        <f t="shared" ca="1" si="109"/>
        <v>-8.3923173161714153E-3</v>
      </c>
      <c r="Q1013" s="4">
        <f t="shared" ca="1" si="110"/>
        <v>1923.4226360430062</v>
      </c>
      <c r="R1013" s="4">
        <f t="shared" ca="1" si="111"/>
        <v>-0.24740795699381124</v>
      </c>
      <c r="S1013" s="4">
        <f t="shared" ca="1" si="112"/>
        <v>-0.12521541417670481</v>
      </c>
    </row>
    <row r="1014" spans="15:19" x14ac:dyDescent="0.2">
      <c r="O1014" s="4">
        <f t="shared" ca="1" si="108"/>
        <v>0.44200969981067217</v>
      </c>
      <c r="P1014" s="4">
        <f t="shared" ca="1" si="109"/>
        <v>-0.14587584609196022</v>
      </c>
      <c r="Q1014" s="4">
        <f t="shared" ca="1" si="110"/>
        <v>1926.016767592763</v>
      </c>
      <c r="R1014" s="4">
        <f t="shared" ca="1" si="111"/>
        <v>2.3467235927630554</v>
      </c>
      <c r="S1014" s="4">
        <f t="shared" ca="1" si="112"/>
        <v>1.1901762442558783</v>
      </c>
    </row>
    <row r="1015" spans="15:19" x14ac:dyDescent="0.2">
      <c r="O1015" s="4">
        <f t="shared" ca="1" si="108"/>
        <v>0.52086122072043139</v>
      </c>
      <c r="P1015" s="4">
        <f t="shared" ca="1" si="109"/>
        <v>5.2315179284735183E-2</v>
      </c>
      <c r="Q1015" s="4">
        <f t="shared" ca="1" si="110"/>
        <v>1922.2771662282476</v>
      </c>
      <c r="R1015" s="4">
        <f t="shared" ca="1" si="111"/>
        <v>-1.3928777717524099</v>
      </c>
      <c r="S1015" s="4">
        <f t="shared" ca="1" si="112"/>
        <v>-0.70429861270749439</v>
      </c>
    </row>
    <row r="1016" spans="15:19" x14ac:dyDescent="0.2">
      <c r="O1016" s="4">
        <f t="shared" ca="1" si="108"/>
        <v>0.89399302419252968</v>
      </c>
      <c r="P1016" s="4">
        <f t="shared" ca="1" si="109"/>
        <v>1.2480467108833138</v>
      </c>
      <c r="Q1016" s="4">
        <f t="shared" ca="1" si="110"/>
        <v>1899.7153006813019</v>
      </c>
      <c r="R1016" s="4">
        <f t="shared" ca="1" si="111"/>
        <v>-23.954743318698092</v>
      </c>
      <c r="S1016" s="4">
        <f t="shared" ca="1" si="112"/>
        <v>-11.892537279510169</v>
      </c>
    </row>
    <row r="1017" spans="15:19" x14ac:dyDescent="0.2">
      <c r="O1017" s="4">
        <f t="shared" ca="1" si="108"/>
        <v>0.14838599400759267</v>
      </c>
      <c r="P1017" s="4">
        <f t="shared" ca="1" si="109"/>
        <v>-1.0433807444553935</v>
      </c>
      <c r="Q1017" s="4">
        <f t="shared" ca="1" si="110"/>
        <v>1942.9514927459331</v>
      </c>
      <c r="R1017" s="4">
        <f t="shared" ca="1" si="111"/>
        <v>19.281448745933176</v>
      </c>
      <c r="S1017" s="4">
        <f t="shared" ca="1" si="112"/>
        <v>9.9117960776612843</v>
      </c>
    </row>
    <row r="1018" spans="15:19" x14ac:dyDescent="0.2">
      <c r="O1018" s="4">
        <f t="shared" ca="1" si="108"/>
        <v>0.2259105021616381</v>
      </c>
      <c r="P1018" s="4">
        <f t="shared" ca="1" si="109"/>
        <v>-0.75238260507337018</v>
      </c>
      <c r="Q1018" s="4">
        <f t="shared" ca="1" si="110"/>
        <v>1937.4607444285655</v>
      </c>
      <c r="R1018" s="4">
        <f t="shared" ca="1" si="111"/>
        <v>13.790700428565515</v>
      </c>
      <c r="S1018" s="4">
        <f t="shared" ca="1" si="112"/>
        <v>7.0584054523852515</v>
      </c>
    </row>
    <row r="1019" spans="15:19" x14ac:dyDescent="0.2">
      <c r="O1019" s="4">
        <f t="shared" ca="1" si="108"/>
        <v>0.37054853802326249</v>
      </c>
      <c r="P1019" s="4">
        <f t="shared" ca="1" si="109"/>
        <v>-0.33040088085337282</v>
      </c>
      <c r="Q1019" s="4">
        <f t="shared" ca="1" si="110"/>
        <v>1929.4985098687794</v>
      </c>
      <c r="R1019" s="4">
        <f t="shared" ca="1" si="111"/>
        <v>5.8284658687794035</v>
      </c>
      <c r="S1019" s="4">
        <f t="shared" ca="1" si="112"/>
        <v>2.964255066570658</v>
      </c>
    </row>
    <row r="1020" spans="15:19" x14ac:dyDescent="0.2">
      <c r="O1020" s="4">
        <f t="shared" ca="1" si="108"/>
        <v>0.48704592274671754</v>
      </c>
      <c r="P1020" s="4">
        <f t="shared" ca="1" si="109"/>
        <v>-3.2476764503395324E-2</v>
      </c>
      <c r="Q1020" s="4">
        <f t="shared" ca="1" si="110"/>
        <v>1923.8770775667522</v>
      </c>
      <c r="R1020" s="4">
        <f t="shared" ca="1" si="111"/>
        <v>0.20703356675221585</v>
      </c>
      <c r="S1020" s="4">
        <f t="shared" ca="1" si="112"/>
        <v>0.1048198675307879</v>
      </c>
    </row>
    <row r="1021" spans="15:19" x14ac:dyDescent="0.2">
      <c r="O1021" s="4">
        <f t="shared" ca="1" si="108"/>
        <v>0.33633590687630743</v>
      </c>
      <c r="P1021" s="4">
        <f t="shared" ca="1" si="109"/>
        <v>-0.42248394943938705</v>
      </c>
      <c r="Q1021" s="4">
        <f t="shared" ca="1" si="110"/>
        <v>1931.2359950464183</v>
      </c>
      <c r="R1021" s="4">
        <f t="shared" ca="1" si="111"/>
        <v>7.5659510464183768</v>
      </c>
      <c r="S1021" s="4">
        <f t="shared" ca="1" si="112"/>
        <v>3.853260641604642</v>
      </c>
    </row>
    <row r="1022" spans="15:19" x14ac:dyDescent="0.2">
      <c r="O1022" s="4">
        <f t="shared" ca="1" si="108"/>
        <v>0.73792296953978276</v>
      </c>
      <c r="P1022" s="4">
        <f t="shared" ca="1" si="109"/>
        <v>0.63695514552615229</v>
      </c>
      <c r="Q1022" s="4">
        <f t="shared" ca="1" si="110"/>
        <v>1911.245786722787</v>
      </c>
      <c r="R1022" s="4">
        <f t="shared" ca="1" si="111"/>
        <v>-12.424257277212973</v>
      </c>
      <c r="S1022" s="4">
        <f t="shared" ca="1" si="112"/>
        <v>-6.226444639578113</v>
      </c>
    </row>
    <row r="1023" spans="15:19" x14ac:dyDescent="0.2">
      <c r="O1023" s="4">
        <f t="shared" ca="1" si="108"/>
        <v>5.7226286418456174E-2</v>
      </c>
      <c r="P1023" s="4">
        <f t="shared" ca="1" si="109"/>
        <v>-1.5784922253491922</v>
      </c>
      <c r="Q1023" s="4">
        <f t="shared" ca="1" si="110"/>
        <v>1953.0483355283695</v>
      </c>
      <c r="R1023" s="4">
        <f t="shared" ca="1" si="111"/>
        <v>29.378291528369573</v>
      </c>
      <c r="S1023" s="4">
        <f t="shared" ca="1" si="112"/>
        <v>15.222913870212825</v>
      </c>
    </row>
    <row r="1024" spans="15:19" x14ac:dyDescent="0.2">
      <c r="O1024" s="4">
        <f t="shared" ca="1" si="108"/>
        <v>0.93597533073934236</v>
      </c>
      <c r="P1024" s="4">
        <f t="shared" ca="1" si="109"/>
        <v>1.5218393520068749</v>
      </c>
      <c r="Q1024" s="4">
        <f t="shared" ca="1" si="110"/>
        <v>1894.549197259646</v>
      </c>
      <c r="R1024" s="4">
        <f t="shared" ca="1" si="111"/>
        <v>-29.120846740353954</v>
      </c>
      <c r="S1024" s="4">
        <f t="shared" ca="1" si="112"/>
        <v>-14.396053498891545</v>
      </c>
    </row>
    <row r="1025" spans="15:19" x14ac:dyDescent="0.2">
      <c r="O1025" s="4">
        <f t="shared" ca="1" si="108"/>
        <v>6.7279697502452995E-2</v>
      </c>
      <c r="P1025" s="4">
        <f t="shared" ca="1" si="109"/>
        <v>-1.4963618134456778</v>
      </c>
      <c r="Q1025" s="4">
        <f t="shared" ca="1" si="110"/>
        <v>1951.4986437608497</v>
      </c>
      <c r="R1025" s="4">
        <f t="shared" ca="1" si="111"/>
        <v>27.828599760849784</v>
      </c>
      <c r="S1025" s="4">
        <f t="shared" ca="1" si="112"/>
        <v>14.402356790607987</v>
      </c>
    </row>
    <row r="1026" spans="15:19" x14ac:dyDescent="0.2">
      <c r="O1026" s="4">
        <f t="shared" ca="1" si="108"/>
        <v>1.3798901144632669E-3</v>
      </c>
      <c r="P1026" s="4">
        <f t="shared" ca="1" si="109"/>
        <v>-2.9933003326164824</v>
      </c>
      <c r="Q1026" s="4">
        <f t="shared" ca="1" si="110"/>
        <v>1979.7438850286981</v>
      </c>
      <c r="R1026" s="4">
        <f t="shared" ca="1" si="111"/>
        <v>56.073841028698098</v>
      </c>
      <c r="S1026" s="4">
        <f t="shared" ca="1" si="112"/>
        <v>29.665065420098269</v>
      </c>
    </row>
    <row r="1027" spans="15:19" x14ac:dyDescent="0.2">
      <c r="O1027" s="4">
        <f t="shared" ref="O1027:O1090" ca="1" si="113">RAND()</f>
        <v>0.54913459976161483</v>
      </c>
      <c r="P1027" s="4">
        <f t="shared" ref="P1027:P1090" ca="1" si="114">NORMSINV(O1027)</f>
        <v>0.12347521395971046</v>
      </c>
      <c r="Q1027" s="4">
        <f t="shared" ref="Q1027:Q1090" ca="1" si="115">$B$4*(1+$B$17-$B$32*P1027)</f>
        <v>1920.9344709055724</v>
      </c>
      <c r="R1027" s="4">
        <f t="shared" ref="R1027:R1090" ca="1" si="116">Q1027-$B$4</f>
        <v>-2.7355730944275365</v>
      </c>
      <c r="S1027" s="4">
        <f t="shared" ref="S1027:S1090" ca="1" si="117">R1027*$B$12+0.5*$B$13*R1027^2</f>
        <v>-1.3817276494548871</v>
      </c>
    </row>
    <row r="1028" spans="15:19" x14ac:dyDescent="0.2">
      <c r="O1028" s="4">
        <f t="shared" ca="1" si="113"/>
        <v>0.58332221412424234</v>
      </c>
      <c r="P1028" s="4">
        <f t="shared" ca="1" si="114"/>
        <v>0.2103998986461654</v>
      </c>
      <c r="Q1028" s="4">
        <f t="shared" ca="1" si="115"/>
        <v>1919.2943175795288</v>
      </c>
      <c r="R1028" s="4">
        <f t="shared" ca="1" si="116"/>
        <v>-4.3757264204712101</v>
      </c>
      <c r="S1028" s="4">
        <f t="shared" ca="1" si="117"/>
        <v>-2.2072414268506115</v>
      </c>
    </row>
    <row r="1029" spans="15:19" x14ac:dyDescent="0.2">
      <c r="O1029" s="4">
        <f t="shared" ca="1" si="113"/>
        <v>0.91441573290160194</v>
      </c>
      <c r="P1029" s="4">
        <f t="shared" ca="1" si="114"/>
        <v>1.3684587219214064</v>
      </c>
      <c r="Q1029" s="4">
        <f t="shared" ca="1" si="115"/>
        <v>1897.4432859928152</v>
      </c>
      <c r="R1029" s="4">
        <f t="shared" ca="1" si="116"/>
        <v>-26.226758007184799</v>
      </c>
      <c r="S1029" s="4">
        <f t="shared" ca="1" si="117"/>
        <v>-12.996242141352592</v>
      </c>
    </row>
    <row r="1030" spans="15:19" x14ac:dyDescent="0.2">
      <c r="O1030" s="4">
        <f t="shared" ca="1" si="113"/>
        <v>8.7362592237616332E-2</v>
      </c>
      <c r="P1030" s="4">
        <f t="shared" ca="1" si="114"/>
        <v>-1.3571763467281046</v>
      </c>
      <c r="Q1030" s="4">
        <f t="shared" ca="1" si="115"/>
        <v>1948.8723989030491</v>
      </c>
      <c r="R1030" s="4">
        <f t="shared" ca="1" si="116"/>
        <v>25.202354903049127</v>
      </c>
      <c r="S1030" s="4">
        <f t="shared" ca="1" si="117"/>
        <v>13.016232463844265</v>
      </c>
    </row>
    <row r="1031" spans="15:19" x14ac:dyDescent="0.2">
      <c r="O1031" s="4">
        <f t="shared" ca="1" si="113"/>
        <v>0.82615362450227803</v>
      </c>
      <c r="P1031" s="4">
        <f t="shared" ca="1" si="114"/>
        <v>0.93907400240373295</v>
      </c>
      <c r="Q1031" s="4">
        <f t="shared" ca="1" si="115"/>
        <v>1905.5452052394535</v>
      </c>
      <c r="R1031" s="4">
        <f t="shared" ca="1" si="116"/>
        <v>-18.124838760546481</v>
      </c>
      <c r="S1031" s="4">
        <f t="shared" ca="1" si="117"/>
        <v>-9.0412446898418146</v>
      </c>
    </row>
    <row r="1032" spans="15:19" x14ac:dyDescent="0.2">
      <c r="O1032" s="4">
        <f t="shared" ca="1" si="113"/>
        <v>0.50924159825651638</v>
      </c>
      <c r="P1032" s="4">
        <f t="shared" ca="1" si="114"/>
        <v>2.3167323738939056E-2</v>
      </c>
      <c r="Q1032" s="4">
        <f t="shared" ca="1" si="115"/>
        <v>1922.8271475412994</v>
      </c>
      <c r="R1032" s="4">
        <f t="shared" ca="1" si="116"/>
        <v>-0.84289645870057939</v>
      </c>
      <c r="S1032" s="4">
        <f t="shared" ca="1" si="117"/>
        <v>-0.42639323120512218</v>
      </c>
    </row>
    <row r="1033" spans="15:19" x14ac:dyDescent="0.2">
      <c r="O1033" s="4">
        <f t="shared" ca="1" si="113"/>
        <v>0.89863265434972073</v>
      </c>
      <c r="P1033" s="4">
        <f t="shared" ca="1" si="114"/>
        <v>1.2737989107767516</v>
      </c>
      <c r="Q1033" s="4">
        <f t="shared" ca="1" si="115"/>
        <v>1899.2293908794945</v>
      </c>
      <c r="R1033" s="4">
        <f t="shared" ca="1" si="116"/>
        <v>-24.440653120505431</v>
      </c>
      <c r="S1033" s="4">
        <f t="shared" ca="1" si="117"/>
        <v>-12.128937023148019</v>
      </c>
    </row>
    <row r="1034" spans="15:19" x14ac:dyDescent="0.2">
      <c r="O1034" s="4">
        <f t="shared" ca="1" si="113"/>
        <v>0.33125504357448121</v>
      </c>
      <c r="P1034" s="4">
        <f t="shared" ca="1" si="114"/>
        <v>-0.43645025027747586</v>
      </c>
      <c r="Q1034" s="4">
        <f t="shared" ca="1" si="115"/>
        <v>1931.4995205898786</v>
      </c>
      <c r="R1034" s="4">
        <f t="shared" ca="1" si="116"/>
        <v>7.8294765898785954</v>
      </c>
      <c r="S1034" s="4">
        <f t="shared" ca="1" si="117"/>
        <v>3.9883113687598071</v>
      </c>
    </row>
    <row r="1035" spans="15:19" x14ac:dyDescent="0.2">
      <c r="O1035" s="4">
        <f t="shared" ca="1" si="113"/>
        <v>0.98812086248562558</v>
      </c>
      <c r="P1035" s="4">
        <f t="shared" ca="1" si="114"/>
        <v>2.2610158590454996</v>
      </c>
      <c r="Q1035" s="4">
        <f t="shared" ca="1" si="115"/>
        <v>1880.6019185214411</v>
      </c>
      <c r="R1035" s="4">
        <f t="shared" ca="1" si="116"/>
        <v>-43.068125478558841</v>
      </c>
      <c r="S1035" s="4">
        <f t="shared" ca="1" si="117"/>
        <v>-21.046449144265349</v>
      </c>
    </row>
    <row r="1036" spans="15:19" x14ac:dyDescent="0.2">
      <c r="O1036" s="4">
        <f t="shared" ca="1" si="113"/>
        <v>0.56621226770441102</v>
      </c>
      <c r="P1036" s="4">
        <f t="shared" ca="1" si="114"/>
        <v>0.16673894016531812</v>
      </c>
      <c r="Q1036" s="4">
        <f t="shared" ca="1" si="115"/>
        <v>1920.1181418652184</v>
      </c>
      <c r="R1036" s="4">
        <f t="shared" ca="1" si="116"/>
        <v>-3.5519021347815851</v>
      </c>
      <c r="S1036" s="4">
        <f t="shared" ca="1" si="117"/>
        <v>-1.7928720622481344</v>
      </c>
    </row>
    <row r="1037" spans="15:19" x14ac:dyDescent="0.2">
      <c r="O1037" s="4">
        <f t="shared" ca="1" si="113"/>
        <v>5.7934655817037162E-2</v>
      </c>
      <c r="P1037" s="4">
        <f t="shared" ca="1" si="114"/>
        <v>-1.5723503950973647</v>
      </c>
      <c r="Q1037" s="4">
        <f t="shared" ca="1" si="115"/>
        <v>1952.932447350554</v>
      </c>
      <c r="R1037" s="4">
        <f t="shared" ca="1" si="116"/>
        <v>29.262403350553996</v>
      </c>
      <c r="S1037" s="4">
        <f t="shared" ca="1" si="117"/>
        <v>15.16148379339408</v>
      </c>
    </row>
    <row r="1038" spans="15:19" x14ac:dyDescent="0.2">
      <c r="O1038" s="4">
        <f t="shared" ca="1" si="113"/>
        <v>0.99232075665519814</v>
      </c>
      <c r="P1038" s="4">
        <f t="shared" ca="1" si="114"/>
        <v>2.4238135927146596</v>
      </c>
      <c r="Q1038" s="4">
        <f t="shared" ca="1" si="115"/>
        <v>1877.5301415536792</v>
      </c>
      <c r="R1038" s="4">
        <f t="shared" ca="1" si="116"/>
        <v>-46.139902446320775</v>
      </c>
      <c r="S1038" s="4">
        <f t="shared" ca="1" si="117"/>
        <v>-22.489864707014171</v>
      </c>
    </row>
    <row r="1039" spans="15:19" x14ac:dyDescent="0.2">
      <c r="O1039" s="4">
        <f t="shared" ca="1" si="113"/>
        <v>0.60534315133576644</v>
      </c>
      <c r="P1039" s="4">
        <f t="shared" ca="1" si="114"/>
        <v>0.26720192078714017</v>
      </c>
      <c r="Q1039" s="4">
        <f t="shared" ca="1" si="115"/>
        <v>1918.2225388796512</v>
      </c>
      <c r="R1039" s="4">
        <f t="shared" ca="1" si="116"/>
        <v>-5.447505120348751</v>
      </c>
      <c r="S1039" s="4">
        <f t="shared" ca="1" si="117"/>
        <v>-2.745500543424213</v>
      </c>
    </row>
    <row r="1040" spans="15:19" x14ac:dyDescent="0.2">
      <c r="O1040" s="4">
        <f t="shared" ca="1" si="113"/>
        <v>0.41321287727033162</v>
      </c>
      <c r="P1040" s="4">
        <f t="shared" ca="1" si="114"/>
        <v>-0.21928794158673637</v>
      </c>
      <c r="Q1040" s="4">
        <f t="shared" ca="1" si="115"/>
        <v>1927.4019563113866</v>
      </c>
      <c r="R1040" s="4">
        <f t="shared" ca="1" si="116"/>
        <v>3.7319123113866226</v>
      </c>
      <c r="S1040" s="4">
        <f t="shared" ca="1" si="117"/>
        <v>1.8947998878570969</v>
      </c>
    </row>
    <row r="1041" spans="15:19" x14ac:dyDescent="0.2">
      <c r="O1041" s="4">
        <f t="shared" ca="1" si="113"/>
        <v>0.54222167836827762</v>
      </c>
      <c r="P1041" s="4">
        <f t="shared" ca="1" si="114"/>
        <v>0.10603240294227116</v>
      </c>
      <c r="Q1041" s="4">
        <f t="shared" ca="1" si="115"/>
        <v>1921.2635935777912</v>
      </c>
      <c r="R1041" s="4">
        <f t="shared" ca="1" si="116"/>
        <v>-2.4064504222087635</v>
      </c>
      <c r="S1041" s="4">
        <f t="shared" ca="1" si="117"/>
        <v>-1.2158114353107115</v>
      </c>
    </row>
    <row r="1042" spans="15:19" x14ac:dyDescent="0.2">
      <c r="O1042" s="4">
        <f t="shared" ca="1" si="113"/>
        <v>0.30250763238406564</v>
      </c>
      <c r="P1042" s="4">
        <f t="shared" ca="1" si="114"/>
        <v>-0.51720184423078652</v>
      </c>
      <c r="Q1042" s="4">
        <f t="shared" ca="1" si="115"/>
        <v>1933.0231958943511</v>
      </c>
      <c r="R1042" s="4">
        <f t="shared" ca="1" si="116"/>
        <v>9.3531518943511855</v>
      </c>
      <c r="S1042" s="4">
        <f t="shared" ca="1" si="117"/>
        <v>4.7702681084224672</v>
      </c>
    </row>
    <row r="1043" spans="15:19" x14ac:dyDescent="0.2">
      <c r="O1043" s="4">
        <f t="shared" ca="1" si="113"/>
        <v>0.10478743391297207</v>
      </c>
      <c r="P1043" s="4">
        <f t="shared" ca="1" si="114"/>
        <v>-1.2547352968890266</v>
      </c>
      <c r="Q1043" s="4">
        <f t="shared" ca="1" si="115"/>
        <v>1946.9394723790933</v>
      </c>
      <c r="R1043" s="4">
        <f t="shared" ca="1" si="116"/>
        <v>23.26942837909337</v>
      </c>
      <c r="S1043" s="4">
        <f t="shared" ca="1" si="117"/>
        <v>11.999626833663923</v>
      </c>
    </row>
    <row r="1044" spans="15:19" x14ac:dyDescent="0.2">
      <c r="O1044" s="4">
        <f t="shared" ca="1" si="113"/>
        <v>0.38703660053182631</v>
      </c>
      <c r="P1044" s="4">
        <f t="shared" ca="1" si="114"/>
        <v>-0.28705109035954224</v>
      </c>
      <c r="Q1044" s="4">
        <f t="shared" ca="1" si="115"/>
        <v>1928.680556909638</v>
      </c>
      <c r="R1044" s="4">
        <f t="shared" ca="1" si="116"/>
        <v>5.0105129096380097</v>
      </c>
      <c r="S1044" s="4">
        <f t="shared" ca="1" si="117"/>
        <v>2.5465902828119313</v>
      </c>
    </row>
    <row r="1045" spans="15:19" x14ac:dyDescent="0.2">
      <c r="O1045" s="4">
        <f t="shared" ca="1" si="113"/>
        <v>0.44997223537834941</v>
      </c>
      <c r="P1045" s="4">
        <f t="shared" ca="1" si="114"/>
        <v>-0.12573149440896456</v>
      </c>
      <c r="Q1045" s="4">
        <f t="shared" ca="1" si="115"/>
        <v>1925.6366704370121</v>
      </c>
      <c r="R1045" s="4">
        <f t="shared" ca="1" si="116"/>
        <v>1.9666264370121098</v>
      </c>
      <c r="S1045" s="4">
        <f t="shared" ca="1" si="117"/>
        <v>0.99709995422823161</v>
      </c>
    </row>
    <row r="1046" spans="15:19" x14ac:dyDescent="0.2">
      <c r="O1046" s="4">
        <f t="shared" ca="1" si="113"/>
        <v>0.32565548667866995</v>
      </c>
      <c r="P1046" s="4">
        <f t="shared" ca="1" si="114"/>
        <v>-0.45194171274224554</v>
      </c>
      <c r="Q1046" s="4">
        <f t="shared" ca="1" si="115"/>
        <v>1931.791823907153</v>
      </c>
      <c r="R1046" s="4">
        <f t="shared" ca="1" si="116"/>
        <v>8.1217799071530408</v>
      </c>
      <c r="S1046" s="4">
        <f t="shared" ca="1" si="117"/>
        <v>4.1381761741315746</v>
      </c>
    </row>
    <row r="1047" spans="15:19" x14ac:dyDescent="0.2">
      <c r="O1047" s="4">
        <f t="shared" ca="1" si="113"/>
        <v>0.69747650155000374</v>
      </c>
      <c r="P1047" s="4">
        <f t="shared" ca="1" si="114"/>
        <v>0.51715638307413381</v>
      </c>
      <c r="Q1047" s="4">
        <f t="shared" ca="1" si="115"/>
        <v>1913.5062302251167</v>
      </c>
      <c r="R1047" s="4">
        <f t="shared" ca="1" si="116"/>
        <v>-10.163813774883238</v>
      </c>
      <c r="S1047" s="4">
        <f t="shared" ca="1" si="117"/>
        <v>-5.1029705692541123</v>
      </c>
    </row>
    <row r="1048" spans="15:19" x14ac:dyDescent="0.2">
      <c r="O1048" s="4">
        <f t="shared" ca="1" si="113"/>
        <v>9.4769646606602587E-2</v>
      </c>
      <c r="P1048" s="4">
        <f t="shared" ca="1" si="114"/>
        <v>-1.3119432201803907</v>
      </c>
      <c r="Q1048" s="4">
        <f t="shared" ca="1" si="115"/>
        <v>1948.0189098944645</v>
      </c>
      <c r="R1048" s="4">
        <f t="shared" ca="1" si="116"/>
        <v>24.348865894464552</v>
      </c>
      <c r="S1048" s="4">
        <f t="shared" ca="1" si="117"/>
        <v>12.566972431318732</v>
      </c>
    </row>
    <row r="1049" spans="15:19" x14ac:dyDescent="0.2">
      <c r="O1049" s="4">
        <f t="shared" ca="1" si="113"/>
        <v>0.50129079848125979</v>
      </c>
      <c r="P1049" s="4">
        <f t="shared" ca="1" si="114"/>
        <v>3.2355576153864501E-3</v>
      </c>
      <c r="Q1049" s="4">
        <f t="shared" ca="1" si="115"/>
        <v>1923.2032334899502</v>
      </c>
      <c r="R1049" s="4">
        <f t="shared" ca="1" si="116"/>
        <v>-0.46681051004975416</v>
      </c>
      <c r="S1049" s="4">
        <f t="shared" ca="1" si="117"/>
        <v>-0.23621534726159077</v>
      </c>
    </row>
    <row r="1050" spans="15:19" x14ac:dyDescent="0.2">
      <c r="O1050" s="4">
        <f t="shared" ca="1" si="113"/>
        <v>0.25710554462343227</v>
      </c>
      <c r="P1050" s="4">
        <f t="shared" ca="1" si="114"/>
        <v>-0.6522946832484785</v>
      </c>
      <c r="Q1050" s="4">
        <f t="shared" ca="1" si="115"/>
        <v>1935.5722183042544</v>
      </c>
      <c r="R1050" s="4">
        <f t="shared" ca="1" si="116"/>
        <v>11.902174304254459</v>
      </c>
      <c r="S1050" s="4">
        <f t="shared" ca="1" si="117"/>
        <v>6.082663353663782</v>
      </c>
    </row>
    <row r="1051" spans="15:19" x14ac:dyDescent="0.2">
      <c r="O1051" s="4">
        <f t="shared" ca="1" si="113"/>
        <v>0.6992417764491794</v>
      </c>
      <c r="P1051" s="4">
        <f t="shared" ca="1" si="114"/>
        <v>0.5222210274188146</v>
      </c>
      <c r="Q1051" s="4">
        <f t="shared" ca="1" si="115"/>
        <v>1913.410667114395</v>
      </c>
      <c r="R1051" s="4">
        <f t="shared" ca="1" si="116"/>
        <v>-10.259376885604979</v>
      </c>
      <c r="S1051" s="4">
        <f t="shared" ca="1" si="117"/>
        <v>-5.1505510734474154</v>
      </c>
    </row>
    <row r="1052" spans="15:19" x14ac:dyDescent="0.2">
      <c r="O1052" s="4">
        <f t="shared" ca="1" si="113"/>
        <v>0.53303402240440023</v>
      </c>
      <c r="P1052" s="4">
        <f t="shared" ca="1" si="114"/>
        <v>8.2898866690096371E-2</v>
      </c>
      <c r="Q1052" s="4">
        <f t="shared" ca="1" si="115"/>
        <v>1921.7000926754183</v>
      </c>
      <c r="R1052" s="4">
        <f t="shared" ca="1" si="116"/>
        <v>-1.9699513245816433</v>
      </c>
      <c r="S1052" s="4">
        <f t="shared" ca="1" si="117"/>
        <v>-0.99562893909929395</v>
      </c>
    </row>
    <row r="1053" spans="15:19" x14ac:dyDescent="0.2">
      <c r="O1053" s="4">
        <f t="shared" ca="1" si="113"/>
        <v>0.98560226231779025</v>
      </c>
      <c r="P1053" s="4">
        <f t="shared" ca="1" si="114"/>
        <v>2.1862752279354498</v>
      </c>
      <c r="Q1053" s="4">
        <f t="shared" ca="1" si="115"/>
        <v>1882.0121749422485</v>
      </c>
      <c r="R1053" s="4">
        <f t="shared" ca="1" si="116"/>
        <v>-41.657869057751441</v>
      </c>
      <c r="S1053" s="4">
        <f t="shared" ca="1" si="117"/>
        <v>-20.381202350953284</v>
      </c>
    </row>
    <row r="1054" spans="15:19" x14ac:dyDescent="0.2">
      <c r="O1054" s="4">
        <f t="shared" ca="1" si="113"/>
        <v>0.59742742114133729</v>
      </c>
      <c r="P1054" s="4">
        <f t="shared" ca="1" si="114"/>
        <v>0.24669386132772256</v>
      </c>
      <c r="Q1054" s="4">
        <f t="shared" ca="1" si="115"/>
        <v>1918.6094987179802</v>
      </c>
      <c r="R1054" s="4">
        <f t="shared" ca="1" si="116"/>
        <v>-5.0605452820198025</v>
      </c>
      <c r="S1054" s="4">
        <f t="shared" ca="1" si="117"/>
        <v>-2.5512729052606229</v>
      </c>
    </row>
    <row r="1055" spans="15:19" x14ac:dyDescent="0.2">
      <c r="O1055" s="4">
        <f t="shared" ca="1" si="113"/>
        <v>0.14162586069227356</v>
      </c>
      <c r="P1055" s="4">
        <f t="shared" ca="1" si="114"/>
        <v>-1.0730432276900699</v>
      </c>
      <c r="Q1055" s="4">
        <f t="shared" ca="1" si="115"/>
        <v>1943.5111843998236</v>
      </c>
      <c r="R1055" s="4">
        <f t="shared" ca="1" si="116"/>
        <v>19.841140399823644</v>
      </c>
      <c r="S1055" s="4">
        <f t="shared" ca="1" si="117"/>
        <v>10.204030901550444</v>
      </c>
    </row>
    <row r="1056" spans="15:19" x14ac:dyDescent="0.2">
      <c r="O1056" s="4">
        <f t="shared" ca="1" si="113"/>
        <v>0.45606505321907664</v>
      </c>
      <c r="P1056" s="4">
        <f t="shared" ca="1" si="114"/>
        <v>-0.11035214194392348</v>
      </c>
      <c r="Q1056" s="4">
        <f t="shared" ca="1" si="115"/>
        <v>1925.3464824865018</v>
      </c>
      <c r="R1056" s="4">
        <f t="shared" ca="1" si="116"/>
        <v>1.6764384865018656</v>
      </c>
      <c r="S1056" s="4">
        <f t="shared" ca="1" si="117"/>
        <v>0.84977362850049754</v>
      </c>
    </row>
    <row r="1057" spans="15:19" x14ac:dyDescent="0.2">
      <c r="O1057" s="4">
        <f t="shared" ca="1" si="113"/>
        <v>0.9987522852218137</v>
      </c>
      <c r="P1057" s="4">
        <f t="shared" ca="1" si="114"/>
        <v>3.0238950911299529</v>
      </c>
      <c r="Q1057" s="4">
        <f t="shared" ca="1" si="115"/>
        <v>1866.2074008492041</v>
      </c>
      <c r="R1057" s="4">
        <f t="shared" ca="1" si="116"/>
        <v>-57.462643150795884</v>
      </c>
      <c r="S1057" s="4">
        <f t="shared" ca="1" si="117"/>
        <v>-27.744028393159393</v>
      </c>
    </row>
    <row r="1058" spans="15:19" x14ac:dyDescent="0.2">
      <c r="O1058" s="4">
        <f t="shared" ca="1" si="113"/>
        <v>0.78767425869971042</v>
      </c>
      <c r="P1058" s="4">
        <f t="shared" ca="1" si="114"/>
        <v>0.79837745448987107</v>
      </c>
      <c r="Q1058" s="4">
        <f t="shared" ca="1" si="115"/>
        <v>1908.1999621920513</v>
      </c>
      <c r="R1058" s="4">
        <f t="shared" ca="1" si="116"/>
        <v>-15.470081807948645</v>
      </c>
      <c r="S1058" s="4">
        <f t="shared" ca="1" si="117"/>
        <v>-7.7336857353568123</v>
      </c>
    </row>
    <row r="1059" spans="15:19" x14ac:dyDescent="0.2">
      <c r="O1059" s="4">
        <f t="shared" ca="1" si="113"/>
        <v>0.40346909707492951</v>
      </c>
      <c r="P1059" s="4">
        <f t="shared" ca="1" si="114"/>
        <v>-0.24437785103302517</v>
      </c>
      <c r="Q1059" s="4">
        <f t="shared" ca="1" si="115"/>
        <v>1927.8753695722676</v>
      </c>
      <c r="R1059" s="4">
        <f t="shared" ca="1" si="116"/>
        <v>4.2053255722676113</v>
      </c>
      <c r="S1059" s="4">
        <f t="shared" ca="1" si="117"/>
        <v>2.1359759182985911</v>
      </c>
    </row>
    <row r="1060" spans="15:19" x14ac:dyDescent="0.2">
      <c r="O1060" s="4">
        <f t="shared" ca="1" si="113"/>
        <v>0.14841326205437821</v>
      </c>
      <c r="P1060" s="4">
        <f t="shared" ca="1" si="114"/>
        <v>-1.0432629531638733</v>
      </c>
      <c r="Q1060" s="4">
        <f t="shared" ca="1" si="115"/>
        <v>1942.9492701807405</v>
      </c>
      <c r="R1060" s="4">
        <f t="shared" ca="1" si="116"/>
        <v>19.279226180740579</v>
      </c>
      <c r="S1060" s="4">
        <f t="shared" ca="1" si="117"/>
        <v>9.9106361060872246</v>
      </c>
    </row>
    <row r="1061" spans="15:19" x14ac:dyDescent="0.2">
      <c r="O1061" s="4">
        <f t="shared" ca="1" si="113"/>
        <v>0.89336534041115379</v>
      </c>
      <c r="P1061" s="4">
        <f t="shared" ca="1" si="114"/>
        <v>1.2446258352753838</v>
      </c>
      <c r="Q1061" s="4">
        <f t="shared" ca="1" si="115"/>
        <v>1899.7798480596048</v>
      </c>
      <c r="R1061" s="4">
        <f t="shared" ca="1" si="116"/>
        <v>-23.890195940395188</v>
      </c>
      <c r="S1061" s="4">
        <f t="shared" ca="1" si="117"/>
        <v>-11.861119902180656</v>
      </c>
    </row>
    <row r="1062" spans="15:19" x14ac:dyDescent="0.2">
      <c r="O1062" s="4">
        <f t="shared" ca="1" si="113"/>
        <v>0.14762251403519167</v>
      </c>
      <c r="P1062" s="4">
        <f t="shared" ca="1" si="114"/>
        <v>-1.0466846880854273</v>
      </c>
      <c r="Q1062" s="4">
        <f t="shared" ca="1" si="115"/>
        <v>1943.0138337731503</v>
      </c>
      <c r="R1062" s="4">
        <f t="shared" ca="1" si="116"/>
        <v>19.34378977315032</v>
      </c>
      <c r="S1062" s="4">
        <f t="shared" ca="1" si="117"/>
        <v>9.9443339133319064</v>
      </c>
    </row>
    <row r="1063" spans="15:19" x14ac:dyDescent="0.2">
      <c r="O1063" s="4">
        <f t="shared" ca="1" si="113"/>
        <v>0.15659090566540812</v>
      </c>
      <c r="P1063" s="4">
        <f t="shared" ca="1" si="114"/>
        <v>-1.0085681025472168</v>
      </c>
      <c r="Q1063" s="4">
        <f t="shared" ca="1" si="115"/>
        <v>1942.2946244395366</v>
      </c>
      <c r="R1063" s="4">
        <f t="shared" ca="1" si="116"/>
        <v>18.624580439536658</v>
      </c>
      <c r="S1063" s="4">
        <f t="shared" ca="1" si="117"/>
        <v>9.5691471807686259</v>
      </c>
    </row>
    <row r="1064" spans="15:19" x14ac:dyDescent="0.2">
      <c r="O1064" s="4">
        <f t="shared" ca="1" si="113"/>
        <v>0.96210437595448917</v>
      </c>
      <c r="P1064" s="4">
        <f t="shared" ca="1" si="114"/>
        <v>1.7756462119736791</v>
      </c>
      <c r="Q1064" s="4">
        <f t="shared" ca="1" si="115"/>
        <v>1889.7601989785624</v>
      </c>
      <c r="R1064" s="4">
        <f t="shared" ca="1" si="116"/>
        <v>-33.909845021437604</v>
      </c>
      <c r="S1064" s="4">
        <f t="shared" ca="1" si="117"/>
        <v>-16.697415913583608</v>
      </c>
    </row>
    <row r="1065" spans="15:19" x14ac:dyDescent="0.2">
      <c r="O1065" s="4">
        <f t="shared" ca="1" si="113"/>
        <v>0.33045058704074715</v>
      </c>
      <c r="P1065" s="4">
        <f t="shared" ca="1" si="114"/>
        <v>-0.43866930129489218</v>
      </c>
      <c r="Q1065" s="4">
        <f t="shared" ca="1" si="115"/>
        <v>1931.5413911347068</v>
      </c>
      <c r="R1065" s="4">
        <f t="shared" ca="1" si="116"/>
        <v>7.8713471347068662</v>
      </c>
      <c r="S1065" s="4">
        <f t="shared" ca="1" si="117"/>
        <v>4.0097742568107888</v>
      </c>
    </row>
    <row r="1066" spans="15:19" x14ac:dyDescent="0.2">
      <c r="O1066" s="4">
        <f t="shared" ca="1" si="113"/>
        <v>3.2706705774348643E-2</v>
      </c>
      <c r="P1066" s="4">
        <f t="shared" ca="1" si="114"/>
        <v>-1.8424222371618799</v>
      </c>
      <c r="Q1066" s="4">
        <f t="shared" ca="1" si="115"/>
        <v>1958.0283442368134</v>
      </c>
      <c r="R1066" s="4">
        <f t="shared" ca="1" si="116"/>
        <v>34.35830023681342</v>
      </c>
      <c r="S1066" s="4">
        <f t="shared" ca="1" si="117"/>
        <v>17.873050404285756</v>
      </c>
    </row>
    <row r="1067" spans="15:19" x14ac:dyDescent="0.2">
      <c r="O1067" s="4">
        <f t="shared" ca="1" si="113"/>
        <v>0.36846743220980249</v>
      </c>
      <c r="P1067" s="4">
        <f t="shared" ca="1" si="114"/>
        <v>-0.33591513378295745</v>
      </c>
      <c r="Q1067" s="4">
        <f t="shared" ca="1" si="115"/>
        <v>1929.6025564962215</v>
      </c>
      <c r="R1067" s="4">
        <f t="shared" ca="1" si="116"/>
        <v>5.9325124962215341</v>
      </c>
      <c r="S1067" s="4">
        <f t="shared" ca="1" si="117"/>
        <v>3.0174226151042465</v>
      </c>
    </row>
    <row r="1068" spans="15:19" x14ac:dyDescent="0.2">
      <c r="O1068" s="4">
        <f t="shared" ca="1" si="113"/>
        <v>0.38720042954998735</v>
      </c>
      <c r="P1068" s="4">
        <f t="shared" ca="1" si="114"/>
        <v>-0.2866231860375219</v>
      </c>
      <c r="Q1068" s="4">
        <f t="shared" ca="1" si="115"/>
        <v>1928.6724829235254</v>
      </c>
      <c r="R1068" s="4">
        <f t="shared" ca="1" si="116"/>
        <v>5.0024389235254603</v>
      </c>
      <c r="S1068" s="4">
        <f t="shared" ca="1" si="117"/>
        <v>2.5424702426766559</v>
      </c>
    </row>
    <row r="1069" spans="15:19" x14ac:dyDescent="0.2">
      <c r="O1069" s="4">
        <f t="shared" ca="1" si="113"/>
        <v>0.11273259974368033</v>
      </c>
      <c r="P1069" s="4">
        <f t="shared" ca="1" si="114"/>
        <v>-1.2121232644979796</v>
      </c>
      <c r="Q1069" s="4">
        <f t="shared" ca="1" si="115"/>
        <v>1946.1354399352858</v>
      </c>
      <c r="R1069" s="4">
        <f t="shared" ca="1" si="116"/>
        <v>22.465395935285869</v>
      </c>
      <c r="S1069" s="4">
        <f t="shared" ca="1" si="117"/>
        <v>11.57764887059648</v>
      </c>
    </row>
    <row r="1070" spans="15:19" x14ac:dyDescent="0.2">
      <c r="O1070" s="4">
        <f t="shared" ca="1" si="113"/>
        <v>0.71118387152496643</v>
      </c>
      <c r="P1070" s="4">
        <f t="shared" ca="1" si="114"/>
        <v>0.556846578083808</v>
      </c>
      <c r="Q1070" s="4">
        <f t="shared" ca="1" si="115"/>
        <v>1912.7573289712179</v>
      </c>
      <c r="R1070" s="4">
        <f t="shared" ca="1" si="116"/>
        <v>-10.912715028782031</v>
      </c>
      <c r="S1070" s="4">
        <f t="shared" ca="1" si="117"/>
        <v>-5.4756464415076742</v>
      </c>
    </row>
    <row r="1071" spans="15:19" x14ac:dyDescent="0.2">
      <c r="O1071" s="4">
        <f t="shared" ca="1" si="113"/>
        <v>0.45476736292514408</v>
      </c>
      <c r="P1071" s="4">
        <f t="shared" ca="1" si="114"/>
        <v>-0.11362543230475158</v>
      </c>
      <c r="Q1071" s="4">
        <f t="shared" ca="1" si="115"/>
        <v>1925.40824512725</v>
      </c>
      <c r="R1071" s="4">
        <f t="shared" ca="1" si="116"/>
        <v>1.7382011272500222</v>
      </c>
      <c r="S1071" s="4">
        <f t="shared" ca="1" si="117"/>
        <v>0.88112433194996886</v>
      </c>
    </row>
    <row r="1072" spans="15:19" x14ac:dyDescent="0.2">
      <c r="O1072" s="4">
        <f t="shared" ca="1" si="113"/>
        <v>0.68850068488840765</v>
      </c>
      <c r="P1072" s="4">
        <f t="shared" ca="1" si="114"/>
        <v>0.49160496870600673</v>
      </c>
      <c r="Q1072" s="4">
        <f t="shared" ca="1" si="115"/>
        <v>1913.9883514707924</v>
      </c>
      <c r="R1072" s="4">
        <f t="shared" ca="1" si="116"/>
        <v>-9.6816925292075666</v>
      </c>
      <c r="S1072" s="4">
        <f t="shared" ca="1" si="117"/>
        <v>-4.862810886378429</v>
      </c>
    </row>
    <row r="1073" spans="15:19" x14ac:dyDescent="0.2">
      <c r="O1073" s="4">
        <f t="shared" ca="1" si="113"/>
        <v>0.70554008748350849</v>
      </c>
      <c r="P1073" s="4">
        <f t="shared" ca="1" si="114"/>
        <v>0.54040200554251416</v>
      </c>
      <c r="Q1073" s="4">
        <f t="shared" ca="1" si="115"/>
        <v>1913.0676162094894</v>
      </c>
      <c r="R1073" s="4">
        <f t="shared" ca="1" si="116"/>
        <v>-10.602427790510546</v>
      </c>
      <c r="S1073" s="4">
        <f t="shared" ca="1" si="117"/>
        <v>-5.3212935452210557</v>
      </c>
    </row>
    <row r="1074" spans="15:19" x14ac:dyDescent="0.2">
      <c r="O1074" s="4">
        <f t="shared" ca="1" si="113"/>
        <v>0.15873677065605896</v>
      </c>
      <c r="P1074" s="4">
        <f t="shared" ca="1" si="114"/>
        <v>-0.99966317000357297</v>
      </c>
      <c r="Q1074" s="4">
        <f t="shared" ca="1" si="115"/>
        <v>1942.1266001920822</v>
      </c>
      <c r="R1074" s="4">
        <f t="shared" ca="1" si="116"/>
        <v>18.456556192082189</v>
      </c>
      <c r="S1074" s="4">
        <f t="shared" ca="1" si="117"/>
        <v>9.4815554038711003</v>
      </c>
    </row>
    <row r="1075" spans="15:19" x14ac:dyDescent="0.2">
      <c r="O1075" s="4">
        <f t="shared" ca="1" si="113"/>
        <v>0.79399549318161489</v>
      </c>
      <c r="P1075" s="4">
        <f t="shared" ca="1" si="114"/>
        <v>0.82036332977268889</v>
      </c>
      <c r="Q1075" s="4">
        <f t="shared" ca="1" si="115"/>
        <v>1907.7851179323204</v>
      </c>
      <c r="R1075" s="4">
        <f t="shared" ca="1" si="116"/>
        <v>-15.884926067679544</v>
      </c>
      <c r="S1075" s="4">
        <f t="shared" ca="1" si="117"/>
        <v>-7.9383890324153725</v>
      </c>
    </row>
    <row r="1076" spans="15:19" x14ac:dyDescent="0.2">
      <c r="O1076" s="4">
        <f t="shared" ca="1" si="113"/>
        <v>0.53282940858993655</v>
      </c>
      <c r="P1076" s="4">
        <f t="shared" ca="1" si="114"/>
        <v>8.2384221492165816E-2</v>
      </c>
      <c r="Q1076" s="4">
        <f t="shared" ca="1" si="115"/>
        <v>1921.7098033466293</v>
      </c>
      <c r="R1076" s="4">
        <f t="shared" ca="1" si="116"/>
        <v>-1.9602406533706471</v>
      </c>
      <c r="S1076" s="4">
        <f t="shared" ca="1" si="117"/>
        <v>-0.99072883793361999</v>
      </c>
    </row>
    <row r="1077" spans="15:19" x14ac:dyDescent="0.2">
      <c r="O1077" s="4">
        <f t="shared" ca="1" si="113"/>
        <v>0.79848662635841416</v>
      </c>
      <c r="P1077" s="4">
        <f t="shared" ca="1" si="114"/>
        <v>0.83622782575212429</v>
      </c>
      <c r="Q1077" s="4">
        <f t="shared" ca="1" si="115"/>
        <v>1907.4857759681761</v>
      </c>
      <c r="R1077" s="4">
        <f t="shared" ca="1" si="116"/>
        <v>-16.184268031823876</v>
      </c>
      <c r="S1077" s="4">
        <f t="shared" ca="1" si="117"/>
        <v>-8.0860111423393324</v>
      </c>
    </row>
    <row r="1078" spans="15:19" x14ac:dyDescent="0.2">
      <c r="O1078" s="4">
        <f t="shared" ca="1" si="113"/>
        <v>0.21624742301695732</v>
      </c>
      <c r="P1078" s="4">
        <f t="shared" ca="1" si="114"/>
        <v>-0.78492960006814794</v>
      </c>
      <c r="Q1078" s="4">
        <f t="shared" ca="1" si="115"/>
        <v>1938.0748629874761</v>
      </c>
      <c r="R1078" s="4">
        <f t="shared" ca="1" si="116"/>
        <v>14.404818987476119</v>
      </c>
      <c r="S1078" s="4">
        <f t="shared" ca="1" si="117"/>
        <v>7.376326845252545</v>
      </c>
    </row>
    <row r="1079" spans="15:19" x14ac:dyDescent="0.2">
      <c r="O1079" s="4">
        <f t="shared" ca="1" si="113"/>
        <v>0.72130231699634229</v>
      </c>
      <c r="P1079" s="4">
        <f t="shared" ca="1" si="114"/>
        <v>0.58671465145777346</v>
      </c>
      <c r="Q1079" s="4">
        <f t="shared" ca="1" si="115"/>
        <v>1912.1937581045127</v>
      </c>
      <c r="R1079" s="4">
        <f t="shared" ca="1" si="116"/>
        <v>-11.476285895487308</v>
      </c>
      <c r="S1079" s="4">
        <f t="shared" ca="1" si="117"/>
        <v>-5.755795220898781</v>
      </c>
    </row>
    <row r="1080" spans="15:19" x14ac:dyDescent="0.2">
      <c r="O1080" s="4">
        <f t="shared" ca="1" si="113"/>
        <v>0.48827860805246159</v>
      </c>
      <c r="P1080" s="4">
        <f t="shared" ca="1" si="114"/>
        <v>-2.9385400983748037E-2</v>
      </c>
      <c r="Q1080" s="4">
        <f t="shared" ca="1" si="115"/>
        <v>1923.8187476438188</v>
      </c>
      <c r="R1080" s="4">
        <f t="shared" ca="1" si="116"/>
        <v>0.14870364381886247</v>
      </c>
      <c r="S1080" s="4">
        <f t="shared" ca="1" si="117"/>
        <v>7.528424246890239E-2</v>
      </c>
    </row>
    <row r="1081" spans="15:19" x14ac:dyDescent="0.2">
      <c r="O1081" s="4">
        <f t="shared" ca="1" si="113"/>
        <v>0.17209268104544118</v>
      </c>
      <c r="P1081" s="4">
        <f t="shared" ca="1" si="114"/>
        <v>-0.94592789978662362</v>
      </c>
      <c r="Q1081" s="4">
        <f t="shared" ca="1" si="115"/>
        <v>1941.1126870270234</v>
      </c>
      <c r="R1081" s="4">
        <f t="shared" ca="1" si="116"/>
        <v>17.44264302702345</v>
      </c>
      <c r="S1081" s="4">
        <f t="shared" ca="1" si="117"/>
        <v>8.9534858498339265</v>
      </c>
    </row>
    <row r="1082" spans="15:19" x14ac:dyDescent="0.2">
      <c r="O1082" s="4">
        <f t="shared" ca="1" si="113"/>
        <v>0.16224589548305701</v>
      </c>
      <c r="P1082" s="4">
        <f t="shared" ca="1" si="114"/>
        <v>-0.98526933538302996</v>
      </c>
      <c r="Q1082" s="4">
        <f t="shared" ca="1" si="115"/>
        <v>1941.8550076540987</v>
      </c>
      <c r="R1082" s="4">
        <f t="shared" ca="1" si="116"/>
        <v>18.184963654098738</v>
      </c>
      <c r="S1082" s="4">
        <f t="shared" ca="1" si="117"/>
        <v>9.3400216257245603</v>
      </c>
    </row>
    <row r="1083" spans="15:19" x14ac:dyDescent="0.2">
      <c r="O1083" s="4">
        <f t="shared" ca="1" si="113"/>
        <v>0.78809783202725847</v>
      </c>
      <c r="P1083" s="4">
        <f t="shared" ca="1" si="114"/>
        <v>0.79983856495268912</v>
      </c>
      <c r="Q1083" s="4">
        <f t="shared" ca="1" si="115"/>
        <v>1908.1723929786115</v>
      </c>
      <c r="R1083" s="4">
        <f t="shared" ca="1" si="116"/>
        <v>-15.497651021388492</v>
      </c>
      <c r="S1083" s="4">
        <f t="shared" ca="1" si="117"/>
        <v>-7.7472940034293156</v>
      </c>
    </row>
    <row r="1084" spans="15:19" x14ac:dyDescent="0.2">
      <c r="O1084" s="4">
        <f t="shared" ca="1" si="113"/>
        <v>0.19679826692724411</v>
      </c>
      <c r="P1084" s="4">
        <f t="shared" ca="1" si="114"/>
        <v>-0.85311319669249075</v>
      </c>
      <c r="Q1084" s="4">
        <f t="shared" ca="1" si="115"/>
        <v>1939.3613968781469</v>
      </c>
      <c r="R1084" s="4">
        <f t="shared" ca="1" si="116"/>
        <v>15.691352878146972</v>
      </c>
      <c r="S1084" s="4">
        <f t="shared" ca="1" si="117"/>
        <v>8.0433445188400476</v>
      </c>
    </row>
    <row r="1085" spans="15:19" x14ac:dyDescent="0.2">
      <c r="O1085" s="4">
        <f t="shared" ca="1" si="113"/>
        <v>0.25871805980020568</v>
      </c>
      <c r="P1085" s="4">
        <f t="shared" ca="1" si="114"/>
        <v>-0.64730259927854594</v>
      </c>
      <c r="Q1085" s="4">
        <f t="shared" ca="1" si="115"/>
        <v>1935.4780243114119</v>
      </c>
      <c r="R1085" s="4">
        <f t="shared" ca="1" si="116"/>
        <v>11.807980311411939</v>
      </c>
      <c r="S1085" s="4">
        <f t="shared" ca="1" si="117"/>
        <v>6.0340723021274671</v>
      </c>
    </row>
    <row r="1086" spans="15:19" x14ac:dyDescent="0.2">
      <c r="O1086" s="4">
        <f t="shared" ca="1" si="113"/>
        <v>0.20726113512870792</v>
      </c>
      <c r="P1086" s="4">
        <f t="shared" ca="1" si="114"/>
        <v>-0.8159612998664072</v>
      </c>
      <c r="Q1086" s="4">
        <f t="shared" ca="1" si="115"/>
        <v>1938.6603899390029</v>
      </c>
      <c r="R1086" s="4">
        <f t="shared" ca="1" si="116"/>
        <v>14.990345939002964</v>
      </c>
      <c r="S1086" s="4">
        <f t="shared" ca="1" si="117"/>
        <v>7.6797326609391812</v>
      </c>
    </row>
    <row r="1087" spans="15:19" x14ac:dyDescent="0.2">
      <c r="O1087" s="4">
        <f t="shared" ca="1" si="113"/>
        <v>0.56671903611620311</v>
      </c>
      <c r="P1087" s="4">
        <f t="shared" ca="1" si="114"/>
        <v>0.16802714027498911</v>
      </c>
      <c r="Q1087" s="4">
        <f t="shared" ca="1" si="115"/>
        <v>1920.0938352404419</v>
      </c>
      <c r="R1087" s="4">
        <f t="shared" ca="1" si="116"/>
        <v>-3.5762087595580851</v>
      </c>
      <c r="S1087" s="4">
        <f t="shared" ca="1" si="117"/>
        <v>-1.8051057848480503</v>
      </c>
    </row>
    <row r="1088" spans="15:19" x14ac:dyDescent="0.2">
      <c r="O1088" s="4">
        <f t="shared" ca="1" si="113"/>
        <v>0.82160470064617197</v>
      </c>
      <c r="P1088" s="4">
        <f t="shared" ca="1" si="114"/>
        <v>0.92149778198547438</v>
      </c>
      <c r="Q1088" s="4">
        <f t="shared" ca="1" si="115"/>
        <v>1905.8768451698397</v>
      </c>
      <c r="R1088" s="4">
        <f t="shared" ca="1" si="116"/>
        <v>-17.793198830160236</v>
      </c>
      <c r="S1088" s="4">
        <f t="shared" ca="1" si="117"/>
        <v>-8.8782142584883239</v>
      </c>
    </row>
    <row r="1089" spans="15:19" x14ac:dyDescent="0.2">
      <c r="O1089" s="4">
        <f t="shared" ca="1" si="113"/>
        <v>0.91366743018977203</v>
      </c>
      <c r="P1089" s="4">
        <f t="shared" ca="1" si="114"/>
        <v>1.3636900414649973</v>
      </c>
      <c r="Q1089" s="4">
        <f t="shared" ca="1" si="115"/>
        <v>1897.5332646581348</v>
      </c>
      <c r="R1089" s="4">
        <f t="shared" ca="1" si="116"/>
        <v>-26.136779341865122</v>
      </c>
      <c r="S1089" s="4">
        <f t="shared" ca="1" si="117"/>
        <v>-12.95261200748854</v>
      </c>
    </row>
    <row r="1090" spans="15:19" x14ac:dyDescent="0.2">
      <c r="O1090" s="4">
        <f t="shared" ca="1" si="113"/>
        <v>0.88044750447661335</v>
      </c>
      <c r="P1090" s="4">
        <f t="shared" ca="1" si="114"/>
        <v>1.1772268087597375</v>
      </c>
      <c r="Q1090" s="4">
        <f t="shared" ca="1" si="115"/>
        <v>1901.0515781545771</v>
      </c>
      <c r="R1090" s="4">
        <f t="shared" ca="1" si="116"/>
        <v>-22.618465845422861</v>
      </c>
      <c r="S1090" s="4">
        <f t="shared" ca="1" si="117"/>
        <v>-11.24143437728897</v>
      </c>
    </row>
    <row r="1091" spans="15:19" x14ac:dyDescent="0.2">
      <c r="O1091" s="4">
        <f t="shared" ref="O1091:O1154" ca="1" si="118">RAND()</f>
        <v>0.94457693643865404</v>
      </c>
      <c r="P1091" s="4">
        <f t="shared" ref="P1091:P1154" ca="1" si="119">NORMSINV(O1091)</f>
        <v>1.5944015427089009</v>
      </c>
      <c r="Q1091" s="4">
        <f t="shared" ref="Q1091:Q1154" ca="1" si="120">$B$4*(1+$B$17-$B$32*P1091)</f>
        <v>1893.1800451154168</v>
      </c>
      <c r="R1091" s="4">
        <f t="shared" ref="R1091:R1154" ca="1" si="121">Q1091-$B$4</f>
        <v>-30.489998884583201</v>
      </c>
      <c r="S1091" s="4">
        <f t="shared" ref="S1091:S1154" ca="1" si="122">R1091*$B$12+0.5*$B$13*R1091^2</f>
        <v>-15.055908234004518</v>
      </c>
    </row>
    <row r="1092" spans="15:19" x14ac:dyDescent="0.2">
      <c r="O1092" s="4">
        <f t="shared" ca="1" si="118"/>
        <v>0.97859858497798491</v>
      </c>
      <c r="P1092" s="4">
        <f t="shared" ca="1" si="119"/>
        <v>2.0256288769823918</v>
      </c>
      <c r="Q1092" s="4">
        <f t="shared" ca="1" si="120"/>
        <v>1885.0433581761345</v>
      </c>
      <c r="R1092" s="4">
        <f t="shared" ca="1" si="121"/>
        <v>-38.6266858238655</v>
      </c>
      <c r="S1092" s="4">
        <f t="shared" ca="1" si="122"/>
        <v>-18.945850933442717</v>
      </c>
    </row>
    <row r="1093" spans="15:19" x14ac:dyDescent="0.2">
      <c r="O1093" s="4">
        <f t="shared" ca="1" si="118"/>
        <v>0.70209594220083882</v>
      </c>
      <c r="P1093" s="4">
        <f t="shared" ca="1" si="119"/>
        <v>0.53043824456005073</v>
      </c>
      <c r="Q1093" s="4">
        <f t="shared" ca="1" si="120"/>
        <v>1913.2556191429971</v>
      </c>
      <c r="R1093" s="4">
        <f t="shared" ca="1" si="121"/>
        <v>-10.414424857002814</v>
      </c>
      <c r="S1093" s="4">
        <f t="shared" ca="1" si="122"/>
        <v>-5.2277330429252551</v>
      </c>
    </row>
    <row r="1094" spans="15:19" x14ac:dyDescent="0.2">
      <c r="O1094" s="4">
        <f t="shared" ca="1" si="118"/>
        <v>0.10668918688792672</v>
      </c>
      <c r="P1094" s="4">
        <f t="shared" ca="1" si="119"/>
        <v>-1.244329348609281</v>
      </c>
      <c r="Q1094" s="4">
        <f t="shared" ca="1" si="120"/>
        <v>1946.743125958704</v>
      </c>
      <c r="R1094" s="4">
        <f t="shared" ca="1" si="121"/>
        <v>23.073081958704051</v>
      </c>
      <c r="S1094" s="4">
        <f t="shared" ca="1" si="122"/>
        <v>11.89653035386163</v>
      </c>
    </row>
    <row r="1095" spans="15:19" x14ac:dyDescent="0.2">
      <c r="O1095" s="4">
        <f t="shared" ca="1" si="118"/>
        <v>0.23759278195186906</v>
      </c>
      <c r="P1095" s="4">
        <f t="shared" ca="1" si="119"/>
        <v>-0.71406730182115086</v>
      </c>
      <c r="Q1095" s="4">
        <f t="shared" ca="1" si="120"/>
        <v>1936.7377855556724</v>
      </c>
      <c r="R1095" s="4">
        <f t="shared" ca="1" si="121"/>
        <v>13.067741555672455</v>
      </c>
      <c r="S1095" s="4">
        <f t="shared" ca="1" si="122"/>
        <v>6.6845323029985035</v>
      </c>
    </row>
    <row r="1096" spans="15:19" x14ac:dyDescent="0.2">
      <c r="O1096" s="4">
        <f t="shared" ca="1" si="118"/>
        <v>3.4319552039907553E-3</v>
      </c>
      <c r="P1096" s="4">
        <f t="shared" ca="1" si="119"/>
        <v>-2.7033757525439075</v>
      </c>
      <c r="Q1096" s="4">
        <f t="shared" ca="1" si="120"/>
        <v>1974.2733933493432</v>
      </c>
      <c r="R1096" s="4">
        <f t="shared" ca="1" si="121"/>
        <v>50.603349349343262</v>
      </c>
      <c r="S1096" s="4">
        <f t="shared" ca="1" si="122"/>
        <v>26.65829284082502</v>
      </c>
    </row>
    <row r="1097" spans="15:19" x14ac:dyDescent="0.2">
      <c r="O1097" s="4">
        <f t="shared" ca="1" si="118"/>
        <v>0.62127131316950113</v>
      </c>
      <c r="P1097" s="4">
        <f t="shared" ca="1" si="119"/>
        <v>0.30882142077475516</v>
      </c>
      <c r="Q1097" s="4">
        <f t="shared" ca="1" si="120"/>
        <v>1917.4372342037796</v>
      </c>
      <c r="R1097" s="4">
        <f t="shared" ca="1" si="121"/>
        <v>-6.2328097962204083</v>
      </c>
      <c r="S1097" s="4">
        <f t="shared" ca="1" si="122"/>
        <v>-3.1392955767458517</v>
      </c>
    </row>
    <row r="1098" spans="15:19" x14ac:dyDescent="0.2">
      <c r="O1098" s="4">
        <f t="shared" ca="1" si="118"/>
        <v>0.33644763027267877</v>
      </c>
      <c r="P1098" s="4">
        <f t="shared" ca="1" si="119"/>
        <v>-0.42217777764716025</v>
      </c>
      <c r="Q1098" s="4">
        <f t="shared" ca="1" si="120"/>
        <v>1931.2302179914288</v>
      </c>
      <c r="R1098" s="4">
        <f t="shared" ca="1" si="121"/>
        <v>7.5601739914288828</v>
      </c>
      <c r="S1098" s="4">
        <f t="shared" ca="1" si="122"/>
        <v>3.8503006682603584</v>
      </c>
    </row>
    <row r="1099" spans="15:19" x14ac:dyDescent="0.2">
      <c r="O1099" s="4">
        <f t="shared" ca="1" si="118"/>
        <v>0.41381417189655711</v>
      </c>
      <c r="P1099" s="4">
        <f t="shared" ca="1" si="119"/>
        <v>-0.21774430193593189</v>
      </c>
      <c r="Q1099" s="4">
        <f t="shared" ca="1" si="120"/>
        <v>1927.3728298818046</v>
      </c>
      <c r="R1099" s="4">
        <f t="shared" ca="1" si="121"/>
        <v>3.7027858818046298</v>
      </c>
      <c r="S1099" s="4">
        <f t="shared" ca="1" si="122"/>
        <v>1.8799676546126496</v>
      </c>
    </row>
    <row r="1100" spans="15:19" x14ac:dyDescent="0.2">
      <c r="O1100" s="4">
        <f t="shared" ca="1" si="118"/>
        <v>0.78910950491295262</v>
      </c>
      <c r="P1100" s="4">
        <f t="shared" ca="1" si="119"/>
        <v>0.80333524787529931</v>
      </c>
      <c r="Q1100" s="4">
        <f t="shared" ca="1" si="120"/>
        <v>1908.1064152169856</v>
      </c>
      <c r="R1100" s="4">
        <f t="shared" ca="1" si="121"/>
        <v>-15.563628783014337</v>
      </c>
      <c r="S1100" s="4">
        <f t="shared" ca="1" si="122"/>
        <v>-7.7798583637803507</v>
      </c>
    </row>
    <row r="1101" spans="15:19" x14ac:dyDescent="0.2">
      <c r="O1101" s="4">
        <f t="shared" ca="1" si="118"/>
        <v>0.43001929208713641</v>
      </c>
      <c r="P1101" s="4">
        <f t="shared" ca="1" si="119"/>
        <v>-0.17632504886451439</v>
      </c>
      <c r="Q1101" s="4">
        <f t="shared" ca="1" si="120"/>
        <v>1926.591303599226</v>
      </c>
      <c r="R1101" s="4">
        <f t="shared" ca="1" si="121"/>
        <v>2.9212595992260049</v>
      </c>
      <c r="S1101" s="4">
        <f t="shared" ca="1" si="122"/>
        <v>1.4822440527073422</v>
      </c>
    </row>
    <row r="1102" spans="15:19" x14ac:dyDescent="0.2">
      <c r="O1102" s="4">
        <f t="shared" ca="1" si="118"/>
        <v>0.3286851120091514</v>
      </c>
      <c r="P1102" s="4">
        <f t="shared" ca="1" si="119"/>
        <v>-0.44354687203885207</v>
      </c>
      <c r="Q1102" s="4">
        <f t="shared" ca="1" si="120"/>
        <v>1931.6334244150989</v>
      </c>
      <c r="R1102" s="4">
        <f t="shared" ca="1" si="121"/>
        <v>7.9633804150989818</v>
      </c>
      <c r="S1102" s="4">
        <f t="shared" ca="1" si="122"/>
        <v>4.0569556357083867</v>
      </c>
    </row>
    <row r="1103" spans="15:19" x14ac:dyDescent="0.2">
      <c r="O1103" s="4">
        <f t="shared" ca="1" si="118"/>
        <v>0.16950374736858953</v>
      </c>
      <c r="P1103" s="4">
        <f t="shared" ca="1" si="119"/>
        <v>-0.95612814930234313</v>
      </c>
      <c r="Q1103" s="4">
        <f t="shared" ca="1" si="120"/>
        <v>1941.3051521849936</v>
      </c>
      <c r="R1103" s="4">
        <f t="shared" ca="1" si="121"/>
        <v>17.635108184993669</v>
      </c>
      <c r="S1103" s="4">
        <f t="shared" ca="1" si="122"/>
        <v>9.0536618220221463</v>
      </c>
    </row>
    <row r="1104" spans="15:19" x14ac:dyDescent="0.2">
      <c r="O1104" s="4">
        <f t="shared" ca="1" si="118"/>
        <v>5.5238277179825435E-4</v>
      </c>
      <c r="P1104" s="4">
        <f t="shared" ca="1" si="119"/>
        <v>-3.2623912436918365</v>
      </c>
      <c r="Q1104" s="4">
        <f t="shared" ca="1" si="120"/>
        <v>1984.8212730502973</v>
      </c>
      <c r="R1104" s="4">
        <f t="shared" ca="1" si="121"/>
        <v>61.151229050297388</v>
      </c>
      <c r="S1104" s="4">
        <f t="shared" ca="1" si="122"/>
        <v>32.477575418953279</v>
      </c>
    </row>
    <row r="1105" spans="15:19" x14ac:dyDescent="0.2">
      <c r="O1105" s="4">
        <f t="shared" ca="1" si="118"/>
        <v>0.90637850240273643</v>
      </c>
      <c r="P1105" s="4">
        <f t="shared" ca="1" si="119"/>
        <v>1.3187790348090946</v>
      </c>
      <c r="Q1105" s="4">
        <f t="shared" ca="1" si="120"/>
        <v>1898.380675692277</v>
      </c>
      <c r="R1105" s="4">
        <f t="shared" ca="1" si="121"/>
        <v>-25.289368307722953</v>
      </c>
      <c r="S1105" s="4">
        <f t="shared" ca="1" si="122"/>
        <v>-12.541383946068253</v>
      </c>
    </row>
    <row r="1106" spans="15:19" x14ac:dyDescent="0.2">
      <c r="O1106" s="4">
        <f t="shared" ca="1" si="118"/>
        <v>0.57958328906303058</v>
      </c>
      <c r="P1106" s="4">
        <f t="shared" ca="1" si="119"/>
        <v>0.20082754759094157</v>
      </c>
      <c r="Q1106" s="4">
        <f t="shared" ca="1" si="120"/>
        <v>1919.4749351276732</v>
      </c>
      <c r="R1106" s="4">
        <f t="shared" ca="1" si="121"/>
        <v>-4.1951088723267276</v>
      </c>
      <c r="S1106" s="4">
        <f t="shared" ca="1" si="122"/>
        <v>-2.1164412156177415</v>
      </c>
    </row>
    <row r="1107" spans="15:19" x14ac:dyDescent="0.2">
      <c r="O1107" s="4">
        <f t="shared" ca="1" si="118"/>
        <v>0.40631296046896248</v>
      </c>
      <c r="P1107" s="4">
        <f t="shared" ca="1" si="119"/>
        <v>-0.23703979110392603</v>
      </c>
      <c r="Q1107" s="4">
        <f t="shared" ca="1" si="120"/>
        <v>1927.7369101295576</v>
      </c>
      <c r="R1107" s="4">
        <f t="shared" ca="1" si="121"/>
        <v>4.0668661295576385</v>
      </c>
      <c r="S1107" s="4">
        <f t="shared" ca="1" si="122"/>
        <v>2.0654201501504765</v>
      </c>
    </row>
    <row r="1108" spans="15:19" x14ac:dyDescent="0.2">
      <c r="O1108" s="4">
        <f t="shared" ca="1" si="118"/>
        <v>0.14403175141054414</v>
      </c>
      <c r="P1108" s="4">
        <f t="shared" ca="1" si="119"/>
        <v>-1.0623793537045985</v>
      </c>
      <c r="Q1108" s="4">
        <f t="shared" ca="1" si="120"/>
        <v>1943.3099712640051</v>
      </c>
      <c r="R1108" s="4">
        <f t="shared" ca="1" si="121"/>
        <v>19.639927264005109</v>
      </c>
      <c r="S1108" s="4">
        <f t="shared" ca="1" si="122"/>
        <v>10.098941038860623</v>
      </c>
    </row>
    <row r="1109" spans="15:19" x14ac:dyDescent="0.2">
      <c r="O1109" s="4">
        <f t="shared" ca="1" si="118"/>
        <v>4.9198933689004076E-2</v>
      </c>
      <c r="P1109" s="4">
        <f t="shared" ca="1" si="119"/>
        <v>-1.6526708632542635</v>
      </c>
      <c r="Q1109" s="4">
        <f t="shared" ca="1" si="120"/>
        <v>1954.447987883972</v>
      </c>
      <c r="R1109" s="4">
        <f t="shared" ca="1" si="121"/>
        <v>30.777943883972057</v>
      </c>
      <c r="S1109" s="4">
        <f t="shared" ca="1" si="122"/>
        <v>15.965705942092544</v>
      </c>
    </row>
    <row r="1110" spans="15:19" x14ac:dyDescent="0.2">
      <c r="O1110" s="4">
        <f t="shared" ca="1" si="118"/>
        <v>0.7169863541931456</v>
      </c>
      <c r="P1110" s="4">
        <f t="shared" ca="1" si="119"/>
        <v>0.57391208960404116</v>
      </c>
      <c r="Q1110" s="4">
        <f t="shared" ca="1" si="120"/>
        <v>1912.4353254392927</v>
      </c>
      <c r="R1110" s="4">
        <f t="shared" ca="1" si="121"/>
        <v>-11.234718560707279</v>
      </c>
      <c r="S1110" s="4">
        <f t="shared" ca="1" si="122"/>
        <v>-5.6357447480770624</v>
      </c>
    </row>
    <row r="1111" spans="15:19" x14ac:dyDescent="0.2">
      <c r="O1111" s="4">
        <f t="shared" ca="1" si="118"/>
        <v>0.87873921356627871</v>
      </c>
      <c r="P1111" s="4">
        <f t="shared" ca="1" si="119"/>
        <v>1.1687073171824798</v>
      </c>
      <c r="Q1111" s="4">
        <f t="shared" ca="1" si="120"/>
        <v>1901.2123296430298</v>
      </c>
      <c r="R1111" s="4">
        <f t="shared" ca="1" si="121"/>
        <v>-22.4577143569702</v>
      </c>
      <c r="S1111" s="4">
        <f t="shared" ca="1" si="122"/>
        <v>-11.163010048568564</v>
      </c>
    </row>
    <row r="1112" spans="15:19" x14ac:dyDescent="0.2">
      <c r="O1112" s="4">
        <f t="shared" ca="1" si="118"/>
        <v>0.96329771944730713</v>
      </c>
      <c r="P1112" s="4">
        <f t="shared" ca="1" si="119"/>
        <v>1.7903070651263981</v>
      </c>
      <c r="Q1112" s="4">
        <f t="shared" ca="1" si="120"/>
        <v>1889.483568155594</v>
      </c>
      <c r="R1112" s="4">
        <f t="shared" ca="1" si="121"/>
        <v>-34.186475844406004</v>
      </c>
      <c r="S1112" s="4">
        <f t="shared" ca="1" si="122"/>
        <v>-16.82978096239852</v>
      </c>
    </row>
    <row r="1113" spans="15:19" x14ac:dyDescent="0.2">
      <c r="O1113" s="4">
        <f t="shared" ca="1" si="118"/>
        <v>0.75637039471920797</v>
      </c>
      <c r="P1113" s="4">
        <f t="shared" ca="1" si="119"/>
        <v>0.69467466200113348</v>
      </c>
      <c r="Q1113" s="4">
        <f t="shared" ca="1" si="120"/>
        <v>1910.1566961236601</v>
      </c>
      <c r="R1113" s="4">
        <f t="shared" ca="1" si="121"/>
        <v>-13.513347876339822</v>
      </c>
      <c r="S1113" s="4">
        <f t="shared" ca="1" si="122"/>
        <v>-6.7662539132910897</v>
      </c>
    </row>
    <row r="1114" spans="15:19" x14ac:dyDescent="0.2">
      <c r="O1114" s="4">
        <f t="shared" ca="1" si="118"/>
        <v>6.3776782052237468E-2</v>
      </c>
      <c r="P1114" s="4">
        <f t="shared" ca="1" si="119"/>
        <v>-1.5238204720179331</v>
      </c>
      <c r="Q1114" s="4">
        <f t="shared" ca="1" si="120"/>
        <v>1952.0167521710032</v>
      </c>
      <c r="R1114" s="4">
        <f t="shared" ca="1" si="121"/>
        <v>28.346708171003229</v>
      </c>
      <c r="S1114" s="4">
        <f t="shared" ca="1" si="122"/>
        <v>14.676476051547864</v>
      </c>
    </row>
    <row r="1115" spans="15:19" x14ac:dyDescent="0.2">
      <c r="O1115" s="4">
        <f t="shared" ca="1" si="118"/>
        <v>0.79482731656387773</v>
      </c>
      <c r="P1115" s="4">
        <f t="shared" ca="1" si="119"/>
        <v>0.82328601093573517</v>
      </c>
      <c r="Q1115" s="4">
        <f t="shared" ca="1" si="120"/>
        <v>1907.7299708213723</v>
      </c>
      <c r="R1115" s="4">
        <f t="shared" ca="1" si="121"/>
        <v>-15.940073178627699</v>
      </c>
      <c r="S1115" s="4">
        <f t="shared" ca="1" si="122"/>
        <v>-7.9655906105398842</v>
      </c>
    </row>
    <row r="1116" spans="15:19" x14ac:dyDescent="0.2">
      <c r="O1116" s="4">
        <f t="shared" ca="1" si="118"/>
        <v>0.40873512908094822</v>
      </c>
      <c r="P1116" s="4">
        <f t="shared" ca="1" si="119"/>
        <v>-0.23079990098232622</v>
      </c>
      <c r="Q1116" s="4">
        <f t="shared" ca="1" si="120"/>
        <v>1927.6191716922656</v>
      </c>
      <c r="R1116" s="4">
        <f t="shared" ca="1" si="121"/>
        <v>3.9491276922656198</v>
      </c>
      <c r="S1116" s="4">
        <f t="shared" ca="1" si="122"/>
        <v>2.005435611853331</v>
      </c>
    </row>
    <row r="1117" spans="15:19" x14ac:dyDescent="0.2">
      <c r="O1117" s="4">
        <f t="shared" ca="1" si="118"/>
        <v>0.35929677579033803</v>
      </c>
      <c r="P1117" s="4">
        <f t="shared" ca="1" si="119"/>
        <v>-0.36033911510358246</v>
      </c>
      <c r="Q1117" s="4">
        <f t="shared" ca="1" si="120"/>
        <v>1930.063404578015</v>
      </c>
      <c r="R1117" s="4">
        <f t="shared" ca="1" si="121"/>
        <v>6.3933605780150629</v>
      </c>
      <c r="S1117" s="4">
        <f t="shared" ca="1" si="122"/>
        <v>3.2530207257680623</v>
      </c>
    </row>
    <row r="1118" spans="15:19" x14ac:dyDescent="0.2">
      <c r="O1118" s="4">
        <f t="shared" ca="1" si="118"/>
        <v>0.90653799989907047</v>
      </c>
      <c r="P1118" s="4">
        <f t="shared" ca="1" si="119"/>
        <v>1.3197335325737523</v>
      </c>
      <c r="Q1118" s="4">
        <f t="shared" ca="1" si="120"/>
        <v>1898.3626655874482</v>
      </c>
      <c r="R1118" s="4">
        <f t="shared" ca="1" si="121"/>
        <v>-25.30737841255177</v>
      </c>
      <c r="S1118" s="4">
        <f t="shared" ca="1" si="122"/>
        <v>-12.55012989460378</v>
      </c>
    </row>
    <row r="1119" spans="15:19" x14ac:dyDescent="0.2">
      <c r="O1119" s="4">
        <f t="shared" ca="1" si="118"/>
        <v>0.56888728666788435</v>
      </c>
      <c r="P1119" s="4">
        <f t="shared" ca="1" si="119"/>
        <v>0.17354198828083986</v>
      </c>
      <c r="Q1119" s="4">
        <f t="shared" ca="1" si="120"/>
        <v>1919.989777384701</v>
      </c>
      <c r="R1119" s="4">
        <f t="shared" ca="1" si="121"/>
        <v>-3.6802666152989332</v>
      </c>
      <c r="S1119" s="4">
        <f t="shared" ca="1" si="122"/>
        <v>-1.8574735154290705</v>
      </c>
    </row>
    <row r="1120" spans="15:19" x14ac:dyDescent="0.2">
      <c r="O1120" s="4">
        <f t="shared" ca="1" si="118"/>
        <v>0.3864248027127577</v>
      </c>
      <c r="P1120" s="4">
        <f t="shared" ca="1" si="119"/>
        <v>-0.28864950792163552</v>
      </c>
      <c r="Q1120" s="4">
        <f t="shared" ca="1" si="120"/>
        <v>1928.7107169256371</v>
      </c>
      <c r="R1120" s="4">
        <f t="shared" ca="1" si="121"/>
        <v>5.0406729256371818</v>
      </c>
      <c r="S1120" s="4">
        <f t="shared" ca="1" si="122"/>
        <v>2.5619809788882972</v>
      </c>
    </row>
    <row r="1121" spans="15:19" x14ac:dyDescent="0.2">
      <c r="O1121" s="4">
        <f t="shared" ca="1" si="118"/>
        <v>0.9633134339888868</v>
      </c>
      <c r="P1121" s="4">
        <f t="shared" ca="1" si="119"/>
        <v>1.7905027097481432</v>
      </c>
      <c r="Q1121" s="4">
        <f t="shared" ca="1" si="120"/>
        <v>1889.4798766014833</v>
      </c>
      <c r="R1121" s="4">
        <f t="shared" ca="1" si="121"/>
        <v>-34.190167398516678</v>
      </c>
      <c r="S1121" s="4">
        <f t="shared" ca="1" si="122"/>
        <v>-16.831546912430156</v>
      </c>
    </row>
    <row r="1122" spans="15:19" x14ac:dyDescent="0.2">
      <c r="O1122" s="4">
        <f t="shared" ca="1" si="118"/>
        <v>2.9274081053678458E-3</v>
      </c>
      <c r="P1122" s="4">
        <f t="shared" ca="1" si="119"/>
        <v>-2.7558034811734879</v>
      </c>
      <c r="Q1122" s="4">
        <f t="shared" ca="1" si="120"/>
        <v>1975.2626349416355</v>
      </c>
      <c r="R1122" s="4">
        <f t="shared" ca="1" si="121"/>
        <v>51.592590941635535</v>
      </c>
      <c r="S1122" s="4">
        <f t="shared" ca="1" si="122"/>
        <v>27.200209888051234</v>
      </c>
    </row>
    <row r="1123" spans="15:19" x14ac:dyDescent="0.2">
      <c r="O1123" s="4">
        <f t="shared" ca="1" si="118"/>
        <v>0.26879421632359324</v>
      </c>
      <c r="P1123" s="4">
        <f t="shared" ca="1" si="119"/>
        <v>-0.61646383649255643</v>
      </c>
      <c r="Q1123" s="4">
        <f t="shared" ca="1" si="120"/>
        <v>1934.8961378250017</v>
      </c>
      <c r="R1123" s="4">
        <f t="shared" ca="1" si="121"/>
        <v>11.226093825001726</v>
      </c>
      <c r="S1123" s="4">
        <f t="shared" ca="1" si="122"/>
        <v>5.7340596262339876</v>
      </c>
    </row>
    <row r="1124" spans="15:19" x14ac:dyDescent="0.2">
      <c r="O1124" s="4">
        <f t="shared" ca="1" si="118"/>
        <v>0.42915446653972023</v>
      </c>
      <c r="P1124" s="4">
        <f t="shared" ca="1" si="119"/>
        <v>-0.17852723656437092</v>
      </c>
      <c r="Q1124" s="4">
        <f t="shared" ca="1" si="120"/>
        <v>1926.6328559556537</v>
      </c>
      <c r="R1124" s="4">
        <f t="shared" ca="1" si="121"/>
        <v>2.9628119556537058</v>
      </c>
      <c r="S1124" s="4">
        <f t="shared" ca="1" si="122"/>
        <v>1.5033777897526004</v>
      </c>
    </row>
    <row r="1125" spans="15:19" x14ac:dyDescent="0.2">
      <c r="O1125" s="4">
        <f t="shared" ca="1" si="118"/>
        <v>0.34059202895896434</v>
      </c>
      <c r="P1125" s="4">
        <f t="shared" ca="1" si="119"/>
        <v>-0.41084791289940742</v>
      </c>
      <c r="Q1125" s="4">
        <f t="shared" ca="1" si="120"/>
        <v>1931.0164384946534</v>
      </c>
      <c r="R1125" s="4">
        <f t="shared" ca="1" si="121"/>
        <v>7.3463944946533957</v>
      </c>
      <c r="S1125" s="4">
        <f t="shared" ca="1" si="122"/>
        <v>3.7407861779249063</v>
      </c>
    </row>
    <row r="1126" spans="15:19" x14ac:dyDescent="0.2">
      <c r="O1126" s="4">
        <f t="shared" ca="1" si="118"/>
        <v>0.65472864765700112</v>
      </c>
      <c r="P1126" s="4">
        <f t="shared" ca="1" si="119"/>
        <v>0.39811868100934844</v>
      </c>
      <c r="Q1126" s="4">
        <f t="shared" ca="1" si="120"/>
        <v>1915.7523135289605</v>
      </c>
      <c r="R1126" s="4">
        <f t="shared" ca="1" si="121"/>
        <v>-7.9177304710394765</v>
      </c>
      <c r="S1126" s="4">
        <f t="shared" ca="1" si="122"/>
        <v>-3.9825133625533855</v>
      </c>
    </row>
    <row r="1127" spans="15:19" x14ac:dyDescent="0.2">
      <c r="O1127" s="4">
        <f t="shared" ca="1" si="118"/>
        <v>0.47291810296341275</v>
      </c>
      <c r="P1127" s="4">
        <f t="shared" ca="1" si="119"/>
        <v>-6.7936471275660396E-2</v>
      </c>
      <c r="Q1127" s="4">
        <f t="shared" ca="1" si="120"/>
        <v>1924.5461551275491</v>
      </c>
      <c r="R1127" s="4">
        <f t="shared" ca="1" si="121"/>
        <v>0.87611112754916576</v>
      </c>
      <c r="S1127" s="4">
        <f t="shared" ca="1" si="122"/>
        <v>0.44380848860477151</v>
      </c>
    </row>
    <row r="1128" spans="15:19" x14ac:dyDescent="0.2">
      <c r="O1128" s="4">
        <f t="shared" ca="1" si="118"/>
        <v>0.35770436805735983</v>
      </c>
      <c r="P1128" s="4">
        <f t="shared" ca="1" si="119"/>
        <v>-0.36460171278842729</v>
      </c>
      <c r="Q1128" s="4">
        <f t="shared" ca="1" si="120"/>
        <v>1930.1438341337346</v>
      </c>
      <c r="R1128" s="4">
        <f t="shared" ca="1" si="121"/>
        <v>6.4737901337346102</v>
      </c>
      <c r="S1128" s="4">
        <f t="shared" ca="1" si="122"/>
        <v>3.2941562302954011</v>
      </c>
    </row>
    <row r="1129" spans="15:19" x14ac:dyDescent="0.2">
      <c r="O1129" s="4">
        <f t="shared" ca="1" si="118"/>
        <v>0.94948632670342492</v>
      </c>
      <c r="P1129" s="4">
        <f t="shared" ca="1" si="119"/>
        <v>1.6398933365166579</v>
      </c>
      <c r="Q1129" s="4">
        <f t="shared" ca="1" si="120"/>
        <v>1892.3216753992583</v>
      </c>
      <c r="R1129" s="4">
        <f t="shared" ca="1" si="121"/>
        <v>-31.348368600741651</v>
      </c>
      <c r="S1129" s="4">
        <f t="shared" ca="1" si="122"/>
        <v>-15.468816083407665</v>
      </c>
    </row>
    <row r="1130" spans="15:19" x14ac:dyDescent="0.2">
      <c r="O1130" s="4">
        <f t="shared" ca="1" si="118"/>
        <v>0.28543208763893113</v>
      </c>
      <c r="P1130" s="4">
        <f t="shared" ca="1" si="119"/>
        <v>-0.56677924216826248</v>
      </c>
      <c r="Q1130" s="4">
        <f t="shared" ca="1" si="120"/>
        <v>1933.9586555329688</v>
      </c>
      <c r="R1130" s="4">
        <f t="shared" ca="1" si="121"/>
        <v>10.288611532968844</v>
      </c>
      <c r="S1130" s="4">
        <f t="shared" ca="1" si="122"/>
        <v>5.2512864614937893</v>
      </c>
    </row>
    <row r="1131" spans="15:19" x14ac:dyDescent="0.2">
      <c r="O1131" s="4">
        <f t="shared" ca="1" si="118"/>
        <v>0.48051028712201038</v>
      </c>
      <c r="P1131" s="4">
        <f t="shared" ca="1" si="119"/>
        <v>-4.8872914391358123E-2</v>
      </c>
      <c r="Q1131" s="4">
        <f t="shared" ca="1" si="120"/>
        <v>1924.1864511338817</v>
      </c>
      <c r="R1131" s="4">
        <f t="shared" ca="1" si="121"/>
        <v>0.51640713388178483</v>
      </c>
      <c r="S1131" s="4">
        <f t="shared" ca="1" si="122"/>
        <v>0.26151890505633918</v>
      </c>
    </row>
    <row r="1132" spans="15:19" x14ac:dyDescent="0.2">
      <c r="O1132" s="4">
        <f t="shared" ca="1" si="118"/>
        <v>0.55968119566677288</v>
      </c>
      <c r="P1132" s="4">
        <f t="shared" ca="1" si="119"/>
        <v>0.15016098197940578</v>
      </c>
      <c r="Q1132" s="4">
        <f t="shared" ca="1" si="120"/>
        <v>1920.4309459134092</v>
      </c>
      <c r="R1132" s="4">
        <f t="shared" ca="1" si="121"/>
        <v>-3.2390980865907295</v>
      </c>
      <c r="S1132" s="4">
        <f t="shared" ca="1" si="122"/>
        <v>-1.6353923069314975</v>
      </c>
    </row>
    <row r="1133" spans="15:19" x14ac:dyDescent="0.2">
      <c r="O1133" s="4">
        <f t="shared" ca="1" si="118"/>
        <v>0.25267013301633767</v>
      </c>
      <c r="P1133" s="4">
        <f t="shared" ca="1" si="119"/>
        <v>-0.66611082480031425</v>
      </c>
      <c r="Q1133" s="4">
        <f t="shared" ca="1" si="120"/>
        <v>1935.83291054146</v>
      </c>
      <c r="R1133" s="4">
        <f t="shared" ca="1" si="121"/>
        <v>12.162866541460062</v>
      </c>
      <c r="S1133" s="4">
        <f t="shared" ca="1" si="122"/>
        <v>6.2171820946054615</v>
      </c>
    </row>
    <row r="1134" spans="15:19" x14ac:dyDescent="0.2">
      <c r="O1134" s="4">
        <f t="shared" ca="1" si="118"/>
        <v>0.88031432399744292</v>
      </c>
      <c r="P1134" s="4">
        <f t="shared" ca="1" si="119"/>
        <v>1.1765595469436994</v>
      </c>
      <c r="Q1134" s="4">
        <f t="shared" ca="1" si="120"/>
        <v>1901.0641684986304</v>
      </c>
      <c r="R1134" s="4">
        <f t="shared" ca="1" si="121"/>
        <v>-22.60587550136961</v>
      </c>
      <c r="S1134" s="4">
        <f t="shared" ca="1" si="122"/>
        <v>-11.235292802961402</v>
      </c>
    </row>
    <row r="1135" spans="15:19" x14ac:dyDescent="0.2">
      <c r="O1135" s="4">
        <f t="shared" ca="1" si="118"/>
        <v>0.94956205737267718</v>
      </c>
      <c r="P1135" s="4">
        <f t="shared" ca="1" si="119"/>
        <v>1.6406220964764273</v>
      </c>
      <c r="Q1135" s="4">
        <f t="shared" ca="1" si="120"/>
        <v>1892.3079246669292</v>
      </c>
      <c r="R1135" s="4">
        <f t="shared" ca="1" si="121"/>
        <v>-31.362119333070723</v>
      </c>
      <c r="S1135" s="4">
        <f t="shared" ca="1" si="122"/>
        <v>-15.47542581684591</v>
      </c>
    </row>
    <row r="1136" spans="15:19" x14ac:dyDescent="0.2">
      <c r="O1136" s="4">
        <f t="shared" ca="1" si="118"/>
        <v>0.83046098796647538</v>
      </c>
      <c r="P1136" s="4">
        <f t="shared" ca="1" si="119"/>
        <v>0.95598854056426974</v>
      </c>
      <c r="Q1136" s="4">
        <f t="shared" ca="1" si="120"/>
        <v>1905.2260503742666</v>
      </c>
      <c r="R1136" s="4">
        <f t="shared" ca="1" si="121"/>
        <v>-18.443993625733356</v>
      </c>
      <c r="S1136" s="4">
        <f t="shared" ca="1" si="122"/>
        <v>-9.1980530545957606</v>
      </c>
    </row>
    <row r="1137" spans="15:19" x14ac:dyDescent="0.2">
      <c r="O1137" s="4">
        <f t="shared" ca="1" si="118"/>
        <v>0.94980891715397542</v>
      </c>
      <c r="P1137" s="4">
        <f t="shared" ca="1" si="119"/>
        <v>1.6430037098507229</v>
      </c>
      <c r="Q1137" s="4">
        <f t="shared" ca="1" si="120"/>
        <v>1892.2629867863805</v>
      </c>
      <c r="R1137" s="4">
        <f t="shared" ca="1" si="121"/>
        <v>-31.40705721361951</v>
      </c>
      <c r="S1137" s="4">
        <f t="shared" ca="1" si="122"/>
        <v>-15.497025586376598</v>
      </c>
    </row>
    <row r="1138" spans="15:19" x14ac:dyDescent="0.2">
      <c r="O1138" s="4">
        <f t="shared" ca="1" si="118"/>
        <v>0.27589729457135681</v>
      </c>
      <c r="P1138" s="4">
        <f t="shared" ca="1" si="119"/>
        <v>-0.5950731294827587</v>
      </c>
      <c r="Q1138" s="4">
        <f t="shared" ca="1" si="120"/>
        <v>1934.4925235999392</v>
      </c>
      <c r="R1138" s="4">
        <f t="shared" ca="1" si="121"/>
        <v>10.822479599939243</v>
      </c>
      <c r="S1138" s="4">
        <f t="shared" ca="1" si="122"/>
        <v>5.526123595120449</v>
      </c>
    </row>
    <row r="1139" spans="15:19" x14ac:dyDescent="0.2">
      <c r="O1139" s="4">
        <f t="shared" ca="1" si="118"/>
        <v>0.38318754344768713</v>
      </c>
      <c r="P1139" s="4">
        <f t="shared" ca="1" si="119"/>
        <v>-0.29711974954314052</v>
      </c>
      <c r="Q1139" s="4">
        <f t="shared" ca="1" si="120"/>
        <v>1928.8705391328501</v>
      </c>
      <c r="R1139" s="4">
        <f t="shared" ca="1" si="121"/>
        <v>5.2004951328501647</v>
      </c>
      <c r="S1139" s="4">
        <f t="shared" ca="1" si="122"/>
        <v>2.6435508227252509</v>
      </c>
    </row>
    <row r="1140" spans="15:19" x14ac:dyDescent="0.2">
      <c r="O1140" s="4">
        <f t="shared" ca="1" si="118"/>
        <v>0.69573022478607061</v>
      </c>
      <c r="P1140" s="4">
        <f t="shared" ca="1" si="119"/>
        <v>0.51215926383764376</v>
      </c>
      <c r="Q1140" s="4">
        <f t="shared" ca="1" si="120"/>
        <v>1913.6005192267498</v>
      </c>
      <c r="R1140" s="4">
        <f t="shared" ca="1" si="121"/>
        <v>-10.069524773250123</v>
      </c>
      <c r="S1140" s="4">
        <f t="shared" ca="1" si="122"/>
        <v>-5.0560171521287316</v>
      </c>
    </row>
    <row r="1141" spans="15:19" x14ac:dyDescent="0.2">
      <c r="O1141" s="4">
        <f t="shared" ca="1" si="118"/>
        <v>0.14732446891816098</v>
      </c>
      <c r="P1141" s="4">
        <f t="shared" ca="1" si="119"/>
        <v>-1.0479775772450233</v>
      </c>
      <c r="Q1141" s="4">
        <f t="shared" ca="1" si="120"/>
        <v>1943.0382288740693</v>
      </c>
      <c r="R1141" s="4">
        <f t="shared" ca="1" si="121"/>
        <v>19.368184874069357</v>
      </c>
      <c r="S1141" s="4">
        <f t="shared" ca="1" si="122"/>
        <v>9.9570673814294182</v>
      </c>
    </row>
    <row r="1142" spans="15:19" x14ac:dyDescent="0.2">
      <c r="O1142" s="4">
        <f t="shared" ca="1" si="118"/>
        <v>3.8919835864448138E-2</v>
      </c>
      <c r="P1142" s="4">
        <f t="shared" ca="1" si="119"/>
        <v>-1.7633607115328744</v>
      </c>
      <c r="Q1142" s="4">
        <f t="shared" ca="1" si="120"/>
        <v>1956.5365582764707</v>
      </c>
      <c r="R1142" s="4">
        <f t="shared" ca="1" si="121"/>
        <v>32.866514276470753</v>
      </c>
      <c r="S1142" s="4">
        <f t="shared" ca="1" si="122"/>
        <v>17.077070787920633</v>
      </c>
    </row>
    <row r="1143" spans="15:19" x14ac:dyDescent="0.2">
      <c r="O1143" s="4">
        <f t="shared" ca="1" si="118"/>
        <v>0.66824207274922265</v>
      </c>
      <c r="P1143" s="4">
        <f t="shared" ca="1" si="119"/>
        <v>0.43506416368645789</v>
      </c>
      <c r="Q1143" s="4">
        <f t="shared" ca="1" si="120"/>
        <v>1915.0552013505992</v>
      </c>
      <c r="R1143" s="4">
        <f t="shared" ca="1" si="121"/>
        <v>-8.6148426494007708</v>
      </c>
      <c r="S1143" s="4">
        <f t="shared" ca="1" si="122"/>
        <v>-4.3307068789259793</v>
      </c>
    </row>
    <row r="1144" spans="15:19" x14ac:dyDescent="0.2">
      <c r="O1144" s="4">
        <f t="shared" ca="1" si="118"/>
        <v>0.61875498996375289</v>
      </c>
      <c r="P1144" s="4">
        <f t="shared" ca="1" si="119"/>
        <v>0.30221257320836276</v>
      </c>
      <c r="Q1144" s="4">
        <f t="shared" ca="1" si="120"/>
        <v>1917.5619343779181</v>
      </c>
      <c r="R1144" s="4">
        <f t="shared" ca="1" si="121"/>
        <v>-6.1081096220818836</v>
      </c>
      <c r="S1144" s="4">
        <f t="shared" ca="1" si="122"/>
        <v>-3.0767975720268175</v>
      </c>
    </row>
    <row r="1145" spans="15:19" x14ac:dyDescent="0.2">
      <c r="O1145" s="4">
        <f t="shared" ca="1" si="118"/>
        <v>0.57612517204449831</v>
      </c>
      <c r="P1145" s="4">
        <f t="shared" ca="1" si="119"/>
        <v>0.19199048849895953</v>
      </c>
      <c r="Q1145" s="4">
        <f t="shared" ca="1" si="120"/>
        <v>1919.6416786932602</v>
      </c>
      <c r="R1145" s="4">
        <f t="shared" ca="1" si="121"/>
        <v>-4.0283653067397154</v>
      </c>
      <c r="S1145" s="4">
        <f t="shared" ca="1" si="122"/>
        <v>-2.0325921674455438</v>
      </c>
    </row>
    <row r="1146" spans="15:19" x14ac:dyDescent="0.2">
      <c r="O1146" s="4">
        <f t="shared" ca="1" si="118"/>
        <v>0.74950796709178791</v>
      </c>
      <c r="P1146" s="4">
        <f t="shared" ca="1" si="119"/>
        <v>0.67294219635710917</v>
      </c>
      <c r="Q1146" s="4">
        <f t="shared" ca="1" si="120"/>
        <v>1910.5667588801457</v>
      </c>
      <c r="R1146" s="4">
        <f t="shared" ca="1" si="121"/>
        <v>-13.103285119854263</v>
      </c>
      <c r="S1146" s="4">
        <f t="shared" ca="1" si="122"/>
        <v>-6.5631190823828938</v>
      </c>
    </row>
    <row r="1147" spans="15:19" x14ac:dyDescent="0.2">
      <c r="O1147" s="4">
        <f t="shared" ca="1" si="118"/>
        <v>0.18357149540006512</v>
      </c>
      <c r="P1147" s="4">
        <f t="shared" ca="1" si="119"/>
        <v>-0.90183788637037132</v>
      </c>
      <c r="Q1147" s="4">
        <f t="shared" ca="1" si="120"/>
        <v>1940.2807670446753</v>
      </c>
      <c r="R1147" s="4">
        <f t="shared" ca="1" si="121"/>
        <v>16.610723044675296</v>
      </c>
      <c r="S1147" s="4">
        <f t="shared" ca="1" si="122"/>
        <v>8.5208276670387857</v>
      </c>
    </row>
    <row r="1148" spans="15:19" x14ac:dyDescent="0.2">
      <c r="O1148" s="4">
        <f t="shared" ca="1" si="118"/>
        <v>0.33561536333943032</v>
      </c>
      <c r="P1148" s="4">
        <f t="shared" ca="1" si="119"/>
        <v>-0.42445951235963286</v>
      </c>
      <c r="Q1148" s="4">
        <f t="shared" ca="1" si="120"/>
        <v>1931.2732712943121</v>
      </c>
      <c r="R1148" s="4">
        <f t="shared" ca="1" si="121"/>
        <v>7.6032272943120915</v>
      </c>
      <c r="S1148" s="4">
        <f t="shared" ca="1" si="122"/>
        <v>3.8723604207206925</v>
      </c>
    </row>
    <row r="1149" spans="15:19" x14ac:dyDescent="0.2">
      <c r="O1149" s="4">
        <f t="shared" ca="1" si="118"/>
        <v>8.6952628366752549E-2</v>
      </c>
      <c r="P1149" s="4">
        <f t="shared" ca="1" si="119"/>
        <v>-1.3597619821529014</v>
      </c>
      <c r="Q1149" s="4">
        <f t="shared" ca="1" si="120"/>
        <v>1948.9211864086606</v>
      </c>
      <c r="R1149" s="4">
        <f t="shared" ca="1" si="121"/>
        <v>25.251142408660598</v>
      </c>
      <c r="S1149" s="4">
        <f t="shared" ca="1" si="122"/>
        <v>13.041931178068223</v>
      </c>
    </row>
    <row r="1150" spans="15:19" x14ac:dyDescent="0.2">
      <c r="O1150" s="4">
        <f t="shared" ca="1" si="118"/>
        <v>8.4471600182214668E-2</v>
      </c>
      <c r="P1150" s="4">
        <f t="shared" ca="1" si="119"/>
        <v>-1.375607445399778</v>
      </c>
      <c r="Q1150" s="4">
        <f t="shared" ca="1" si="120"/>
        <v>1949.2201692504252</v>
      </c>
      <c r="R1150" s="4">
        <f t="shared" ca="1" si="121"/>
        <v>25.550125250425253</v>
      </c>
      <c r="S1150" s="4">
        <f t="shared" ca="1" si="122"/>
        <v>13.199462076427109</v>
      </c>
    </row>
    <row r="1151" spans="15:19" x14ac:dyDescent="0.2">
      <c r="O1151" s="4">
        <f t="shared" ca="1" si="118"/>
        <v>0.88830562504385291</v>
      </c>
      <c r="P1151" s="4">
        <f t="shared" ca="1" si="119"/>
        <v>1.2175665036255665</v>
      </c>
      <c r="Q1151" s="4">
        <f t="shared" ca="1" si="120"/>
        <v>1900.2904217012126</v>
      </c>
      <c r="R1151" s="4">
        <f t="shared" ca="1" si="121"/>
        <v>-23.379622298787353</v>
      </c>
      <c r="S1151" s="4">
        <f t="shared" ca="1" si="122"/>
        <v>-11.612487026879357</v>
      </c>
    </row>
    <row r="1152" spans="15:19" x14ac:dyDescent="0.2">
      <c r="O1152" s="4">
        <f t="shared" ca="1" si="118"/>
        <v>0.84361333229896096</v>
      </c>
      <c r="P1152" s="4">
        <f t="shared" ca="1" si="119"/>
        <v>1.0094198233248248</v>
      </c>
      <c r="Q1152" s="4">
        <f t="shared" ca="1" si="120"/>
        <v>1904.2178730486819</v>
      </c>
      <c r="R1152" s="4">
        <f t="shared" ca="1" si="121"/>
        <v>-19.452170951318067</v>
      </c>
      <c r="S1152" s="4">
        <f t="shared" ca="1" si="122"/>
        <v>-9.6928497830480467</v>
      </c>
    </row>
    <row r="1153" spans="15:19" x14ac:dyDescent="0.2">
      <c r="O1153" s="4">
        <f t="shared" ca="1" si="118"/>
        <v>0.22841628798449165</v>
      </c>
      <c r="P1153" s="4">
        <f t="shared" ca="1" si="119"/>
        <v>-0.74407256487476903</v>
      </c>
      <c r="Q1153" s="4">
        <f t="shared" ca="1" si="120"/>
        <v>1937.303945009385</v>
      </c>
      <c r="R1153" s="4">
        <f t="shared" ca="1" si="121"/>
        <v>13.633901009384999</v>
      </c>
      <c r="S1153" s="4">
        <f t="shared" ca="1" si="122"/>
        <v>6.9772815871170302</v>
      </c>
    </row>
    <row r="1154" spans="15:19" x14ac:dyDescent="0.2">
      <c r="O1154" s="4">
        <f t="shared" ca="1" si="118"/>
        <v>0.64848383863533621</v>
      </c>
      <c r="P1154" s="4">
        <f t="shared" ca="1" si="119"/>
        <v>0.38123036046826436</v>
      </c>
      <c r="Q1154" s="4">
        <f t="shared" ca="1" si="120"/>
        <v>1916.0709737024965</v>
      </c>
      <c r="R1154" s="4">
        <f t="shared" ca="1" si="121"/>
        <v>-7.599070297503431</v>
      </c>
      <c r="S1154" s="4">
        <f t="shared" ca="1" si="122"/>
        <v>-3.8232172504310111</v>
      </c>
    </row>
    <row r="1155" spans="15:19" x14ac:dyDescent="0.2">
      <c r="O1155" s="4">
        <f t="shared" ref="O1155:O1218" ca="1" si="123">RAND()</f>
        <v>0.90239054569755295</v>
      </c>
      <c r="P1155" s="4">
        <f t="shared" ref="P1155:P1218" ca="1" si="124">NORMSINV(O1155)</f>
        <v>1.2952937668902014</v>
      </c>
      <c r="Q1155" s="4">
        <f t="shared" ref="Q1155:Q1218" ca="1" si="125">$B$4*(1+$B$17-$B$32*P1155)</f>
        <v>1898.8238114992014</v>
      </c>
      <c r="R1155" s="4">
        <f t="shared" ref="R1155:R1218" ca="1" si="126">Q1155-$B$4</f>
        <v>-24.846232500798578</v>
      </c>
      <c r="S1155" s="4">
        <f t="shared" ref="S1155:S1218" ca="1" si="127">R1155*$B$12+0.5*$B$13*R1155^2</f>
        <v>-12.326108068236973</v>
      </c>
    </row>
    <row r="1156" spans="15:19" x14ac:dyDescent="0.2">
      <c r="O1156" s="4">
        <f t="shared" ca="1" si="123"/>
        <v>0.66212825489253835</v>
      </c>
      <c r="P1156" s="4">
        <f t="shared" ca="1" si="124"/>
        <v>0.4182785232439461</v>
      </c>
      <c r="Q1156" s="4">
        <f t="shared" ca="1" si="125"/>
        <v>1915.3719240870792</v>
      </c>
      <c r="R1156" s="4">
        <f t="shared" ca="1" si="126"/>
        <v>-8.2981199129208107</v>
      </c>
      <c r="S1156" s="4">
        <f t="shared" ca="1" si="127"/>
        <v>-4.1725592832257918</v>
      </c>
    </row>
    <row r="1157" spans="15:19" x14ac:dyDescent="0.2">
      <c r="O1157" s="4">
        <f t="shared" ca="1" si="123"/>
        <v>0.50376192431980804</v>
      </c>
      <c r="P1157" s="4">
        <f t="shared" ca="1" si="124"/>
        <v>9.4298856204043692E-3</v>
      </c>
      <c r="Q1157" s="4">
        <f t="shared" ca="1" si="125"/>
        <v>1923.0863547492715</v>
      </c>
      <c r="R1157" s="4">
        <f t="shared" ca="1" si="126"/>
        <v>-0.58368925072841193</v>
      </c>
      <c r="S1157" s="4">
        <f t="shared" ca="1" si="127"/>
        <v>-0.29533053020645783</v>
      </c>
    </row>
    <row r="1158" spans="15:19" x14ac:dyDescent="0.2">
      <c r="O1158" s="4">
        <f t="shared" ca="1" si="123"/>
        <v>0.91535058772909506</v>
      </c>
      <c r="P1158" s="4">
        <f t="shared" ca="1" si="124"/>
        <v>1.3744603080274667</v>
      </c>
      <c r="Q1158" s="4">
        <f t="shared" ca="1" si="125"/>
        <v>1897.3300440357243</v>
      </c>
      <c r="R1158" s="4">
        <f t="shared" ca="1" si="126"/>
        <v>-26.339999964275648</v>
      </c>
      <c r="S1158" s="4">
        <f t="shared" ca="1" si="127"/>
        <v>-13.051143142783802</v>
      </c>
    </row>
    <row r="1159" spans="15:19" x14ac:dyDescent="0.2">
      <c r="O1159" s="4">
        <f t="shared" ca="1" si="123"/>
        <v>0.34994368948171128</v>
      </c>
      <c r="P1159" s="4">
        <f t="shared" ca="1" si="124"/>
        <v>-0.38547249750702411</v>
      </c>
      <c r="Q1159" s="4">
        <f t="shared" ca="1" si="125"/>
        <v>1930.5376381158464</v>
      </c>
      <c r="R1159" s="4">
        <f t="shared" ca="1" si="126"/>
        <v>6.8675941158464866</v>
      </c>
      <c r="S1159" s="4">
        <f t="shared" ca="1" si="127"/>
        <v>3.4956423603470572</v>
      </c>
    </row>
    <row r="1160" spans="15:19" x14ac:dyDescent="0.2">
      <c r="O1160" s="4">
        <f t="shared" ca="1" si="123"/>
        <v>0.3875601525710568</v>
      </c>
      <c r="P1160" s="4">
        <f t="shared" ca="1" si="124"/>
        <v>-0.28568381097344647</v>
      </c>
      <c r="Q1160" s="4">
        <f t="shared" ca="1" si="125"/>
        <v>1928.6547581639668</v>
      </c>
      <c r="R1160" s="4">
        <f t="shared" ca="1" si="126"/>
        <v>4.984714163966828</v>
      </c>
      <c r="S1160" s="4">
        <f t="shared" ca="1" si="127"/>
        <v>2.5334257364273305</v>
      </c>
    </row>
    <row r="1161" spans="15:19" x14ac:dyDescent="0.2">
      <c r="O1161" s="4">
        <f t="shared" ca="1" si="123"/>
        <v>0.43804818302457715</v>
      </c>
      <c r="P1161" s="4">
        <f t="shared" ca="1" si="124"/>
        <v>-0.15591963760482261</v>
      </c>
      <c r="Q1161" s="4">
        <f t="shared" ca="1" si="125"/>
        <v>1926.2062805960638</v>
      </c>
      <c r="R1161" s="4">
        <f t="shared" ca="1" si="126"/>
        <v>2.5362365960638726</v>
      </c>
      <c r="S1161" s="4">
        <f t="shared" ca="1" si="127"/>
        <v>1.2864862783204223</v>
      </c>
    </row>
    <row r="1162" spans="15:19" x14ac:dyDescent="0.2">
      <c r="O1162" s="4">
        <f t="shared" ca="1" si="123"/>
        <v>0.51824577787445636</v>
      </c>
      <c r="P1162" s="4">
        <f t="shared" ca="1" si="124"/>
        <v>4.5751338705198222E-2</v>
      </c>
      <c r="Q1162" s="4">
        <f t="shared" ca="1" si="125"/>
        <v>1922.4010171803329</v>
      </c>
      <c r="R1162" s="4">
        <f t="shared" ca="1" si="126"/>
        <v>-1.2690268196670331</v>
      </c>
      <c r="S1162" s="4">
        <f t="shared" ca="1" si="127"/>
        <v>-0.64173824999893903</v>
      </c>
    </row>
    <row r="1163" spans="15:19" x14ac:dyDescent="0.2">
      <c r="O1163" s="4">
        <f t="shared" ca="1" si="123"/>
        <v>0.20704227767642169</v>
      </c>
      <c r="P1163" s="4">
        <f t="shared" ca="1" si="124"/>
        <v>-0.81672682953571263</v>
      </c>
      <c r="Q1163" s="4">
        <f t="shared" ca="1" si="125"/>
        <v>1938.6748344669043</v>
      </c>
      <c r="R1163" s="4">
        <f t="shared" ca="1" si="126"/>
        <v>15.004790466904296</v>
      </c>
      <c r="S1163" s="4">
        <f t="shared" ca="1" si="127"/>
        <v>7.6872209915317287</v>
      </c>
    </row>
    <row r="1164" spans="15:19" x14ac:dyDescent="0.2">
      <c r="O1164" s="4">
        <f t="shared" ca="1" si="123"/>
        <v>3.9484647956270713E-2</v>
      </c>
      <c r="P1164" s="4">
        <f t="shared" ca="1" si="124"/>
        <v>-1.7566980159169645</v>
      </c>
      <c r="Q1164" s="4">
        <f t="shared" ca="1" si="125"/>
        <v>1956.4108420611715</v>
      </c>
      <c r="R1164" s="4">
        <f t="shared" ca="1" si="126"/>
        <v>32.740798061171517</v>
      </c>
      <c r="S1164" s="4">
        <f t="shared" ca="1" si="127"/>
        <v>17.010074540868363</v>
      </c>
    </row>
    <row r="1165" spans="15:19" x14ac:dyDescent="0.2">
      <c r="O1165" s="4">
        <f t="shared" ca="1" si="123"/>
        <v>0.26498823151573847</v>
      </c>
      <c r="P1165" s="4">
        <f t="shared" ca="1" si="124"/>
        <v>-0.62804194437018757</v>
      </c>
      <c r="Q1165" s="4">
        <f t="shared" ca="1" si="125"/>
        <v>1935.1146013398627</v>
      </c>
      <c r="R1165" s="4">
        <f t="shared" ca="1" si="126"/>
        <v>11.44455733986274</v>
      </c>
      <c r="S1165" s="4">
        <f t="shared" ca="1" si="127"/>
        <v>5.8466640931671163</v>
      </c>
    </row>
    <row r="1166" spans="15:19" x14ac:dyDescent="0.2">
      <c r="O1166" s="4">
        <f t="shared" ca="1" si="123"/>
        <v>0.66577163015415064</v>
      </c>
      <c r="P1166" s="4">
        <f t="shared" ca="1" si="124"/>
        <v>0.42826700278635904</v>
      </c>
      <c r="Q1166" s="4">
        <f t="shared" ca="1" si="125"/>
        <v>1915.1834547471822</v>
      </c>
      <c r="R1166" s="4">
        <f t="shared" ca="1" si="126"/>
        <v>-8.4865892528177937</v>
      </c>
      <c r="S1166" s="4">
        <f t="shared" ca="1" si="127"/>
        <v>-4.2666765850879882</v>
      </c>
    </row>
    <row r="1167" spans="15:19" x14ac:dyDescent="0.2">
      <c r="O1167" s="4">
        <f t="shared" ca="1" si="123"/>
        <v>8.0224778366391192E-2</v>
      </c>
      <c r="P1167" s="4">
        <f t="shared" ca="1" si="124"/>
        <v>-1.4035611969069319</v>
      </c>
      <c r="Q1167" s="4">
        <f t="shared" ca="1" si="125"/>
        <v>1949.7476194065603</v>
      </c>
      <c r="R1167" s="4">
        <f t="shared" ca="1" si="126"/>
        <v>26.0775754065603</v>
      </c>
      <c r="S1167" s="4">
        <f t="shared" ca="1" si="127"/>
        <v>13.477547429656029</v>
      </c>
    </row>
    <row r="1168" spans="15:19" x14ac:dyDescent="0.2">
      <c r="O1168" s="4">
        <f t="shared" ca="1" si="123"/>
        <v>0.98961256412306708</v>
      </c>
      <c r="P1168" s="4">
        <f t="shared" ca="1" si="124"/>
        <v>2.3120510222368429</v>
      </c>
      <c r="Q1168" s="4">
        <f t="shared" ca="1" si="125"/>
        <v>1879.6389527890328</v>
      </c>
      <c r="R1168" s="4">
        <f t="shared" ca="1" si="126"/>
        <v>-44.031091210967134</v>
      </c>
      <c r="S1168" s="4">
        <f t="shared" ca="1" si="127"/>
        <v>-21.499769484636531</v>
      </c>
    </row>
    <row r="1169" spans="15:19" x14ac:dyDescent="0.2">
      <c r="O1169" s="4">
        <f t="shared" ca="1" si="123"/>
        <v>0.8510374423311714</v>
      </c>
      <c r="P1169" s="4">
        <f t="shared" ca="1" si="124"/>
        <v>1.0408932057988842</v>
      </c>
      <c r="Q1169" s="4">
        <f t="shared" ca="1" si="125"/>
        <v>1903.6240121318106</v>
      </c>
      <c r="R1169" s="4">
        <f t="shared" ca="1" si="126"/>
        <v>-20.046031868189402</v>
      </c>
      <c r="S1169" s="4">
        <f t="shared" ca="1" si="127"/>
        <v>-9.983919601541654</v>
      </c>
    </row>
    <row r="1170" spans="15:19" x14ac:dyDescent="0.2">
      <c r="O1170" s="4">
        <f t="shared" ca="1" si="123"/>
        <v>0.20241746611357403</v>
      </c>
      <c r="P1170" s="4">
        <f t="shared" ca="1" si="124"/>
        <v>-0.83301737139073662</v>
      </c>
      <c r="Q1170" s="4">
        <f t="shared" ca="1" si="125"/>
        <v>1938.9822153507459</v>
      </c>
      <c r="R1170" s="4">
        <f t="shared" ca="1" si="126"/>
        <v>15.312171350745984</v>
      </c>
      <c r="S1170" s="4">
        <f t="shared" ca="1" si="127"/>
        <v>7.8466136245928002</v>
      </c>
    </row>
    <row r="1171" spans="15:19" x14ac:dyDescent="0.2">
      <c r="O1171" s="4">
        <f t="shared" ca="1" si="123"/>
        <v>0.47188199067424363</v>
      </c>
      <c r="P1171" s="4">
        <f t="shared" ca="1" si="124"/>
        <v>-7.0539853098641095E-2</v>
      </c>
      <c r="Q1171" s="4">
        <f t="shared" ca="1" si="125"/>
        <v>1924.5952774841194</v>
      </c>
      <c r="R1171" s="4">
        <f t="shared" ca="1" si="126"/>
        <v>0.92523348411941697</v>
      </c>
      <c r="S1171" s="4">
        <f t="shared" ca="1" si="127"/>
        <v>0.46871072669597352</v>
      </c>
    </row>
    <row r="1172" spans="15:19" x14ac:dyDescent="0.2">
      <c r="O1172" s="4">
        <f t="shared" ca="1" si="123"/>
        <v>0.40587347706089205</v>
      </c>
      <c r="P1172" s="4">
        <f t="shared" ca="1" si="124"/>
        <v>-0.23817295277329661</v>
      </c>
      <c r="Q1172" s="4">
        <f t="shared" ca="1" si="125"/>
        <v>1927.7582913849246</v>
      </c>
      <c r="R1172" s="4">
        <f t="shared" ca="1" si="126"/>
        <v>4.0882473849246708</v>
      </c>
      <c r="S1172" s="4">
        <f t="shared" ca="1" si="127"/>
        <v>2.0763145303070885</v>
      </c>
    </row>
    <row r="1173" spans="15:19" x14ac:dyDescent="0.2">
      <c r="O1173" s="4">
        <f t="shared" ca="1" si="123"/>
        <v>0.58376318081673828</v>
      </c>
      <c r="P1173" s="4">
        <f t="shared" ca="1" si="124"/>
        <v>0.21153011125801996</v>
      </c>
      <c r="Q1173" s="4">
        <f t="shared" ca="1" si="125"/>
        <v>1919.2729919689596</v>
      </c>
      <c r="R1173" s="4">
        <f t="shared" ca="1" si="126"/>
        <v>-4.3970520310404027</v>
      </c>
      <c r="S1173" s="4">
        <f t="shared" ca="1" si="127"/>
        <v>-2.2179605033152452</v>
      </c>
    </row>
    <row r="1174" spans="15:19" x14ac:dyDescent="0.2">
      <c r="O1174" s="4">
        <f t="shared" ca="1" si="123"/>
        <v>0.23321818962417495</v>
      </c>
      <c r="P1174" s="4">
        <f t="shared" ca="1" si="124"/>
        <v>-0.72828951512426432</v>
      </c>
      <c r="Q1174" s="4">
        <f t="shared" ca="1" si="125"/>
        <v>1937.0061398273842</v>
      </c>
      <c r="R1174" s="4">
        <f t="shared" ca="1" si="126"/>
        <v>13.33609582738427</v>
      </c>
      <c r="S1174" s="4">
        <f t="shared" ca="1" si="127"/>
        <v>6.8232601864467686</v>
      </c>
    </row>
    <row r="1175" spans="15:19" x14ac:dyDescent="0.2">
      <c r="O1175" s="4">
        <f t="shared" ca="1" si="123"/>
        <v>0.27631122308827671</v>
      </c>
      <c r="P1175" s="4">
        <f t="shared" ca="1" si="124"/>
        <v>-0.59383504622815375</v>
      </c>
      <c r="Q1175" s="4">
        <f t="shared" ca="1" si="125"/>
        <v>1934.4691626136409</v>
      </c>
      <c r="R1175" s="4">
        <f t="shared" ca="1" si="126"/>
        <v>10.799118613640985</v>
      </c>
      <c r="S1175" s="4">
        <f t="shared" ca="1" si="127"/>
        <v>5.5140924236147102</v>
      </c>
    </row>
    <row r="1176" spans="15:19" x14ac:dyDescent="0.2">
      <c r="O1176" s="4">
        <f t="shared" ca="1" si="123"/>
        <v>0.40788862905625878</v>
      </c>
      <c r="P1176" s="4">
        <f t="shared" ca="1" si="124"/>
        <v>-0.23297958538907357</v>
      </c>
      <c r="Q1176" s="4">
        <f t="shared" ca="1" si="125"/>
        <v>1927.660299441447</v>
      </c>
      <c r="R1176" s="4">
        <f t="shared" ca="1" si="126"/>
        <v>3.9902554414470615</v>
      </c>
      <c r="S1176" s="4">
        <f t="shared" ca="1" si="127"/>
        <v>2.0263878012215759</v>
      </c>
    </row>
    <row r="1177" spans="15:19" x14ac:dyDescent="0.2">
      <c r="O1177" s="4">
        <f t="shared" ca="1" si="123"/>
        <v>0.22551490850124811</v>
      </c>
      <c r="P1177" s="4">
        <f t="shared" ca="1" si="124"/>
        <v>-0.75369927555635097</v>
      </c>
      <c r="Q1177" s="4">
        <f t="shared" ca="1" si="125"/>
        <v>1937.4855882514651</v>
      </c>
      <c r="R1177" s="4">
        <f t="shared" ca="1" si="126"/>
        <v>13.815544251465099</v>
      </c>
      <c r="S1177" s="4">
        <f t="shared" ca="1" si="127"/>
        <v>7.071260825132093</v>
      </c>
    </row>
    <row r="1178" spans="15:19" x14ac:dyDescent="0.2">
      <c r="O1178" s="4">
        <f t="shared" ca="1" si="123"/>
        <v>0.38399512572093863</v>
      </c>
      <c r="P1178" s="4">
        <f t="shared" ca="1" si="124"/>
        <v>-0.29500474959418038</v>
      </c>
      <c r="Q1178" s="4">
        <f t="shared" ca="1" si="125"/>
        <v>1928.8306318934581</v>
      </c>
      <c r="R1178" s="4">
        <f t="shared" ca="1" si="126"/>
        <v>5.1605878934581142</v>
      </c>
      <c r="S1178" s="4">
        <f t="shared" ca="1" si="127"/>
        <v>2.6231810713699271</v>
      </c>
    </row>
    <row r="1179" spans="15:19" x14ac:dyDescent="0.2">
      <c r="O1179" s="4">
        <f t="shared" ca="1" si="123"/>
        <v>0.53574296881887062</v>
      </c>
      <c r="P1179" s="4">
        <f t="shared" ca="1" si="124"/>
        <v>8.9714538648198339E-2</v>
      </c>
      <c r="Q1179" s="4">
        <f t="shared" ca="1" si="125"/>
        <v>1921.5714899997613</v>
      </c>
      <c r="R1179" s="4">
        <f t="shared" ca="1" si="126"/>
        <v>-2.0985540002386642</v>
      </c>
      <c r="S1179" s="4">
        <f t="shared" ca="1" si="127"/>
        <v>-1.0605158861346196</v>
      </c>
    </row>
    <row r="1180" spans="15:19" x14ac:dyDescent="0.2">
      <c r="O1180" s="4">
        <f t="shared" ca="1" si="123"/>
        <v>0.60412211870978816</v>
      </c>
      <c r="P1180" s="4">
        <f t="shared" ca="1" si="124"/>
        <v>0.26403134903095249</v>
      </c>
      <c r="Q1180" s="4">
        <f t="shared" ca="1" si="125"/>
        <v>1918.2823633567848</v>
      </c>
      <c r="R1180" s="4">
        <f t="shared" ca="1" si="126"/>
        <v>-5.3876806432151625</v>
      </c>
      <c r="S1180" s="4">
        <f t="shared" ca="1" si="127"/>
        <v>-2.715480673191299</v>
      </c>
    </row>
    <row r="1181" spans="15:19" x14ac:dyDescent="0.2">
      <c r="O1181" s="4">
        <f t="shared" ca="1" si="123"/>
        <v>0.60041144436106153</v>
      </c>
      <c r="P1181" s="4">
        <f t="shared" ca="1" si="124"/>
        <v>0.25441222001689306</v>
      </c>
      <c r="Q1181" s="4">
        <f t="shared" ca="1" si="125"/>
        <v>1918.463863542871</v>
      </c>
      <c r="R1181" s="4">
        <f t="shared" ca="1" si="126"/>
        <v>-5.206180457128994</v>
      </c>
      <c r="S1181" s="4">
        <f t="shared" ca="1" si="127"/>
        <v>-2.6243862089424685</v>
      </c>
    </row>
    <row r="1182" spans="15:19" x14ac:dyDescent="0.2">
      <c r="O1182" s="4">
        <f t="shared" ca="1" si="123"/>
        <v>0.89964991121935989</v>
      </c>
      <c r="P1182" s="4">
        <f t="shared" ca="1" si="124"/>
        <v>1.2795592829238931</v>
      </c>
      <c r="Q1182" s="4">
        <f t="shared" ca="1" si="125"/>
        <v>1899.1207003093709</v>
      </c>
      <c r="R1182" s="4">
        <f t="shared" ca="1" si="126"/>
        <v>-24.54934369062903</v>
      </c>
      <c r="S1182" s="4">
        <f t="shared" ca="1" si="127"/>
        <v>-12.181789712220395</v>
      </c>
    </row>
    <row r="1183" spans="15:19" x14ac:dyDescent="0.2">
      <c r="O1183" s="4">
        <f t="shared" ca="1" si="123"/>
        <v>0.75184484975142918</v>
      </c>
      <c r="P1183" s="4">
        <f t="shared" ca="1" si="124"/>
        <v>0.68030667247095422</v>
      </c>
      <c r="Q1183" s="4">
        <f t="shared" ca="1" si="125"/>
        <v>1910.4278009991222</v>
      </c>
      <c r="R1183" s="4">
        <f t="shared" ca="1" si="126"/>
        <v>-13.242243000877806</v>
      </c>
      <c r="S1183" s="4">
        <f t="shared" ca="1" si="127"/>
        <v>-6.6319706754703631</v>
      </c>
    </row>
    <row r="1184" spans="15:19" x14ac:dyDescent="0.2">
      <c r="O1184" s="4">
        <f t="shared" ca="1" si="123"/>
        <v>0.83259673513458021</v>
      </c>
      <c r="P1184" s="4">
        <f t="shared" ca="1" si="124"/>
        <v>0.96447760749903988</v>
      </c>
      <c r="Q1184" s="4">
        <f t="shared" ca="1" si="125"/>
        <v>1905.0658729584004</v>
      </c>
      <c r="R1184" s="4">
        <f t="shared" ca="1" si="126"/>
        <v>-18.604171041599557</v>
      </c>
      <c r="S1184" s="4">
        <f t="shared" ca="1" si="127"/>
        <v>-9.2767207689584996</v>
      </c>
    </row>
    <row r="1185" spans="15:19" x14ac:dyDescent="0.2">
      <c r="O1185" s="4">
        <f t="shared" ca="1" si="123"/>
        <v>0.31929760332090618</v>
      </c>
      <c r="P1185" s="4">
        <f t="shared" ca="1" si="124"/>
        <v>-0.4696638394727729</v>
      </c>
      <c r="Q1185" s="4">
        <f t="shared" ca="1" si="125"/>
        <v>1932.1262168958244</v>
      </c>
      <c r="R1185" s="4">
        <f t="shared" ca="1" si="126"/>
        <v>8.4561728958244657</v>
      </c>
      <c r="S1185" s="4">
        <f t="shared" ca="1" si="127"/>
        <v>4.3097057894329653</v>
      </c>
    </row>
    <row r="1186" spans="15:19" x14ac:dyDescent="0.2">
      <c r="O1186" s="4">
        <f t="shared" ca="1" si="123"/>
        <v>0.14416792195608819</v>
      </c>
      <c r="P1186" s="4">
        <f t="shared" ca="1" si="124"/>
        <v>-1.0617793997295737</v>
      </c>
      <c r="Q1186" s="4">
        <f t="shared" ca="1" si="125"/>
        <v>1943.2986509294979</v>
      </c>
      <c r="R1186" s="4">
        <f t="shared" ca="1" si="126"/>
        <v>19.628606929497892</v>
      </c>
      <c r="S1186" s="4">
        <f t="shared" ca="1" si="127"/>
        <v>10.093029618970675</v>
      </c>
    </row>
    <row r="1187" spans="15:19" x14ac:dyDescent="0.2">
      <c r="O1187" s="4">
        <f t="shared" ca="1" si="123"/>
        <v>0.27161786545290167</v>
      </c>
      <c r="P1187" s="4">
        <f t="shared" ca="1" si="124"/>
        <v>-0.60792724174666413</v>
      </c>
      <c r="Q1187" s="4">
        <f t="shared" ca="1" si="125"/>
        <v>1934.7350636224774</v>
      </c>
      <c r="R1187" s="4">
        <f t="shared" ca="1" si="126"/>
        <v>11.065019622477394</v>
      </c>
      <c r="S1187" s="4">
        <f t="shared" ca="1" si="127"/>
        <v>5.6510606956609566</v>
      </c>
    </row>
    <row r="1188" spans="15:19" x14ac:dyDescent="0.2">
      <c r="O1188" s="4">
        <f t="shared" ca="1" si="123"/>
        <v>0.97873769721230885</v>
      </c>
      <c r="P1188" s="4">
        <f t="shared" ca="1" si="124"/>
        <v>2.028349350023122</v>
      </c>
      <c r="Q1188" s="4">
        <f t="shared" ca="1" si="125"/>
        <v>1884.9920264638336</v>
      </c>
      <c r="R1188" s="4">
        <f t="shared" ca="1" si="126"/>
        <v>-38.678017536166408</v>
      </c>
      <c r="S1188" s="4">
        <f t="shared" ca="1" si="127"/>
        <v>-18.970220223901848</v>
      </c>
    </row>
    <row r="1189" spans="15:19" x14ac:dyDescent="0.2">
      <c r="O1189" s="4">
        <f t="shared" ca="1" si="123"/>
        <v>0.37429284851608147</v>
      </c>
      <c r="P1189" s="4">
        <f t="shared" ca="1" si="124"/>
        <v>-0.32050479369870633</v>
      </c>
      <c r="Q1189" s="4">
        <f t="shared" ca="1" si="125"/>
        <v>1929.311783850502</v>
      </c>
      <c r="R1189" s="4">
        <f t="shared" ca="1" si="126"/>
        <v>5.6417398505020628</v>
      </c>
      <c r="S1189" s="4">
        <f t="shared" ca="1" si="127"/>
        <v>2.8688606720502694</v>
      </c>
    </row>
    <row r="1190" spans="15:19" x14ac:dyDescent="0.2">
      <c r="O1190" s="4">
        <f t="shared" ca="1" si="123"/>
        <v>0.64882988000812725</v>
      </c>
      <c r="P1190" s="4">
        <f t="shared" ca="1" si="124"/>
        <v>0.38216330256937325</v>
      </c>
      <c r="Q1190" s="4">
        <f t="shared" ca="1" si="125"/>
        <v>1916.0533703244037</v>
      </c>
      <c r="R1190" s="4">
        <f t="shared" ca="1" si="126"/>
        <v>-7.6166736755963029</v>
      </c>
      <c r="S1190" s="4">
        <f t="shared" ca="1" si="127"/>
        <v>-3.8320192199659306</v>
      </c>
    </row>
    <row r="1191" spans="15:19" x14ac:dyDescent="0.2">
      <c r="O1191" s="4">
        <f t="shared" ca="1" si="123"/>
        <v>0.79522376493923197</v>
      </c>
      <c r="P1191" s="4">
        <f t="shared" ca="1" si="124"/>
        <v>0.8246814424587422</v>
      </c>
      <c r="Q1191" s="4">
        <f t="shared" ca="1" si="125"/>
        <v>1907.7036408822764</v>
      </c>
      <c r="R1191" s="4">
        <f t="shared" ca="1" si="126"/>
        <v>-15.96640311772353</v>
      </c>
      <c r="S1191" s="4">
        <f t="shared" ca="1" si="127"/>
        <v>-7.9785771065531241</v>
      </c>
    </row>
    <row r="1192" spans="15:19" x14ac:dyDescent="0.2">
      <c r="O1192" s="4">
        <f t="shared" ca="1" si="123"/>
        <v>0.29835959302302539</v>
      </c>
      <c r="P1192" s="4">
        <f t="shared" ca="1" si="124"/>
        <v>-0.52912435684574222</v>
      </c>
      <c r="Q1192" s="4">
        <f t="shared" ca="1" si="125"/>
        <v>1933.2481578690856</v>
      </c>
      <c r="R1192" s="4">
        <f t="shared" ca="1" si="126"/>
        <v>9.5781138690856551</v>
      </c>
      <c r="S1192" s="4">
        <f t="shared" ca="1" si="127"/>
        <v>4.8858796960105657</v>
      </c>
    </row>
    <row r="1193" spans="15:19" x14ac:dyDescent="0.2">
      <c r="O1193" s="4">
        <f t="shared" ca="1" si="123"/>
        <v>0.39985848359337017</v>
      </c>
      <c r="P1193" s="4">
        <f t="shared" ca="1" si="124"/>
        <v>-0.25371341790656909</v>
      </c>
      <c r="Q1193" s="4">
        <f t="shared" ca="1" si="125"/>
        <v>1928.0515193174563</v>
      </c>
      <c r="R1193" s="4">
        <f t="shared" ca="1" si="126"/>
        <v>4.3814753174563066</v>
      </c>
      <c r="S1193" s="4">
        <f t="shared" ca="1" si="127"/>
        <v>2.2257603624464783</v>
      </c>
    </row>
    <row r="1194" spans="15:19" x14ac:dyDescent="0.2">
      <c r="O1194" s="4">
        <f t="shared" ca="1" si="123"/>
        <v>0.21042411039698716</v>
      </c>
      <c r="P1194" s="4">
        <f t="shared" ca="1" si="124"/>
        <v>-0.80495054190051929</v>
      </c>
      <c r="Q1194" s="4">
        <f t="shared" ca="1" si="125"/>
        <v>1938.4526315632877</v>
      </c>
      <c r="R1194" s="4">
        <f t="shared" ca="1" si="126"/>
        <v>14.782587563287734</v>
      </c>
      <c r="S1194" s="4">
        <f t="shared" ca="1" si="127"/>
        <v>7.5720453784214232</v>
      </c>
    </row>
    <row r="1195" spans="15:19" x14ac:dyDescent="0.2">
      <c r="O1195" s="4">
        <f t="shared" ca="1" si="123"/>
        <v>0.2915698888319066</v>
      </c>
      <c r="P1195" s="4">
        <f t="shared" ca="1" si="124"/>
        <v>-0.5488042728703123</v>
      </c>
      <c r="Q1195" s="4">
        <f t="shared" ca="1" si="125"/>
        <v>1933.6194917409355</v>
      </c>
      <c r="R1195" s="4">
        <f t="shared" ca="1" si="126"/>
        <v>9.9494477409355113</v>
      </c>
      <c r="S1195" s="4">
        <f t="shared" ca="1" si="127"/>
        <v>5.0768042978334691</v>
      </c>
    </row>
    <row r="1196" spans="15:19" x14ac:dyDescent="0.2">
      <c r="O1196" s="4">
        <f t="shared" ca="1" si="123"/>
        <v>0.5702954456517938</v>
      </c>
      <c r="P1196" s="4">
        <f t="shared" ca="1" si="124"/>
        <v>0.17712639602885516</v>
      </c>
      <c r="Q1196" s="4">
        <f t="shared" ca="1" si="125"/>
        <v>1919.9221443721567</v>
      </c>
      <c r="R1196" s="4">
        <f t="shared" ca="1" si="126"/>
        <v>-3.7478996278432533</v>
      </c>
      <c r="S1196" s="4">
        <f t="shared" ca="1" si="127"/>
        <v>-1.8915055016305982</v>
      </c>
    </row>
    <row r="1197" spans="15:19" x14ac:dyDescent="0.2">
      <c r="O1197" s="4">
        <f t="shared" ca="1" si="123"/>
        <v>0.19357344609985283</v>
      </c>
      <c r="P1197" s="4">
        <f t="shared" ca="1" si="124"/>
        <v>-0.86480305845179795</v>
      </c>
      <c r="Q1197" s="4">
        <f t="shared" ca="1" si="125"/>
        <v>1939.5819690402973</v>
      </c>
      <c r="R1197" s="4">
        <f t="shared" ca="1" si="126"/>
        <v>15.911925040297319</v>
      </c>
      <c r="S1197" s="4">
        <f t="shared" ca="1" si="127"/>
        <v>8.1578379073229801</v>
      </c>
    </row>
    <row r="1198" spans="15:19" x14ac:dyDescent="0.2">
      <c r="O1198" s="4">
        <f t="shared" ca="1" si="123"/>
        <v>0.63082454021236811</v>
      </c>
      <c r="P1198" s="4">
        <f t="shared" ca="1" si="124"/>
        <v>0.33403795299296718</v>
      </c>
      <c r="Q1198" s="4">
        <f t="shared" ca="1" si="125"/>
        <v>1916.9614317394028</v>
      </c>
      <c r="R1198" s="4">
        <f t="shared" ca="1" si="126"/>
        <v>-6.7086122605971923</v>
      </c>
      <c r="S1198" s="4">
        <f t="shared" ca="1" si="127"/>
        <v>-3.3776448912654824</v>
      </c>
    </row>
    <row r="1199" spans="15:19" x14ac:dyDescent="0.2">
      <c r="O1199" s="4">
        <f t="shared" ca="1" si="123"/>
        <v>0.89751993535395524</v>
      </c>
      <c r="P1199" s="4">
        <f t="shared" ca="1" si="124"/>
        <v>1.2675459921364614</v>
      </c>
      <c r="Q1199" s="4">
        <f t="shared" ca="1" si="125"/>
        <v>1899.3473751476267</v>
      </c>
      <c r="R1199" s="4">
        <f t="shared" ca="1" si="126"/>
        <v>-24.322668852373226</v>
      </c>
      <c r="S1199" s="4">
        <f t="shared" ca="1" si="127"/>
        <v>-12.071554224327331</v>
      </c>
    </row>
    <row r="1200" spans="15:19" x14ac:dyDescent="0.2">
      <c r="O1200" s="4">
        <f t="shared" ca="1" si="123"/>
        <v>0.75803079328172818</v>
      </c>
      <c r="P1200" s="4">
        <f t="shared" ca="1" si="124"/>
        <v>0.69998221171929664</v>
      </c>
      <c r="Q1200" s="4">
        <f t="shared" ca="1" si="125"/>
        <v>1910.0565497112252</v>
      </c>
      <c r="R1200" s="4">
        <f t="shared" ca="1" si="126"/>
        <v>-13.613494288774746</v>
      </c>
      <c r="S1200" s="4">
        <f t="shared" ca="1" si="127"/>
        <v>-6.8158431411669218</v>
      </c>
    </row>
    <row r="1201" spans="15:19" x14ac:dyDescent="0.2">
      <c r="O1201" s="4">
        <f t="shared" ca="1" si="123"/>
        <v>0.63580863621291694</v>
      </c>
      <c r="P1201" s="4">
        <f t="shared" ca="1" si="124"/>
        <v>0.34727766639702307</v>
      </c>
      <c r="Q1201" s="4">
        <f t="shared" ca="1" si="125"/>
        <v>1916.7116159355969</v>
      </c>
      <c r="R1201" s="4">
        <f t="shared" ca="1" si="126"/>
        <v>-6.9584280644030514</v>
      </c>
      <c r="S1201" s="4">
        <f t="shared" ca="1" si="127"/>
        <v>-3.5027142649563148</v>
      </c>
    </row>
    <row r="1202" spans="15:19" x14ac:dyDescent="0.2">
      <c r="O1202" s="4">
        <f t="shared" ca="1" si="123"/>
        <v>0.66499550329766999</v>
      </c>
      <c r="P1202" s="4">
        <f t="shared" ca="1" si="124"/>
        <v>0.42613566493783234</v>
      </c>
      <c r="Q1202" s="4">
        <f t="shared" ca="1" si="125"/>
        <v>1915.2236702610353</v>
      </c>
      <c r="R1202" s="4">
        <f t="shared" ca="1" si="126"/>
        <v>-8.4463737389646667</v>
      </c>
      <c r="S1202" s="4">
        <f t="shared" ca="1" si="127"/>
        <v>-4.2465962991066375</v>
      </c>
    </row>
    <row r="1203" spans="15:19" x14ac:dyDescent="0.2">
      <c r="O1203" s="4">
        <f t="shared" ca="1" si="123"/>
        <v>0.89254436608599674</v>
      </c>
      <c r="P1203" s="4">
        <f t="shared" ca="1" si="124"/>
        <v>1.2401733917984743</v>
      </c>
      <c r="Q1203" s="4">
        <f t="shared" ca="1" si="125"/>
        <v>1899.8638597532224</v>
      </c>
      <c r="R1203" s="4">
        <f t="shared" ca="1" si="126"/>
        <v>-23.806184246777548</v>
      </c>
      <c r="S1203" s="4">
        <f t="shared" ca="1" si="127"/>
        <v>-11.820223508223368</v>
      </c>
    </row>
    <row r="1204" spans="15:19" x14ac:dyDescent="0.2">
      <c r="O1204" s="4">
        <f t="shared" ca="1" si="123"/>
        <v>0.41006548871152781</v>
      </c>
      <c r="P1204" s="4">
        <f t="shared" ca="1" si="124"/>
        <v>-0.22737651880045298</v>
      </c>
      <c r="Q1204" s="4">
        <f t="shared" ca="1" si="125"/>
        <v>1927.5545770182421</v>
      </c>
      <c r="R1204" s="4">
        <f t="shared" ca="1" si="126"/>
        <v>3.8845330182421094</v>
      </c>
      <c r="S1204" s="4">
        <f t="shared" ca="1" si="127"/>
        <v>1.9725311729414792</v>
      </c>
    </row>
    <row r="1205" spans="15:19" x14ac:dyDescent="0.2">
      <c r="O1205" s="4">
        <f t="shared" ca="1" si="123"/>
        <v>0.59957904785603477</v>
      </c>
      <c r="P1205" s="4">
        <f t="shared" ca="1" si="124"/>
        <v>0.25225767057001386</v>
      </c>
      <c r="Q1205" s="4">
        <f t="shared" ca="1" si="125"/>
        <v>1918.5045170287497</v>
      </c>
      <c r="R1205" s="4">
        <f t="shared" ca="1" si="126"/>
        <v>-5.1655269712503014</v>
      </c>
      <c r="S1205" s="4">
        <f t="shared" ca="1" si="127"/>
        <v>-2.603978655329402</v>
      </c>
    </row>
    <row r="1206" spans="15:19" x14ac:dyDescent="0.2">
      <c r="O1206" s="4">
        <f t="shared" ca="1" si="123"/>
        <v>0.65252811804115429</v>
      </c>
      <c r="P1206" s="4">
        <f t="shared" ca="1" si="124"/>
        <v>0.39215490170501971</v>
      </c>
      <c r="Q1206" s="4">
        <f t="shared" ca="1" si="125"/>
        <v>1915.8648421219264</v>
      </c>
      <c r="R1206" s="4">
        <f t="shared" ca="1" si="126"/>
        <v>-7.8052018780736034</v>
      </c>
      <c r="S1206" s="4">
        <f t="shared" ca="1" si="127"/>
        <v>-3.9262705058047951</v>
      </c>
    </row>
    <row r="1207" spans="15:19" x14ac:dyDescent="0.2">
      <c r="O1207" s="4">
        <f t="shared" ca="1" si="123"/>
        <v>0.99632178514173186</v>
      </c>
      <c r="P1207" s="4">
        <f t="shared" ca="1" si="124"/>
        <v>2.6802631797798733</v>
      </c>
      <c r="Q1207" s="4">
        <f t="shared" ca="1" si="125"/>
        <v>1872.6912785229454</v>
      </c>
      <c r="R1207" s="4">
        <f t="shared" ca="1" si="126"/>
        <v>-50.978765477054594</v>
      </c>
      <c r="S1207" s="4">
        <f t="shared" ca="1" si="127"/>
        <v>-24.748044856919034</v>
      </c>
    </row>
    <row r="1208" spans="15:19" x14ac:dyDescent="0.2">
      <c r="O1208" s="4">
        <f t="shared" ca="1" si="123"/>
        <v>0.63491277682761094</v>
      </c>
      <c r="P1208" s="4">
        <f t="shared" ca="1" si="124"/>
        <v>0.34489348808741549</v>
      </c>
      <c r="Q1208" s="4">
        <f t="shared" ca="1" si="125"/>
        <v>1916.7566022130679</v>
      </c>
      <c r="R1208" s="4">
        <f t="shared" ca="1" si="126"/>
        <v>-6.9134417869320259</v>
      </c>
      <c r="S1208" s="4">
        <f t="shared" ca="1" si="127"/>
        <v>-3.4801957996850077</v>
      </c>
    </row>
    <row r="1209" spans="15:19" x14ac:dyDescent="0.2">
      <c r="O1209" s="4">
        <f t="shared" ca="1" si="123"/>
        <v>2.2153567216057657E-2</v>
      </c>
      <c r="P1209" s="4">
        <f t="shared" ca="1" si="124"/>
        <v>-2.0111734942396753</v>
      </c>
      <c r="Q1209" s="4">
        <f t="shared" ca="1" si="125"/>
        <v>1961.212456282414</v>
      </c>
      <c r="R1209" s="4">
        <f t="shared" ca="1" si="126"/>
        <v>37.542412282414034</v>
      </c>
      <c r="S1209" s="4">
        <f t="shared" ca="1" si="127"/>
        <v>19.578073507780598</v>
      </c>
    </row>
    <row r="1210" spans="15:19" x14ac:dyDescent="0.2">
      <c r="O1210" s="4">
        <f t="shared" ca="1" si="123"/>
        <v>0.38388821727816314</v>
      </c>
      <c r="P1210" s="4">
        <f t="shared" ca="1" si="124"/>
        <v>-0.29528465914763552</v>
      </c>
      <c r="Q1210" s="4">
        <f t="shared" ca="1" si="125"/>
        <v>1928.8359134148893</v>
      </c>
      <c r="R1210" s="4">
        <f t="shared" ca="1" si="126"/>
        <v>5.1658694148893574</v>
      </c>
      <c r="S1210" s="4">
        <f t="shared" ca="1" si="127"/>
        <v>2.6258768305640281</v>
      </c>
    </row>
    <row r="1211" spans="15:19" x14ac:dyDescent="0.2">
      <c r="O1211" s="4">
        <f t="shared" ca="1" si="123"/>
        <v>0.62247205541384065</v>
      </c>
      <c r="P1211" s="4">
        <f t="shared" ca="1" si="124"/>
        <v>0.31197978131910148</v>
      </c>
      <c r="Q1211" s="4">
        <f t="shared" ca="1" si="125"/>
        <v>1917.3776401359917</v>
      </c>
      <c r="R1211" s="4">
        <f t="shared" ca="1" si="126"/>
        <v>-6.2924038640082927</v>
      </c>
      <c r="S1211" s="4">
        <f t="shared" ca="1" si="127"/>
        <v>-3.1691588295344904</v>
      </c>
    </row>
    <row r="1212" spans="15:19" x14ac:dyDescent="0.2">
      <c r="O1212" s="4">
        <f t="shared" ca="1" si="123"/>
        <v>0.87599496136691135</v>
      </c>
      <c r="P1212" s="4">
        <f t="shared" ca="1" si="124"/>
        <v>1.1551962323322362</v>
      </c>
      <c r="Q1212" s="4">
        <f t="shared" ca="1" si="125"/>
        <v>1901.4672658655254</v>
      </c>
      <c r="R1212" s="4">
        <f t="shared" ca="1" si="126"/>
        <v>-22.202778134474556</v>
      </c>
      <c r="S1212" s="4">
        <f t="shared" ca="1" si="127"/>
        <v>-11.038593553780967</v>
      </c>
    </row>
    <row r="1213" spans="15:19" x14ac:dyDescent="0.2">
      <c r="O1213" s="4">
        <f t="shared" ca="1" si="123"/>
        <v>0.30913154695891465</v>
      </c>
      <c r="P1213" s="4">
        <f t="shared" ca="1" si="124"/>
        <v>-0.49831350020627979</v>
      </c>
      <c r="Q1213" s="4">
        <f t="shared" ca="1" si="125"/>
        <v>1932.6667979345887</v>
      </c>
      <c r="R1213" s="4">
        <f t="shared" ca="1" si="126"/>
        <v>8.9967539345886962</v>
      </c>
      <c r="S1213" s="4">
        <f t="shared" ca="1" si="127"/>
        <v>4.5871937908964586</v>
      </c>
    </row>
    <row r="1214" spans="15:19" x14ac:dyDescent="0.2">
      <c r="O1214" s="4">
        <f t="shared" ca="1" si="123"/>
        <v>2.3108893369884309E-2</v>
      </c>
      <c r="P1214" s="4">
        <f t="shared" ca="1" si="124"/>
        <v>-1.9933988771758036</v>
      </c>
      <c r="Q1214" s="4">
        <f t="shared" ca="1" si="125"/>
        <v>1960.8770728708821</v>
      </c>
      <c r="R1214" s="4">
        <f t="shared" ca="1" si="126"/>
        <v>37.207028870882141</v>
      </c>
      <c r="S1214" s="4">
        <f t="shared" ca="1" si="127"/>
        <v>19.398094027252736</v>
      </c>
    </row>
    <row r="1215" spans="15:19" x14ac:dyDescent="0.2">
      <c r="O1215" s="4">
        <f t="shared" ca="1" si="123"/>
        <v>0.12917570902594455</v>
      </c>
      <c r="P1215" s="4">
        <f t="shared" ca="1" si="124"/>
        <v>-1.1302962408188828</v>
      </c>
      <c r="Q1215" s="4">
        <f t="shared" ca="1" si="125"/>
        <v>1944.5914727005284</v>
      </c>
      <c r="R1215" s="4">
        <f t="shared" ca="1" si="126"/>
        <v>20.921428700528395</v>
      </c>
      <c r="S1215" s="4">
        <f t="shared" ca="1" si="127"/>
        <v>10.768808846954492</v>
      </c>
    </row>
    <row r="1216" spans="15:19" x14ac:dyDescent="0.2">
      <c r="O1216" s="4">
        <f t="shared" ca="1" si="123"/>
        <v>0.99910301670316426</v>
      </c>
      <c r="P1216" s="4">
        <f t="shared" ca="1" si="124"/>
        <v>3.1223776415205897</v>
      </c>
      <c r="Q1216" s="4">
        <f t="shared" ca="1" si="125"/>
        <v>1864.3491659512222</v>
      </c>
      <c r="R1216" s="4">
        <f t="shared" ca="1" si="126"/>
        <v>-59.320878048777786</v>
      </c>
      <c r="S1216" s="4">
        <f t="shared" ca="1" si="127"/>
        <v>-28.596346512649792</v>
      </c>
    </row>
    <row r="1217" spans="15:19" x14ac:dyDescent="0.2">
      <c r="O1217" s="4">
        <f t="shared" ca="1" si="123"/>
        <v>0.93542849632124536</v>
      </c>
      <c r="P1217" s="4">
        <f t="shared" ca="1" si="124"/>
        <v>1.5174900357061063</v>
      </c>
      <c r="Q1217" s="4">
        <f t="shared" ca="1" si="125"/>
        <v>1894.6312630804478</v>
      </c>
      <c r="R1217" s="4">
        <f t="shared" ca="1" si="126"/>
        <v>-29.03878091955221</v>
      </c>
      <c r="S1217" s="4">
        <f t="shared" ca="1" si="127"/>
        <v>-14.356453884439102</v>
      </c>
    </row>
    <row r="1218" spans="15:19" x14ac:dyDescent="0.2">
      <c r="O1218" s="4">
        <f t="shared" ca="1" si="123"/>
        <v>0.54833186293167346</v>
      </c>
      <c r="P1218" s="4">
        <f t="shared" ca="1" si="124"/>
        <v>0.12144790603719313</v>
      </c>
      <c r="Q1218" s="4">
        <f t="shared" ca="1" si="125"/>
        <v>1920.9727235129189</v>
      </c>
      <c r="R1218" s="4">
        <f t="shared" ca="1" si="126"/>
        <v>-2.697320487081015</v>
      </c>
      <c r="S1218" s="4">
        <f t="shared" ca="1" si="127"/>
        <v>-1.3624484030164454</v>
      </c>
    </row>
    <row r="1219" spans="15:19" x14ac:dyDescent="0.2">
      <c r="O1219" s="4">
        <f t="shared" ref="O1219:O1282" ca="1" si="128">RAND()</f>
        <v>0.11998059996154486</v>
      </c>
      <c r="P1219" s="4">
        <f t="shared" ref="P1219:P1282" ca="1" si="129">NORMSINV(O1219)</f>
        <v>-1.1750837781537447</v>
      </c>
      <c r="Q1219" s="4">
        <f t="shared" ref="Q1219:Q1282" ca="1" si="130">$B$4*(1+$B$17-$B$32*P1219)</f>
        <v>1945.4365540326039</v>
      </c>
      <c r="R1219" s="4">
        <f t="shared" ref="R1219:R1282" ca="1" si="131">Q1219-$B$4</f>
        <v>21.766510032603946</v>
      </c>
      <c r="S1219" s="4">
        <f t="shared" ref="S1219:S1282" ca="1" si="132">R1219*$B$12+0.5*$B$13*R1219^2</f>
        <v>11.211282227558081</v>
      </c>
    </row>
    <row r="1220" spans="15:19" x14ac:dyDescent="0.2">
      <c r="O1220" s="4">
        <f t="shared" ca="1" si="128"/>
        <v>8.6093958349236499E-2</v>
      </c>
      <c r="P1220" s="4">
        <f t="shared" ca="1" si="129"/>
        <v>-1.3652072615602726</v>
      </c>
      <c r="Q1220" s="4">
        <f t="shared" ca="1" si="130"/>
        <v>1949.0239315973658</v>
      </c>
      <c r="R1220" s="4">
        <f t="shared" ca="1" si="131"/>
        <v>25.353887597365883</v>
      </c>
      <c r="S1220" s="4">
        <f t="shared" ca="1" si="132"/>
        <v>13.096058324210597</v>
      </c>
    </row>
    <row r="1221" spans="15:19" x14ac:dyDescent="0.2">
      <c r="O1221" s="4">
        <f t="shared" ca="1" si="128"/>
        <v>0.33423019847333313</v>
      </c>
      <c r="P1221" s="4">
        <f t="shared" ca="1" si="129"/>
        <v>-0.42826197887167761</v>
      </c>
      <c r="Q1221" s="4">
        <f t="shared" ca="1" si="130"/>
        <v>1931.345018786056</v>
      </c>
      <c r="R1221" s="4">
        <f t="shared" ca="1" si="131"/>
        <v>7.6749747860560547</v>
      </c>
      <c r="S1221" s="4">
        <f t="shared" ca="1" si="132"/>
        <v>3.9091259219645327</v>
      </c>
    </row>
    <row r="1222" spans="15:19" x14ac:dyDescent="0.2">
      <c r="O1222" s="4">
        <f t="shared" ca="1" si="128"/>
        <v>0.45412893358128592</v>
      </c>
      <c r="P1222" s="4">
        <f t="shared" ca="1" si="129"/>
        <v>-0.11523624942662451</v>
      </c>
      <c r="Q1222" s="4">
        <f t="shared" ca="1" si="130"/>
        <v>1925.43863910647</v>
      </c>
      <c r="R1222" s="4">
        <f t="shared" ca="1" si="131"/>
        <v>1.7685951064700021</v>
      </c>
      <c r="S1222" s="4">
        <f t="shared" ca="1" si="132"/>
        <v>0.89655344961091954</v>
      </c>
    </row>
    <row r="1223" spans="15:19" x14ac:dyDescent="0.2">
      <c r="O1223" s="4">
        <f t="shared" ca="1" si="128"/>
        <v>0.46799284356594406</v>
      </c>
      <c r="P1223" s="4">
        <f t="shared" ca="1" si="129"/>
        <v>-8.0316309350497744E-2</v>
      </c>
      <c r="Q1223" s="4">
        <f t="shared" ca="1" si="130"/>
        <v>1924.7797462261833</v>
      </c>
      <c r="R1223" s="4">
        <f t="shared" ca="1" si="131"/>
        <v>1.1097022261833445</v>
      </c>
      <c r="S1223" s="4">
        <f t="shared" ca="1" si="132"/>
        <v>0.56224341725519522</v>
      </c>
    </row>
    <row r="1224" spans="15:19" x14ac:dyDescent="0.2">
      <c r="O1224" s="4">
        <f t="shared" ca="1" si="128"/>
        <v>0.42465282465552112</v>
      </c>
      <c r="P1224" s="4">
        <f t="shared" ca="1" si="129"/>
        <v>-0.19000444253162552</v>
      </c>
      <c r="Q1224" s="4">
        <f t="shared" ca="1" si="130"/>
        <v>1926.849415585508</v>
      </c>
      <c r="R1224" s="4">
        <f t="shared" ca="1" si="131"/>
        <v>3.1793715855080791</v>
      </c>
      <c r="S1224" s="4">
        <f t="shared" ca="1" si="132"/>
        <v>1.6135438582871482</v>
      </c>
    </row>
    <row r="1225" spans="15:19" x14ac:dyDescent="0.2">
      <c r="O1225" s="4">
        <f t="shared" ca="1" si="128"/>
        <v>0.28311331124264971</v>
      </c>
      <c r="P1225" s="4">
        <f t="shared" ca="1" si="129"/>
        <v>-0.57361756559954591</v>
      </c>
      <c r="Q1225" s="4">
        <f t="shared" ca="1" si="130"/>
        <v>1934.0876856118336</v>
      </c>
      <c r="R1225" s="4">
        <f t="shared" ca="1" si="131"/>
        <v>10.417641611833687</v>
      </c>
      <c r="S1225" s="4">
        <f t="shared" ca="1" si="132"/>
        <v>5.3176903301018648</v>
      </c>
    </row>
    <row r="1226" spans="15:19" x14ac:dyDescent="0.2">
      <c r="O1226" s="4">
        <f t="shared" ca="1" si="128"/>
        <v>0.23389547129418797</v>
      </c>
      <c r="P1226" s="4">
        <f t="shared" ca="1" si="129"/>
        <v>-0.72607802023185164</v>
      </c>
      <c r="Q1226" s="4">
        <f t="shared" ca="1" si="130"/>
        <v>1936.9644118565966</v>
      </c>
      <c r="R1226" s="4">
        <f t="shared" ca="1" si="131"/>
        <v>13.294367856596637</v>
      </c>
      <c r="S1226" s="4">
        <f t="shared" ca="1" si="132"/>
        <v>6.8016847292557285</v>
      </c>
    </row>
    <row r="1227" spans="15:19" x14ac:dyDescent="0.2">
      <c r="O1227" s="4">
        <f t="shared" ca="1" si="128"/>
        <v>0.12582913616943492</v>
      </c>
      <c r="P1227" s="4">
        <f t="shared" ca="1" si="129"/>
        <v>-1.146330875293285</v>
      </c>
      <c r="Q1227" s="4">
        <f t="shared" ca="1" si="130"/>
        <v>1944.8940249520545</v>
      </c>
      <c r="R1227" s="4">
        <f t="shared" ca="1" si="131"/>
        <v>21.22398095205449</v>
      </c>
      <c r="S1227" s="4">
        <f t="shared" ca="1" si="132"/>
        <v>10.927154376610879</v>
      </c>
    </row>
    <row r="1228" spans="15:19" x14ac:dyDescent="0.2">
      <c r="O1228" s="4">
        <f t="shared" ca="1" si="128"/>
        <v>0.19186878919010075</v>
      </c>
      <c r="P1228" s="4">
        <f t="shared" ca="1" si="129"/>
        <v>-0.87103035627117453</v>
      </c>
      <c r="Q1228" s="4">
        <f t="shared" ca="1" si="130"/>
        <v>1939.6994698775743</v>
      </c>
      <c r="R1228" s="4">
        <f t="shared" ca="1" si="131"/>
        <v>16.02942587757434</v>
      </c>
      <c r="S1228" s="4">
        <f t="shared" ca="1" si="132"/>
        <v>8.2188457680147273</v>
      </c>
    </row>
    <row r="1229" spans="15:19" x14ac:dyDescent="0.2">
      <c r="O1229" s="4">
        <f t="shared" ca="1" si="128"/>
        <v>0.26341639875035761</v>
      </c>
      <c r="P1229" s="4">
        <f t="shared" ca="1" si="129"/>
        <v>-0.63284816913102293</v>
      </c>
      <c r="Q1229" s="4">
        <f t="shared" ca="1" si="130"/>
        <v>1935.2052884163318</v>
      </c>
      <c r="R1229" s="4">
        <f t="shared" ca="1" si="131"/>
        <v>11.535244416331807</v>
      </c>
      <c r="S1229" s="4">
        <f t="shared" ca="1" si="132"/>
        <v>5.8934191000244347</v>
      </c>
    </row>
    <row r="1230" spans="15:19" x14ac:dyDescent="0.2">
      <c r="O1230" s="4">
        <f t="shared" ca="1" si="128"/>
        <v>0.74657605978635611</v>
      </c>
      <c r="P1230" s="4">
        <f t="shared" ca="1" si="129"/>
        <v>0.66375382977792319</v>
      </c>
      <c r="Q1230" s="4">
        <f t="shared" ca="1" si="130"/>
        <v>1910.7401311513265</v>
      </c>
      <c r="R1230" s="4">
        <f t="shared" ca="1" si="131"/>
        <v>-12.929912848673439</v>
      </c>
      <c r="S1230" s="4">
        <f t="shared" ca="1" si="132"/>
        <v>-6.4771936208977383</v>
      </c>
    </row>
    <row r="1231" spans="15:19" x14ac:dyDescent="0.2">
      <c r="O1231" s="4">
        <f t="shared" ca="1" si="128"/>
        <v>0.11570290581917808</v>
      </c>
      <c r="P1231" s="4">
        <f t="shared" ca="1" si="129"/>
        <v>-1.1967453844396319</v>
      </c>
      <c r="Q1231" s="4">
        <f t="shared" ca="1" si="130"/>
        <v>1945.8452797671339</v>
      </c>
      <c r="R1231" s="4">
        <f t="shared" ca="1" si="131"/>
        <v>22.175235767133927</v>
      </c>
      <c r="S1231" s="4">
        <f t="shared" ca="1" si="132"/>
        <v>11.4254942108974</v>
      </c>
    </row>
    <row r="1232" spans="15:19" x14ac:dyDescent="0.2">
      <c r="O1232" s="4">
        <f t="shared" ca="1" si="128"/>
        <v>0.61758226548159534</v>
      </c>
      <c r="P1232" s="4">
        <f t="shared" ca="1" si="129"/>
        <v>0.29913706172453591</v>
      </c>
      <c r="Q1232" s="4">
        <f t="shared" ca="1" si="130"/>
        <v>1917.6199651939937</v>
      </c>
      <c r="R1232" s="4">
        <f t="shared" ca="1" si="131"/>
        <v>-6.0500788060062405</v>
      </c>
      <c r="S1232" s="4">
        <f t="shared" ca="1" si="132"/>
        <v>-3.0477090120509258</v>
      </c>
    </row>
    <row r="1233" spans="15:19" x14ac:dyDescent="0.2">
      <c r="O1233" s="4">
        <f t="shared" ca="1" si="128"/>
        <v>0.28911184861903549</v>
      </c>
      <c r="P1233" s="4">
        <f t="shared" ca="1" si="129"/>
        <v>-0.55598121400888389</v>
      </c>
      <c r="Q1233" s="4">
        <f t="shared" ca="1" si="130"/>
        <v>1933.7549110861044</v>
      </c>
      <c r="R1233" s="4">
        <f t="shared" ca="1" si="131"/>
        <v>10.084867086104396</v>
      </c>
      <c r="S1233" s="4">
        <f t="shared" ca="1" si="132"/>
        <v>5.1464592893438663</v>
      </c>
    </row>
    <row r="1234" spans="15:19" x14ac:dyDescent="0.2">
      <c r="O1234" s="4">
        <f t="shared" ca="1" si="128"/>
        <v>0.19744784537723359</v>
      </c>
      <c r="P1234" s="4">
        <f t="shared" ca="1" si="129"/>
        <v>-0.85077258973920467</v>
      </c>
      <c r="Q1234" s="4">
        <f t="shared" ca="1" si="130"/>
        <v>1939.3172327342879</v>
      </c>
      <c r="R1234" s="4">
        <f t="shared" ca="1" si="131"/>
        <v>15.647188734287965</v>
      </c>
      <c r="S1234" s="4">
        <f t="shared" ca="1" si="132"/>
        <v>8.0204247966007713</v>
      </c>
    </row>
    <row r="1235" spans="15:19" x14ac:dyDescent="0.2">
      <c r="O1235" s="4">
        <f t="shared" ca="1" si="128"/>
        <v>0.29475759416418534</v>
      </c>
      <c r="P1235" s="4">
        <f t="shared" ca="1" si="129"/>
        <v>-0.53953871856525237</v>
      </c>
      <c r="Q1235" s="4">
        <f t="shared" ca="1" si="130"/>
        <v>1933.4446630399066</v>
      </c>
      <c r="R1235" s="4">
        <f t="shared" ca="1" si="131"/>
        <v>9.7746190399066109</v>
      </c>
      <c r="S1235" s="4">
        <f t="shared" ca="1" si="132"/>
        <v>4.9869005867081295</v>
      </c>
    </row>
    <row r="1236" spans="15:19" x14ac:dyDescent="0.2">
      <c r="O1236" s="4">
        <f t="shared" ca="1" si="128"/>
        <v>0.22171666042332649</v>
      </c>
      <c r="P1236" s="4">
        <f t="shared" ca="1" si="129"/>
        <v>-0.76640842587737146</v>
      </c>
      <c r="Q1236" s="4">
        <f t="shared" ca="1" si="130"/>
        <v>1937.725393034714</v>
      </c>
      <c r="R1236" s="4">
        <f t="shared" ca="1" si="131"/>
        <v>14.055349034714027</v>
      </c>
      <c r="S1236" s="4">
        <f t="shared" ca="1" si="132"/>
        <v>7.1953730323771863</v>
      </c>
    </row>
    <row r="1237" spans="15:19" x14ac:dyDescent="0.2">
      <c r="O1237" s="4">
        <f t="shared" ca="1" si="128"/>
        <v>0.78162376519206878</v>
      </c>
      <c r="P1237" s="4">
        <f t="shared" ca="1" si="129"/>
        <v>0.77768884556230555</v>
      </c>
      <c r="Q1237" s="4">
        <f t="shared" ca="1" si="130"/>
        <v>1908.5903287589954</v>
      </c>
      <c r="R1237" s="4">
        <f t="shared" ca="1" si="131"/>
        <v>-15.079715241004578</v>
      </c>
      <c r="S1237" s="4">
        <f t="shared" ca="1" si="132"/>
        <v>-7.5409329082195358</v>
      </c>
    </row>
    <row r="1238" spans="15:19" x14ac:dyDescent="0.2">
      <c r="O1238" s="4">
        <f t="shared" ca="1" si="128"/>
        <v>0.6103256084936608</v>
      </c>
      <c r="P1238" s="4">
        <f t="shared" ca="1" si="129"/>
        <v>0.2801677825710997</v>
      </c>
      <c r="Q1238" s="4">
        <f t="shared" ca="1" si="130"/>
        <v>1917.9778902921219</v>
      </c>
      <c r="R1238" s="4">
        <f t="shared" ca="1" si="131"/>
        <v>-5.6921537078781057</v>
      </c>
      <c r="S1238" s="4">
        <f t="shared" ca="1" si="132"/>
        <v>-2.8682346682486068</v>
      </c>
    </row>
    <row r="1239" spans="15:19" x14ac:dyDescent="0.2">
      <c r="O1239" s="4">
        <f t="shared" ca="1" si="128"/>
        <v>0.38653467303968359</v>
      </c>
      <c r="P1239" s="4">
        <f t="shared" ca="1" si="129"/>
        <v>-0.28836240027999965</v>
      </c>
      <c r="Q1239" s="4">
        <f t="shared" ca="1" si="130"/>
        <v>1928.7052995858439</v>
      </c>
      <c r="R1239" s="4">
        <f t="shared" ca="1" si="131"/>
        <v>5.03525558584397</v>
      </c>
      <c r="S1239" s="4">
        <f t="shared" ca="1" si="132"/>
        <v>2.5592164486594839</v>
      </c>
    </row>
    <row r="1240" spans="15:19" x14ac:dyDescent="0.2">
      <c r="O1240" s="4">
        <f t="shared" ca="1" si="128"/>
        <v>0.66422135188314213</v>
      </c>
      <c r="P1240" s="4">
        <f t="shared" ca="1" si="129"/>
        <v>0.42401167853454425</v>
      </c>
      <c r="Q1240" s="4">
        <f t="shared" ca="1" si="130"/>
        <v>1915.2637470628827</v>
      </c>
      <c r="R1240" s="4">
        <f t="shared" ca="1" si="131"/>
        <v>-8.406296937117304</v>
      </c>
      <c r="S1240" s="4">
        <f t="shared" ca="1" si="132"/>
        <v>-4.2265839644834724</v>
      </c>
    </row>
    <row r="1241" spans="15:19" x14ac:dyDescent="0.2">
      <c r="O1241" s="4">
        <f t="shared" ca="1" si="128"/>
        <v>0.69575275095112765</v>
      </c>
      <c r="P1241" s="4">
        <f t="shared" ca="1" si="129"/>
        <v>0.51222364274801346</v>
      </c>
      <c r="Q1241" s="4">
        <f t="shared" ca="1" si="130"/>
        <v>1913.5993044822344</v>
      </c>
      <c r="R1241" s="4">
        <f t="shared" ca="1" si="131"/>
        <v>-10.07073951776556</v>
      </c>
      <c r="S1241" s="4">
        <f t="shared" ca="1" si="132"/>
        <v>-5.0566221086399628</v>
      </c>
    </row>
    <row r="1242" spans="15:19" x14ac:dyDescent="0.2">
      <c r="O1242" s="4">
        <f t="shared" ca="1" si="128"/>
        <v>0.87417750196309996</v>
      </c>
      <c r="P1242" s="4">
        <f t="shared" ca="1" si="129"/>
        <v>1.1463629742923658</v>
      </c>
      <c r="Q1242" s="4">
        <f t="shared" ca="1" si="130"/>
        <v>1901.6339377103086</v>
      </c>
      <c r="R1242" s="4">
        <f t="shared" ca="1" si="131"/>
        <v>-22.036106289691361</v>
      </c>
      <c r="S1242" s="4">
        <f t="shared" ca="1" si="132"/>
        <v>-10.957224108070729</v>
      </c>
    </row>
    <row r="1243" spans="15:19" x14ac:dyDescent="0.2">
      <c r="O1243" s="4">
        <f t="shared" ca="1" si="128"/>
        <v>0.268884082323673</v>
      </c>
      <c r="P1243" s="4">
        <f t="shared" ca="1" si="129"/>
        <v>-0.61619145923198471</v>
      </c>
      <c r="Q1243" s="4">
        <f t="shared" ca="1" si="130"/>
        <v>1934.890998427931</v>
      </c>
      <c r="R1243" s="4">
        <f t="shared" ca="1" si="131"/>
        <v>11.220954427931019</v>
      </c>
      <c r="S1243" s="4">
        <f t="shared" ca="1" si="132"/>
        <v>5.731411051843037</v>
      </c>
    </row>
    <row r="1244" spans="15:19" x14ac:dyDescent="0.2">
      <c r="O1244" s="4">
        <f t="shared" ca="1" si="128"/>
        <v>2.0262814517965633E-2</v>
      </c>
      <c r="P1244" s="4">
        <f t="shared" ca="1" si="129"/>
        <v>-2.048350898592513</v>
      </c>
      <c r="Q1244" s="4">
        <f t="shared" ca="1" si="130"/>
        <v>1961.913944514703</v>
      </c>
      <c r="R1244" s="4">
        <f t="shared" ca="1" si="131"/>
        <v>38.243900514703</v>
      </c>
      <c r="S1244" s="4">
        <f t="shared" ca="1" si="132"/>
        <v>19.954814827322512</v>
      </c>
    </row>
    <row r="1245" spans="15:19" x14ac:dyDescent="0.2">
      <c r="O1245" s="4">
        <f t="shared" ca="1" si="128"/>
        <v>0.71923194339770358</v>
      </c>
      <c r="P1245" s="4">
        <f t="shared" ca="1" si="129"/>
        <v>0.5805613712238189</v>
      </c>
      <c r="Q1245" s="4">
        <f t="shared" ca="1" si="130"/>
        <v>1912.3098623282808</v>
      </c>
      <c r="R1245" s="4">
        <f t="shared" ca="1" si="131"/>
        <v>-11.360181671719147</v>
      </c>
      <c r="S1245" s="4">
        <f t="shared" ca="1" si="132"/>
        <v>-5.6981014331518454</v>
      </c>
    </row>
    <row r="1246" spans="15:19" x14ac:dyDescent="0.2">
      <c r="O1246" s="4">
        <f t="shared" ca="1" si="128"/>
        <v>0.87175441451978375</v>
      </c>
      <c r="P1246" s="4">
        <f t="shared" ca="1" si="129"/>
        <v>1.1347235401735281</v>
      </c>
      <c r="Q1246" s="4">
        <f t="shared" ca="1" si="130"/>
        <v>1901.8535583698731</v>
      </c>
      <c r="R1246" s="4">
        <f t="shared" ca="1" si="131"/>
        <v>-21.816485630126863</v>
      </c>
      <c r="S1246" s="4">
        <f t="shared" ca="1" si="132"/>
        <v>-10.84997043635466</v>
      </c>
    </row>
    <row r="1247" spans="15:19" x14ac:dyDescent="0.2">
      <c r="O1247" s="4">
        <f t="shared" ca="1" si="128"/>
        <v>0.50494938271742773</v>
      </c>
      <c r="P1247" s="4">
        <f t="shared" ca="1" si="129"/>
        <v>1.2406580931003173E-2</v>
      </c>
      <c r="Q1247" s="4">
        <f t="shared" ca="1" si="130"/>
        <v>1923.0301884631135</v>
      </c>
      <c r="R1247" s="4">
        <f t="shared" ca="1" si="131"/>
        <v>-0.63985553688644359</v>
      </c>
      <c r="S1247" s="4">
        <f t="shared" ca="1" si="132"/>
        <v>-0.32373447980535347</v>
      </c>
    </row>
    <row r="1248" spans="15:19" x14ac:dyDescent="0.2">
      <c r="O1248" s="4">
        <f t="shared" ca="1" si="128"/>
        <v>0.350836320365423</v>
      </c>
      <c r="P1248" s="4">
        <f t="shared" ca="1" si="129"/>
        <v>-0.38306355569299411</v>
      </c>
      <c r="Q1248" s="4">
        <f t="shared" ca="1" si="130"/>
        <v>1930.4921845839438</v>
      </c>
      <c r="R1248" s="4">
        <f t="shared" ca="1" si="131"/>
        <v>6.8221405839437921</v>
      </c>
      <c r="S1248" s="4">
        <f t="shared" ca="1" si="132"/>
        <v>3.4723800397646594</v>
      </c>
    </row>
    <row r="1249" spans="15:19" x14ac:dyDescent="0.2">
      <c r="O1249" s="4">
        <f t="shared" ca="1" si="128"/>
        <v>0.46948307509838572</v>
      </c>
      <c r="P1249" s="4">
        <f t="shared" ca="1" si="129"/>
        <v>-7.6569340330736327E-2</v>
      </c>
      <c r="Q1249" s="4">
        <f t="shared" ca="1" si="130"/>
        <v>1924.7090458983932</v>
      </c>
      <c r="R1249" s="4">
        <f t="shared" ca="1" si="131"/>
        <v>1.0390018983932805</v>
      </c>
      <c r="S1249" s="4">
        <f t="shared" ca="1" si="132"/>
        <v>0.52639237927550098</v>
      </c>
    </row>
    <row r="1250" spans="15:19" x14ac:dyDescent="0.2">
      <c r="O1250" s="4">
        <f t="shared" ca="1" si="128"/>
        <v>0.56888414432017897</v>
      </c>
      <c r="P1250" s="4">
        <f t="shared" ca="1" si="129"/>
        <v>0.17353399208068943</v>
      </c>
      <c r="Q1250" s="4">
        <f t="shared" ca="1" si="130"/>
        <v>1919.9899282623753</v>
      </c>
      <c r="R1250" s="4">
        <f t="shared" ca="1" si="131"/>
        <v>-3.6801157376246465</v>
      </c>
      <c r="S1250" s="4">
        <f t="shared" ca="1" si="132"/>
        <v>-1.8573975917299606</v>
      </c>
    </row>
    <row r="1251" spans="15:19" x14ac:dyDescent="0.2">
      <c r="O1251" s="4">
        <f t="shared" ca="1" si="128"/>
        <v>4.0887151267533617E-2</v>
      </c>
      <c r="P1251" s="4">
        <f t="shared" ca="1" si="129"/>
        <v>-1.7404826582972919</v>
      </c>
      <c r="Q1251" s="4">
        <f t="shared" ca="1" si="130"/>
        <v>1956.1048798039735</v>
      </c>
      <c r="R1251" s="4">
        <f t="shared" ca="1" si="131"/>
        <v>32.434835803973556</v>
      </c>
      <c r="S1251" s="4">
        <f t="shared" ca="1" si="132"/>
        <v>16.847075966344363</v>
      </c>
    </row>
    <row r="1252" spans="15:19" x14ac:dyDescent="0.2">
      <c r="O1252" s="4">
        <f t="shared" ca="1" si="128"/>
        <v>0.25521248537237851</v>
      </c>
      <c r="P1252" s="4">
        <f t="shared" ca="1" si="129"/>
        <v>-0.6581761150838632</v>
      </c>
      <c r="Q1252" s="4">
        <f t="shared" ca="1" si="130"/>
        <v>1935.6831931098745</v>
      </c>
      <c r="R1252" s="4">
        <f t="shared" ca="1" si="131"/>
        <v>12.013149109874576</v>
      </c>
      <c r="S1252" s="4">
        <f t="shared" ca="1" si="132"/>
        <v>6.1399202483168533</v>
      </c>
    </row>
    <row r="1253" spans="15:19" x14ac:dyDescent="0.2">
      <c r="O1253" s="4">
        <f t="shared" ca="1" si="128"/>
        <v>0.81444336268128337</v>
      </c>
      <c r="P1253" s="4">
        <f t="shared" ca="1" si="129"/>
        <v>0.89438997452900437</v>
      </c>
      <c r="Q1253" s="4">
        <f t="shared" ca="1" si="130"/>
        <v>1906.3883334855218</v>
      </c>
      <c r="R1253" s="4">
        <f t="shared" ca="1" si="131"/>
        <v>-17.281710514478164</v>
      </c>
      <c r="S1253" s="4">
        <f t="shared" ca="1" si="132"/>
        <v>-8.6265968504135948</v>
      </c>
    </row>
    <row r="1254" spans="15:19" x14ac:dyDescent="0.2">
      <c r="O1254" s="4">
        <f t="shared" ca="1" si="128"/>
        <v>0.48776445133418045</v>
      </c>
      <c r="P1254" s="4">
        <f t="shared" ca="1" si="129"/>
        <v>-3.0674782095592223E-2</v>
      </c>
      <c r="Q1254" s="4">
        <f t="shared" ca="1" si="130"/>
        <v>1923.8430765525375</v>
      </c>
      <c r="R1254" s="4">
        <f t="shared" ca="1" si="131"/>
        <v>0.17303255253750649</v>
      </c>
      <c r="S1254" s="4">
        <f t="shared" ca="1" si="132"/>
        <v>8.760296069215931E-2</v>
      </c>
    </row>
    <row r="1255" spans="15:19" x14ac:dyDescent="0.2">
      <c r="O1255" s="4">
        <f t="shared" ca="1" si="128"/>
        <v>0.83119788965104346</v>
      </c>
      <c r="P1255" s="4">
        <f t="shared" ca="1" si="129"/>
        <v>0.95890973385146139</v>
      </c>
      <c r="Q1255" s="4">
        <f t="shared" ca="1" si="130"/>
        <v>1905.1709313375593</v>
      </c>
      <c r="R1255" s="4">
        <f t="shared" ca="1" si="131"/>
        <v>-18.499112662440666</v>
      </c>
      <c r="S1255" s="4">
        <f t="shared" ca="1" si="132"/>
        <v>-9.2251259486489303</v>
      </c>
    </row>
    <row r="1256" spans="15:19" x14ac:dyDescent="0.2">
      <c r="O1256" s="4">
        <f t="shared" ca="1" si="128"/>
        <v>0.5844827727959645</v>
      </c>
      <c r="P1256" s="4">
        <f t="shared" ca="1" si="129"/>
        <v>0.21337503103086566</v>
      </c>
      <c r="Q1256" s="4">
        <f t="shared" ca="1" si="130"/>
        <v>1919.2381807837062</v>
      </c>
      <c r="R1256" s="4">
        <f t="shared" ca="1" si="131"/>
        <v>-4.4318632162937774</v>
      </c>
      <c r="S1256" s="4">
        <f t="shared" ca="1" si="132"/>
        <v>-2.2354571555698546</v>
      </c>
    </row>
    <row r="1257" spans="15:19" x14ac:dyDescent="0.2">
      <c r="O1257" s="4">
        <f t="shared" ca="1" si="128"/>
        <v>0.24898852467625199</v>
      </c>
      <c r="P1257" s="4">
        <f t="shared" ca="1" si="129"/>
        <v>-0.67767615360728473</v>
      </c>
      <c r="Q1257" s="4">
        <f t="shared" ca="1" si="130"/>
        <v>1936.0511329322339</v>
      </c>
      <c r="R1257" s="4">
        <f t="shared" ca="1" si="131"/>
        <v>12.381088932233979</v>
      </c>
      <c r="S1257" s="4">
        <f t="shared" ca="1" si="132"/>
        <v>6.3298286856002388</v>
      </c>
    </row>
    <row r="1258" spans="15:19" x14ac:dyDescent="0.2">
      <c r="O1258" s="4">
        <f t="shared" ca="1" si="128"/>
        <v>0.94307669557884488</v>
      </c>
      <c r="P1258" s="4">
        <f t="shared" ca="1" si="129"/>
        <v>1.5811374703362804</v>
      </c>
      <c r="Q1258" s="4">
        <f t="shared" ca="1" si="130"/>
        <v>1893.4303205406002</v>
      </c>
      <c r="R1258" s="4">
        <f t="shared" ca="1" si="131"/>
        <v>-30.239723459399784</v>
      </c>
      <c r="S1258" s="4">
        <f t="shared" ca="1" si="132"/>
        <v>-14.935403471457242</v>
      </c>
    </row>
    <row r="1259" spans="15:19" x14ac:dyDescent="0.2">
      <c r="O1259" s="4">
        <f t="shared" ca="1" si="128"/>
        <v>0.59837650987327617</v>
      </c>
      <c r="P1259" s="4">
        <f t="shared" ca="1" si="129"/>
        <v>0.24914712210556755</v>
      </c>
      <c r="Q1259" s="4">
        <f t="shared" ca="1" si="130"/>
        <v>1918.5632089461053</v>
      </c>
      <c r="R1259" s="4">
        <f t="shared" ca="1" si="131"/>
        <v>-5.1068350538946561</v>
      </c>
      <c r="S1259" s="4">
        <f t="shared" ca="1" si="132"/>
        <v>-2.5745136558002781</v>
      </c>
    </row>
    <row r="1260" spans="15:19" x14ac:dyDescent="0.2">
      <c r="O1260" s="4">
        <f t="shared" ca="1" si="128"/>
        <v>0.44327887025883594</v>
      </c>
      <c r="P1260" s="4">
        <f t="shared" ca="1" si="129"/>
        <v>-0.14266122608569565</v>
      </c>
      <c r="Q1260" s="4">
        <f t="shared" ca="1" si="130"/>
        <v>1925.9561119836658</v>
      </c>
      <c r="R1260" s="4">
        <f t="shared" ca="1" si="131"/>
        <v>2.2860679836658164</v>
      </c>
      <c r="S1260" s="4">
        <f t="shared" ca="1" si="132"/>
        <v>1.1593573924106175</v>
      </c>
    </row>
    <row r="1261" spans="15:19" x14ac:dyDescent="0.2">
      <c r="O1261" s="4">
        <f t="shared" ca="1" si="128"/>
        <v>0.17497326833942106</v>
      </c>
      <c r="P1261" s="4">
        <f t="shared" ca="1" si="129"/>
        <v>-0.93469299751393886</v>
      </c>
      <c r="Q1261" s="4">
        <f t="shared" ca="1" si="130"/>
        <v>1940.9006993460005</v>
      </c>
      <c r="R1261" s="4">
        <f t="shared" ca="1" si="131"/>
        <v>17.230655346000503</v>
      </c>
      <c r="S1261" s="4">
        <f t="shared" ca="1" si="132"/>
        <v>8.8431835234390714</v>
      </c>
    </row>
    <row r="1262" spans="15:19" x14ac:dyDescent="0.2">
      <c r="O1262" s="4">
        <f t="shared" ca="1" si="128"/>
        <v>0.99030982309839377</v>
      </c>
      <c r="P1262" s="4">
        <f t="shared" ca="1" si="129"/>
        <v>2.3381329229514169</v>
      </c>
      <c r="Q1262" s="4">
        <f t="shared" ca="1" si="130"/>
        <v>1879.1468219707174</v>
      </c>
      <c r="R1262" s="4">
        <f t="shared" ca="1" si="131"/>
        <v>-44.523222029282579</v>
      </c>
      <c r="S1262" s="4">
        <f t="shared" ca="1" si="132"/>
        <v>-21.731150723561449</v>
      </c>
    </row>
    <row r="1263" spans="15:19" x14ac:dyDescent="0.2">
      <c r="O1263" s="4">
        <f t="shared" ca="1" si="128"/>
        <v>0.82682541664281162</v>
      </c>
      <c r="P1263" s="4">
        <f t="shared" ca="1" si="129"/>
        <v>0.94169431454368668</v>
      </c>
      <c r="Q1263" s="4">
        <f t="shared" ca="1" si="130"/>
        <v>1905.4957634302925</v>
      </c>
      <c r="R1263" s="4">
        <f t="shared" ca="1" si="131"/>
        <v>-18.174280569707435</v>
      </c>
      <c r="S1263" s="4">
        <f t="shared" ca="1" si="132"/>
        <v>-9.0655420531667517</v>
      </c>
    </row>
    <row r="1264" spans="15:19" x14ac:dyDescent="0.2">
      <c r="O1264" s="4">
        <f t="shared" ca="1" si="128"/>
        <v>0.56325282735945126</v>
      </c>
      <c r="P1264" s="4">
        <f t="shared" ca="1" si="129"/>
        <v>0.15922152552316596</v>
      </c>
      <c r="Q1264" s="4">
        <f t="shared" ca="1" si="130"/>
        <v>1920.259985493102</v>
      </c>
      <c r="R1264" s="4">
        <f t="shared" ca="1" si="131"/>
        <v>-3.4100585068979399</v>
      </c>
      <c r="S1264" s="4">
        <f t="shared" ca="1" si="132"/>
        <v>-1.721471413299716</v>
      </c>
    </row>
    <row r="1265" spans="15:19" x14ac:dyDescent="0.2">
      <c r="O1265" s="4">
        <f t="shared" ca="1" si="128"/>
        <v>0.51737144205771834</v>
      </c>
      <c r="P1265" s="4">
        <f t="shared" ca="1" si="129"/>
        <v>4.3557517217113907E-2</v>
      </c>
      <c r="Q1265" s="4">
        <f t="shared" ca="1" si="130"/>
        <v>1922.4424116774589</v>
      </c>
      <c r="R1265" s="4">
        <f t="shared" ca="1" si="131"/>
        <v>-1.2276323225410124</v>
      </c>
      <c r="S1265" s="4">
        <f t="shared" ca="1" si="132"/>
        <v>-0.62082601986842156</v>
      </c>
    </row>
    <row r="1266" spans="15:19" x14ac:dyDescent="0.2">
      <c r="O1266" s="4">
        <f t="shared" ca="1" si="128"/>
        <v>0.59158026500338934</v>
      </c>
      <c r="P1266" s="4">
        <f t="shared" ca="1" si="129"/>
        <v>0.23161189222954015</v>
      </c>
      <c r="Q1266" s="4">
        <f t="shared" ca="1" si="130"/>
        <v>1918.8940754394132</v>
      </c>
      <c r="R1266" s="4">
        <f t="shared" ca="1" si="131"/>
        <v>-4.7759685605867617</v>
      </c>
      <c r="S1266" s="4">
        <f t="shared" ca="1" si="132"/>
        <v>-2.4083568670926532</v>
      </c>
    </row>
    <row r="1267" spans="15:19" x14ac:dyDescent="0.2">
      <c r="O1267" s="4">
        <f t="shared" ca="1" si="128"/>
        <v>0.16366164783582182</v>
      </c>
      <c r="P1267" s="4">
        <f t="shared" ca="1" si="129"/>
        <v>-0.97951962705761741</v>
      </c>
      <c r="Q1267" s="4">
        <f t="shared" ca="1" si="130"/>
        <v>1941.746518296125</v>
      </c>
      <c r="R1267" s="4">
        <f t="shared" ca="1" si="131"/>
        <v>18.07647429612507</v>
      </c>
      <c r="S1267" s="4">
        <f t="shared" ca="1" si="132"/>
        <v>9.2835018478328095</v>
      </c>
    </row>
    <row r="1268" spans="15:19" x14ac:dyDescent="0.2">
      <c r="O1268" s="4">
        <f t="shared" ca="1" si="128"/>
        <v>8.2468437055340571E-2</v>
      </c>
      <c r="P1268" s="4">
        <f t="shared" ca="1" si="129"/>
        <v>-1.3886576624610649</v>
      </c>
      <c r="Q1268" s="4">
        <f t="shared" ca="1" si="130"/>
        <v>1949.4664095099774</v>
      </c>
      <c r="R1268" s="4">
        <f t="shared" ca="1" si="131"/>
        <v>25.796365509977477</v>
      </c>
      <c r="S1268" s="4">
        <f t="shared" ca="1" si="132"/>
        <v>13.329258117270365</v>
      </c>
    </row>
    <row r="1269" spans="15:19" x14ac:dyDescent="0.2">
      <c r="O1269" s="4">
        <f t="shared" ca="1" si="128"/>
        <v>0.16550001599078179</v>
      </c>
      <c r="P1269" s="4">
        <f t="shared" ca="1" si="129"/>
        <v>-0.97210154827036943</v>
      </c>
      <c r="Q1269" s="4">
        <f t="shared" ca="1" si="130"/>
        <v>1941.6065490038618</v>
      </c>
      <c r="R1269" s="4">
        <f t="shared" ca="1" si="131"/>
        <v>17.936505003861839</v>
      </c>
      <c r="S1269" s="4">
        <f t="shared" ca="1" si="132"/>
        <v>9.2105961026877186</v>
      </c>
    </row>
    <row r="1270" spans="15:19" x14ac:dyDescent="0.2">
      <c r="O1270" s="4">
        <f t="shared" ca="1" si="128"/>
        <v>0.46500064813813224</v>
      </c>
      <c r="P1270" s="4">
        <f t="shared" ca="1" si="129"/>
        <v>-8.7843206974064239E-2</v>
      </c>
      <c r="Q1270" s="4">
        <f t="shared" ca="1" si="130"/>
        <v>1924.9217687853284</v>
      </c>
      <c r="R1270" s="4">
        <f t="shared" ca="1" si="131"/>
        <v>1.2517247853284061</v>
      </c>
      <c r="S1270" s="4">
        <f t="shared" ca="1" si="132"/>
        <v>0.63427314900292231</v>
      </c>
    </row>
    <row r="1271" spans="15:19" x14ac:dyDescent="0.2">
      <c r="O1271" s="4">
        <f t="shared" ca="1" si="128"/>
        <v>1.2550151657629516E-2</v>
      </c>
      <c r="P1271" s="4">
        <f t="shared" ca="1" si="129"/>
        <v>-2.2398555322098903</v>
      </c>
      <c r="Q1271" s="4">
        <f t="shared" ca="1" si="130"/>
        <v>1965.5273825491718</v>
      </c>
      <c r="R1271" s="4">
        <f t="shared" ca="1" si="131"/>
        <v>41.8573385491718</v>
      </c>
      <c r="S1271" s="4">
        <f t="shared" ca="1" si="132"/>
        <v>21.901795021993504</v>
      </c>
    </row>
    <row r="1272" spans="15:19" x14ac:dyDescent="0.2">
      <c r="O1272" s="4">
        <f t="shared" ca="1" si="128"/>
        <v>3.0668150823339846E-2</v>
      </c>
      <c r="P1272" s="4">
        <f t="shared" ca="1" si="129"/>
        <v>-1.8710633437315569</v>
      </c>
      <c r="Q1272" s="4">
        <f t="shared" ca="1" si="130"/>
        <v>1958.5687638698701</v>
      </c>
      <c r="R1272" s="4">
        <f t="shared" ca="1" si="131"/>
        <v>34.898719869870092</v>
      </c>
      <c r="S1272" s="4">
        <f t="shared" ca="1" si="132"/>
        <v>18.161851843199589</v>
      </c>
    </row>
    <row r="1273" spans="15:19" x14ac:dyDescent="0.2">
      <c r="O1273" s="4">
        <f t="shared" ca="1" si="128"/>
        <v>0.85023159151251115</v>
      </c>
      <c r="P1273" s="4">
        <f t="shared" ca="1" si="129"/>
        <v>1.0374271794129193</v>
      </c>
      <c r="Q1273" s="4">
        <f t="shared" ca="1" si="130"/>
        <v>1903.6894114453148</v>
      </c>
      <c r="R1273" s="4">
        <f t="shared" ca="1" si="131"/>
        <v>-19.980632554685144</v>
      </c>
      <c r="S1273" s="4">
        <f t="shared" ca="1" si="132"/>
        <v>-9.9518794202437117</v>
      </c>
    </row>
    <row r="1274" spans="15:19" x14ac:dyDescent="0.2">
      <c r="O1274" s="4">
        <f t="shared" ca="1" si="128"/>
        <v>0.75280416776631098</v>
      </c>
      <c r="P1274" s="4">
        <f t="shared" ca="1" si="129"/>
        <v>0.68334056911739371</v>
      </c>
      <c r="Q1274" s="4">
        <f t="shared" ca="1" si="130"/>
        <v>1910.3705553997452</v>
      </c>
      <c r="R1274" s="4">
        <f t="shared" ca="1" si="131"/>
        <v>-13.29948860025479</v>
      </c>
      <c r="S1274" s="4">
        <f t="shared" ca="1" si="132"/>
        <v>-6.6603304586938918</v>
      </c>
    </row>
    <row r="1275" spans="15:19" x14ac:dyDescent="0.2">
      <c r="O1275" s="4">
        <f t="shared" ca="1" si="128"/>
        <v>0.20315237729859892</v>
      </c>
      <c r="P1275" s="4">
        <f t="shared" ca="1" si="129"/>
        <v>-0.83041399689597317</v>
      </c>
      <c r="Q1275" s="4">
        <f t="shared" ca="1" si="130"/>
        <v>1938.9330931324496</v>
      </c>
      <c r="R1275" s="4">
        <f t="shared" ca="1" si="131"/>
        <v>15.263049132449623</v>
      </c>
      <c r="S1275" s="4">
        <f t="shared" ca="1" si="132"/>
        <v>7.8211360900514046</v>
      </c>
    </row>
    <row r="1276" spans="15:19" x14ac:dyDescent="0.2">
      <c r="O1276" s="4">
        <f t="shared" ca="1" si="128"/>
        <v>0.79268472795648848</v>
      </c>
      <c r="P1276" s="4">
        <f t="shared" ca="1" si="129"/>
        <v>0.81577201104002806</v>
      </c>
      <c r="Q1276" s="4">
        <f t="shared" ca="1" si="130"/>
        <v>1907.8717500175269</v>
      </c>
      <c r="R1276" s="4">
        <f t="shared" ca="1" si="131"/>
        <v>-15.798293982473069</v>
      </c>
      <c r="S1276" s="4">
        <f t="shared" ca="1" si="132"/>
        <v>-7.8956523391919449</v>
      </c>
    </row>
    <row r="1277" spans="15:19" x14ac:dyDescent="0.2">
      <c r="O1277" s="4">
        <f t="shared" ca="1" si="128"/>
        <v>0.81260170250832076</v>
      </c>
      <c r="P1277" s="4">
        <f t="shared" ca="1" si="129"/>
        <v>0.88752447528811917</v>
      </c>
      <c r="Q1277" s="4">
        <f t="shared" ca="1" si="130"/>
        <v>1906.5178763358124</v>
      </c>
      <c r="R1277" s="4">
        <f t="shared" ca="1" si="131"/>
        <v>-17.152167664187573</v>
      </c>
      <c r="S1277" s="4">
        <f t="shared" ca="1" si="132"/>
        <v>-8.5628367892585775</v>
      </c>
    </row>
    <row r="1278" spans="15:19" x14ac:dyDescent="0.2">
      <c r="O1278" s="4">
        <f t="shared" ca="1" si="128"/>
        <v>9.0492510500528311E-4</v>
      </c>
      <c r="P1278" s="4">
        <f t="shared" ca="1" si="129"/>
        <v>-3.1197818508257074</v>
      </c>
      <c r="Q1278" s="4">
        <f t="shared" ca="1" si="130"/>
        <v>1982.1304232545449</v>
      </c>
      <c r="R1278" s="4">
        <f t="shared" ca="1" si="131"/>
        <v>58.460379254544932</v>
      </c>
      <c r="S1278" s="4">
        <f t="shared" ca="1" si="132"/>
        <v>30.984422868133574</v>
      </c>
    </row>
    <row r="1279" spans="15:19" x14ac:dyDescent="0.2">
      <c r="O1279" s="4">
        <f t="shared" ca="1" si="128"/>
        <v>0.8939058842259765</v>
      </c>
      <c r="P1279" s="4">
        <f t="shared" ca="1" si="129"/>
        <v>1.2475709251618057</v>
      </c>
      <c r="Q1279" s="4">
        <f t="shared" ca="1" si="130"/>
        <v>1899.7242781258151</v>
      </c>
      <c r="R1279" s="4">
        <f t="shared" ca="1" si="131"/>
        <v>-23.945765874184872</v>
      </c>
      <c r="S1279" s="4">
        <f t="shared" ca="1" si="132"/>
        <v>-11.888167858767613</v>
      </c>
    </row>
    <row r="1280" spans="15:19" x14ac:dyDescent="0.2">
      <c r="O1280" s="4">
        <f t="shared" ca="1" si="128"/>
        <v>0.75601504847109569</v>
      </c>
      <c r="P1280" s="4">
        <f t="shared" ca="1" si="129"/>
        <v>0.69354132214855058</v>
      </c>
      <c r="Q1280" s="4">
        <f t="shared" ca="1" si="130"/>
        <v>1910.1780807411076</v>
      </c>
      <c r="R1280" s="4">
        <f t="shared" ca="1" si="131"/>
        <v>-13.491963258892383</v>
      </c>
      <c r="S1280" s="4">
        <f t="shared" ca="1" si="132"/>
        <v>-6.7556638922434331</v>
      </c>
    </row>
    <row r="1281" spans="15:19" x14ac:dyDescent="0.2">
      <c r="O1281" s="4">
        <f t="shared" ca="1" si="128"/>
        <v>0.16786610626110532</v>
      </c>
      <c r="P1281" s="4">
        <f t="shared" ca="1" si="129"/>
        <v>-0.96263204030738925</v>
      </c>
      <c r="Q1281" s="4">
        <f t="shared" ca="1" si="130"/>
        <v>1941.4278719682477</v>
      </c>
      <c r="R1281" s="4">
        <f t="shared" ca="1" si="131"/>
        <v>17.757827968247739</v>
      </c>
      <c r="S1281" s="4">
        <f t="shared" ca="1" si="132"/>
        <v>9.1175518482855598</v>
      </c>
    </row>
    <row r="1282" spans="15:19" x14ac:dyDescent="0.2">
      <c r="O1282" s="4">
        <f t="shared" ca="1" si="128"/>
        <v>0.80615943635945642</v>
      </c>
      <c r="P1282" s="4">
        <f t="shared" ca="1" si="129"/>
        <v>0.86383028717207522</v>
      </c>
      <c r="Q1282" s="4">
        <f t="shared" ca="1" si="130"/>
        <v>1906.9649541893198</v>
      </c>
      <c r="R1282" s="4">
        <f t="shared" ca="1" si="131"/>
        <v>-16.705089810680192</v>
      </c>
      <c r="S1282" s="4">
        <f t="shared" ca="1" si="132"/>
        <v>-8.3426833383949521</v>
      </c>
    </row>
    <row r="1283" spans="15:19" x14ac:dyDescent="0.2">
      <c r="O1283" s="4">
        <f t="shared" ref="O1283:O1346" ca="1" si="133">RAND()</f>
        <v>0.39211612757959879</v>
      </c>
      <c r="P1283" s="4">
        <f t="shared" ref="P1283:P1346" ca="1" si="134">NORMSINV(O1283)</f>
        <v>-0.27380789619014828</v>
      </c>
      <c r="Q1283" s="4">
        <f t="shared" ref="Q1283:Q1346" ca="1" si="135">$B$4*(1+$B$17-$B$32*P1283)</f>
        <v>1928.4306754284139</v>
      </c>
      <c r="R1283" s="4">
        <f t="shared" ref="R1283:R1346" ca="1" si="136">Q1283-$B$4</f>
        <v>4.7606314284139444</v>
      </c>
      <c r="S1283" s="4">
        <f t="shared" ref="S1283:S1346" ca="1" si="137">R1283*$B$12+0.5*$B$13*R1283^2</f>
        <v>2.4191039178230196</v>
      </c>
    </row>
    <row r="1284" spans="15:19" x14ac:dyDescent="0.2">
      <c r="O1284" s="4">
        <f t="shared" ca="1" si="133"/>
        <v>0.20196262715197033</v>
      </c>
      <c r="P1284" s="4">
        <f t="shared" ca="1" si="134"/>
        <v>-0.83463144033118541</v>
      </c>
      <c r="Q1284" s="4">
        <f t="shared" ca="1" si="135"/>
        <v>1939.0126706874628</v>
      </c>
      <c r="R1284" s="4">
        <f t="shared" ca="1" si="136"/>
        <v>15.342626687462825</v>
      </c>
      <c r="S1284" s="4">
        <f t="shared" ca="1" si="137"/>
        <v>7.862410455069174</v>
      </c>
    </row>
    <row r="1285" spans="15:19" x14ac:dyDescent="0.2">
      <c r="O1285" s="4">
        <f t="shared" ca="1" si="133"/>
        <v>0.4812528457236116</v>
      </c>
      <c r="P1285" s="4">
        <f t="shared" ca="1" si="134"/>
        <v>-4.7009455519234793E-2</v>
      </c>
      <c r="Q1285" s="4">
        <f t="shared" ca="1" si="135"/>
        <v>1924.1512901404526</v>
      </c>
      <c r="R1285" s="4">
        <f t="shared" ca="1" si="136"/>
        <v>0.48124614045264025</v>
      </c>
      <c r="S1285" s="4">
        <f t="shared" ca="1" si="137"/>
        <v>0.24370578641411558</v>
      </c>
    </row>
    <row r="1286" spans="15:19" x14ac:dyDescent="0.2">
      <c r="O1286" s="4">
        <f t="shared" ca="1" si="133"/>
        <v>0.32825374521526007</v>
      </c>
      <c r="P1286" s="4">
        <f t="shared" ca="1" si="134"/>
        <v>-0.44474023317224104</v>
      </c>
      <c r="Q1286" s="4">
        <f t="shared" ca="1" si="135"/>
        <v>1931.6559415543807</v>
      </c>
      <c r="R1286" s="4">
        <f t="shared" ca="1" si="136"/>
        <v>7.9858975543806991</v>
      </c>
      <c r="S1286" s="4">
        <f t="shared" ca="1" si="137"/>
        <v>4.0685002237974119</v>
      </c>
    </row>
    <row r="1287" spans="15:19" x14ac:dyDescent="0.2">
      <c r="O1287" s="4">
        <f t="shared" ca="1" si="133"/>
        <v>0.76147239239643272</v>
      </c>
      <c r="P1287" s="4">
        <f t="shared" ca="1" si="134"/>
        <v>0.71104683235580401</v>
      </c>
      <c r="Q1287" s="4">
        <f t="shared" ca="1" si="135"/>
        <v>1909.8477750184688</v>
      </c>
      <c r="R1287" s="4">
        <f t="shared" ca="1" si="136"/>
        <v>-13.822268981531124</v>
      </c>
      <c r="S1287" s="4">
        <f t="shared" ca="1" si="137"/>
        <v>-6.9191952865807416</v>
      </c>
    </row>
    <row r="1288" spans="15:19" x14ac:dyDescent="0.2">
      <c r="O1288" s="4">
        <f t="shared" ca="1" si="133"/>
        <v>0.25546279812434725</v>
      </c>
      <c r="P1288" s="4">
        <f t="shared" ca="1" si="134"/>
        <v>-0.65739713045641623</v>
      </c>
      <c r="Q1288" s="4">
        <f t="shared" ca="1" si="135"/>
        <v>1935.668494704787</v>
      </c>
      <c r="R1288" s="4">
        <f t="shared" ca="1" si="136"/>
        <v>11.998450704787047</v>
      </c>
      <c r="S1288" s="4">
        <f t="shared" ca="1" si="137"/>
        <v>6.1323361038461703</v>
      </c>
    </row>
    <row r="1289" spans="15:19" x14ac:dyDescent="0.2">
      <c r="O1289" s="4">
        <f t="shared" ca="1" si="133"/>
        <v>0.56218667035324754</v>
      </c>
      <c r="P1289" s="4">
        <f t="shared" ca="1" si="134"/>
        <v>0.15651555491230409</v>
      </c>
      <c r="Q1289" s="4">
        <f t="shared" ca="1" si="135"/>
        <v>1920.3110435638168</v>
      </c>
      <c r="R1289" s="4">
        <f t="shared" ca="1" si="136"/>
        <v>-3.3590004361831234</v>
      </c>
      <c r="S1289" s="4">
        <f t="shared" ca="1" si="137"/>
        <v>-1.6957660070620648</v>
      </c>
    </row>
    <row r="1290" spans="15:19" x14ac:dyDescent="0.2">
      <c r="O1290" s="4">
        <f t="shared" ca="1" si="133"/>
        <v>0.78168036396795548</v>
      </c>
      <c r="P1290" s="4">
        <f t="shared" ca="1" si="134"/>
        <v>0.77788082735105213</v>
      </c>
      <c r="Q1290" s="4">
        <f t="shared" ca="1" si="135"/>
        <v>1908.5867063176777</v>
      </c>
      <c r="R1290" s="4">
        <f t="shared" ca="1" si="136"/>
        <v>-15.083337682322281</v>
      </c>
      <c r="S1290" s="4">
        <f t="shared" ca="1" si="137"/>
        <v>-7.5427221455292583</v>
      </c>
    </row>
    <row r="1291" spans="15:19" x14ac:dyDescent="0.2">
      <c r="O1291" s="4">
        <f t="shared" ca="1" si="133"/>
        <v>0.30076611918243334</v>
      </c>
      <c r="P1291" s="4">
        <f t="shared" ca="1" si="134"/>
        <v>-0.52219834478373062</v>
      </c>
      <c r="Q1291" s="4">
        <f t="shared" ca="1" si="135"/>
        <v>1933.1174732222478</v>
      </c>
      <c r="R1291" s="4">
        <f t="shared" ca="1" si="136"/>
        <v>9.4474292222478198</v>
      </c>
      <c r="S1291" s="4">
        <f t="shared" ca="1" si="137"/>
        <v>4.8187137326417728</v>
      </c>
    </row>
    <row r="1292" spans="15:19" x14ac:dyDescent="0.2">
      <c r="O1292" s="4">
        <f t="shared" ca="1" si="133"/>
        <v>0.20646810124991188</v>
      </c>
      <c r="P1292" s="4">
        <f t="shared" ca="1" si="134"/>
        <v>-0.81873748941169455</v>
      </c>
      <c r="Q1292" s="4">
        <f t="shared" ca="1" si="135"/>
        <v>1938.7127729477286</v>
      </c>
      <c r="R1292" s="4">
        <f t="shared" ca="1" si="136"/>
        <v>15.042728947728619</v>
      </c>
      <c r="S1292" s="4">
        <f t="shared" ca="1" si="137"/>
        <v>7.7068898636395335</v>
      </c>
    </row>
    <row r="1293" spans="15:19" x14ac:dyDescent="0.2">
      <c r="O1293" s="4">
        <f t="shared" ca="1" si="133"/>
        <v>0.61307467662446313</v>
      </c>
      <c r="P1293" s="4">
        <f t="shared" ca="1" si="134"/>
        <v>0.28734176466733102</v>
      </c>
      <c r="Q1293" s="4">
        <f t="shared" ca="1" si="135"/>
        <v>1917.842526780151</v>
      </c>
      <c r="R1293" s="4">
        <f t="shared" ca="1" si="136"/>
        <v>-5.8275172198489145</v>
      </c>
      <c r="S1293" s="4">
        <f t="shared" ca="1" si="137"/>
        <v>-2.9361222432871594</v>
      </c>
    </row>
    <row r="1294" spans="15:19" x14ac:dyDescent="0.2">
      <c r="O1294" s="4">
        <f t="shared" ca="1" si="133"/>
        <v>0.48117534426470587</v>
      </c>
      <c r="P1294" s="4">
        <f t="shared" ca="1" si="134"/>
        <v>-4.7203938530974175E-2</v>
      </c>
      <c r="Q1294" s="4">
        <f t="shared" ca="1" si="135"/>
        <v>1924.1549597765256</v>
      </c>
      <c r="R1294" s="4">
        <f t="shared" ca="1" si="136"/>
        <v>0.48491577652566775</v>
      </c>
      <c r="S1294" s="4">
        <f t="shared" ca="1" si="137"/>
        <v>0.24556483538674526</v>
      </c>
    </row>
    <row r="1295" spans="15:19" x14ac:dyDescent="0.2">
      <c r="O1295" s="4">
        <f t="shared" ca="1" si="133"/>
        <v>8.2588207534950442E-2</v>
      </c>
      <c r="P1295" s="4">
        <f t="shared" ca="1" si="134"/>
        <v>-1.3878707205120444</v>
      </c>
      <c r="Q1295" s="4">
        <f t="shared" ca="1" si="135"/>
        <v>1949.4515609608022</v>
      </c>
      <c r="R1295" s="4">
        <f t="shared" ca="1" si="136"/>
        <v>25.781516960802264</v>
      </c>
      <c r="S1295" s="4">
        <f t="shared" ca="1" si="137"/>
        <v>13.321429879533989</v>
      </c>
    </row>
    <row r="1296" spans="15:19" x14ac:dyDescent="0.2">
      <c r="O1296" s="4">
        <f t="shared" ca="1" si="133"/>
        <v>2.7745013578468369E-2</v>
      </c>
      <c r="P1296" s="4">
        <f t="shared" ca="1" si="134"/>
        <v>-1.91501941896207</v>
      </c>
      <c r="Q1296" s="4">
        <f t="shared" ca="1" si="135"/>
        <v>1959.3981566165819</v>
      </c>
      <c r="R1296" s="4">
        <f t="shared" ca="1" si="136"/>
        <v>35.728112616581939</v>
      </c>
      <c r="S1296" s="4">
        <f t="shared" ca="1" si="137"/>
        <v>18.605543625183923</v>
      </c>
    </row>
    <row r="1297" spans="15:19" x14ac:dyDescent="0.2">
      <c r="O1297" s="4">
        <f t="shared" ca="1" si="133"/>
        <v>0.76982817952473226</v>
      </c>
      <c r="P1297" s="4">
        <f t="shared" ca="1" si="134"/>
        <v>0.73828111343328873</v>
      </c>
      <c r="Q1297" s="4">
        <f t="shared" ca="1" si="135"/>
        <v>1909.3339003135704</v>
      </c>
      <c r="R1297" s="4">
        <f t="shared" ca="1" si="136"/>
        <v>-14.336143686429523</v>
      </c>
      <c r="S1297" s="4">
        <f t="shared" ca="1" si="137"/>
        <v>-7.1734334461932621</v>
      </c>
    </row>
    <row r="1298" spans="15:19" x14ac:dyDescent="0.2">
      <c r="O1298" s="4">
        <f t="shared" ca="1" si="133"/>
        <v>0.62204451301608799</v>
      </c>
      <c r="P1298" s="4">
        <f t="shared" ca="1" si="134"/>
        <v>0.31085484420820253</v>
      </c>
      <c r="Q1298" s="4">
        <f t="shared" ca="1" si="135"/>
        <v>1917.398866204866</v>
      </c>
      <c r="R1298" s="4">
        <f t="shared" ca="1" si="136"/>
        <v>-6.2711777951340082</v>
      </c>
      <c r="S1298" s="4">
        <f t="shared" ca="1" si="137"/>
        <v>-3.1585225409317816</v>
      </c>
    </row>
    <row r="1299" spans="15:19" x14ac:dyDescent="0.2">
      <c r="O1299" s="4">
        <f t="shared" ca="1" si="133"/>
        <v>5.9858150611092453E-2</v>
      </c>
      <c r="P1299" s="4">
        <f t="shared" ca="1" si="134"/>
        <v>-1.5559654797572295</v>
      </c>
      <c r="Q1299" s="4">
        <f t="shared" ca="1" si="135"/>
        <v>1952.6232857644177</v>
      </c>
      <c r="R1299" s="4">
        <f t="shared" ca="1" si="136"/>
        <v>28.953241764417726</v>
      </c>
      <c r="S1299" s="4">
        <f t="shared" ca="1" si="137"/>
        <v>14.997656721594883</v>
      </c>
    </row>
    <row r="1300" spans="15:19" x14ac:dyDescent="0.2">
      <c r="O1300" s="4">
        <f t="shared" ca="1" si="133"/>
        <v>0.86233619642633552</v>
      </c>
      <c r="P1300" s="4">
        <f t="shared" ca="1" si="134"/>
        <v>1.0908756404996816</v>
      </c>
      <c r="Q1300" s="4">
        <f t="shared" ca="1" si="135"/>
        <v>1902.680909987535</v>
      </c>
      <c r="R1300" s="4">
        <f t="shared" ca="1" si="136"/>
        <v>-20.989134012465001</v>
      </c>
      <c r="S1300" s="4">
        <f t="shared" ca="1" si="137"/>
        <v>-10.445573421866429</v>
      </c>
    </row>
    <row r="1301" spans="15:19" x14ac:dyDescent="0.2">
      <c r="O1301" s="4">
        <f t="shared" ca="1" si="133"/>
        <v>0.74543014567259158</v>
      </c>
      <c r="P1301" s="4">
        <f t="shared" ca="1" si="134"/>
        <v>0.66017784397121126</v>
      </c>
      <c r="Q1301" s="4">
        <f t="shared" ca="1" si="135"/>
        <v>1910.8076052530264</v>
      </c>
      <c r="R1301" s="4">
        <f t="shared" ca="1" si="136"/>
        <v>-12.862438746973567</v>
      </c>
      <c r="S1301" s="4">
        <f t="shared" ca="1" si="137"/>
        <v>-6.4437459987015879</v>
      </c>
    </row>
    <row r="1302" spans="15:19" x14ac:dyDescent="0.2">
      <c r="O1302" s="4">
        <f t="shared" ca="1" si="133"/>
        <v>0.87112253575937593</v>
      </c>
      <c r="P1302" s="4">
        <f t="shared" ca="1" si="134"/>
        <v>1.1317134417952623</v>
      </c>
      <c r="Q1302" s="4">
        <f t="shared" ca="1" si="135"/>
        <v>1901.9103549275442</v>
      </c>
      <c r="R1302" s="4">
        <f t="shared" ca="1" si="136"/>
        <v>-21.759689072455785</v>
      </c>
      <c r="S1302" s="4">
        <f t="shared" ca="1" si="137"/>
        <v>-10.822226949401591</v>
      </c>
    </row>
    <row r="1303" spans="15:19" x14ac:dyDescent="0.2">
      <c r="O1303" s="4">
        <f t="shared" ca="1" si="133"/>
        <v>0.4818140289491607</v>
      </c>
      <c r="P1303" s="4">
        <f t="shared" ca="1" si="134"/>
        <v>-4.5601268764273235E-2</v>
      </c>
      <c r="Q1303" s="4">
        <f t="shared" ca="1" si="135"/>
        <v>1924.1247195270746</v>
      </c>
      <c r="R1303" s="4">
        <f t="shared" ca="1" si="136"/>
        <v>0.45467552707464165</v>
      </c>
      <c r="S1303" s="4">
        <f t="shared" ca="1" si="137"/>
        <v>0.23024535866281906</v>
      </c>
    </row>
    <row r="1304" spans="15:19" x14ac:dyDescent="0.2">
      <c r="O1304" s="4">
        <f t="shared" ca="1" si="133"/>
        <v>0.75610138204956301</v>
      </c>
      <c r="P1304" s="4">
        <f t="shared" ca="1" si="134"/>
        <v>0.69381659213777924</v>
      </c>
      <c r="Q1304" s="4">
        <f t="shared" ca="1" si="135"/>
        <v>1910.1728867620898</v>
      </c>
      <c r="R1304" s="4">
        <f t="shared" ca="1" si="136"/>
        <v>-13.497157237910187</v>
      </c>
      <c r="S1304" s="4">
        <f t="shared" ca="1" si="137"/>
        <v>-6.7582360719559453</v>
      </c>
    </row>
    <row r="1305" spans="15:19" x14ac:dyDescent="0.2">
      <c r="O1305" s="4">
        <f t="shared" ca="1" si="133"/>
        <v>0.84673287993769997</v>
      </c>
      <c r="P1305" s="4">
        <f t="shared" ca="1" si="134"/>
        <v>1.0225212927541927</v>
      </c>
      <c r="Q1305" s="4">
        <f t="shared" ca="1" si="135"/>
        <v>1903.9706657250299</v>
      </c>
      <c r="R1305" s="4">
        <f t="shared" ca="1" si="136"/>
        <v>-19.699378274970059</v>
      </c>
      <c r="S1305" s="4">
        <f t="shared" ca="1" si="137"/>
        <v>-9.8140487119200337</v>
      </c>
    </row>
    <row r="1306" spans="15:19" x14ac:dyDescent="0.2">
      <c r="O1306" s="4">
        <f t="shared" ca="1" si="133"/>
        <v>0.10581582543168133</v>
      </c>
      <c r="P1306" s="4">
        <f t="shared" ca="1" si="134"/>
        <v>-1.249091386047346</v>
      </c>
      <c r="Q1306" s="4">
        <f t="shared" ca="1" si="135"/>
        <v>1946.8329792790923</v>
      </c>
      <c r="R1306" s="4">
        <f t="shared" ca="1" si="136"/>
        <v>23.16293527909238</v>
      </c>
      <c r="S1306" s="4">
        <f t="shared" ca="1" si="137"/>
        <v>11.943706137428322</v>
      </c>
    </row>
    <row r="1307" spans="15:19" x14ac:dyDescent="0.2">
      <c r="O1307" s="4">
        <f t="shared" ca="1" si="133"/>
        <v>0.1554328178742348</v>
      </c>
      <c r="P1307" s="4">
        <f t="shared" ca="1" si="134"/>
        <v>-1.0134073382037545</v>
      </c>
      <c r="Q1307" s="4">
        <f t="shared" ca="1" si="135"/>
        <v>1942.3859343877543</v>
      </c>
      <c r="R1307" s="4">
        <f t="shared" ca="1" si="136"/>
        <v>18.715890387754371</v>
      </c>
      <c r="S1307" s="4">
        <f t="shared" ca="1" si="137"/>
        <v>9.61675709643605</v>
      </c>
    </row>
    <row r="1308" spans="15:19" x14ac:dyDescent="0.2">
      <c r="O1308" s="4">
        <f t="shared" ca="1" si="133"/>
        <v>0.79089273887666711</v>
      </c>
      <c r="P1308" s="4">
        <f t="shared" ca="1" si="134"/>
        <v>0.80952275021274278</v>
      </c>
      <c r="Q1308" s="4">
        <f t="shared" ca="1" si="135"/>
        <v>1907.9896652675868</v>
      </c>
      <c r="R1308" s="4">
        <f t="shared" ca="1" si="136"/>
        <v>-15.680378732413146</v>
      </c>
      <c r="S1308" s="4">
        <f t="shared" ca="1" si="137"/>
        <v>-7.8374734505308785</v>
      </c>
    </row>
    <row r="1309" spans="15:19" x14ac:dyDescent="0.2">
      <c r="O1309" s="4">
        <f t="shared" ca="1" si="133"/>
        <v>0.77190380810478965</v>
      </c>
      <c r="P1309" s="4">
        <f t="shared" ca="1" si="134"/>
        <v>0.74513124239016026</v>
      </c>
      <c r="Q1309" s="4">
        <f t="shared" ca="1" si="135"/>
        <v>1909.2046474801207</v>
      </c>
      <c r="R1309" s="4">
        <f t="shared" ca="1" si="136"/>
        <v>-14.465396519879278</v>
      </c>
      <c r="S1309" s="4">
        <f t="shared" ca="1" si="137"/>
        <v>-7.2373471077630098</v>
      </c>
    </row>
    <row r="1310" spans="15:19" x14ac:dyDescent="0.2">
      <c r="O1310" s="4">
        <f t="shared" ca="1" si="133"/>
        <v>0.72087164570175055</v>
      </c>
      <c r="P1310" s="4">
        <f t="shared" ca="1" si="134"/>
        <v>0.58543284592025324</v>
      </c>
      <c r="Q1310" s="4">
        <f t="shared" ca="1" si="135"/>
        <v>1912.2179440722077</v>
      </c>
      <c r="R1310" s="4">
        <f t="shared" ca="1" si="136"/>
        <v>-11.452099927792233</v>
      </c>
      <c r="S1310" s="4">
        <f t="shared" ca="1" si="137"/>
        <v>-5.7437777854369845</v>
      </c>
    </row>
    <row r="1311" spans="15:19" x14ac:dyDescent="0.2">
      <c r="O1311" s="4">
        <f t="shared" ca="1" si="133"/>
        <v>0.88412570497077669</v>
      </c>
      <c r="P1311" s="4">
        <f t="shared" ca="1" si="134"/>
        <v>1.1958666790883878</v>
      </c>
      <c r="Q1311" s="4">
        <f t="shared" ca="1" si="135"/>
        <v>1900.6998685633735</v>
      </c>
      <c r="R1311" s="4">
        <f t="shared" ca="1" si="136"/>
        <v>-22.970175436626505</v>
      </c>
      <c r="S1311" s="4">
        <f t="shared" ca="1" si="137"/>
        <v>-11.412946284663416</v>
      </c>
    </row>
    <row r="1312" spans="15:19" x14ac:dyDescent="0.2">
      <c r="O1312" s="4">
        <f t="shared" ca="1" si="133"/>
        <v>0.33713509871416947</v>
      </c>
      <c r="P1312" s="4">
        <f t="shared" ca="1" si="134"/>
        <v>-0.42029467778703661</v>
      </c>
      <c r="Q1312" s="4">
        <f t="shared" ca="1" si="135"/>
        <v>1931.1946863986482</v>
      </c>
      <c r="R1312" s="4">
        <f t="shared" ca="1" si="136"/>
        <v>7.5246423986482114</v>
      </c>
      <c r="S1312" s="4">
        <f t="shared" ca="1" si="137"/>
        <v>3.832096043927931</v>
      </c>
    </row>
    <row r="1313" spans="15:19" x14ac:dyDescent="0.2">
      <c r="O1313" s="4">
        <f t="shared" ca="1" si="133"/>
        <v>0.6471522053669857</v>
      </c>
      <c r="P1313" s="4">
        <f t="shared" ca="1" si="134"/>
        <v>0.37764330609264779</v>
      </c>
      <c r="Q1313" s="4">
        <f t="shared" ca="1" si="135"/>
        <v>1916.1386566533877</v>
      </c>
      <c r="R1313" s="4">
        <f t="shared" ca="1" si="136"/>
        <v>-7.5313873466122914</v>
      </c>
      <c r="S1313" s="4">
        <f t="shared" ca="1" si="137"/>
        <v>-3.7893723467609113</v>
      </c>
    </row>
    <row r="1314" spans="15:19" x14ac:dyDescent="0.2">
      <c r="O1314" s="4">
        <f t="shared" ca="1" si="133"/>
        <v>0.75074240999382402</v>
      </c>
      <c r="P1314" s="4">
        <f t="shared" ca="1" si="134"/>
        <v>0.67682785907459886</v>
      </c>
      <c r="Q1314" s="4">
        <f t="shared" ca="1" si="135"/>
        <v>1910.4934415865259</v>
      </c>
      <c r="R1314" s="4">
        <f t="shared" ca="1" si="136"/>
        <v>-13.176602413474029</v>
      </c>
      <c r="S1314" s="4">
        <f t="shared" ca="1" si="137"/>
        <v>-6.5994486856832557</v>
      </c>
    </row>
    <row r="1315" spans="15:19" x14ac:dyDescent="0.2">
      <c r="O1315" s="4">
        <f t="shared" ca="1" si="133"/>
        <v>0.8334856908549606</v>
      </c>
      <c r="P1315" s="4">
        <f t="shared" ca="1" si="134"/>
        <v>0.96803153974573064</v>
      </c>
      <c r="Q1315" s="4">
        <f t="shared" ca="1" si="135"/>
        <v>1904.9988149780813</v>
      </c>
      <c r="R1315" s="4">
        <f t="shared" ca="1" si="136"/>
        <v>-18.671229021918634</v>
      </c>
      <c r="S1315" s="4">
        <f t="shared" ca="1" si="137"/>
        <v>-9.309648659876208</v>
      </c>
    </row>
    <row r="1316" spans="15:19" x14ac:dyDescent="0.2">
      <c r="O1316" s="4">
        <f t="shared" ca="1" si="133"/>
        <v>0.73191673223001807</v>
      </c>
      <c r="P1316" s="4">
        <f t="shared" ca="1" si="134"/>
        <v>0.6186202847473089</v>
      </c>
      <c r="Q1316" s="4">
        <f t="shared" ca="1" si="135"/>
        <v>1911.5917411889714</v>
      </c>
      <c r="R1316" s="4">
        <f t="shared" ca="1" si="136"/>
        <v>-12.078302811028607</v>
      </c>
      <c r="S1316" s="4">
        <f t="shared" ca="1" si="137"/>
        <v>-6.0547697324437699</v>
      </c>
    </row>
    <row r="1317" spans="15:19" x14ac:dyDescent="0.2">
      <c r="O1317" s="4">
        <f t="shared" ca="1" si="133"/>
        <v>0.34898812798708356</v>
      </c>
      <c r="P1317" s="4">
        <f t="shared" ca="1" si="134"/>
        <v>-0.38805375186957414</v>
      </c>
      <c r="Q1317" s="4">
        <f t="shared" ca="1" si="135"/>
        <v>1930.586342956633</v>
      </c>
      <c r="R1317" s="4">
        <f t="shared" ca="1" si="136"/>
        <v>6.9162989566329998</v>
      </c>
      <c r="S1317" s="4">
        <f t="shared" ca="1" si="137"/>
        <v>3.5205705106098915</v>
      </c>
    </row>
    <row r="1318" spans="15:19" x14ac:dyDescent="0.2">
      <c r="O1318" s="4">
        <f t="shared" ca="1" si="133"/>
        <v>0.43128689213357441</v>
      </c>
      <c r="P1318" s="4">
        <f t="shared" ca="1" si="134"/>
        <v>-0.17309877952771299</v>
      </c>
      <c r="Q1318" s="4">
        <f t="shared" ca="1" si="135"/>
        <v>1926.5304281827366</v>
      </c>
      <c r="R1318" s="4">
        <f t="shared" ca="1" si="136"/>
        <v>2.8603841827366523</v>
      </c>
      <c r="S1318" s="4">
        <f t="shared" ca="1" si="137"/>
        <v>1.451285048537696</v>
      </c>
    </row>
    <row r="1319" spans="15:19" x14ac:dyDescent="0.2">
      <c r="O1319" s="4">
        <f t="shared" ca="1" si="133"/>
        <v>0.3470934800286225</v>
      </c>
      <c r="P1319" s="4">
        <f t="shared" ca="1" si="134"/>
        <v>-0.39317943171572967</v>
      </c>
      <c r="Q1319" s="4">
        <f t="shared" ca="1" si="135"/>
        <v>1930.683057726186</v>
      </c>
      <c r="R1319" s="4">
        <f t="shared" ca="1" si="136"/>
        <v>7.0130137261860455</v>
      </c>
      <c r="S1319" s="4">
        <f t="shared" ca="1" si="137"/>
        <v>3.5700768658268371</v>
      </c>
    </row>
    <row r="1320" spans="15:19" x14ac:dyDescent="0.2">
      <c r="O1320" s="4">
        <f t="shared" ca="1" si="133"/>
        <v>0.35759604511635545</v>
      </c>
      <c r="P1320" s="4">
        <f t="shared" ca="1" si="134"/>
        <v>-0.36489191431913925</v>
      </c>
      <c r="Q1320" s="4">
        <f t="shared" ca="1" si="135"/>
        <v>1930.1493098511044</v>
      </c>
      <c r="R1320" s="4">
        <f t="shared" ca="1" si="136"/>
        <v>6.479265851104401</v>
      </c>
      <c r="S1320" s="4">
        <f t="shared" ca="1" si="137"/>
        <v>3.2969569643724901</v>
      </c>
    </row>
    <row r="1321" spans="15:19" x14ac:dyDescent="0.2">
      <c r="O1321" s="4">
        <f t="shared" ca="1" si="133"/>
        <v>0.43864201432289218</v>
      </c>
      <c r="P1321" s="4">
        <f t="shared" ca="1" si="134"/>
        <v>-0.15441309566772596</v>
      </c>
      <c r="Q1321" s="4">
        <f t="shared" ca="1" si="135"/>
        <v>1926.1778541510575</v>
      </c>
      <c r="R1321" s="4">
        <f t="shared" ca="1" si="136"/>
        <v>2.5078101510575834</v>
      </c>
      <c r="S1321" s="4">
        <f t="shared" ca="1" si="137"/>
        <v>1.2720381660808047</v>
      </c>
    </row>
    <row r="1322" spans="15:19" x14ac:dyDescent="0.2">
      <c r="O1322" s="4">
        <f t="shared" ca="1" si="133"/>
        <v>0.59730919593143283</v>
      </c>
      <c r="P1322" s="4">
        <f t="shared" ca="1" si="134"/>
        <v>0.24638837007005901</v>
      </c>
      <c r="Q1322" s="4">
        <f t="shared" ca="1" si="135"/>
        <v>1918.6152629321864</v>
      </c>
      <c r="R1322" s="4">
        <f t="shared" ca="1" si="136"/>
        <v>-5.0547810678135647</v>
      </c>
      <c r="S1322" s="4">
        <f t="shared" ca="1" si="137"/>
        <v>-2.5483787385173238</v>
      </c>
    </row>
    <row r="1323" spans="15:19" x14ac:dyDescent="0.2">
      <c r="O1323" s="4">
        <f t="shared" ca="1" si="133"/>
        <v>0.36739182727585518</v>
      </c>
      <c r="P1323" s="4">
        <f t="shared" ca="1" si="134"/>
        <v>-0.33876913493963839</v>
      </c>
      <c r="Q1323" s="4">
        <f t="shared" ca="1" si="135"/>
        <v>1929.6564077066869</v>
      </c>
      <c r="R1323" s="4">
        <f t="shared" ca="1" si="136"/>
        <v>5.986363706686916</v>
      </c>
      <c r="S1323" s="4">
        <f t="shared" ca="1" si="137"/>
        <v>3.0449439010273323</v>
      </c>
    </row>
    <row r="1324" spans="15:19" x14ac:dyDescent="0.2">
      <c r="O1324" s="4">
        <f t="shared" ca="1" si="133"/>
        <v>0.19699388662735062</v>
      </c>
      <c r="P1324" s="4">
        <f t="shared" ca="1" si="134"/>
        <v>-0.85240783461489955</v>
      </c>
      <c r="Q1324" s="4">
        <f t="shared" ca="1" si="135"/>
        <v>1939.3480876327719</v>
      </c>
      <c r="R1324" s="4">
        <f t="shared" ca="1" si="136"/>
        <v>15.67804363277196</v>
      </c>
      <c r="S1324" s="4">
        <f t="shared" ca="1" si="137"/>
        <v>8.0364372958473265</v>
      </c>
    </row>
    <row r="1325" spans="15:19" x14ac:dyDescent="0.2">
      <c r="O1325" s="4">
        <f t="shared" ca="1" si="133"/>
        <v>0.36853089513659287</v>
      </c>
      <c r="P1325" s="4">
        <f t="shared" ca="1" si="134"/>
        <v>-0.33574682746112744</v>
      </c>
      <c r="Q1325" s="4">
        <f t="shared" ca="1" si="135"/>
        <v>1929.599380779513</v>
      </c>
      <c r="R1325" s="4">
        <f t="shared" ca="1" si="136"/>
        <v>5.9293367795130507</v>
      </c>
      <c r="S1325" s="4">
        <f t="shared" ca="1" si="137"/>
        <v>3.015799701954557</v>
      </c>
    </row>
    <row r="1326" spans="15:19" x14ac:dyDescent="0.2">
      <c r="O1326" s="4">
        <f t="shared" ca="1" si="133"/>
        <v>0.42038992821765819</v>
      </c>
      <c r="P1326" s="4">
        <f t="shared" ca="1" si="134"/>
        <v>-0.20089604994717311</v>
      </c>
      <c r="Q1326" s="4">
        <f t="shared" ca="1" si="135"/>
        <v>1927.0549257486223</v>
      </c>
      <c r="R1326" s="4">
        <f t="shared" ca="1" si="136"/>
        <v>3.3848817486223197</v>
      </c>
      <c r="S1326" s="4">
        <f t="shared" ca="1" si="137"/>
        <v>1.7181242606499256</v>
      </c>
    </row>
    <row r="1327" spans="15:19" x14ac:dyDescent="0.2">
      <c r="O1327" s="4">
        <f t="shared" ca="1" si="133"/>
        <v>0.828849292394222</v>
      </c>
      <c r="P1327" s="4">
        <f t="shared" ca="1" si="134"/>
        <v>0.94962778505278378</v>
      </c>
      <c r="Q1327" s="4">
        <f t="shared" ca="1" si="135"/>
        <v>1905.3460693809038</v>
      </c>
      <c r="R1327" s="4">
        <f t="shared" ca="1" si="136"/>
        <v>-18.323974619096134</v>
      </c>
      <c r="S1327" s="4">
        <f t="shared" ca="1" si="137"/>
        <v>-9.1390945953393938</v>
      </c>
    </row>
    <row r="1328" spans="15:19" x14ac:dyDescent="0.2">
      <c r="O1328" s="4">
        <f t="shared" ca="1" si="133"/>
        <v>0.60622396344570806</v>
      </c>
      <c r="P1328" s="4">
        <f t="shared" ca="1" si="134"/>
        <v>0.26949073223944742</v>
      </c>
      <c r="Q1328" s="4">
        <f t="shared" ca="1" si="135"/>
        <v>1918.1793520480887</v>
      </c>
      <c r="R1328" s="4">
        <f t="shared" ca="1" si="136"/>
        <v>-5.4906919519112307</v>
      </c>
      <c r="S1328" s="4">
        <f t="shared" ca="1" si="137"/>
        <v>-2.7671698467384558</v>
      </c>
    </row>
    <row r="1329" spans="15:19" x14ac:dyDescent="0.2">
      <c r="O1329" s="4">
        <f t="shared" ca="1" si="133"/>
        <v>3.9610662196740587E-2</v>
      </c>
      <c r="P1329" s="4">
        <f t="shared" ca="1" si="134"/>
        <v>-1.7552221042891472</v>
      </c>
      <c r="Q1329" s="4">
        <f t="shared" ca="1" si="135"/>
        <v>1956.3829935694107</v>
      </c>
      <c r="R1329" s="4">
        <f t="shared" ca="1" si="136"/>
        <v>32.712949569410739</v>
      </c>
      <c r="S1329" s="4">
        <f t="shared" ca="1" si="137"/>
        <v>16.995235360604166</v>
      </c>
    </row>
    <row r="1330" spans="15:19" x14ac:dyDescent="0.2">
      <c r="O1330" s="4">
        <f t="shared" ca="1" si="133"/>
        <v>0.76322521371989127</v>
      </c>
      <c r="P1330" s="4">
        <f t="shared" ca="1" si="134"/>
        <v>0.7167156415364303</v>
      </c>
      <c r="Q1330" s="4">
        <f t="shared" ca="1" si="135"/>
        <v>1909.7408121198878</v>
      </c>
      <c r="R1330" s="4">
        <f t="shared" ca="1" si="136"/>
        <v>-13.929231880112184</v>
      </c>
      <c r="S1330" s="4">
        <f t="shared" ca="1" si="137"/>
        <v>-6.9721326169899491</v>
      </c>
    </row>
    <row r="1331" spans="15:19" x14ac:dyDescent="0.2">
      <c r="O1331" s="4">
        <f t="shared" ca="1" si="133"/>
        <v>0.20512885008647241</v>
      </c>
      <c r="P1331" s="4">
        <f t="shared" ca="1" si="134"/>
        <v>-0.82344021809336532</v>
      </c>
      <c r="Q1331" s="4">
        <f t="shared" ca="1" si="135"/>
        <v>1938.8015071906721</v>
      </c>
      <c r="R1331" s="4">
        <f t="shared" ca="1" si="136"/>
        <v>15.131463190672093</v>
      </c>
      <c r="S1331" s="4">
        <f t="shared" ca="1" si="137"/>
        <v>7.7528979279388386</v>
      </c>
    </row>
    <row r="1332" spans="15:19" x14ac:dyDescent="0.2">
      <c r="O1332" s="4">
        <f t="shared" ca="1" si="133"/>
        <v>0.96022408371334178</v>
      </c>
      <c r="P1332" s="4">
        <f t="shared" ca="1" si="134"/>
        <v>1.75329238142817</v>
      </c>
      <c r="Q1332" s="4">
        <f t="shared" ca="1" si="135"/>
        <v>1890.1819860652947</v>
      </c>
      <c r="R1332" s="4">
        <f t="shared" ca="1" si="136"/>
        <v>-33.488057934705239</v>
      </c>
      <c r="S1332" s="4">
        <f t="shared" ca="1" si="137"/>
        <v>-16.495475145845912</v>
      </c>
    </row>
    <row r="1333" spans="15:19" x14ac:dyDescent="0.2">
      <c r="O1333" s="4">
        <f t="shared" ca="1" si="133"/>
        <v>0.94119511059232608</v>
      </c>
      <c r="P1333" s="4">
        <f t="shared" ca="1" si="134"/>
        <v>1.5648854162268286</v>
      </c>
      <c r="Q1333" s="4">
        <f t="shared" ca="1" si="135"/>
        <v>1893.7369752118113</v>
      </c>
      <c r="R1333" s="4">
        <f t="shared" ca="1" si="136"/>
        <v>-29.933068788188621</v>
      </c>
      <c r="S1333" s="4">
        <f t="shared" ca="1" si="137"/>
        <v>-14.78768322361215</v>
      </c>
    </row>
    <row r="1334" spans="15:19" x14ac:dyDescent="0.2">
      <c r="O1334" s="4">
        <f t="shared" ca="1" si="133"/>
        <v>0.96682957352367438</v>
      </c>
      <c r="P1334" s="4">
        <f t="shared" ca="1" si="134"/>
        <v>1.836113629454766</v>
      </c>
      <c r="Q1334" s="4">
        <f t="shared" ca="1" si="135"/>
        <v>1888.6192591378644</v>
      </c>
      <c r="R1334" s="4">
        <f t="shared" ca="1" si="136"/>
        <v>-35.050784862135515</v>
      </c>
      <c r="S1334" s="4">
        <f t="shared" ca="1" si="137"/>
        <v>-17.242942658127014</v>
      </c>
    </row>
    <row r="1335" spans="15:19" x14ac:dyDescent="0.2">
      <c r="O1335" s="4">
        <f t="shared" ca="1" si="133"/>
        <v>0.77920419327788948</v>
      </c>
      <c r="P1335" s="4">
        <f t="shared" ca="1" si="134"/>
        <v>0.76950830966110917</v>
      </c>
      <c r="Q1335" s="4">
        <f t="shared" ca="1" si="135"/>
        <v>1908.7446846041223</v>
      </c>
      <c r="R1335" s="4">
        <f t="shared" ca="1" si="136"/>
        <v>-14.925359395877649</v>
      </c>
      <c r="S1335" s="4">
        <f t="shared" ca="1" si="137"/>
        <v>-7.4646817918035326</v>
      </c>
    </row>
    <row r="1336" spans="15:19" x14ac:dyDescent="0.2">
      <c r="O1336" s="4">
        <f t="shared" ca="1" si="133"/>
        <v>0.32167119583442749</v>
      </c>
      <c r="P1336" s="4">
        <f t="shared" ca="1" si="134"/>
        <v>-0.46303065844587615</v>
      </c>
      <c r="Q1336" s="4">
        <f t="shared" ca="1" si="135"/>
        <v>1932.0010575816116</v>
      </c>
      <c r="R1336" s="4">
        <f t="shared" ca="1" si="136"/>
        <v>8.3310135816116144</v>
      </c>
      <c r="S1336" s="4">
        <f t="shared" ca="1" si="137"/>
        <v>4.2454936365984128</v>
      </c>
    </row>
    <row r="1337" spans="15:19" x14ac:dyDescent="0.2">
      <c r="O1337" s="4">
        <f t="shared" ca="1" si="133"/>
        <v>0.33152381042306034</v>
      </c>
      <c r="P1337" s="4">
        <f t="shared" ca="1" si="134"/>
        <v>-0.43570935031134894</v>
      </c>
      <c r="Q1337" s="4">
        <f t="shared" ca="1" si="135"/>
        <v>1931.4855407917569</v>
      </c>
      <c r="R1337" s="4">
        <f t="shared" ca="1" si="136"/>
        <v>7.8154967917569138</v>
      </c>
      <c r="S1337" s="4">
        <f t="shared" ca="1" si="137"/>
        <v>3.9811456264564202</v>
      </c>
    </row>
    <row r="1338" spans="15:19" x14ac:dyDescent="0.2">
      <c r="O1338" s="4">
        <f t="shared" ca="1" si="133"/>
        <v>0.5396529354354066</v>
      </c>
      <c r="P1338" s="4">
        <f t="shared" ca="1" si="134"/>
        <v>9.9559398232060337E-2</v>
      </c>
      <c r="Q1338" s="4">
        <f t="shared" ca="1" si="135"/>
        <v>1921.3857305776924</v>
      </c>
      <c r="R1338" s="4">
        <f t="shared" ca="1" si="136"/>
        <v>-2.2843134223076049</v>
      </c>
      <c r="S1338" s="4">
        <f t="shared" ca="1" si="137"/>
        <v>-1.154217706040944</v>
      </c>
    </row>
    <row r="1339" spans="15:19" x14ac:dyDescent="0.2">
      <c r="O1339" s="4">
        <f t="shared" ca="1" si="133"/>
        <v>0.10486533819116706</v>
      </c>
      <c r="P1339" s="4">
        <f t="shared" ca="1" si="134"/>
        <v>-1.2543063510557806</v>
      </c>
      <c r="Q1339" s="4">
        <f t="shared" ca="1" si="135"/>
        <v>1946.9313787410476</v>
      </c>
      <c r="R1339" s="4">
        <f t="shared" ca="1" si="136"/>
        <v>23.261334741047676</v>
      </c>
      <c r="S1339" s="4">
        <f t="shared" ca="1" si="137"/>
        <v>11.995376451254188</v>
      </c>
    </row>
    <row r="1340" spans="15:19" x14ac:dyDescent="0.2">
      <c r="O1340" s="4">
        <f t="shared" ca="1" si="133"/>
        <v>0.15258730825920408</v>
      </c>
      <c r="P1340" s="4">
        <f t="shared" ca="1" si="134"/>
        <v>-1.0253997279179272</v>
      </c>
      <c r="Q1340" s="4">
        <f t="shared" ca="1" si="135"/>
        <v>1942.6122148505233</v>
      </c>
      <c r="R1340" s="4">
        <f t="shared" ca="1" si="136"/>
        <v>18.942170850523325</v>
      </c>
      <c r="S1340" s="4">
        <f t="shared" ca="1" si="137"/>
        <v>9.7347712353717792</v>
      </c>
    </row>
    <row r="1341" spans="15:19" x14ac:dyDescent="0.2">
      <c r="O1341" s="4">
        <f t="shared" ca="1" si="133"/>
        <v>6.1242435697341557E-2</v>
      </c>
      <c r="P1341" s="4">
        <f t="shared" ca="1" si="134"/>
        <v>-1.5444272144420506</v>
      </c>
      <c r="Q1341" s="4">
        <f t="shared" ca="1" si="135"/>
        <v>1952.4055740257816</v>
      </c>
      <c r="R1341" s="4">
        <f t="shared" ca="1" si="136"/>
        <v>28.7355300257816</v>
      </c>
      <c r="S1341" s="4">
        <f t="shared" ca="1" si="137"/>
        <v>14.882336311807094</v>
      </c>
    </row>
    <row r="1342" spans="15:19" x14ac:dyDescent="0.2">
      <c r="O1342" s="4">
        <f t="shared" ca="1" si="133"/>
        <v>0.2913306027051662</v>
      </c>
      <c r="P1342" s="4">
        <f t="shared" ca="1" si="134"/>
        <v>-0.54950168955957279</v>
      </c>
      <c r="Q1342" s="4">
        <f t="shared" ca="1" si="135"/>
        <v>1933.6326510673873</v>
      </c>
      <c r="R1342" s="4">
        <f t="shared" ca="1" si="136"/>
        <v>9.9626070673873528</v>
      </c>
      <c r="S1342" s="4">
        <f t="shared" ca="1" si="137"/>
        <v>5.0835723418133414</v>
      </c>
    </row>
    <row r="1343" spans="15:19" x14ac:dyDescent="0.2">
      <c r="O1343" s="4">
        <f t="shared" ca="1" si="133"/>
        <v>0.95563734343804241</v>
      </c>
      <c r="P1343" s="4">
        <f t="shared" ca="1" si="134"/>
        <v>1.7021603507524514</v>
      </c>
      <c r="Q1343" s="4">
        <f t="shared" ca="1" si="135"/>
        <v>1891.1467795584506</v>
      </c>
      <c r="R1343" s="4">
        <f t="shared" ca="1" si="136"/>
        <v>-32.523264441549372</v>
      </c>
      <c r="S1343" s="4">
        <f t="shared" ca="1" si="137"/>
        <v>-16.033012367130308</v>
      </c>
    </row>
    <row r="1344" spans="15:19" x14ac:dyDescent="0.2">
      <c r="O1344" s="4">
        <f t="shared" ca="1" si="133"/>
        <v>2.5149062363157726E-2</v>
      </c>
      <c r="P1344" s="4">
        <f t="shared" ca="1" si="134"/>
        <v>-1.9574198658958162</v>
      </c>
      <c r="Q1344" s="4">
        <f t="shared" ca="1" si="135"/>
        <v>1960.198196723888</v>
      </c>
      <c r="R1344" s="4">
        <f t="shared" ca="1" si="136"/>
        <v>36.52815272388807</v>
      </c>
      <c r="S1344" s="4">
        <f t="shared" ca="1" si="137"/>
        <v>19.034063585096913</v>
      </c>
    </row>
    <row r="1345" spans="15:19" x14ac:dyDescent="0.2">
      <c r="O1345" s="4">
        <f t="shared" ca="1" si="133"/>
        <v>0.70623166117859304</v>
      </c>
      <c r="P1345" s="4">
        <f t="shared" ca="1" si="134"/>
        <v>0.54240915009412327</v>
      </c>
      <c r="Q1345" s="4">
        <f t="shared" ca="1" si="135"/>
        <v>1913.029744058166</v>
      </c>
      <c r="R1345" s="4">
        <f t="shared" ca="1" si="136"/>
        <v>-10.640299941833973</v>
      </c>
      <c r="S1345" s="4">
        <f t="shared" ca="1" si="137"/>
        <v>-5.3401373088081998</v>
      </c>
    </row>
    <row r="1346" spans="15:19" x14ac:dyDescent="0.2">
      <c r="O1346" s="4">
        <f t="shared" ca="1" si="133"/>
        <v>0.67459755675859201</v>
      </c>
      <c r="P1346" s="4">
        <f t="shared" ca="1" si="134"/>
        <v>0.45264431025267926</v>
      </c>
      <c r="Q1346" s="4">
        <f t="shared" ca="1" si="135"/>
        <v>1914.7234873390162</v>
      </c>
      <c r="R1346" s="4">
        <f t="shared" ca="1" si="136"/>
        <v>-8.9465566609837879</v>
      </c>
      <c r="S1346" s="4">
        <f t="shared" ca="1" si="137"/>
        <v>-4.4962524350105193</v>
      </c>
    </row>
    <row r="1347" spans="15:19" x14ac:dyDescent="0.2">
      <c r="O1347" s="4">
        <f t="shared" ref="O1347:O1410" ca="1" si="138">RAND()</f>
        <v>0.93804036858060136</v>
      </c>
      <c r="P1347" s="4">
        <f t="shared" ref="P1347:P1410" ca="1" si="139">NORMSINV(O1347)</f>
        <v>1.5385292480907764</v>
      </c>
      <c r="Q1347" s="4">
        <f t="shared" ref="Q1347:Q1410" ca="1" si="140">$B$4*(1+$B$17-$B$32*P1347)</f>
        <v>1894.2342810920229</v>
      </c>
      <c r="R1347" s="4">
        <f t="shared" ref="R1347:R1410" ca="1" si="141">Q1347-$B$4</f>
        <v>-29.43576290797705</v>
      </c>
      <c r="S1347" s="4">
        <f t="shared" ref="S1347:S1410" ca="1" si="142">R1347*$B$12+0.5*$B$13*R1347^2</f>
        <v>-14.54796061876319</v>
      </c>
    </row>
    <row r="1348" spans="15:19" x14ac:dyDescent="0.2">
      <c r="O1348" s="4">
        <f t="shared" ca="1" si="138"/>
        <v>0.17638154605218004</v>
      </c>
      <c r="P1348" s="4">
        <f t="shared" ca="1" si="139"/>
        <v>-0.9292431457088679</v>
      </c>
      <c r="Q1348" s="4">
        <f t="shared" ca="1" si="140"/>
        <v>1940.7978678822253</v>
      </c>
      <c r="R1348" s="4">
        <f t="shared" ca="1" si="141"/>
        <v>17.127823882225357</v>
      </c>
      <c r="S1348" s="4">
        <f t="shared" ca="1" si="142"/>
        <v>8.7896909996540966</v>
      </c>
    </row>
    <row r="1349" spans="15:19" x14ac:dyDescent="0.2">
      <c r="O1349" s="4">
        <f t="shared" ca="1" si="138"/>
        <v>0.99645521019777183</v>
      </c>
      <c r="P1349" s="4">
        <f t="shared" ca="1" si="139"/>
        <v>2.6926069362747382</v>
      </c>
      <c r="Q1349" s="4">
        <f t="shared" ca="1" si="140"/>
        <v>1872.4583682357932</v>
      </c>
      <c r="R1349" s="4">
        <f t="shared" ca="1" si="141"/>
        <v>-51.211675764206802</v>
      </c>
      <c r="S1349" s="4">
        <f t="shared" ca="1" si="142"/>
        <v>-24.856257587513316</v>
      </c>
    </row>
    <row r="1350" spans="15:19" x14ac:dyDescent="0.2">
      <c r="O1350" s="4">
        <f t="shared" ca="1" si="138"/>
        <v>0.97426160044035803</v>
      </c>
      <c r="P1350" s="4">
        <f t="shared" ca="1" si="139"/>
        <v>1.9474834740895621</v>
      </c>
      <c r="Q1350" s="4">
        <f t="shared" ca="1" si="140"/>
        <v>1886.5178581174571</v>
      </c>
      <c r="R1350" s="4">
        <f t="shared" ca="1" si="141"/>
        <v>-37.152185882542881</v>
      </c>
      <c r="S1350" s="4">
        <f t="shared" ca="1" si="142"/>
        <v>-18.244928883907022</v>
      </c>
    </row>
    <row r="1351" spans="15:19" x14ac:dyDescent="0.2">
      <c r="O1351" s="4">
        <f t="shared" ca="1" si="138"/>
        <v>4.3731997093041208E-2</v>
      </c>
      <c r="P1351" s="4">
        <f t="shared" ca="1" si="139"/>
        <v>-1.7089295816330512</v>
      </c>
      <c r="Q1351" s="4">
        <f t="shared" ca="1" si="140"/>
        <v>1955.5095151636017</v>
      </c>
      <c r="R1351" s="4">
        <f t="shared" ca="1" si="141"/>
        <v>31.839471163601729</v>
      </c>
      <c r="S1351" s="4">
        <f t="shared" ca="1" si="142"/>
        <v>16.530119378402244</v>
      </c>
    </row>
    <row r="1352" spans="15:19" x14ac:dyDescent="0.2">
      <c r="O1352" s="4">
        <f t="shared" ca="1" si="138"/>
        <v>0.61562343321619439</v>
      </c>
      <c r="P1352" s="4">
        <f t="shared" ca="1" si="139"/>
        <v>0.29400624209269999</v>
      </c>
      <c r="Q1352" s="4">
        <f t="shared" ca="1" si="140"/>
        <v>1917.7167769444745</v>
      </c>
      <c r="R1352" s="4">
        <f t="shared" ca="1" si="141"/>
        <v>-5.9532670555254299</v>
      </c>
      <c r="S1352" s="4">
        <f t="shared" ca="1" si="142"/>
        <v>-2.9991749965646552</v>
      </c>
    </row>
    <row r="1353" spans="15:19" x14ac:dyDescent="0.2">
      <c r="O1353" s="4">
        <f t="shared" ca="1" si="138"/>
        <v>6.6268932293600757E-2</v>
      </c>
      <c r="P1353" s="4">
        <f t="shared" ca="1" si="139"/>
        <v>-1.5041689726382099</v>
      </c>
      <c r="Q1353" s="4">
        <f t="shared" ca="1" si="140"/>
        <v>1951.6459544834918</v>
      </c>
      <c r="R1353" s="4">
        <f t="shared" ca="1" si="141"/>
        <v>27.975910483491816</v>
      </c>
      <c r="S1353" s="4">
        <f t="shared" ca="1" si="142"/>
        <v>14.480273275692648</v>
      </c>
    </row>
    <row r="1354" spans="15:19" x14ac:dyDescent="0.2">
      <c r="O1354" s="4">
        <f t="shared" ca="1" si="138"/>
        <v>0.89729299492773329</v>
      </c>
      <c r="P1354" s="4">
        <f t="shared" ca="1" si="139"/>
        <v>1.2662767715738514</v>
      </c>
      <c r="Q1354" s="4">
        <f t="shared" ca="1" si="140"/>
        <v>1899.3713236535632</v>
      </c>
      <c r="R1354" s="4">
        <f t="shared" ca="1" si="141"/>
        <v>-24.298720346436767</v>
      </c>
      <c r="S1354" s="4">
        <f t="shared" ca="1" si="142"/>
        <v>-12.059905251374595</v>
      </c>
    </row>
    <row r="1355" spans="15:19" x14ac:dyDescent="0.2">
      <c r="O1355" s="4">
        <f t="shared" ca="1" si="138"/>
        <v>0.7546498060790533</v>
      </c>
      <c r="P1355" s="4">
        <f t="shared" ca="1" si="139"/>
        <v>0.6891952781890015</v>
      </c>
      <c r="Q1355" s="4">
        <f t="shared" ca="1" si="140"/>
        <v>1910.2600848171776</v>
      </c>
      <c r="R1355" s="4">
        <f t="shared" ca="1" si="141"/>
        <v>-13.409959182822377</v>
      </c>
      <c r="S1355" s="4">
        <f t="shared" ca="1" si="142"/>
        <v>-6.7150506478200418</v>
      </c>
    </row>
    <row r="1356" spans="15:19" x14ac:dyDescent="0.2">
      <c r="O1356" s="4">
        <f t="shared" ca="1" si="138"/>
        <v>0.20123947347636972</v>
      </c>
      <c r="P1356" s="4">
        <f t="shared" ca="1" si="139"/>
        <v>-0.8372021539558151</v>
      </c>
      <c r="Q1356" s="4">
        <f t="shared" ca="1" si="140"/>
        <v>1939.061176638528</v>
      </c>
      <c r="R1356" s="4">
        <f t="shared" ca="1" si="141"/>
        <v>15.391132638528006</v>
      </c>
      <c r="S1356" s="4">
        <f t="shared" ca="1" si="142"/>
        <v>7.8875714892911786</v>
      </c>
    </row>
    <row r="1357" spans="15:19" x14ac:dyDescent="0.2">
      <c r="O1357" s="4">
        <f t="shared" ca="1" si="138"/>
        <v>0.89198112713229782</v>
      </c>
      <c r="P1357" s="4">
        <f t="shared" ca="1" si="139"/>
        <v>1.2371329044137569</v>
      </c>
      <c r="Q1357" s="4">
        <f t="shared" ca="1" si="140"/>
        <v>1899.9212297110753</v>
      </c>
      <c r="R1357" s="4">
        <f t="shared" ca="1" si="141"/>
        <v>-23.748814288924677</v>
      </c>
      <c r="S1357" s="4">
        <f t="shared" ca="1" si="142"/>
        <v>-11.792292851391034</v>
      </c>
    </row>
    <row r="1358" spans="15:19" x14ac:dyDescent="0.2">
      <c r="O1358" s="4">
        <f t="shared" ca="1" si="138"/>
        <v>0.64273195741453415</v>
      </c>
      <c r="P1358" s="4">
        <f t="shared" ca="1" si="139"/>
        <v>0.36577083388934811</v>
      </c>
      <c r="Q1358" s="4">
        <f t="shared" ca="1" si="140"/>
        <v>1916.3626744320293</v>
      </c>
      <c r="R1358" s="4">
        <f t="shared" ca="1" si="141"/>
        <v>-7.3073695679706816</v>
      </c>
      <c r="S1358" s="4">
        <f t="shared" ca="1" si="142"/>
        <v>-3.6773255102582167</v>
      </c>
    </row>
    <row r="1359" spans="15:19" x14ac:dyDescent="0.2">
      <c r="O1359" s="4">
        <f t="shared" ca="1" si="138"/>
        <v>0.75983558396332784</v>
      </c>
      <c r="P1359" s="4">
        <f t="shared" ca="1" si="139"/>
        <v>0.70577377699918753</v>
      </c>
      <c r="Q1359" s="4">
        <f t="shared" ca="1" si="140"/>
        <v>1909.9472705681248</v>
      </c>
      <c r="R1359" s="4">
        <f t="shared" ca="1" si="141"/>
        <v>-13.722773431875112</v>
      </c>
      <c r="S1359" s="4">
        <f t="shared" ca="1" si="142"/>
        <v>-6.8699452824340739</v>
      </c>
    </row>
    <row r="1360" spans="15:19" x14ac:dyDescent="0.2">
      <c r="O1360" s="4">
        <f t="shared" ca="1" si="138"/>
        <v>2.1160791054232964E-2</v>
      </c>
      <c r="P1360" s="4">
        <f t="shared" ca="1" si="139"/>
        <v>-2.0303440250009963</v>
      </c>
      <c r="Q1360" s="4">
        <f t="shared" ca="1" si="140"/>
        <v>1961.5741787310324</v>
      </c>
      <c r="R1360" s="4">
        <f t="shared" ca="1" si="141"/>
        <v>37.9041347310324</v>
      </c>
      <c r="S1360" s="4">
        <f t="shared" ca="1" si="142"/>
        <v>19.772290162386017</v>
      </c>
    </row>
    <row r="1361" spans="15:19" x14ac:dyDescent="0.2">
      <c r="O1361" s="4">
        <f t="shared" ca="1" si="138"/>
        <v>1.2426389325600029E-2</v>
      </c>
      <c r="P1361" s="4">
        <f t="shared" ca="1" si="139"/>
        <v>-2.2436834041517613</v>
      </c>
      <c r="Q1361" s="4">
        <f t="shared" ca="1" si="140"/>
        <v>1965.5996094076274</v>
      </c>
      <c r="R1361" s="4">
        <f t="shared" ca="1" si="141"/>
        <v>41.929565407627479</v>
      </c>
      <c r="S1361" s="4">
        <f t="shared" ca="1" si="142"/>
        <v>21.940820411724918</v>
      </c>
    </row>
    <row r="1362" spans="15:19" x14ac:dyDescent="0.2">
      <c r="O1362" s="4">
        <f t="shared" ca="1" si="138"/>
        <v>0.64546613418952015</v>
      </c>
      <c r="P1362" s="4">
        <f t="shared" ca="1" si="139"/>
        <v>0.37310844764732576</v>
      </c>
      <c r="Q1362" s="4">
        <f t="shared" ca="1" si="140"/>
        <v>1916.2242234079758</v>
      </c>
      <c r="R1362" s="4">
        <f t="shared" ca="1" si="141"/>
        <v>-7.4458205920241198</v>
      </c>
      <c r="S1362" s="4">
        <f t="shared" ca="1" si="142"/>
        <v>-3.7465792974743919</v>
      </c>
    </row>
    <row r="1363" spans="15:19" x14ac:dyDescent="0.2">
      <c r="O1363" s="4">
        <f t="shared" ca="1" si="138"/>
        <v>0.57133168680427049</v>
      </c>
      <c r="P1363" s="4">
        <f t="shared" ca="1" si="139"/>
        <v>0.17976555471440289</v>
      </c>
      <c r="Q1363" s="4">
        <f t="shared" ca="1" si="140"/>
        <v>1919.8723469537174</v>
      </c>
      <c r="R1363" s="4">
        <f t="shared" ca="1" si="141"/>
        <v>-3.7976970462825648</v>
      </c>
      <c r="S1363" s="4">
        <f t="shared" ca="1" si="142"/>
        <v>-1.9165604858413019</v>
      </c>
    </row>
    <row r="1364" spans="15:19" x14ac:dyDescent="0.2">
      <c r="O1364" s="4">
        <f t="shared" ca="1" si="138"/>
        <v>0.25215674356776629</v>
      </c>
      <c r="P1364" s="4">
        <f t="shared" ca="1" si="139"/>
        <v>-0.66771820478570898</v>
      </c>
      <c r="Q1364" s="4">
        <f t="shared" ca="1" si="140"/>
        <v>1935.8632396664811</v>
      </c>
      <c r="R1364" s="4">
        <f t="shared" ca="1" si="141"/>
        <v>12.193195666481188</v>
      </c>
      <c r="S1364" s="4">
        <f t="shared" ca="1" si="142"/>
        <v>6.2328356960076601</v>
      </c>
    </row>
    <row r="1365" spans="15:19" x14ac:dyDescent="0.2">
      <c r="O1365" s="4">
        <f t="shared" ca="1" si="138"/>
        <v>0.62845277214997775</v>
      </c>
      <c r="P1365" s="4">
        <f t="shared" ca="1" si="139"/>
        <v>0.32775825136226361</v>
      </c>
      <c r="Q1365" s="4">
        <f t="shared" ca="1" si="140"/>
        <v>1917.0799213669845</v>
      </c>
      <c r="R1365" s="4">
        <f t="shared" ca="1" si="141"/>
        <v>-6.5901226330154259</v>
      </c>
      <c r="S1365" s="4">
        <f t="shared" ca="1" si="142"/>
        <v>-3.3183057254651347</v>
      </c>
    </row>
    <row r="1366" spans="15:19" x14ac:dyDescent="0.2">
      <c r="O1366" s="4">
        <f t="shared" ca="1" si="138"/>
        <v>0.78917465461959568</v>
      </c>
      <c r="P1366" s="4">
        <f t="shared" ca="1" si="139"/>
        <v>0.80356076377920727</v>
      </c>
      <c r="Q1366" s="4">
        <f t="shared" ca="1" si="140"/>
        <v>1908.1021600314627</v>
      </c>
      <c r="R1366" s="4">
        <f t="shared" ca="1" si="141"/>
        <v>-15.567883968537217</v>
      </c>
      <c r="S1366" s="4">
        <f t="shared" ca="1" si="142"/>
        <v>-7.7819584557633315</v>
      </c>
    </row>
    <row r="1367" spans="15:19" x14ac:dyDescent="0.2">
      <c r="O1367" s="4">
        <f t="shared" ca="1" si="138"/>
        <v>0.57682906533752321</v>
      </c>
      <c r="P1367" s="4">
        <f t="shared" ca="1" si="139"/>
        <v>0.19378801811753313</v>
      </c>
      <c r="Q1367" s="4">
        <f t="shared" ca="1" si="140"/>
        <v>1919.607761697263</v>
      </c>
      <c r="R1367" s="4">
        <f t="shared" ca="1" si="141"/>
        <v>-4.0622823027370032</v>
      </c>
      <c r="S1367" s="4">
        <f t="shared" ca="1" si="142"/>
        <v>-2.0496495789786024</v>
      </c>
    </row>
    <row r="1368" spans="15:19" x14ac:dyDescent="0.2">
      <c r="O1368" s="4">
        <f t="shared" ca="1" si="138"/>
        <v>0.60642923898722634</v>
      </c>
      <c r="P1368" s="4">
        <f t="shared" ca="1" si="139"/>
        <v>0.27002434813907206</v>
      </c>
      <c r="Q1368" s="4">
        <f t="shared" ca="1" si="140"/>
        <v>1918.1692834249379</v>
      </c>
      <c r="R1368" s="4">
        <f t="shared" ca="1" si="141"/>
        <v>-5.5007605750620314</v>
      </c>
      <c r="S1368" s="4">
        <f t="shared" ca="1" si="142"/>
        <v>-2.7722216325385718</v>
      </c>
    </row>
    <row r="1369" spans="15:19" x14ac:dyDescent="0.2">
      <c r="O1369" s="4">
        <f t="shared" ca="1" si="138"/>
        <v>0.81223040299044902</v>
      </c>
      <c r="P1369" s="4">
        <f t="shared" ca="1" si="139"/>
        <v>0.88614537623402145</v>
      </c>
      <c r="Q1369" s="4">
        <f t="shared" ca="1" si="140"/>
        <v>1906.5438981029167</v>
      </c>
      <c r="R1369" s="4">
        <f t="shared" ca="1" si="141"/>
        <v>-17.126145897083234</v>
      </c>
      <c r="S1369" s="4">
        <f t="shared" ca="1" si="142"/>
        <v>-8.5500274144106729</v>
      </c>
    </row>
    <row r="1370" spans="15:19" x14ac:dyDescent="0.2">
      <c r="O1370" s="4">
        <f t="shared" ca="1" si="138"/>
        <v>0.66485987294630255</v>
      </c>
      <c r="P1370" s="4">
        <f t="shared" ca="1" si="139"/>
        <v>0.42576340654332556</v>
      </c>
      <c r="Q1370" s="4">
        <f t="shared" ca="1" si="140"/>
        <v>1915.2306942824177</v>
      </c>
      <c r="R1370" s="4">
        <f t="shared" ca="1" si="141"/>
        <v>-8.4393497175822176</v>
      </c>
      <c r="S1370" s="4">
        <f t="shared" ca="1" si="142"/>
        <v>-4.2430889514066061</v>
      </c>
    </row>
    <row r="1371" spans="15:19" x14ac:dyDescent="0.2">
      <c r="O1371" s="4">
        <f t="shared" ca="1" si="138"/>
        <v>0.6546966207533933</v>
      </c>
      <c r="P1371" s="4">
        <f t="shared" ca="1" si="139"/>
        <v>0.398031781988403</v>
      </c>
      <c r="Q1371" s="4">
        <f t="shared" ca="1" si="140"/>
        <v>1915.7539531980458</v>
      </c>
      <c r="R1371" s="4">
        <f t="shared" ca="1" si="141"/>
        <v>-7.9160908019541694</v>
      </c>
      <c r="S1371" s="4">
        <f t="shared" ca="1" si="142"/>
        <v>-3.9816939144257413</v>
      </c>
    </row>
    <row r="1372" spans="15:19" x14ac:dyDescent="0.2">
      <c r="O1372" s="4">
        <f t="shared" ca="1" si="138"/>
        <v>0.21772328981760414</v>
      </c>
      <c r="P1372" s="4">
        <f t="shared" ca="1" si="139"/>
        <v>-0.77990536619779227</v>
      </c>
      <c r="Q1372" s="4">
        <f t="shared" ca="1" si="140"/>
        <v>1937.9800623687217</v>
      </c>
      <c r="R1372" s="4">
        <f t="shared" ca="1" si="141"/>
        <v>14.310018368721785</v>
      </c>
      <c r="S1372" s="4">
        <f t="shared" ca="1" si="142"/>
        <v>7.3272297260008408</v>
      </c>
    </row>
    <row r="1373" spans="15:19" x14ac:dyDescent="0.2">
      <c r="O1373" s="4">
        <f t="shared" ca="1" si="138"/>
        <v>0.78695964979573785</v>
      </c>
      <c r="P1373" s="4">
        <f t="shared" ca="1" si="139"/>
        <v>0.79591627595560765</v>
      </c>
      <c r="Q1373" s="4">
        <f t="shared" ca="1" si="140"/>
        <v>1908.2464013614715</v>
      </c>
      <c r="R1373" s="4">
        <f t="shared" ca="1" si="141"/>
        <v>-15.423642638528463</v>
      </c>
      <c r="S1373" s="4">
        <f t="shared" ca="1" si="142"/>
        <v>-7.7107617865595</v>
      </c>
    </row>
    <row r="1374" spans="15:19" x14ac:dyDescent="0.2">
      <c r="O1374" s="4">
        <f t="shared" ca="1" si="138"/>
        <v>0.38778288315079967</v>
      </c>
      <c r="P1374" s="4">
        <f t="shared" ca="1" si="139"/>
        <v>-0.28510230222121224</v>
      </c>
      <c r="Q1374" s="4">
        <f t="shared" ca="1" si="140"/>
        <v>1928.6437858663103</v>
      </c>
      <c r="R1374" s="4">
        <f t="shared" ca="1" si="141"/>
        <v>4.9737418663103199</v>
      </c>
      <c r="S1374" s="4">
        <f t="shared" ca="1" si="142"/>
        <v>2.5278269725893781</v>
      </c>
    </row>
    <row r="1375" spans="15:19" x14ac:dyDescent="0.2">
      <c r="O1375" s="4">
        <f t="shared" ca="1" si="138"/>
        <v>0.51426212975085994</v>
      </c>
      <c r="P1375" s="4">
        <f t="shared" ca="1" si="139"/>
        <v>3.5757476129641919E-2</v>
      </c>
      <c r="Q1375" s="4">
        <f t="shared" ca="1" si="140"/>
        <v>1922.5895880909145</v>
      </c>
      <c r="R1375" s="4">
        <f t="shared" ca="1" si="141"/>
        <v>-1.0804559090854582</v>
      </c>
      <c r="S1375" s="4">
        <f t="shared" ca="1" si="142"/>
        <v>-0.54646215764606287</v>
      </c>
    </row>
    <row r="1376" spans="15:19" x14ac:dyDescent="0.2">
      <c r="O1376" s="4">
        <f t="shared" ca="1" si="138"/>
        <v>0.35362882873825041</v>
      </c>
      <c r="P1376" s="4">
        <f t="shared" ca="1" si="139"/>
        <v>-0.37554167620237616</v>
      </c>
      <c r="Q1376" s="4">
        <f t="shared" ca="1" si="140"/>
        <v>1930.3502567103008</v>
      </c>
      <c r="R1376" s="4">
        <f t="shared" ca="1" si="141"/>
        <v>6.6802127103007933</v>
      </c>
      <c r="S1376" s="4">
        <f t="shared" ca="1" si="142"/>
        <v>3.3997546686560902</v>
      </c>
    </row>
    <row r="1377" spans="15:19" x14ac:dyDescent="0.2">
      <c r="O1377" s="4">
        <f t="shared" ca="1" si="138"/>
        <v>2.5806345217478488E-2</v>
      </c>
      <c r="P1377" s="4">
        <f t="shared" ca="1" si="139"/>
        <v>-1.9463501738967557</v>
      </c>
      <c r="Q1377" s="4">
        <f t="shared" ca="1" si="140"/>
        <v>1959.9893263412571</v>
      </c>
      <c r="R1377" s="4">
        <f t="shared" ca="1" si="141"/>
        <v>36.319282341257122</v>
      </c>
      <c r="S1377" s="4">
        <f t="shared" ca="1" si="142"/>
        <v>18.922137519871733</v>
      </c>
    </row>
    <row r="1378" spans="15:19" x14ac:dyDescent="0.2">
      <c r="O1378" s="4">
        <f t="shared" ca="1" si="138"/>
        <v>0.56456138312289983</v>
      </c>
      <c r="P1378" s="4">
        <f t="shared" ca="1" si="139"/>
        <v>0.16254431520848417</v>
      </c>
      <c r="Q1378" s="4">
        <f t="shared" ca="1" si="140"/>
        <v>1920.1972888658577</v>
      </c>
      <c r="R1378" s="4">
        <f t="shared" ca="1" si="141"/>
        <v>-3.4727551341422895</v>
      </c>
      <c r="S1378" s="4">
        <f t="shared" ca="1" si="142"/>
        <v>-1.7530333978605106</v>
      </c>
    </row>
    <row r="1379" spans="15:19" x14ac:dyDescent="0.2">
      <c r="O1379" s="4">
        <f t="shared" ca="1" si="138"/>
        <v>0.13482112021570336</v>
      </c>
      <c r="P1379" s="4">
        <f t="shared" ca="1" si="139"/>
        <v>-1.1038868118196228</v>
      </c>
      <c r="Q1379" s="4">
        <f t="shared" ca="1" si="140"/>
        <v>1944.0931618585819</v>
      </c>
      <c r="R1379" s="4">
        <f t="shared" ca="1" si="141"/>
        <v>20.423117858581918</v>
      </c>
      <c r="S1379" s="4">
        <f t="shared" ca="1" si="142"/>
        <v>10.508172400261969</v>
      </c>
    </row>
    <row r="1380" spans="15:19" x14ac:dyDescent="0.2">
      <c r="O1380" s="4">
        <f t="shared" ca="1" si="138"/>
        <v>0.88681195034099924</v>
      </c>
      <c r="P1380" s="4">
        <f t="shared" ca="1" si="139"/>
        <v>1.2097467125568997</v>
      </c>
      <c r="Q1380" s="4">
        <f t="shared" ca="1" si="140"/>
        <v>1900.4379707705764</v>
      </c>
      <c r="R1380" s="4">
        <f t="shared" ca="1" si="141"/>
        <v>-23.232073229423577</v>
      </c>
      <c r="S1380" s="4">
        <f t="shared" ca="1" si="142"/>
        <v>-11.540595866343788</v>
      </c>
    </row>
    <row r="1381" spans="15:19" x14ac:dyDescent="0.2">
      <c r="O1381" s="4">
        <f t="shared" ca="1" si="138"/>
        <v>0.30154501681563972</v>
      </c>
      <c r="P1381" s="4">
        <f t="shared" ca="1" si="139"/>
        <v>-0.51996203896031734</v>
      </c>
      <c r="Q1381" s="4">
        <f t="shared" ca="1" si="140"/>
        <v>1933.0752771021519</v>
      </c>
      <c r="R1381" s="4">
        <f t="shared" ca="1" si="141"/>
        <v>9.4052331021518967</v>
      </c>
      <c r="S1381" s="4">
        <f t="shared" ca="1" si="142"/>
        <v>4.7970298160266509</v>
      </c>
    </row>
    <row r="1382" spans="15:19" x14ac:dyDescent="0.2">
      <c r="O1382" s="4">
        <f t="shared" ca="1" si="138"/>
        <v>0.58653201297816226</v>
      </c>
      <c r="P1382" s="4">
        <f t="shared" ca="1" si="139"/>
        <v>0.21863296188819464</v>
      </c>
      <c r="Q1382" s="4">
        <f t="shared" ca="1" si="140"/>
        <v>1919.1389706132597</v>
      </c>
      <c r="R1382" s="4">
        <f t="shared" ca="1" si="141"/>
        <v>-4.5310733867402178</v>
      </c>
      <c r="S1382" s="4">
        <f t="shared" ca="1" si="142"/>
        <v>-2.2853163437590487</v>
      </c>
    </row>
    <row r="1383" spans="15:19" x14ac:dyDescent="0.2">
      <c r="O1383" s="4">
        <f t="shared" ca="1" si="138"/>
        <v>0.95743127740882061</v>
      </c>
      <c r="P1383" s="4">
        <f t="shared" ca="1" si="139"/>
        <v>1.7216251448763122</v>
      </c>
      <c r="Q1383" s="4">
        <f t="shared" ca="1" si="140"/>
        <v>1890.7795047510913</v>
      </c>
      <c r="R1383" s="4">
        <f t="shared" ca="1" si="141"/>
        <v>-32.890539248908681</v>
      </c>
      <c r="S1383" s="4">
        <f t="shared" ca="1" si="142"/>
        <v>-16.209150698145667</v>
      </c>
    </row>
    <row r="1384" spans="15:19" x14ac:dyDescent="0.2">
      <c r="O1384" s="4">
        <f t="shared" ca="1" si="138"/>
        <v>0.118220339329835</v>
      </c>
      <c r="P1384" s="4">
        <f t="shared" ca="1" si="139"/>
        <v>-1.1839302395222573</v>
      </c>
      <c r="Q1384" s="4">
        <f t="shared" ca="1" si="140"/>
        <v>1945.603475006659</v>
      </c>
      <c r="R1384" s="4">
        <f t="shared" ca="1" si="141"/>
        <v>21.933431006659021</v>
      </c>
      <c r="S1384" s="4">
        <f t="shared" ca="1" si="142"/>
        <v>11.298748600309477</v>
      </c>
    </row>
    <row r="1385" spans="15:19" x14ac:dyDescent="0.2">
      <c r="O1385" s="4">
        <f t="shared" ca="1" si="138"/>
        <v>0.21540549767080064</v>
      </c>
      <c r="P1385" s="4">
        <f t="shared" ca="1" si="139"/>
        <v>-0.78780462501474913</v>
      </c>
      <c r="Q1385" s="4">
        <f t="shared" ca="1" si="140"/>
        <v>1938.1291108889279</v>
      </c>
      <c r="R1385" s="4">
        <f t="shared" ca="1" si="141"/>
        <v>14.459066888927964</v>
      </c>
      <c r="S1385" s="4">
        <f t="shared" ca="1" si="142"/>
        <v>7.4044250554458193</v>
      </c>
    </row>
    <row r="1386" spans="15:19" x14ac:dyDescent="0.2">
      <c r="O1386" s="4">
        <f t="shared" ca="1" si="138"/>
        <v>0.42936535556478939</v>
      </c>
      <c r="P1386" s="4">
        <f t="shared" ca="1" si="139"/>
        <v>-0.17799015032662877</v>
      </c>
      <c r="Q1386" s="4">
        <f t="shared" ca="1" si="140"/>
        <v>1926.6227218518329</v>
      </c>
      <c r="R1386" s="4">
        <f t="shared" ca="1" si="141"/>
        <v>2.9526778518329593</v>
      </c>
      <c r="S1386" s="4">
        <f t="shared" ca="1" si="142"/>
        <v>1.4982234040735336</v>
      </c>
    </row>
    <row r="1387" spans="15:19" x14ac:dyDescent="0.2">
      <c r="O1387" s="4">
        <f t="shared" ca="1" si="138"/>
        <v>0.3712109668753194</v>
      </c>
      <c r="P1387" s="4">
        <f t="shared" ca="1" si="139"/>
        <v>-0.32864777380743909</v>
      </c>
      <c r="Q1387" s="4">
        <f t="shared" ca="1" si="140"/>
        <v>1929.4654310677151</v>
      </c>
      <c r="R1387" s="4">
        <f t="shared" ca="1" si="141"/>
        <v>5.7953870677151826</v>
      </c>
      <c r="S1387" s="4">
        <f t="shared" ca="1" si="142"/>
        <v>2.9473537340813243</v>
      </c>
    </row>
    <row r="1388" spans="15:19" x14ac:dyDescent="0.2">
      <c r="O1388" s="4">
        <f t="shared" ca="1" si="138"/>
        <v>0.67574806483456729</v>
      </c>
      <c r="P1388" s="4">
        <f t="shared" ca="1" si="139"/>
        <v>0.45584162353463542</v>
      </c>
      <c r="Q1388" s="4">
        <f t="shared" ca="1" si="140"/>
        <v>1914.6631582848158</v>
      </c>
      <c r="R1388" s="4">
        <f t="shared" ca="1" si="141"/>
        <v>-9.0068857151841257</v>
      </c>
      <c r="S1388" s="4">
        <f t="shared" ca="1" si="142"/>
        <v>-4.5263506907060735</v>
      </c>
    </row>
    <row r="1389" spans="15:19" x14ac:dyDescent="0.2">
      <c r="O1389" s="4">
        <f t="shared" ca="1" si="138"/>
        <v>0.77204771938853634</v>
      </c>
      <c r="P1389" s="4">
        <f t="shared" ca="1" si="139"/>
        <v>0.74560748304576474</v>
      </c>
      <c r="Q1389" s="4">
        <f t="shared" ca="1" si="140"/>
        <v>1909.1956614516052</v>
      </c>
      <c r="R1389" s="4">
        <f t="shared" ca="1" si="141"/>
        <v>-14.474382548394715</v>
      </c>
      <c r="S1389" s="4">
        <f t="shared" ca="1" si="142"/>
        <v>-7.2417900635646832</v>
      </c>
    </row>
    <row r="1390" spans="15:19" x14ac:dyDescent="0.2">
      <c r="O1390" s="4">
        <f t="shared" ca="1" si="138"/>
        <v>0.89525097439192369</v>
      </c>
      <c r="P1390" s="4">
        <f t="shared" ca="1" si="139"/>
        <v>1.2549468604140275</v>
      </c>
      <c r="Q1390" s="4">
        <f t="shared" ca="1" si="140"/>
        <v>1899.5851040260729</v>
      </c>
      <c r="R1390" s="4">
        <f t="shared" ca="1" si="141"/>
        <v>-24.084939973927021</v>
      </c>
      <c r="S1390" s="4">
        <f t="shared" ca="1" si="142"/>
        <v>-11.955898043995537</v>
      </c>
    </row>
    <row r="1391" spans="15:19" x14ac:dyDescent="0.2">
      <c r="O1391" s="4">
        <f t="shared" ca="1" si="138"/>
        <v>0.96185123750368828</v>
      </c>
      <c r="P1391" s="4">
        <f t="shared" ca="1" si="139"/>
        <v>1.7725848437616138</v>
      </c>
      <c r="Q1391" s="4">
        <f t="shared" ca="1" si="140"/>
        <v>1889.8179629298884</v>
      </c>
      <c r="R1391" s="4">
        <f t="shared" ca="1" si="141"/>
        <v>-33.852081070111581</v>
      </c>
      <c r="S1391" s="4">
        <f t="shared" ca="1" si="142"/>
        <v>-16.669768584609461</v>
      </c>
    </row>
    <row r="1392" spans="15:19" x14ac:dyDescent="0.2">
      <c r="O1392" s="4">
        <f t="shared" ca="1" si="138"/>
        <v>4.6944014733686368E-2</v>
      </c>
      <c r="P1392" s="4">
        <f t="shared" ca="1" si="139"/>
        <v>-1.675235527669362</v>
      </c>
      <c r="Q1392" s="4">
        <f t="shared" ca="1" si="140"/>
        <v>1954.8737531257441</v>
      </c>
      <c r="R1392" s="4">
        <f t="shared" ca="1" si="141"/>
        <v>31.203709125744126</v>
      </c>
      <c r="S1392" s="4">
        <f t="shared" ca="1" si="142"/>
        <v>16.191974885475531</v>
      </c>
    </row>
    <row r="1393" spans="15:19" x14ac:dyDescent="0.2">
      <c r="O1393" s="4">
        <f t="shared" ca="1" si="138"/>
        <v>0.63227006612200964</v>
      </c>
      <c r="P1393" s="4">
        <f t="shared" ca="1" si="139"/>
        <v>0.33787170939918326</v>
      </c>
      <c r="Q1393" s="4">
        <f t="shared" ca="1" si="140"/>
        <v>1916.8890938489224</v>
      </c>
      <c r="R1393" s="4">
        <f t="shared" ca="1" si="141"/>
        <v>-6.7809501510776045</v>
      </c>
      <c r="S1393" s="4">
        <f t="shared" ca="1" si="142"/>
        <v>-3.4138658191777824</v>
      </c>
    </row>
    <row r="1394" spans="15:19" x14ac:dyDescent="0.2">
      <c r="O1394" s="4">
        <f t="shared" ca="1" si="138"/>
        <v>0.76602042632853562</v>
      </c>
      <c r="P1394" s="4">
        <f t="shared" ca="1" si="139"/>
        <v>0.72580365274036729</v>
      </c>
      <c r="Q1394" s="4">
        <f t="shared" ca="1" si="140"/>
        <v>1909.569333421322</v>
      </c>
      <c r="R1394" s="4">
        <f t="shared" ca="1" si="141"/>
        <v>-14.10071057867799</v>
      </c>
      <c r="S1394" s="4">
        <f t="shared" ca="1" si="142"/>
        <v>-7.0569802200976284</v>
      </c>
    </row>
    <row r="1395" spans="15:19" x14ac:dyDescent="0.2">
      <c r="O1395" s="4">
        <f t="shared" ca="1" si="138"/>
        <v>0.85256725211259354</v>
      </c>
      <c r="P1395" s="4">
        <f t="shared" ca="1" si="139"/>
        <v>1.0475076716648783</v>
      </c>
      <c r="Q1395" s="4">
        <f t="shared" ca="1" si="140"/>
        <v>1903.499205947822</v>
      </c>
      <c r="R1395" s="4">
        <f t="shared" ca="1" si="141"/>
        <v>-20.170838052177942</v>
      </c>
      <c r="S1395" s="4">
        <f t="shared" ca="1" si="142"/>
        <v>-10.04505450605058</v>
      </c>
    </row>
    <row r="1396" spans="15:19" x14ac:dyDescent="0.2">
      <c r="O1396" s="4">
        <f t="shared" ca="1" si="138"/>
        <v>0.3615728123292834</v>
      </c>
      <c r="P1396" s="4">
        <f t="shared" ca="1" si="139"/>
        <v>-0.35425788766421096</v>
      </c>
      <c r="Q1396" s="4">
        <f t="shared" ca="1" si="140"/>
        <v>1929.9486598947631</v>
      </c>
      <c r="R1396" s="4">
        <f t="shared" ca="1" si="141"/>
        <v>6.2786158947631066</v>
      </c>
      <c r="S1396" s="4">
        <f t="shared" ca="1" si="142"/>
        <v>3.1943439474713786</v>
      </c>
    </row>
    <row r="1397" spans="15:19" x14ac:dyDescent="0.2">
      <c r="O1397" s="4">
        <f t="shared" ca="1" si="138"/>
        <v>0.23417234866579706</v>
      </c>
      <c r="P1397" s="4">
        <f t="shared" ca="1" si="139"/>
        <v>-0.72517496821138749</v>
      </c>
      <c r="Q1397" s="4">
        <f t="shared" ca="1" si="140"/>
        <v>1936.9473724646182</v>
      </c>
      <c r="R1397" s="4">
        <f t="shared" ca="1" si="141"/>
        <v>13.277328464618222</v>
      </c>
      <c r="S1397" s="4">
        <f t="shared" ca="1" si="142"/>
        <v>6.7928749152154921</v>
      </c>
    </row>
    <row r="1398" spans="15:19" x14ac:dyDescent="0.2">
      <c r="O1398" s="4">
        <f t="shared" ca="1" si="138"/>
        <v>0.3768888284570916</v>
      </c>
      <c r="P1398" s="4">
        <f t="shared" ca="1" si="139"/>
        <v>-0.31366214206199866</v>
      </c>
      <c r="Q1398" s="4">
        <f t="shared" ca="1" si="140"/>
        <v>1929.1826721041505</v>
      </c>
      <c r="R1398" s="4">
        <f t="shared" ca="1" si="141"/>
        <v>5.5126281041505081</v>
      </c>
      <c r="S1398" s="4">
        <f t="shared" ca="1" si="142"/>
        <v>2.8029167966237285</v>
      </c>
    </row>
    <row r="1399" spans="15:19" x14ac:dyDescent="0.2">
      <c r="O1399" s="4">
        <f t="shared" ca="1" si="138"/>
        <v>0.93894968052615768</v>
      </c>
      <c r="P1399" s="4">
        <f t="shared" ca="1" si="139"/>
        <v>1.546016268238928</v>
      </c>
      <c r="Q1399" s="4">
        <f t="shared" ca="1" si="140"/>
        <v>1894.0930109678636</v>
      </c>
      <c r="R1399" s="4">
        <f t="shared" ca="1" si="141"/>
        <v>-29.577033032136342</v>
      </c>
      <c r="S1399" s="4">
        <f t="shared" ca="1" si="142"/>
        <v>-14.616079307004016</v>
      </c>
    </row>
    <row r="1400" spans="15:19" x14ac:dyDescent="0.2">
      <c r="O1400" s="4">
        <f t="shared" ca="1" si="138"/>
        <v>0.96149824128897454</v>
      </c>
      <c r="P1400" s="4">
        <f t="shared" ca="1" si="139"/>
        <v>1.768343370969252</v>
      </c>
      <c r="Q1400" s="4">
        <f t="shared" ca="1" si="140"/>
        <v>1889.8979938869497</v>
      </c>
      <c r="R1400" s="4">
        <f t="shared" ca="1" si="141"/>
        <v>-33.772050113050227</v>
      </c>
      <c r="S1400" s="4">
        <f t="shared" ca="1" si="142"/>
        <v>-16.631459198643846</v>
      </c>
    </row>
    <row r="1401" spans="15:19" x14ac:dyDescent="0.2">
      <c r="O1401" s="4">
        <f t="shared" ca="1" si="138"/>
        <v>0.63846742566499415</v>
      </c>
      <c r="P1401" s="4">
        <f t="shared" ca="1" si="139"/>
        <v>0.3543652831945186</v>
      </c>
      <c r="Q1401" s="4">
        <f t="shared" ca="1" si="140"/>
        <v>1916.5778820220823</v>
      </c>
      <c r="R1401" s="4">
        <f t="shared" ca="1" si="141"/>
        <v>-7.0921619779176126</v>
      </c>
      <c r="S1401" s="4">
        <f t="shared" ca="1" si="142"/>
        <v>-3.5696467823703046</v>
      </c>
    </row>
    <row r="1402" spans="15:19" x14ac:dyDescent="0.2">
      <c r="O1402" s="4">
        <f t="shared" ca="1" si="138"/>
        <v>0.52083440121079494</v>
      </c>
      <c r="P1402" s="4">
        <f t="shared" ca="1" si="139"/>
        <v>5.2247860803664392E-2</v>
      </c>
      <c r="Q1402" s="4">
        <f t="shared" ca="1" si="140"/>
        <v>1922.278436438557</v>
      </c>
      <c r="R1402" s="4">
        <f t="shared" ca="1" si="141"/>
        <v>-1.3916075614429246</v>
      </c>
      <c r="S1402" s="4">
        <f t="shared" ca="1" si="142"/>
        <v>-0.70365705956305091</v>
      </c>
    </row>
    <row r="1403" spans="15:19" x14ac:dyDescent="0.2">
      <c r="O1403" s="4">
        <f t="shared" ca="1" si="138"/>
        <v>0.78034679239364546</v>
      </c>
      <c r="P1403" s="4">
        <f t="shared" ca="1" si="139"/>
        <v>0.7733649700401205</v>
      </c>
      <c r="Q1403" s="4">
        <f t="shared" ca="1" si="140"/>
        <v>1908.6719145461018</v>
      </c>
      <c r="R1403" s="4">
        <f t="shared" ca="1" si="141"/>
        <v>-14.998129453898173</v>
      </c>
      <c r="S1403" s="4">
        <f t="shared" ca="1" si="142"/>
        <v>-7.500632300861926</v>
      </c>
    </row>
    <row r="1404" spans="15:19" x14ac:dyDescent="0.2">
      <c r="O1404" s="4">
        <f t="shared" ca="1" si="138"/>
        <v>0.35062126979258135</v>
      </c>
      <c r="P1404" s="4">
        <f t="shared" ca="1" si="139"/>
        <v>-0.38364370864074859</v>
      </c>
      <c r="Q1404" s="4">
        <f t="shared" ca="1" si="140"/>
        <v>1930.5031312993708</v>
      </c>
      <c r="R1404" s="4">
        <f t="shared" ca="1" si="141"/>
        <v>6.8330872993708454</v>
      </c>
      <c r="S1404" s="4">
        <f t="shared" ca="1" si="142"/>
        <v>3.4779822230004798</v>
      </c>
    </row>
    <row r="1405" spans="15:19" x14ac:dyDescent="0.2">
      <c r="O1405" s="4">
        <f t="shared" ca="1" si="138"/>
        <v>0.96423441042860003</v>
      </c>
      <c r="P1405" s="4">
        <f t="shared" ca="1" si="139"/>
        <v>1.8020904299565315</v>
      </c>
      <c r="Q1405" s="4">
        <f t="shared" ca="1" si="140"/>
        <v>1889.2612317147102</v>
      </c>
      <c r="R1405" s="4">
        <f t="shared" ca="1" si="141"/>
        <v>-34.408812285289741</v>
      </c>
      <c r="S1405" s="4">
        <f t="shared" ca="1" si="142"/>
        <v>-16.936121539245352</v>
      </c>
    </row>
    <row r="1406" spans="15:19" x14ac:dyDescent="0.2">
      <c r="O1406" s="4">
        <f t="shared" ca="1" si="138"/>
        <v>0.93070870710347953</v>
      </c>
      <c r="P1406" s="4">
        <f t="shared" ca="1" si="139"/>
        <v>1.4810900242961007</v>
      </c>
      <c r="Q1406" s="4">
        <f t="shared" ca="1" si="140"/>
        <v>1895.3180829406233</v>
      </c>
      <c r="R1406" s="4">
        <f t="shared" ca="1" si="141"/>
        <v>-28.351961059376663</v>
      </c>
      <c r="S1406" s="4">
        <f t="shared" ca="1" si="142"/>
        <v>-14.024824432822523</v>
      </c>
    </row>
    <row r="1407" spans="15:19" x14ac:dyDescent="0.2">
      <c r="O1407" s="4">
        <f t="shared" ca="1" si="138"/>
        <v>0.66531575710625823</v>
      </c>
      <c r="P1407" s="4">
        <f t="shared" ca="1" si="139"/>
        <v>0.4270148853552036</v>
      </c>
      <c r="Q1407" s="4">
        <f t="shared" ca="1" si="140"/>
        <v>1915.2070805397486</v>
      </c>
      <c r="R1407" s="4">
        <f t="shared" ca="1" si="141"/>
        <v>-8.4629634602513306</v>
      </c>
      <c r="S1407" s="4">
        <f t="shared" ca="1" si="142"/>
        <v>-4.254879986972564</v>
      </c>
    </row>
    <row r="1408" spans="15:19" x14ac:dyDescent="0.2">
      <c r="O1408" s="4">
        <f t="shared" ca="1" si="138"/>
        <v>0.77407465070169634</v>
      </c>
      <c r="P1408" s="4">
        <f t="shared" ca="1" si="139"/>
        <v>0.75233321414481513</v>
      </c>
      <c r="Q1408" s="4">
        <f t="shared" ca="1" si="140"/>
        <v>1909.0687558404779</v>
      </c>
      <c r="R1408" s="4">
        <f t="shared" ca="1" si="141"/>
        <v>-14.601288159522028</v>
      </c>
      <c r="S1408" s="4">
        <f t="shared" ca="1" si="142"/>
        <v>-7.3045288961477643</v>
      </c>
    </row>
    <row r="1409" spans="15:19" x14ac:dyDescent="0.2">
      <c r="O1409" s="4">
        <f t="shared" ca="1" si="138"/>
        <v>0.53959637487653922</v>
      </c>
      <c r="P1409" s="4">
        <f t="shared" ca="1" si="139"/>
        <v>9.941691855343851E-2</v>
      </c>
      <c r="Q1409" s="4">
        <f t="shared" ca="1" si="140"/>
        <v>1921.3884189799526</v>
      </c>
      <c r="R1409" s="4">
        <f t="shared" ca="1" si="141"/>
        <v>-2.281625020047386</v>
      </c>
      <c r="S1409" s="4">
        <f t="shared" ca="1" si="142"/>
        <v>-1.1528618072911725</v>
      </c>
    </row>
    <row r="1410" spans="15:19" x14ac:dyDescent="0.2">
      <c r="O1410" s="4">
        <f t="shared" ca="1" si="138"/>
        <v>0.24011658945939962</v>
      </c>
      <c r="P1410" s="4">
        <f t="shared" ca="1" si="139"/>
        <v>-0.70592757385547023</v>
      </c>
      <c r="Q1410" s="4">
        <f t="shared" ca="1" si="140"/>
        <v>1936.5841997020777</v>
      </c>
      <c r="R1410" s="4">
        <f t="shared" ca="1" si="141"/>
        <v>12.914155702077778</v>
      </c>
      <c r="S1410" s="4">
        <f t="shared" ca="1" si="142"/>
        <v>6.6051612493976002</v>
      </c>
    </row>
    <row r="1411" spans="15:19" x14ac:dyDescent="0.2">
      <c r="O1411" s="4">
        <f t="shared" ref="O1411:O1474" ca="1" si="143">RAND()</f>
        <v>0.46528935252414672</v>
      </c>
      <c r="P1411" s="4">
        <f t="shared" ref="P1411:P1474" ca="1" si="144">NORMSINV(O1411)</f>
        <v>-8.7116758027400307E-2</v>
      </c>
      <c r="Q1411" s="4">
        <f t="shared" ref="Q1411:Q1474" ca="1" si="145">$B$4*(1+$B$17-$B$32*P1411)</f>
        <v>1924.9080616587469</v>
      </c>
      <c r="R1411" s="4">
        <f t="shared" ref="R1411:R1474" ca="1" si="146">Q1411-$B$4</f>
        <v>1.2380176587469123</v>
      </c>
      <c r="S1411" s="4">
        <f t="shared" ref="S1411:S1474" ca="1" si="147">R1411*$B$12+0.5*$B$13*R1411^2</f>
        <v>0.62732057512844153</v>
      </c>
    </row>
    <row r="1412" spans="15:19" x14ac:dyDescent="0.2">
      <c r="O1412" s="4">
        <f t="shared" ca="1" si="143"/>
        <v>0.30092360631134474</v>
      </c>
      <c r="P1412" s="4">
        <f t="shared" ca="1" si="144"/>
        <v>-0.52174597057179029</v>
      </c>
      <c r="Q1412" s="4">
        <f t="shared" ca="1" si="145"/>
        <v>1933.1089375218194</v>
      </c>
      <c r="R1412" s="4">
        <f t="shared" ca="1" si="146"/>
        <v>9.4388935218194092</v>
      </c>
      <c r="S1412" s="4">
        <f t="shared" ca="1" si="147"/>
        <v>4.8143272546655851</v>
      </c>
    </row>
    <row r="1413" spans="15:19" x14ac:dyDescent="0.2">
      <c r="O1413" s="4">
        <f t="shared" ca="1" si="143"/>
        <v>0.91350907714983287</v>
      </c>
      <c r="P1413" s="4">
        <f t="shared" ca="1" si="144"/>
        <v>1.3626848779662</v>
      </c>
      <c r="Q1413" s="4">
        <f t="shared" ca="1" si="145"/>
        <v>1897.5522307580602</v>
      </c>
      <c r="R1413" s="4">
        <f t="shared" ca="1" si="146"/>
        <v>-26.117813241939757</v>
      </c>
      <c r="S1413" s="4">
        <f t="shared" ca="1" si="147"/>
        <v>-12.943414614332994</v>
      </c>
    </row>
    <row r="1414" spans="15:19" x14ac:dyDescent="0.2">
      <c r="O1414" s="4">
        <f t="shared" ca="1" si="143"/>
        <v>0.62105030482700163</v>
      </c>
      <c r="P1414" s="4">
        <f t="shared" ca="1" si="144"/>
        <v>0.30824043012603181</v>
      </c>
      <c r="Q1414" s="4">
        <f t="shared" ca="1" si="145"/>
        <v>1917.4481967255113</v>
      </c>
      <c r="R1414" s="4">
        <f t="shared" ca="1" si="146"/>
        <v>-6.2218472744887094</v>
      </c>
      <c r="S1414" s="4">
        <f t="shared" ca="1" si="147"/>
        <v>-3.1338018198407593</v>
      </c>
    </row>
    <row r="1415" spans="15:19" x14ac:dyDescent="0.2">
      <c r="O1415" s="4">
        <f t="shared" ca="1" si="143"/>
        <v>0.67734681937634167</v>
      </c>
      <c r="P1415" s="4">
        <f t="shared" ca="1" si="144"/>
        <v>0.46029239209725376</v>
      </c>
      <c r="Q1415" s="4">
        <f t="shared" ca="1" si="145"/>
        <v>1914.5791781946061</v>
      </c>
      <c r="R1415" s="4">
        <f t="shared" ca="1" si="146"/>
        <v>-9.0908658053938325</v>
      </c>
      <c r="S1415" s="4">
        <f t="shared" ca="1" si="147"/>
        <v>-4.5682435504567342</v>
      </c>
    </row>
    <row r="1416" spans="15:19" x14ac:dyDescent="0.2">
      <c r="O1416" s="4">
        <f t="shared" ca="1" si="143"/>
        <v>0.65514306235529407</v>
      </c>
      <c r="P1416" s="4">
        <f t="shared" ca="1" si="144"/>
        <v>0.39924338934137993</v>
      </c>
      <c r="Q1416" s="4">
        <f t="shared" ca="1" si="145"/>
        <v>1915.7310917768393</v>
      </c>
      <c r="R1416" s="4">
        <f t="shared" ca="1" si="146"/>
        <v>-7.9389522231606406</v>
      </c>
      <c r="S1416" s="4">
        <f t="shared" ca="1" si="147"/>
        <v>-3.993119039865292</v>
      </c>
    </row>
    <row r="1417" spans="15:19" x14ac:dyDescent="0.2">
      <c r="O1417" s="4">
        <f t="shared" ca="1" si="143"/>
        <v>0.96601272097861013</v>
      </c>
      <c r="P1417" s="4">
        <f t="shared" ca="1" si="144"/>
        <v>1.8251754448863633</v>
      </c>
      <c r="Q1417" s="4">
        <f t="shared" ca="1" si="145"/>
        <v>1888.8256481499782</v>
      </c>
      <c r="R1417" s="4">
        <f t="shared" ca="1" si="146"/>
        <v>-34.844395850021783</v>
      </c>
      <c r="S1417" s="4">
        <f t="shared" ca="1" si="147"/>
        <v>-17.144338735357277</v>
      </c>
    </row>
    <row r="1418" spans="15:19" x14ac:dyDescent="0.2">
      <c r="O1418" s="4">
        <f t="shared" ca="1" si="143"/>
        <v>0.44318026937774468</v>
      </c>
      <c r="P1418" s="4">
        <f t="shared" ca="1" si="144"/>
        <v>-0.1429109142169786</v>
      </c>
      <c r="Q1418" s="4">
        <f t="shared" ca="1" si="145"/>
        <v>1925.9608232670082</v>
      </c>
      <c r="R1418" s="4">
        <f t="shared" ca="1" si="146"/>
        <v>2.2907792670082472</v>
      </c>
      <c r="S1418" s="4">
        <f t="shared" ca="1" si="147"/>
        <v>1.1617510677472878</v>
      </c>
    </row>
    <row r="1419" spans="15:19" x14ac:dyDescent="0.2">
      <c r="O1419" s="4">
        <f t="shared" ca="1" si="143"/>
        <v>0.16540920239343759</v>
      </c>
      <c r="P1419" s="4">
        <f t="shared" ca="1" si="144"/>
        <v>-0.97246673754713875</v>
      </c>
      <c r="Q1419" s="4">
        <f t="shared" ca="1" si="145"/>
        <v>1941.6134396403834</v>
      </c>
      <c r="R1419" s="4">
        <f t="shared" ca="1" si="146"/>
        <v>17.943395640383415</v>
      </c>
      <c r="S1419" s="4">
        <f t="shared" ca="1" si="147"/>
        <v>9.2141848522921048</v>
      </c>
    </row>
    <row r="1420" spans="15:19" x14ac:dyDescent="0.2">
      <c r="O1420" s="4">
        <f t="shared" ca="1" si="143"/>
        <v>0.3058429356273995</v>
      </c>
      <c r="P1420" s="4">
        <f t="shared" ca="1" si="144"/>
        <v>-0.50766845949605255</v>
      </c>
      <c r="Q1420" s="4">
        <f t="shared" ca="1" si="145"/>
        <v>1932.8433135889102</v>
      </c>
      <c r="R1420" s="4">
        <f t="shared" ca="1" si="146"/>
        <v>9.173269588910216</v>
      </c>
      <c r="S1420" s="4">
        <f t="shared" ca="1" si="147"/>
        <v>4.6778533345870557</v>
      </c>
    </row>
    <row r="1421" spans="15:19" x14ac:dyDescent="0.2">
      <c r="O1421" s="4">
        <f t="shared" ca="1" si="143"/>
        <v>3.3127719237037834E-2</v>
      </c>
      <c r="P1421" s="4">
        <f t="shared" ca="1" si="144"/>
        <v>-1.8366915834143875</v>
      </c>
      <c r="Q1421" s="4">
        <f t="shared" ca="1" si="145"/>
        <v>1957.9202144134122</v>
      </c>
      <c r="R1421" s="4">
        <f t="shared" ca="1" si="146"/>
        <v>34.250170413412206</v>
      </c>
      <c r="S1421" s="4">
        <f t="shared" ca="1" si="147"/>
        <v>17.81529413592034</v>
      </c>
    </row>
    <row r="1422" spans="15:19" x14ac:dyDescent="0.2">
      <c r="O1422" s="4">
        <f t="shared" ca="1" si="143"/>
        <v>0.68446824986201626</v>
      </c>
      <c r="P1422" s="4">
        <f t="shared" ca="1" si="144"/>
        <v>0.48023050186913396</v>
      </c>
      <c r="Q1422" s="4">
        <f t="shared" ca="1" si="145"/>
        <v>1914.2029725497387</v>
      </c>
      <c r="R1422" s="4">
        <f t="shared" ca="1" si="146"/>
        <v>-9.4670714502613009</v>
      </c>
      <c r="S1422" s="4">
        <f t="shared" ca="1" si="147"/>
        <v>-4.7558405379746116</v>
      </c>
    </row>
    <row r="1423" spans="15:19" x14ac:dyDescent="0.2">
      <c r="O1423" s="4">
        <f t="shared" ca="1" si="143"/>
        <v>0.19378127572013171</v>
      </c>
      <c r="P1423" s="4">
        <f t="shared" ca="1" si="144"/>
        <v>-0.86404612746054832</v>
      </c>
      <c r="Q1423" s="4">
        <f t="shared" ca="1" si="145"/>
        <v>1939.5676867580278</v>
      </c>
      <c r="R1423" s="4">
        <f t="shared" ca="1" si="146"/>
        <v>15.897642758027814</v>
      </c>
      <c r="S1423" s="4">
        <f t="shared" ca="1" si="147"/>
        <v>8.1504231392113358</v>
      </c>
    </row>
    <row r="1424" spans="15:19" x14ac:dyDescent="0.2">
      <c r="O1424" s="4">
        <f t="shared" ca="1" si="143"/>
        <v>0.60399001279708486</v>
      </c>
      <c r="P1424" s="4">
        <f t="shared" ca="1" si="144"/>
        <v>0.26368847828760017</v>
      </c>
      <c r="Q1424" s="4">
        <f t="shared" ca="1" si="145"/>
        <v>1918.2888328722297</v>
      </c>
      <c r="R1424" s="4">
        <f t="shared" ca="1" si="146"/>
        <v>-5.381211127770257</v>
      </c>
      <c r="S1424" s="4">
        <f t="shared" ca="1" si="147"/>
        <v>-2.7122341014189546</v>
      </c>
    </row>
    <row r="1425" spans="15:19" x14ac:dyDescent="0.2">
      <c r="O1425" s="4">
        <f t="shared" ca="1" si="143"/>
        <v>0.73795398351015451</v>
      </c>
      <c r="P1425" s="4">
        <f t="shared" ca="1" si="144"/>
        <v>0.63705037243435292</v>
      </c>
      <c r="Q1425" s="4">
        <f t="shared" ca="1" si="145"/>
        <v>1911.243989917532</v>
      </c>
      <c r="R1425" s="4">
        <f t="shared" ca="1" si="146"/>
        <v>-12.426054082467999</v>
      </c>
      <c r="S1425" s="4">
        <f t="shared" ca="1" si="147"/>
        <v>-6.2273360238805298</v>
      </c>
    </row>
    <row r="1426" spans="15:19" x14ac:dyDescent="0.2">
      <c r="O1426" s="4">
        <f t="shared" ca="1" si="143"/>
        <v>0.17277996027031584</v>
      </c>
      <c r="P1426" s="4">
        <f t="shared" ca="1" si="144"/>
        <v>-0.94323655301082321</v>
      </c>
      <c r="Q1426" s="4">
        <f t="shared" ca="1" si="145"/>
        <v>1941.0619048886492</v>
      </c>
      <c r="R1426" s="4">
        <f t="shared" ca="1" si="146"/>
        <v>17.391860888649262</v>
      </c>
      <c r="S1426" s="4">
        <f t="shared" ca="1" si="147"/>
        <v>8.927059340490981</v>
      </c>
    </row>
    <row r="1427" spans="15:19" x14ac:dyDescent="0.2">
      <c r="O1427" s="4">
        <f t="shared" ca="1" si="143"/>
        <v>0.46545657684976238</v>
      </c>
      <c r="P1427" s="4">
        <f t="shared" ca="1" si="144"/>
        <v>-8.6696002875227676E-2</v>
      </c>
      <c r="Q1427" s="4">
        <f t="shared" ca="1" si="145"/>
        <v>1924.9001225679719</v>
      </c>
      <c r="R1427" s="4">
        <f t="shared" ca="1" si="146"/>
        <v>1.2300785679719866</v>
      </c>
      <c r="S1427" s="4">
        <f t="shared" ca="1" si="147"/>
        <v>0.6232937533220172</v>
      </c>
    </row>
    <row r="1428" spans="15:19" x14ac:dyDescent="0.2">
      <c r="O1428" s="4">
        <f t="shared" ca="1" si="143"/>
        <v>0.68277816522352952</v>
      </c>
      <c r="P1428" s="4">
        <f t="shared" ca="1" si="144"/>
        <v>0.47548170594660699</v>
      </c>
      <c r="Q1428" s="4">
        <f t="shared" ca="1" si="145"/>
        <v>1914.2925760203191</v>
      </c>
      <c r="R1428" s="4">
        <f t="shared" ca="1" si="146"/>
        <v>-9.3774679796808869</v>
      </c>
      <c r="S1428" s="4">
        <f t="shared" ca="1" si="147"/>
        <v>-4.7111697346061385</v>
      </c>
    </row>
    <row r="1429" spans="15:19" x14ac:dyDescent="0.2">
      <c r="O1429" s="4">
        <f t="shared" ca="1" si="143"/>
        <v>0.41968894871872098</v>
      </c>
      <c r="P1429" s="4">
        <f t="shared" ca="1" si="144"/>
        <v>-0.20268928658458035</v>
      </c>
      <c r="Q1429" s="4">
        <f t="shared" ca="1" si="145"/>
        <v>1927.0887617417677</v>
      </c>
      <c r="R1429" s="4">
        <f t="shared" ca="1" si="146"/>
        <v>3.4187177417677503</v>
      </c>
      <c r="S1429" s="4">
        <f t="shared" ca="1" si="147"/>
        <v>1.7353460818008211</v>
      </c>
    </row>
    <row r="1430" spans="15:19" x14ac:dyDescent="0.2">
      <c r="O1430" s="4">
        <f t="shared" ca="1" si="143"/>
        <v>0.70500502040049273</v>
      </c>
      <c r="P1430" s="4">
        <f t="shared" ca="1" si="144"/>
        <v>0.53885058076302417</v>
      </c>
      <c r="Q1430" s="4">
        <f t="shared" ca="1" si="145"/>
        <v>1913.096889534108</v>
      </c>
      <c r="R1430" s="4">
        <f t="shared" ca="1" si="146"/>
        <v>-10.573154465892003</v>
      </c>
      <c r="S1430" s="4">
        <f t="shared" ca="1" si="147"/>
        <v>-5.3067274355165317</v>
      </c>
    </row>
    <row r="1431" spans="15:19" x14ac:dyDescent="0.2">
      <c r="O1431" s="4">
        <f t="shared" ca="1" si="143"/>
        <v>0.71649905258134272</v>
      </c>
      <c r="P1431" s="4">
        <f t="shared" ca="1" si="144"/>
        <v>0.57247252417881433</v>
      </c>
      <c r="Q1431" s="4">
        <f t="shared" ca="1" si="145"/>
        <v>1912.4624881264942</v>
      </c>
      <c r="R1431" s="4">
        <f t="shared" ca="1" si="146"/>
        <v>-11.207555873505726</v>
      </c>
      <c r="S1431" s="4">
        <f t="shared" ca="1" si="147"/>
        <v>-5.6222428760987517</v>
      </c>
    </row>
    <row r="1432" spans="15:19" x14ac:dyDescent="0.2">
      <c r="O1432" s="4">
        <f t="shared" ca="1" si="143"/>
        <v>0.30336937158834165</v>
      </c>
      <c r="P1432" s="4">
        <f t="shared" ca="1" si="144"/>
        <v>-0.51473424025797476</v>
      </c>
      <c r="Q1432" s="4">
        <f t="shared" ca="1" si="145"/>
        <v>1932.9766354854412</v>
      </c>
      <c r="R1432" s="4">
        <f t="shared" ca="1" si="146"/>
        <v>9.3065914854412313</v>
      </c>
      <c r="S1432" s="4">
        <f t="shared" ca="1" si="147"/>
        <v>4.7463451094840234</v>
      </c>
    </row>
    <row r="1433" spans="15:19" x14ac:dyDescent="0.2">
      <c r="O1433" s="4">
        <f t="shared" ca="1" si="143"/>
        <v>3.1233239645609423E-3</v>
      </c>
      <c r="P1433" s="4">
        <f t="shared" ca="1" si="144"/>
        <v>-2.7345454059936531</v>
      </c>
      <c r="Q1433" s="4">
        <f t="shared" ca="1" si="145"/>
        <v>1974.8615233030112</v>
      </c>
      <c r="R1433" s="4">
        <f t="shared" ca="1" si="146"/>
        <v>51.191479303011192</v>
      </c>
      <c r="S1433" s="4">
        <f t="shared" ca="1" si="147"/>
        <v>26.98038064375439</v>
      </c>
    </row>
    <row r="1434" spans="15:19" x14ac:dyDescent="0.2">
      <c r="O1434" s="4">
        <f t="shared" ca="1" si="143"/>
        <v>0.37761577328057483</v>
      </c>
      <c r="P1434" s="4">
        <f t="shared" ca="1" si="144"/>
        <v>-0.31174865683820946</v>
      </c>
      <c r="Q1434" s="4">
        <f t="shared" ca="1" si="145"/>
        <v>1929.1465671799228</v>
      </c>
      <c r="R1434" s="4">
        <f t="shared" ca="1" si="146"/>
        <v>5.4765231799228786</v>
      </c>
      <c r="S1434" s="4">
        <f t="shared" ca="1" si="147"/>
        <v>2.7844786205421146</v>
      </c>
    </row>
    <row r="1435" spans="15:19" x14ac:dyDescent="0.2">
      <c r="O1435" s="4">
        <f t="shared" ca="1" si="143"/>
        <v>0.97869530036717123</v>
      </c>
      <c r="P1435" s="4">
        <f t="shared" ca="1" si="144"/>
        <v>2.0275186485030323</v>
      </c>
      <c r="Q1435" s="4">
        <f t="shared" ca="1" si="145"/>
        <v>1885.007700697983</v>
      </c>
      <c r="R1435" s="4">
        <f t="shared" ca="1" si="146"/>
        <v>-38.662343302017007</v>
      </c>
      <c r="S1435" s="4">
        <f t="shared" ca="1" si="147"/>
        <v>-18.962779243093202</v>
      </c>
    </row>
    <row r="1436" spans="15:19" x14ac:dyDescent="0.2">
      <c r="O1436" s="4">
        <f t="shared" ca="1" si="143"/>
        <v>0.64889517010076425</v>
      </c>
      <c r="P1436" s="4">
        <f t="shared" ca="1" si="144"/>
        <v>0.38233936468797897</v>
      </c>
      <c r="Q1436" s="4">
        <f t="shared" ca="1" si="145"/>
        <v>1916.0500482661128</v>
      </c>
      <c r="R1436" s="4">
        <f t="shared" ca="1" si="146"/>
        <v>-7.6199957338872082</v>
      </c>
      <c r="S1436" s="4">
        <f t="shared" ca="1" si="147"/>
        <v>-3.833680273746725</v>
      </c>
    </row>
    <row r="1437" spans="15:19" x14ac:dyDescent="0.2">
      <c r="O1437" s="4">
        <f t="shared" ca="1" si="143"/>
        <v>0.99706876387248611</v>
      </c>
      <c r="P1437" s="4">
        <f t="shared" ca="1" si="144"/>
        <v>2.7553759940604921</v>
      </c>
      <c r="Q1437" s="4">
        <f t="shared" ca="1" si="145"/>
        <v>1871.2739995001311</v>
      </c>
      <c r="R1437" s="4">
        <f t="shared" ca="1" si="146"/>
        <v>-52.396044499868822</v>
      </c>
      <c r="S1437" s="4">
        <f t="shared" ca="1" si="147"/>
        <v>-25.405845281539218</v>
      </c>
    </row>
    <row r="1438" spans="15:19" x14ac:dyDescent="0.2">
      <c r="O1438" s="4">
        <f t="shared" ca="1" si="143"/>
        <v>0.80420193902436676</v>
      </c>
      <c r="P1438" s="4">
        <f t="shared" ca="1" si="144"/>
        <v>0.85672637763271209</v>
      </c>
      <c r="Q1438" s="4">
        <f t="shared" ca="1" si="145"/>
        <v>1907.0989955252294</v>
      </c>
      <c r="R1438" s="4">
        <f t="shared" ca="1" si="146"/>
        <v>-16.571048474770578</v>
      </c>
      <c r="S1438" s="4">
        <f t="shared" ca="1" si="147"/>
        <v>-8.2766459838663096</v>
      </c>
    </row>
    <row r="1439" spans="15:19" x14ac:dyDescent="0.2">
      <c r="O1439" s="4">
        <f t="shared" ca="1" si="143"/>
        <v>9.8223966433730325E-4</v>
      </c>
      <c r="P1439" s="4">
        <f t="shared" ca="1" si="144"/>
        <v>-3.0955504767925714</v>
      </c>
      <c r="Q1439" s="4">
        <f t="shared" ca="1" si="145"/>
        <v>1981.6732094163997</v>
      </c>
      <c r="R1439" s="4">
        <f t="shared" ca="1" si="146"/>
        <v>58.003165416399725</v>
      </c>
      <c r="S1439" s="4">
        <f t="shared" ca="1" si="147"/>
        <v>30.731300819799841</v>
      </c>
    </row>
    <row r="1440" spans="15:19" x14ac:dyDescent="0.2">
      <c r="O1440" s="4">
        <f t="shared" ca="1" si="143"/>
        <v>0.37047826012839047</v>
      </c>
      <c r="P1440" s="4">
        <f t="shared" ca="1" si="144"/>
        <v>-0.33058692964401964</v>
      </c>
      <c r="Q1440" s="4">
        <f t="shared" ca="1" si="145"/>
        <v>1929.5020203623048</v>
      </c>
      <c r="R1440" s="4">
        <f t="shared" ca="1" si="146"/>
        <v>5.8319763623048857</v>
      </c>
      <c r="S1440" s="4">
        <f t="shared" ca="1" si="147"/>
        <v>2.9660487757120202</v>
      </c>
    </row>
    <row r="1441" spans="15:19" x14ac:dyDescent="0.2">
      <c r="O1441" s="4">
        <f t="shared" ca="1" si="143"/>
        <v>0.90440972419792831</v>
      </c>
      <c r="P1441" s="4">
        <f t="shared" ca="1" si="144"/>
        <v>1.3070946984336742</v>
      </c>
      <c r="Q1441" s="4">
        <f t="shared" ca="1" si="145"/>
        <v>1898.6011435977732</v>
      </c>
      <c r="R1441" s="4">
        <f t="shared" ca="1" si="146"/>
        <v>-25.068900402226745</v>
      </c>
      <c r="S1441" s="4">
        <f t="shared" ca="1" si="147"/>
        <v>-12.434300370899246</v>
      </c>
    </row>
    <row r="1442" spans="15:19" x14ac:dyDescent="0.2">
      <c r="O1442" s="4">
        <f t="shared" ca="1" si="143"/>
        <v>0.74734289356817529</v>
      </c>
      <c r="P1442" s="4">
        <f t="shared" ca="1" si="144"/>
        <v>0.66615158867062341</v>
      </c>
      <c r="Q1442" s="4">
        <f t="shared" ca="1" si="145"/>
        <v>1910.6948886262935</v>
      </c>
      <c r="R1442" s="4">
        <f t="shared" ca="1" si="146"/>
        <v>-12.975155373706457</v>
      </c>
      <c r="S1442" s="4">
        <f t="shared" ca="1" si="147"/>
        <v>-6.499618740728514</v>
      </c>
    </row>
    <row r="1443" spans="15:19" x14ac:dyDescent="0.2">
      <c r="O1443" s="4">
        <f t="shared" ca="1" si="143"/>
        <v>5.7823373128248701E-2</v>
      </c>
      <c r="P1443" s="4">
        <f t="shared" ca="1" si="144"/>
        <v>-1.5733113338272311</v>
      </c>
      <c r="Q1443" s="4">
        <f t="shared" ca="1" si="145"/>
        <v>1952.9505789878394</v>
      </c>
      <c r="R1443" s="4">
        <f t="shared" ca="1" si="146"/>
        <v>29.280534987839474</v>
      </c>
      <c r="S1443" s="4">
        <f t="shared" ca="1" si="147"/>
        <v>15.171094301352042</v>
      </c>
    </row>
    <row r="1444" spans="15:19" x14ac:dyDescent="0.2">
      <c r="O1444" s="4">
        <f t="shared" ca="1" si="143"/>
        <v>0.52592293155744929</v>
      </c>
      <c r="P1444" s="4">
        <f t="shared" ca="1" si="144"/>
        <v>6.5024947710476858E-2</v>
      </c>
      <c r="Q1444" s="4">
        <f t="shared" ca="1" si="145"/>
        <v>1922.0373497821836</v>
      </c>
      <c r="R1444" s="4">
        <f t="shared" ca="1" si="146"/>
        <v>-1.632694217816379</v>
      </c>
      <c r="S1444" s="4">
        <f t="shared" ca="1" si="147"/>
        <v>-0.82540068461335869</v>
      </c>
    </row>
    <row r="1445" spans="15:19" x14ac:dyDescent="0.2">
      <c r="O1445" s="4">
        <f t="shared" ca="1" si="143"/>
        <v>0.28071076154820451</v>
      </c>
      <c r="P1445" s="4">
        <f t="shared" ca="1" si="144"/>
        <v>-0.58073135923952257</v>
      </c>
      <c r="Q1445" s="4">
        <f t="shared" ca="1" si="145"/>
        <v>1934.2219134475913</v>
      </c>
      <c r="R1445" s="4">
        <f t="shared" ca="1" si="146"/>
        <v>10.551869447591343</v>
      </c>
      <c r="S1445" s="4">
        <f t="shared" ca="1" si="147"/>
        <v>5.3867835498396355</v>
      </c>
    </row>
    <row r="1446" spans="15:19" x14ac:dyDescent="0.2">
      <c r="O1446" s="4">
        <f t="shared" ca="1" si="143"/>
        <v>0.75676897386004527</v>
      </c>
      <c r="P1446" s="4">
        <f t="shared" ca="1" si="144"/>
        <v>0.6959469513611658</v>
      </c>
      <c r="Q1446" s="4">
        <f t="shared" ca="1" si="145"/>
        <v>1910.132689713593</v>
      </c>
      <c r="R1446" s="4">
        <f t="shared" ca="1" si="146"/>
        <v>-13.53735428640698</v>
      </c>
      <c r="S1446" s="4">
        <f t="shared" ca="1" si="147"/>
        <v>-6.7781418464218568</v>
      </c>
    </row>
    <row r="1447" spans="15:19" x14ac:dyDescent="0.2">
      <c r="O1447" s="4">
        <f t="shared" ca="1" si="143"/>
        <v>0.6312797705900911</v>
      </c>
      <c r="P1447" s="4">
        <f t="shared" ca="1" si="144"/>
        <v>0.33524476157852029</v>
      </c>
      <c r="Q1447" s="4">
        <f t="shared" ca="1" si="145"/>
        <v>1916.938660864563</v>
      </c>
      <c r="R1447" s="4">
        <f t="shared" ca="1" si="146"/>
        <v>-6.7313831354369995</v>
      </c>
      <c r="S1447" s="4">
        <f t="shared" ca="1" si="147"/>
        <v>-3.3890471514977092</v>
      </c>
    </row>
    <row r="1448" spans="15:19" x14ac:dyDescent="0.2">
      <c r="O1448" s="4">
        <f t="shared" ca="1" si="143"/>
        <v>1.0744786434577769E-2</v>
      </c>
      <c r="P1448" s="4">
        <f t="shared" ca="1" si="144"/>
        <v>-2.2992706940124075</v>
      </c>
      <c r="Q1448" s="4">
        <f t="shared" ca="1" si="145"/>
        <v>1966.6484677230708</v>
      </c>
      <c r="R1448" s="4">
        <f t="shared" ca="1" si="146"/>
        <v>42.978423723070819</v>
      </c>
      <c r="S1448" s="4">
        <f t="shared" ca="1" si="147"/>
        <v>22.508014904800344</v>
      </c>
    </row>
    <row r="1449" spans="15:19" x14ac:dyDescent="0.2">
      <c r="O1449" s="4">
        <f t="shared" ca="1" si="143"/>
        <v>0.72365183811507416</v>
      </c>
      <c r="P1449" s="4">
        <f t="shared" ca="1" si="144"/>
        <v>0.59372460448480169</v>
      </c>
      <c r="Q1449" s="4">
        <f t="shared" ca="1" si="145"/>
        <v>1912.0614896031757</v>
      </c>
      <c r="R1449" s="4">
        <f t="shared" ca="1" si="146"/>
        <v>-11.608554396824275</v>
      </c>
      <c r="S1449" s="4">
        <f t="shared" ca="1" si="147"/>
        <v>-5.8215078877871305</v>
      </c>
    </row>
    <row r="1450" spans="15:19" x14ac:dyDescent="0.2">
      <c r="O1450" s="4">
        <f t="shared" ca="1" si="143"/>
        <v>6.6892047888588713E-2</v>
      </c>
      <c r="P1450" s="4">
        <f t="shared" ca="1" si="144"/>
        <v>-1.4993452243646743</v>
      </c>
      <c r="Q1450" s="4">
        <f t="shared" ca="1" si="145"/>
        <v>1951.554936761617</v>
      </c>
      <c r="R1450" s="4">
        <f t="shared" ca="1" si="146"/>
        <v>27.884892761617039</v>
      </c>
      <c r="S1450" s="4">
        <f t="shared" ca="1" si="147"/>
        <v>14.432129541920915</v>
      </c>
    </row>
    <row r="1451" spans="15:19" x14ac:dyDescent="0.2">
      <c r="O1451" s="4">
        <f t="shared" ca="1" si="143"/>
        <v>3.9414013118549085E-2</v>
      </c>
      <c r="P1451" s="4">
        <f t="shared" ca="1" si="144"/>
        <v>-1.7575269860434839</v>
      </c>
      <c r="Q1451" s="4">
        <f t="shared" ca="1" si="145"/>
        <v>1956.4264836262241</v>
      </c>
      <c r="R1451" s="4">
        <f t="shared" ca="1" si="146"/>
        <v>32.756439626224164</v>
      </c>
      <c r="S1451" s="4">
        <f t="shared" ca="1" si="147"/>
        <v>17.018409488302744</v>
      </c>
    </row>
    <row r="1452" spans="15:19" x14ac:dyDescent="0.2">
      <c r="O1452" s="4">
        <f t="shared" ca="1" si="143"/>
        <v>0.88530197088570739</v>
      </c>
      <c r="P1452" s="4">
        <f t="shared" ca="1" si="144"/>
        <v>1.2019160425644779</v>
      </c>
      <c r="Q1452" s="4">
        <f t="shared" ca="1" si="145"/>
        <v>1900.5857251107798</v>
      </c>
      <c r="R1452" s="4">
        <f t="shared" ca="1" si="146"/>
        <v>-23.084318889220185</v>
      </c>
      <c r="S1452" s="4">
        <f t="shared" ca="1" si="147"/>
        <v>-11.46858692915467</v>
      </c>
    </row>
    <row r="1453" spans="15:19" x14ac:dyDescent="0.2">
      <c r="O1453" s="4">
        <f t="shared" ca="1" si="143"/>
        <v>0.32093308097012874</v>
      </c>
      <c r="P1453" s="4">
        <f t="shared" ca="1" si="144"/>
        <v>-0.46509117996744304</v>
      </c>
      <c r="Q1453" s="4">
        <f t="shared" ca="1" si="145"/>
        <v>1932.0399368854501</v>
      </c>
      <c r="R1453" s="4">
        <f t="shared" ca="1" si="146"/>
        <v>8.3698928854500991</v>
      </c>
      <c r="S1453" s="4">
        <f t="shared" ca="1" si="147"/>
        <v>4.2654390390542671</v>
      </c>
    </row>
    <row r="1454" spans="15:19" x14ac:dyDescent="0.2">
      <c r="O1454" s="4">
        <f t="shared" ca="1" si="143"/>
        <v>0.71119528221289308</v>
      </c>
      <c r="P1454" s="4">
        <f t="shared" ca="1" si="144"/>
        <v>0.55687997746397433</v>
      </c>
      <c r="Q1454" s="4">
        <f t="shared" ca="1" si="145"/>
        <v>1912.7566987692833</v>
      </c>
      <c r="R1454" s="4">
        <f t="shared" ca="1" si="146"/>
        <v>-10.913345230716686</v>
      </c>
      <c r="S1454" s="4">
        <f t="shared" ca="1" si="147"/>
        <v>-5.4759598567336392</v>
      </c>
    </row>
    <row r="1455" spans="15:19" x14ac:dyDescent="0.2">
      <c r="O1455" s="4">
        <f t="shared" ca="1" si="143"/>
        <v>7.7142962186315223E-2</v>
      </c>
      <c r="P1455" s="4">
        <f t="shared" ca="1" si="144"/>
        <v>-1.4245548320701871</v>
      </c>
      <c r="Q1455" s="4">
        <f t="shared" ca="1" si="145"/>
        <v>1950.1437414133638</v>
      </c>
      <c r="R1455" s="4">
        <f t="shared" ca="1" si="146"/>
        <v>26.47369741336388</v>
      </c>
      <c r="S1455" s="4">
        <f t="shared" ca="1" si="147"/>
        <v>13.686542113799323</v>
      </c>
    </row>
    <row r="1456" spans="15:19" x14ac:dyDescent="0.2">
      <c r="O1456" s="4">
        <f t="shared" ca="1" si="143"/>
        <v>3.4876371735289347E-2</v>
      </c>
      <c r="P1456" s="4">
        <f t="shared" ca="1" si="144"/>
        <v>-1.8135129475787322</v>
      </c>
      <c r="Q1456" s="4">
        <f t="shared" ca="1" si="145"/>
        <v>1957.4828643465567</v>
      </c>
      <c r="R1456" s="4">
        <f t="shared" ca="1" si="146"/>
        <v>33.812820346556691</v>
      </c>
      <c r="S1456" s="4">
        <f t="shared" ca="1" si="147"/>
        <v>17.581785874710082</v>
      </c>
    </row>
    <row r="1457" spans="15:19" x14ac:dyDescent="0.2">
      <c r="O1457" s="4">
        <f t="shared" ca="1" si="143"/>
        <v>0.43541903098527146</v>
      </c>
      <c r="P1457" s="4">
        <f t="shared" ca="1" si="144"/>
        <v>-0.16259406281769109</v>
      </c>
      <c r="Q1457" s="4">
        <f t="shared" ca="1" si="145"/>
        <v>1926.3322181332755</v>
      </c>
      <c r="R1457" s="4">
        <f t="shared" ca="1" si="146"/>
        <v>2.6621741332755846</v>
      </c>
      <c r="S1457" s="4">
        <f t="shared" ca="1" si="147"/>
        <v>1.3505035912667995</v>
      </c>
    </row>
    <row r="1458" spans="15:19" x14ac:dyDescent="0.2">
      <c r="O1458" s="4">
        <f t="shared" ca="1" si="143"/>
        <v>0.68451381725238936</v>
      </c>
      <c r="P1458" s="4">
        <f t="shared" ca="1" si="144"/>
        <v>0.48035868658542141</v>
      </c>
      <c r="Q1458" s="4">
        <f t="shared" ca="1" si="145"/>
        <v>1914.2005538744277</v>
      </c>
      <c r="R1458" s="4">
        <f t="shared" ca="1" si="146"/>
        <v>-9.4694901255722925</v>
      </c>
      <c r="S1458" s="4">
        <f t="shared" ca="1" si="147"/>
        <v>-4.7570462507697551</v>
      </c>
    </row>
    <row r="1459" spans="15:19" x14ac:dyDescent="0.2">
      <c r="O1459" s="4">
        <f t="shared" ca="1" si="143"/>
        <v>0.50764658865210932</v>
      </c>
      <c r="P1459" s="4">
        <f t="shared" ca="1" si="144"/>
        <v>1.9168329075198109E-2</v>
      </c>
      <c r="Q1459" s="4">
        <f t="shared" ca="1" si="145"/>
        <v>1922.9026032581908</v>
      </c>
      <c r="R1459" s="4">
        <f t="shared" ca="1" si="146"/>
        <v>-0.76744074180919597</v>
      </c>
      <c r="S1459" s="4">
        <f t="shared" ca="1" si="147"/>
        <v>-0.38824627086784663</v>
      </c>
    </row>
    <row r="1460" spans="15:19" x14ac:dyDescent="0.2">
      <c r="O1460" s="4">
        <f t="shared" ca="1" si="143"/>
        <v>0.96537703752556214</v>
      </c>
      <c r="P1460" s="4">
        <f t="shared" ca="1" si="144"/>
        <v>1.816811868134584</v>
      </c>
      <c r="Q1460" s="4">
        <f t="shared" ca="1" si="145"/>
        <v>1888.9834577327974</v>
      </c>
      <c r="R1460" s="4">
        <f t="shared" ca="1" si="146"/>
        <v>-34.686586267202529</v>
      </c>
      <c r="S1460" s="4">
        <f t="shared" ca="1" si="147"/>
        <v>-17.068920609093656</v>
      </c>
    </row>
    <row r="1461" spans="15:19" x14ac:dyDescent="0.2">
      <c r="O1461" s="4">
        <f t="shared" ca="1" si="143"/>
        <v>0.97718097261538772</v>
      </c>
      <c r="P1461" s="4">
        <f t="shared" ca="1" si="144"/>
        <v>1.9987255703236095</v>
      </c>
      <c r="Q1461" s="4">
        <f t="shared" ca="1" si="145"/>
        <v>1885.5509878334306</v>
      </c>
      <c r="R1461" s="4">
        <f t="shared" ca="1" si="146"/>
        <v>-38.119056166569408</v>
      </c>
      <c r="S1461" s="4">
        <f t="shared" ca="1" si="147"/>
        <v>-18.704742600444845</v>
      </c>
    </row>
    <row r="1462" spans="15:19" x14ac:dyDescent="0.2">
      <c r="O1462" s="4">
        <f t="shared" ca="1" si="143"/>
        <v>0.63366832897244185</v>
      </c>
      <c r="P1462" s="4">
        <f t="shared" ca="1" si="144"/>
        <v>0.34158484738721118</v>
      </c>
      <c r="Q1462" s="4">
        <f t="shared" ca="1" si="145"/>
        <v>1916.8190318677591</v>
      </c>
      <c r="R1462" s="4">
        <f t="shared" ca="1" si="146"/>
        <v>-6.8510121322408395</v>
      </c>
      <c r="S1462" s="4">
        <f t="shared" ca="1" si="147"/>
        <v>-3.4489430956869453</v>
      </c>
    </row>
    <row r="1463" spans="15:19" x14ac:dyDescent="0.2">
      <c r="O1463" s="4">
        <f t="shared" ca="1" si="143"/>
        <v>0.44084966215103272</v>
      </c>
      <c r="P1463" s="4">
        <f t="shared" ca="1" si="144"/>
        <v>-0.14881536731600808</v>
      </c>
      <c r="Q1463" s="4">
        <f t="shared" ca="1" si="145"/>
        <v>1926.0722324532915</v>
      </c>
      <c r="R1463" s="4">
        <f t="shared" ca="1" si="146"/>
        <v>2.402188453291501</v>
      </c>
      <c r="S1463" s="4">
        <f t="shared" ca="1" si="147"/>
        <v>1.2183603210442722</v>
      </c>
    </row>
    <row r="1464" spans="15:19" x14ac:dyDescent="0.2">
      <c r="O1464" s="4">
        <f t="shared" ca="1" si="143"/>
        <v>5.7715385170282407E-2</v>
      </c>
      <c r="P1464" s="4">
        <f t="shared" ca="1" si="144"/>
        <v>-1.5742452131519169</v>
      </c>
      <c r="Q1464" s="4">
        <f t="shared" ca="1" si="145"/>
        <v>1952.9682000500964</v>
      </c>
      <c r="R1464" s="4">
        <f t="shared" ca="1" si="146"/>
        <v>29.298156050096395</v>
      </c>
      <c r="S1464" s="4">
        <f t="shared" ca="1" si="147"/>
        <v>15.180434440155249</v>
      </c>
    </row>
    <row r="1465" spans="15:19" x14ac:dyDescent="0.2">
      <c r="O1465" s="4">
        <f t="shared" ca="1" si="143"/>
        <v>0.11931795671866929</v>
      </c>
      <c r="P1465" s="4">
        <f t="shared" ca="1" si="144"/>
        <v>-1.1784031728014859</v>
      </c>
      <c r="Q1465" s="4">
        <f t="shared" ca="1" si="145"/>
        <v>1945.4991865999993</v>
      </c>
      <c r="R1465" s="4">
        <f t="shared" ca="1" si="146"/>
        <v>21.829142599999386</v>
      </c>
      <c r="S1465" s="4">
        <f t="shared" ca="1" si="147"/>
        <v>11.244098952289344</v>
      </c>
    </row>
    <row r="1466" spans="15:19" x14ac:dyDescent="0.2">
      <c r="O1466" s="4">
        <f t="shared" ca="1" si="143"/>
        <v>0.9158282055587228</v>
      </c>
      <c r="P1466" s="4">
        <f t="shared" ca="1" si="144"/>
        <v>1.3775457223229086</v>
      </c>
      <c r="Q1466" s="4">
        <f t="shared" ca="1" si="145"/>
        <v>1897.2718263667484</v>
      </c>
      <c r="R1466" s="4">
        <f t="shared" ca="1" si="146"/>
        <v>-26.398217633251534</v>
      </c>
      <c r="S1466" s="4">
        <f t="shared" ca="1" si="147"/>
        <v>-13.079363674002018</v>
      </c>
    </row>
    <row r="1467" spans="15:19" x14ac:dyDescent="0.2">
      <c r="O1467" s="4">
        <f t="shared" ca="1" si="143"/>
        <v>0.58931403953996209</v>
      </c>
      <c r="P1467" s="4">
        <f t="shared" ca="1" si="144"/>
        <v>0.22578078710980107</v>
      </c>
      <c r="Q1467" s="4">
        <f t="shared" ca="1" si="145"/>
        <v>1919.0041006467652</v>
      </c>
      <c r="R1467" s="4">
        <f t="shared" ca="1" si="146"/>
        <v>-4.6659433532347521</v>
      </c>
      <c r="S1467" s="4">
        <f t="shared" ca="1" si="147"/>
        <v>-2.3530839126242569</v>
      </c>
    </row>
    <row r="1468" spans="15:19" x14ac:dyDescent="0.2">
      <c r="O1468" s="4">
        <f t="shared" ca="1" si="143"/>
        <v>8.147345672073425E-3</v>
      </c>
      <c r="P1468" s="4">
        <f t="shared" ca="1" si="144"/>
        <v>-2.4022472346126889</v>
      </c>
      <c r="Q1468" s="4">
        <f t="shared" ca="1" si="145"/>
        <v>1968.5914982463246</v>
      </c>
      <c r="R1468" s="4">
        <f t="shared" ca="1" si="146"/>
        <v>44.921454246324629</v>
      </c>
      <c r="S1468" s="4">
        <f t="shared" ca="1" si="147"/>
        <v>23.561120214058025</v>
      </c>
    </row>
    <row r="1469" spans="15:19" x14ac:dyDescent="0.2">
      <c r="O1469" s="4">
        <f t="shared" ca="1" si="143"/>
        <v>0.26897807700119303</v>
      </c>
      <c r="P1469" s="4">
        <f t="shared" ca="1" si="144"/>
        <v>-0.61590661715735673</v>
      </c>
      <c r="Q1469" s="4">
        <f t="shared" ca="1" si="145"/>
        <v>1934.8856238363776</v>
      </c>
      <c r="R1469" s="4">
        <f t="shared" ca="1" si="146"/>
        <v>11.215579836377628</v>
      </c>
      <c r="S1469" s="4">
        <f t="shared" ca="1" si="147"/>
        <v>5.7286412936138866</v>
      </c>
    </row>
    <row r="1470" spans="15:19" x14ac:dyDescent="0.2">
      <c r="O1470" s="4">
        <f t="shared" ca="1" si="143"/>
        <v>5.4711624256885805E-2</v>
      </c>
      <c r="P1470" s="4">
        <f t="shared" ca="1" si="144"/>
        <v>-1.6007908607066785</v>
      </c>
      <c r="Q1470" s="4">
        <f t="shared" ca="1" si="145"/>
        <v>1953.4690811552275</v>
      </c>
      <c r="R1470" s="4">
        <f t="shared" ca="1" si="146"/>
        <v>29.799037155227552</v>
      </c>
      <c r="S1470" s="4">
        <f t="shared" ca="1" si="147"/>
        <v>15.446034882432794</v>
      </c>
    </row>
    <row r="1471" spans="15:19" x14ac:dyDescent="0.2">
      <c r="O1471" s="4">
        <f t="shared" ca="1" si="143"/>
        <v>0.24442935990366255</v>
      </c>
      <c r="P1471" s="4">
        <f t="shared" ca="1" si="144"/>
        <v>-0.69212518031193548</v>
      </c>
      <c r="Q1471" s="4">
        <f t="shared" ca="1" si="145"/>
        <v>1936.3237668715253</v>
      </c>
      <c r="R1471" s="4">
        <f t="shared" ca="1" si="146"/>
        <v>12.65372287152536</v>
      </c>
      <c r="S1471" s="4">
        <f t="shared" ca="1" si="147"/>
        <v>6.4706170417024254</v>
      </c>
    </row>
    <row r="1472" spans="15:19" x14ac:dyDescent="0.2">
      <c r="O1472" s="4">
        <f t="shared" ca="1" si="143"/>
        <v>0.67515077385827182</v>
      </c>
      <c r="P1472" s="4">
        <f t="shared" ca="1" si="144"/>
        <v>0.45418114569272638</v>
      </c>
      <c r="Q1472" s="4">
        <f t="shared" ca="1" si="145"/>
        <v>1914.694489295852</v>
      </c>
      <c r="R1472" s="4">
        <f t="shared" ca="1" si="146"/>
        <v>-8.9755547041479531</v>
      </c>
      <c r="S1472" s="4">
        <f t="shared" ca="1" si="147"/>
        <v>-4.510719972109575</v>
      </c>
    </row>
    <row r="1473" spans="15:19" x14ac:dyDescent="0.2">
      <c r="O1473" s="4">
        <f t="shared" ca="1" si="143"/>
        <v>0.42937811220928312</v>
      </c>
      <c r="P1473" s="4">
        <f t="shared" ca="1" si="144"/>
        <v>-0.17795766371152119</v>
      </c>
      <c r="Q1473" s="4">
        <f t="shared" ca="1" si="145"/>
        <v>1926.6221088725624</v>
      </c>
      <c r="R1473" s="4">
        <f t="shared" ca="1" si="146"/>
        <v>2.9520648725624596</v>
      </c>
      <c r="S1473" s="4">
        <f t="shared" ca="1" si="147"/>
        <v>1.4979116345818222</v>
      </c>
    </row>
    <row r="1474" spans="15:19" x14ac:dyDescent="0.2">
      <c r="O1474" s="4">
        <f t="shared" ca="1" si="143"/>
        <v>0.83879246867281865</v>
      </c>
      <c r="P1474" s="4">
        <f t="shared" ca="1" si="144"/>
        <v>0.98950717189086834</v>
      </c>
      <c r="Q1474" s="4">
        <f t="shared" ca="1" si="145"/>
        <v>1904.5935983285324</v>
      </c>
      <c r="R1474" s="4">
        <f t="shared" ca="1" si="146"/>
        <v>-19.076445671467582</v>
      </c>
      <c r="S1474" s="4">
        <f t="shared" ca="1" si="147"/>
        <v>-9.5085467716499377</v>
      </c>
    </row>
    <row r="1475" spans="15:19" x14ac:dyDescent="0.2">
      <c r="O1475" s="4">
        <f t="shared" ref="O1475:O1538" ca="1" si="148">RAND()</f>
        <v>5.2504969619847519E-2</v>
      </c>
      <c r="P1475" s="4">
        <f t="shared" ref="P1475:P1538" ca="1" si="149">NORMSINV(O1475)</f>
        <v>-1.6210359019252416</v>
      </c>
      <c r="Q1475" s="4">
        <f t="shared" ref="Q1475:Q1538" ca="1" si="150">$B$4*(1+$B$17-$B$32*P1475)</f>
        <v>1953.8510781887549</v>
      </c>
      <c r="R1475" s="4">
        <f t="shared" ref="R1475:R1538" ca="1" si="151">Q1475-$B$4</f>
        <v>30.181034188754893</v>
      </c>
      <c r="S1475" s="4">
        <f t="shared" ref="S1475:S1538" ca="1" si="152">R1475*$B$12+0.5*$B$13*R1475^2</f>
        <v>15.64873237773854</v>
      </c>
    </row>
    <row r="1476" spans="15:19" x14ac:dyDescent="0.2">
      <c r="O1476" s="4">
        <f t="shared" ca="1" si="148"/>
        <v>0.9620200244345144</v>
      </c>
      <c r="P1476" s="4">
        <f t="shared" ca="1" si="149"/>
        <v>1.774624245660483</v>
      </c>
      <c r="Q1476" s="4">
        <f t="shared" ca="1" si="150"/>
        <v>1889.7794821252742</v>
      </c>
      <c r="R1476" s="4">
        <f t="shared" ca="1" si="151"/>
        <v>-33.89056187472579</v>
      </c>
      <c r="S1476" s="4">
        <f t="shared" ca="1" si="152"/>
        <v>-16.688186800261239</v>
      </c>
    </row>
    <row r="1477" spans="15:19" x14ac:dyDescent="0.2">
      <c r="O1477" s="4">
        <f t="shared" ca="1" si="148"/>
        <v>0.9428513382532866</v>
      </c>
      <c r="P1477" s="4">
        <f t="shared" ca="1" si="149"/>
        <v>1.5791688906613712</v>
      </c>
      <c r="Q1477" s="4">
        <f t="shared" ca="1" si="150"/>
        <v>1893.467465023931</v>
      </c>
      <c r="R1477" s="4">
        <f t="shared" ca="1" si="151"/>
        <v>-30.202578976068935</v>
      </c>
      <c r="S1477" s="4">
        <f t="shared" ca="1" si="152"/>
        <v>-14.917514480511807</v>
      </c>
    </row>
    <row r="1478" spans="15:19" x14ac:dyDescent="0.2">
      <c r="O1478" s="4">
        <f t="shared" ca="1" si="148"/>
        <v>0.92797470545671301</v>
      </c>
      <c r="P1478" s="4">
        <f t="shared" ca="1" si="149"/>
        <v>1.4608719377767705</v>
      </c>
      <c r="Q1478" s="4">
        <f t="shared" ca="1" si="150"/>
        <v>1895.6995713747838</v>
      </c>
      <c r="R1478" s="4">
        <f t="shared" ca="1" si="151"/>
        <v>-27.970472625216189</v>
      </c>
      <c r="S1478" s="4">
        <f t="shared" ca="1" si="152"/>
        <v>-13.840457685529149</v>
      </c>
    </row>
    <row r="1479" spans="15:19" x14ac:dyDescent="0.2">
      <c r="O1479" s="4">
        <f t="shared" ca="1" si="148"/>
        <v>0.18614410646994661</v>
      </c>
      <c r="P1479" s="4">
        <f t="shared" ca="1" si="149"/>
        <v>-0.89219538958129374</v>
      </c>
      <c r="Q1479" s="4">
        <f t="shared" ca="1" si="150"/>
        <v>1940.0988259397175</v>
      </c>
      <c r="R1479" s="4">
        <f t="shared" ca="1" si="151"/>
        <v>16.42878193971751</v>
      </c>
      <c r="S1479" s="4">
        <f t="shared" ca="1" si="152"/>
        <v>8.4262803051545117</v>
      </c>
    </row>
    <row r="1480" spans="15:19" x14ac:dyDescent="0.2">
      <c r="O1480" s="4">
        <f t="shared" ca="1" si="148"/>
        <v>0.84710305247966378</v>
      </c>
      <c r="P1480" s="4">
        <f t="shared" ca="1" si="149"/>
        <v>1.0240876120621434</v>
      </c>
      <c r="Q1480" s="4">
        <f t="shared" ca="1" si="150"/>
        <v>1903.9411113604458</v>
      </c>
      <c r="R1480" s="4">
        <f t="shared" ca="1" si="151"/>
        <v>-19.728932639554159</v>
      </c>
      <c r="S1480" s="4">
        <f t="shared" ca="1" si="152"/>
        <v>-9.8285350716664315</v>
      </c>
    </row>
    <row r="1481" spans="15:19" x14ac:dyDescent="0.2">
      <c r="O1481" s="4">
        <f t="shared" ca="1" si="148"/>
        <v>0.93777595635626165</v>
      </c>
      <c r="P1481" s="4">
        <f t="shared" ca="1" si="149"/>
        <v>1.5363682576286515</v>
      </c>
      <c r="Q1481" s="4">
        <f t="shared" ca="1" si="150"/>
        <v>1894.275056111303</v>
      </c>
      <c r="R1481" s="4">
        <f t="shared" ca="1" si="151"/>
        <v>-29.39498788869696</v>
      </c>
      <c r="S1481" s="4">
        <f t="shared" ca="1" si="152"/>
        <v>-14.528296392450748</v>
      </c>
    </row>
    <row r="1482" spans="15:19" x14ac:dyDescent="0.2">
      <c r="O1482" s="4">
        <f t="shared" ca="1" si="148"/>
        <v>0.92652666559061492</v>
      </c>
      <c r="P1482" s="4">
        <f t="shared" ca="1" si="149"/>
        <v>1.4504012138248514</v>
      </c>
      <c r="Q1482" s="4">
        <f t="shared" ca="1" si="150"/>
        <v>1895.8971400260564</v>
      </c>
      <c r="R1482" s="4">
        <f t="shared" ca="1" si="151"/>
        <v>-27.772903973943585</v>
      </c>
      <c r="S1482" s="4">
        <f t="shared" ca="1" si="152"/>
        <v>-13.744929610980583</v>
      </c>
    </row>
    <row r="1483" spans="15:19" x14ac:dyDescent="0.2">
      <c r="O1483" s="4">
        <f t="shared" ca="1" si="148"/>
        <v>0.48253704668605102</v>
      </c>
      <c r="P1483" s="4">
        <f t="shared" ca="1" si="149"/>
        <v>-4.3787120773715306E-2</v>
      </c>
      <c r="Q1483" s="4">
        <f t="shared" ca="1" si="150"/>
        <v>1924.0904889644744</v>
      </c>
      <c r="R1483" s="4">
        <f t="shared" ca="1" si="151"/>
        <v>0.42044496447442725</v>
      </c>
      <c r="S1483" s="4">
        <f t="shared" ca="1" si="152"/>
        <v>0.21290531847797467</v>
      </c>
    </row>
    <row r="1484" spans="15:19" x14ac:dyDescent="0.2">
      <c r="O1484" s="4">
        <f t="shared" ca="1" si="148"/>
        <v>0.9706715824170854</v>
      </c>
      <c r="P1484" s="4">
        <f t="shared" ca="1" si="149"/>
        <v>1.8907566591898359</v>
      </c>
      <c r="Q1484" s="4">
        <f t="shared" ca="1" si="150"/>
        <v>1887.5882177566004</v>
      </c>
      <c r="R1484" s="4">
        <f t="shared" ca="1" si="151"/>
        <v>-36.081826243399519</v>
      </c>
      <c r="S1484" s="4">
        <f t="shared" ca="1" si="152"/>
        <v>-17.735011176312362</v>
      </c>
    </row>
    <row r="1485" spans="15:19" x14ac:dyDescent="0.2">
      <c r="O1485" s="4">
        <f t="shared" ca="1" si="148"/>
        <v>0.19300539870694611</v>
      </c>
      <c r="P1485" s="4">
        <f t="shared" ca="1" si="149"/>
        <v>-0.86687446223151299</v>
      </c>
      <c r="Q1485" s="4">
        <f t="shared" ca="1" si="150"/>
        <v>1939.6210536778906</v>
      </c>
      <c r="R1485" s="4">
        <f t="shared" ca="1" si="151"/>
        <v>15.951009677890625</v>
      </c>
      <c r="S1485" s="4">
        <f t="shared" ca="1" si="152"/>
        <v>8.1781298778746336</v>
      </c>
    </row>
    <row r="1486" spans="15:19" x14ac:dyDescent="0.2">
      <c r="O1486" s="4">
        <f t="shared" ca="1" si="148"/>
        <v>0.74216046288830217</v>
      </c>
      <c r="P1486" s="4">
        <f t="shared" ca="1" si="149"/>
        <v>0.65002035387071277</v>
      </c>
      <c r="Q1486" s="4">
        <f t="shared" ca="1" si="150"/>
        <v>1910.9992635976346</v>
      </c>
      <c r="R1486" s="4">
        <f t="shared" ca="1" si="151"/>
        <v>-12.670780402365381</v>
      </c>
      <c r="S1486" s="4">
        <f t="shared" ca="1" si="152"/>
        <v>-6.3487187235398475</v>
      </c>
    </row>
    <row r="1487" spans="15:19" x14ac:dyDescent="0.2">
      <c r="O1487" s="4">
        <f t="shared" ca="1" si="148"/>
        <v>0.99431920370729387</v>
      </c>
      <c r="P1487" s="4">
        <f t="shared" ca="1" si="149"/>
        <v>2.531376173459202</v>
      </c>
      <c r="Q1487" s="4">
        <f t="shared" ca="1" si="150"/>
        <v>1875.5005785451697</v>
      </c>
      <c r="R1487" s="4">
        <f t="shared" ca="1" si="151"/>
        <v>-48.169465454830288</v>
      </c>
      <c r="S1487" s="4">
        <f t="shared" ca="1" si="152"/>
        <v>-23.439333561613054</v>
      </c>
    </row>
    <row r="1488" spans="15:19" x14ac:dyDescent="0.2">
      <c r="O1488" s="4">
        <f t="shared" ca="1" si="148"/>
        <v>0.36624281520894131</v>
      </c>
      <c r="P1488" s="4">
        <f t="shared" ca="1" si="149"/>
        <v>-0.34182096593829875</v>
      </c>
      <c r="Q1488" s="4">
        <f t="shared" ca="1" si="150"/>
        <v>1929.7139917034656</v>
      </c>
      <c r="R1488" s="4">
        <f t="shared" ca="1" si="151"/>
        <v>6.0439477034656193</v>
      </c>
      <c r="S1488" s="4">
        <f t="shared" ca="1" si="152"/>
        <v>3.0743754828221679</v>
      </c>
    </row>
    <row r="1489" spans="15:19" x14ac:dyDescent="0.2">
      <c r="O1489" s="4">
        <f t="shared" ca="1" si="148"/>
        <v>7.1118373237974764E-2</v>
      </c>
      <c r="P1489" s="4">
        <f t="shared" ca="1" si="149"/>
        <v>-1.4675122973449699</v>
      </c>
      <c r="Q1489" s="4">
        <f t="shared" ca="1" si="150"/>
        <v>1950.9542917168014</v>
      </c>
      <c r="R1489" s="4">
        <f t="shared" ca="1" si="151"/>
        <v>27.284247716801474</v>
      </c>
      <c r="S1489" s="4">
        <f t="shared" ca="1" si="152"/>
        <v>14.11458805519786</v>
      </c>
    </row>
    <row r="1490" spans="15:19" x14ac:dyDescent="0.2">
      <c r="O1490" s="4">
        <f t="shared" ca="1" si="148"/>
        <v>0.9980857319013583</v>
      </c>
      <c r="P1490" s="4">
        <f t="shared" ca="1" si="149"/>
        <v>2.8919543100286078</v>
      </c>
      <c r="Q1490" s="4">
        <f t="shared" ca="1" si="150"/>
        <v>1868.6969481135368</v>
      </c>
      <c r="R1490" s="4">
        <f t="shared" ca="1" si="151"/>
        <v>-54.97309588646317</v>
      </c>
      <c r="S1490" s="4">
        <f t="shared" ca="1" si="152"/>
        <v>-26.597739593550578</v>
      </c>
    </row>
    <row r="1491" spans="15:19" x14ac:dyDescent="0.2">
      <c r="O1491" s="4">
        <f t="shared" ca="1" si="148"/>
        <v>0.68590374101244578</v>
      </c>
      <c r="P1491" s="4">
        <f t="shared" ca="1" si="149"/>
        <v>0.48427246039002353</v>
      </c>
      <c r="Q1491" s="4">
        <f t="shared" ca="1" si="150"/>
        <v>1914.1267061619378</v>
      </c>
      <c r="R1491" s="4">
        <f t="shared" ca="1" si="151"/>
        <v>-9.5433378380621434</v>
      </c>
      <c r="S1491" s="4">
        <f t="shared" ca="1" si="152"/>
        <v>-4.7938571390486215</v>
      </c>
    </row>
    <row r="1492" spans="15:19" x14ac:dyDescent="0.2">
      <c r="O1492" s="4">
        <f t="shared" ca="1" si="148"/>
        <v>0.26166559536436917</v>
      </c>
      <c r="P1492" s="4">
        <f t="shared" ca="1" si="149"/>
        <v>-0.63821890777517576</v>
      </c>
      <c r="Q1492" s="4">
        <f t="shared" ca="1" si="150"/>
        <v>1935.3066271198575</v>
      </c>
      <c r="R1492" s="4">
        <f t="shared" ca="1" si="151"/>
        <v>11.636583119857505</v>
      </c>
      <c r="S1492" s="4">
        <f t="shared" ca="1" si="152"/>
        <v>5.9456736255132911</v>
      </c>
    </row>
    <row r="1493" spans="15:19" x14ac:dyDescent="0.2">
      <c r="O1493" s="4">
        <f t="shared" ca="1" si="148"/>
        <v>0.10420844161037712</v>
      </c>
      <c r="P1493" s="4">
        <f t="shared" ca="1" si="149"/>
        <v>-1.2579305246843357</v>
      </c>
      <c r="Q1493" s="4">
        <f t="shared" ca="1" si="150"/>
        <v>1946.9997620829313</v>
      </c>
      <c r="R1493" s="4">
        <f t="shared" ca="1" si="151"/>
        <v>23.329718082931322</v>
      </c>
      <c r="S1493" s="4">
        <f t="shared" ca="1" si="152"/>
        <v>12.031289712401682</v>
      </c>
    </row>
    <row r="1494" spans="15:19" x14ac:dyDescent="0.2">
      <c r="O1494" s="4">
        <f t="shared" ca="1" si="148"/>
        <v>0.9178884650274366</v>
      </c>
      <c r="P1494" s="4">
        <f t="shared" ca="1" si="149"/>
        <v>1.3910077721356184</v>
      </c>
      <c r="Q1494" s="4">
        <f t="shared" ca="1" si="150"/>
        <v>1897.0178153702714</v>
      </c>
      <c r="R1494" s="4">
        <f t="shared" ca="1" si="151"/>
        <v>-26.652228629728597</v>
      </c>
      <c r="S1494" s="4">
        <f t="shared" ca="1" si="152"/>
        <v>-13.20246110912365</v>
      </c>
    </row>
    <row r="1495" spans="15:19" x14ac:dyDescent="0.2">
      <c r="O1495" s="4">
        <f t="shared" ca="1" si="148"/>
        <v>0.84334236664700857</v>
      </c>
      <c r="P1495" s="4">
        <f t="shared" ca="1" si="149"/>
        <v>1.0082899907788949</v>
      </c>
      <c r="Q1495" s="4">
        <f t="shared" ca="1" si="150"/>
        <v>1904.239191487912</v>
      </c>
      <c r="R1495" s="4">
        <f t="shared" ca="1" si="151"/>
        <v>-19.430852512087995</v>
      </c>
      <c r="S1495" s="4">
        <f t="shared" ca="1" si="152"/>
        <v>-9.6823956103073758</v>
      </c>
    </row>
    <row r="1496" spans="15:19" x14ac:dyDescent="0.2">
      <c r="O1496" s="4">
        <f t="shared" ca="1" si="148"/>
        <v>0.6398548635051875</v>
      </c>
      <c r="P1496" s="4">
        <f t="shared" ca="1" si="149"/>
        <v>0.35807087678317118</v>
      </c>
      <c r="Q1496" s="4">
        <f t="shared" ca="1" si="150"/>
        <v>1916.5079623937131</v>
      </c>
      <c r="R1496" s="4">
        <f t="shared" ca="1" si="151"/>
        <v>-7.1620816062868471</v>
      </c>
      <c r="S1496" s="4">
        <f t="shared" ca="1" si="152"/>
        <v>-3.6046350769875017</v>
      </c>
    </row>
    <row r="1497" spans="15:19" x14ac:dyDescent="0.2">
      <c r="O1497" s="4">
        <f t="shared" ca="1" si="148"/>
        <v>0.29023396746669794</v>
      </c>
      <c r="P1497" s="4">
        <f t="shared" ca="1" si="149"/>
        <v>-0.55270134102899748</v>
      </c>
      <c r="Q1497" s="4">
        <f t="shared" ca="1" si="150"/>
        <v>1933.6930242400795</v>
      </c>
      <c r="R1497" s="4">
        <f t="shared" ca="1" si="151"/>
        <v>10.022980240079505</v>
      </c>
      <c r="S1497" s="4">
        <f t="shared" ca="1" si="152"/>
        <v>5.1146250001856748</v>
      </c>
    </row>
    <row r="1498" spans="15:19" x14ac:dyDescent="0.2">
      <c r="O1498" s="4">
        <f t="shared" ca="1" si="148"/>
        <v>0.48675192760752162</v>
      </c>
      <c r="P1498" s="4">
        <f t="shared" ca="1" si="149"/>
        <v>-3.321409866763117E-2</v>
      </c>
      <c r="Q1498" s="4">
        <f t="shared" ca="1" si="150"/>
        <v>1923.8909900829292</v>
      </c>
      <c r="R1498" s="4">
        <f t="shared" ca="1" si="151"/>
        <v>0.22094608292923112</v>
      </c>
      <c r="S1498" s="4">
        <f t="shared" ca="1" si="152"/>
        <v>0.11186494329299898</v>
      </c>
    </row>
    <row r="1499" spans="15:19" x14ac:dyDescent="0.2">
      <c r="O1499" s="4">
        <f t="shared" ca="1" si="148"/>
        <v>0.61956021336993505</v>
      </c>
      <c r="P1499" s="4">
        <f t="shared" ca="1" si="149"/>
        <v>0.30432595478709268</v>
      </c>
      <c r="Q1499" s="4">
        <f t="shared" ca="1" si="150"/>
        <v>1917.5220576750221</v>
      </c>
      <c r="R1499" s="4">
        <f t="shared" ca="1" si="151"/>
        <v>-6.1479863249778646</v>
      </c>
      <c r="S1499" s="4">
        <f t="shared" ca="1" si="152"/>
        <v>-3.0967846015808442</v>
      </c>
    </row>
    <row r="1500" spans="15:19" x14ac:dyDescent="0.2">
      <c r="O1500" s="4">
        <f t="shared" ca="1" si="148"/>
        <v>0.95927522330597736</v>
      </c>
      <c r="P1500" s="4">
        <f t="shared" ca="1" si="149"/>
        <v>1.7423366529926119</v>
      </c>
      <c r="Q1500" s="4">
        <f t="shared" ca="1" si="150"/>
        <v>1890.3887061068756</v>
      </c>
      <c r="R1500" s="4">
        <f t="shared" ca="1" si="151"/>
        <v>-33.281337893124373</v>
      </c>
      <c r="S1500" s="4">
        <f t="shared" ca="1" si="152"/>
        <v>-16.396450038406297</v>
      </c>
    </row>
    <row r="1501" spans="15:19" x14ac:dyDescent="0.2">
      <c r="O1501" s="4">
        <f t="shared" ca="1" si="148"/>
        <v>0.88183912679768561</v>
      </c>
      <c r="P1501" s="4">
        <f t="shared" ca="1" si="149"/>
        <v>1.1842307157631311</v>
      </c>
      <c r="Q1501" s="4">
        <f t="shared" ca="1" si="150"/>
        <v>1900.919423733674</v>
      </c>
      <c r="R1501" s="4">
        <f t="shared" ca="1" si="151"/>
        <v>-22.750620266325996</v>
      </c>
      <c r="S1501" s="4">
        <f t="shared" ca="1" si="152"/>
        <v>-11.305891564333809</v>
      </c>
    </row>
    <row r="1502" spans="15:19" x14ac:dyDescent="0.2">
      <c r="O1502" s="4">
        <f t="shared" ca="1" si="148"/>
        <v>5.5134772921097919E-2</v>
      </c>
      <c r="P1502" s="4">
        <f t="shared" ca="1" si="149"/>
        <v>-1.5969827796029481</v>
      </c>
      <c r="Q1502" s="4">
        <f t="shared" ca="1" si="150"/>
        <v>1953.3972277235971</v>
      </c>
      <c r="R1502" s="4">
        <f t="shared" ca="1" si="151"/>
        <v>29.727183723597136</v>
      </c>
      <c r="S1502" s="4">
        <f t="shared" ca="1" si="152"/>
        <v>15.407920870014605</v>
      </c>
    </row>
    <row r="1503" spans="15:19" x14ac:dyDescent="0.2">
      <c r="O1503" s="4">
        <f t="shared" ca="1" si="148"/>
        <v>6.0154521332534738E-2</v>
      </c>
      <c r="P1503" s="4">
        <f t="shared" ca="1" si="149"/>
        <v>-1.5534777423124682</v>
      </c>
      <c r="Q1503" s="4">
        <f t="shared" ca="1" si="150"/>
        <v>1952.5763454636378</v>
      </c>
      <c r="R1503" s="4">
        <f t="shared" ca="1" si="151"/>
        <v>28.906301463637874</v>
      </c>
      <c r="S1503" s="4">
        <f t="shared" ca="1" si="152"/>
        <v>14.972789504195699</v>
      </c>
    </row>
    <row r="1504" spans="15:19" x14ac:dyDescent="0.2">
      <c r="O1504" s="4">
        <f t="shared" ca="1" si="148"/>
        <v>0.61663406545572785</v>
      </c>
      <c r="P1504" s="4">
        <f t="shared" ca="1" si="149"/>
        <v>0.29665244202861724</v>
      </c>
      <c r="Q1504" s="4">
        <f t="shared" ca="1" si="150"/>
        <v>1917.6668466669944</v>
      </c>
      <c r="R1504" s="4">
        <f t="shared" ca="1" si="151"/>
        <v>-6.0031973330055735</v>
      </c>
      <c r="S1504" s="4">
        <f t="shared" ca="1" si="152"/>
        <v>-3.0242071759994777</v>
      </c>
    </row>
    <row r="1505" spans="15:19" x14ac:dyDescent="0.2">
      <c r="O1505" s="4">
        <f t="shared" ca="1" si="148"/>
        <v>6.8724011265807183E-2</v>
      </c>
      <c r="P1505" s="4">
        <f t="shared" ca="1" si="149"/>
        <v>-1.4853617493568969</v>
      </c>
      <c r="Q1505" s="4">
        <f t="shared" ca="1" si="150"/>
        <v>1951.2910871643894</v>
      </c>
      <c r="R1505" s="4">
        <f t="shared" ca="1" si="151"/>
        <v>27.621043164389448</v>
      </c>
      <c r="S1505" s="4">
        <f t="shared" ca="1" si="152"/>
        <v>14.292604673529471</v>
      </c>
    </row>
    <row r="1506" spans="15:19" x14ac:dyDescent="0.2">
      <c r="O1506" s="4">
        <f t="shared" ca="1" si="148"/>
        <v>0.82594457799646026</v>
      </c>
      <c r="P1506" s="4">
        <f t="shared" ca="1" si="149"/>
        <v>0.93825993504028149</v>
      </c>
      <c r="Q1506" s="4">
        <f t="shared" ca="1" si="150"/>
        <v>1905.5605656091643</v>
      </c>
      <c r="R1506" s="4">
        <f t="shared" ca="1" si="151"/>
        <v>-18.109478390835648</v>
      </c>
      <c r="S1506" s="4">
        <f t="shared" ca="1" si="152"/>
        <v>-9.0336956837805804</v>
      </c>
    </row>
    <row r="1507" spans="15:19" x14ac:dyDescent="0.2">
      <c r="O1507" s="4">
        <f t="shared" ca="1" si="148"/>
        <v>8.7436352516382043E-2</v>
      </c>
      <c r="P1507" s="4">
        <f t="shared" ca="1" si="149"/>
        <v>-1.3567121039242285</v>
      </c>
      <c r="Q1507" s="4">
        <f t="shared" ca="1" si="150"/>
        <v>1948.8636392580574</v>
      </c>
      <c r="R1507" s="4">
        <f t="shared" ca="1" si="151"/>
        <v>25.193595258057485</v>
      </c>
      <c r="S1507" s="4">
        <f t="shared" ca="1" si="152"/>
        <v>13.011618544782461</v>
      </c>
    </row>
    <row r="1508" spans="15:19" x14ac:dyDescent="0.2">
      <c r="O1508" s="4">
        <f t="shared" ca="1" si="148"/>
        <v>0.12925427264646805</v>
      </c>
      <c r="P1508" s="4">
        <f t="shared" ca="1" si="149"/>
        <v>-1.1299232994098627</v>
      </c>
      <c r="Q1508" s="4">
        <f t="shared" ca="1" si="150"/>
        <v>1944.5844357915694</v>
      </c>
      <c r="R1508" s="4">
        <f t="shared" ca="1" si="151"/>
        <v>20.914391791569415</v>
      </c>
      <c r="S1508" s="4">
        <f t="shared" ca="1" si="152"/>
        <v>10.765126855625867</v>
      </c>
    </row>
    <row r="1509" spans="15:19" x14ac:dyDescent="0.2">
      <c r="O1509" s="4">
        <f t="shared" ca="1" si="148"/>
        <v>0.43726919156060085</v>
      </c>
      <c r="P1509" s="4">
        <f t="shared" ca="1" si="149"/>
        <v>-0.15789646566337423</v>
      </c>
      <c r="Q1509" s="4">
        <f t="shared" ca="1" si="150"/>
        <v>1926.243580715437</v>
      </c>
      <c r="R1509" s="4">
        <f t="shared" ca="1" si="151"/>
        <v>2.5735367154370579</v>
      </c>
      <c r="S1509" s="4">
        <f t="shared" ca="1" si="152"/>
        <v>1.3054455495202373</v>
      </c>
    </row>
    <row r="1510" spans="15:19" x14ac:dyDescent="0.2">
      <c r="O1510" s="4">
        <f t="shared" ca="1" si="148"/>
        <v>0.46803534067171171</v>
      </c>
      <c r="P1510" s="4">
        <f t="shared" ca="1" si="149"/>
        <v>-8.0209441228214703E-2</v>
      </c>
      <c r="Q1510" s="4">
        <f t="shared" ca="1" si="150"/>
        <v>1924.7777297666835</v>
      </c>
      <c r="R1510" s="4">
        <f t="shared" ca="1" si="151"/>
        <v>1.1076857666835167</v>
      </c>
      <c r="S1510" s="4">
        <f t="shared" ca="1" si="152"/>
        <v>0.56122084558768037</v>
      </c>
    </row>
    <row r="1511" spans="15:19" x14ac:dyDescent="0.2">
      <c r="O1511" s="4">
        <f t="shared" ca="1" si="148"/>
        <v>0.21484903602204619</v>
      </c>
      <c r="P1511" s="4">
        <f t="shared" ca="1" si="149"/>
        <v>-0.78970842140164199</v>
      </c>
      <c r="Q1511" s="4">
        <f t="shared" ca="1" si="150"/>
        <v>1938.1650329976744</v>
      </c>
      <c r="R1511" s="4">
        <f t="shared" ca="1" si="151"/>
        <v>14.494988997674454</v>
      </c>
      <c r="S1511" s="4">
        <f t="shared" ca="1" si="152"/>
        <v>7.4230325676808873</v>
      </c>
    </row>
    <row r="1512" spans="15:19" x14ac:dyDescent="0.2">
      <c r="O1512" s="4">
        <f t="shared" ca="1" si="148"/>
        <v>0.70505865217758745</v>
      </c>
      <c r="P1512" s="4">
        <f t="shared" ca="1" si="149"/>
        <v>0.53900602734386471</v>
      </c>
      <c r="Q1512" s="4">
        <f t="shared" ca="1" si="150"/>
        <v>1913.0939564636285</v>
      </c>
      <c r="R1512" s="4">
        <f t="shared" ca="1" si="151"/>
        <v>-10.57608753637146</v>
      </c>
      <c r="S1512" s="4">
        <f t="shared" ca="1" si="152"/>
        <v>-5.3081869331156826</v>
      </c>
    </row>
    <row r="1513" spans="15:19" x14ac:dyDescent="0.2">
      <c r="O1513" s="4">
        <f t="shared" ca="1" si="148"/>
        <v>0.28146433354294531</v>
      </c>
      <c r="P1513" s="4">
        <f t="shared" ca="1" si="149"/>
        <v>-0.57849693355121967</v>
      </c>
      <c r="Q1513" s="4">
        <f t="shared" ca="1" si="150"/>
        <v>1934.1797528031475</v>
      </c>
      <c r="R1513" s="4">
        <f t="shared" ca="1" si="151"/>
        <v>10.509708803147532</v>
      </c>
      <c r="S1513" s="4">
        <f t="shared" ca="1" si="152"/>
        <v>5.3650799535194924</v>
      </c>
    </row>
    <row r="1514" spans="15:19" x14ac:dyDescent="0.2">
      <c r="O1514" s="4">
        <f t="shared" ca="1" si="148"/>
        <v>0.92752376683978355</v>
      </c>
      <c r="P1514" s="4">
        <f t="shared" ca="1" si="149"/>
        <v>1.4575940657117836</v>
      </c>
      <c r="Q1514" s="4">
        <f t="shared" ca="1" si="150"/>
        <v>1895.7614204662025</v>
      </c>
      <c r="R1514" s="4">
        <f t="shared" ca="1" si="151"/>
        <v>-27.908623533797481</v>
      </c>
      <c r="S1514" s="4">
        <f t="shared" ca="1" si="152"/>
        <v>-13.810555929926041</v>
      </c>
    </row>
    <row r="1515" spans="15:19" x14ac:dyDescent="0.2">
      <c r="O1515" s="4">
        <f t="shared" ca="1" si="148"/>
        <v>0.64524495861322118</v>
      </c>
      <c r="P1515" s="4">
        <f t="shared" ca="1" si="149"/>
        <v>0.37251414450719367</v>
      </c>
      <c r="Q1515" s="4">
        <f t="shared" ca="1" si="150"/>
        <v>1916.2354371187357</v>
      </c>
      <c r="R1515" s="4">
        <f t="shared" ca="1" si="151"/>
        <v>-7.4346068812642443</v>
      </c>
      <c r="S1515" s="4">
        <f t="shared" ca="1" si="152"/>
        <v>-3.7409707327793797</v>
      </c>
    </row>
    <row r="1516" spans="15:19" x14ac:dyDescent="0.2">
      <c r="O1516" s="4">
        <f t="shared" ca="1" si="148"/>
        <v>0.91888323456565435</v>
      </c>
      <c r="P1516" s="4">
        <f t="shared" ca="1" si="149"/>
        <v>1.39759895992864</v>
      </c>
      <c r="Q1516" s="4">
        <f t="shared" ca="1" si="150"/>
        <v>1896.8934484125964</v>
      </c>
      <c r="R1516" s="4">
        <f t="shared" ca="1" si="151"/>
        <v>-26.776595587403563</v>
      </c>
      <c r="S1516" s="4">
        <f t="shared" ca="1" si="152"/>
        <v>-13.262711995681277</v>
      </c>
    </row>
    <row r="1517" spans="15:19" x14ac:dyDescent="0.2">
      <c r="O1517" s="4">
        <f t="shared" ca="1" si="148"/>
        <v>0.99228182002803489</v>
      </c>
      <c r="P1517" s="4">
        <f t="shared" ca="1" si="149"/>
        <v>2.421976236254006</v>
      </c>
      <c r="Q1517" s="4">
        <f t="shared" ca="1" si="150"/>
        <v>1877.564810029279</v>
      </c>
      <c r="R1517" s="4">
        <f t="shared" ca="1" si="151"/>
        <v>-46.105233970720974</v>
      </c>
      <c r="S1517" s="4">
        <f t="shared" ca="1" si="152"/>
        <v>-22.473616991767134</v>
      </c>
    </row>
    <row r="1518" spans="15:19" x14ac:dyDescent="0.2">
      <c r="O1518" s="4">
        <f t="shared" ca="1" si="148"/>
        <v>0.54897749509854077</v>
      </c>
      <c r="P1518" s="4">
        <f t="shared" ca="1" si="149"/>
        <v>0.12307840722306319</v>
      </c>
      <c r="Q1518" s="4">
        <f t="shared" ca="1" si="150"/>
        <v>1920.94195812156</v>
      </c>
      <c r="R1518" s="4">
        <f t="shared" ca="1" si="151"/>
        <v>-2.7280858784399697</v>
      </c>
      <c r="S1518" s="4">
        <f t="shared" ca="1" si="152"/>
        <v>-1.3779541996083549</v>
      </c>
    </row>
    <row r="1519" spans="15:19" x14ac:dyDescent="0.2">
      <c r="O1519" s="4">
        <f t="shared" ca="1" si="148"/>
        <v>0.10582116593756763</v>
      </c>
      <c r="P1519" s="4">
        <f t="shared" ca="1" si="149"/>
        <v>-1.2490621805977393</v>
      </c>
      <c r="Q1519" s="4">
        <f t="shared" ca="1" si="150"/>
        <v>1946.8324282110557</v>
      </c>
      <c r="R1519" s="4">
        <f t="shared" ca="1" si="151"/>
        <v>23.162384211055723</v>
      </c>
      <c r="S1519" s="4">
        <f t="shared" ca="1" si="152"/>
        <v>11.943416789563321</v>
      </c>
    </row>
    <row r="1520" spans="15:19" x14ac:dyDescent="0.2">
      <c r="O1520" s="4">
        <f t="shared" ca="1" si="148"/>
        <v>0.18118467851735642</v>
      </c>
      <c r="P1520" s="4">
        <f t="shared" ca="1" si="149"/>
        <v>-0.91085959541324313</v>
      </c>
      <c r="Q1520" s="4">
        <f t="shared" ca="1" si="150"/>
        <v>1940.4509947095398</v>
      </c>
      <c r="R1520" s="4">
        <f t="shared" ca="1" si="151"/>
        <v>16.780950709539866</v>
      </c>
      <c r="S1520" s="4">
        <f t="shared" ca="1" si="152"/>
        <v>8.6093124358152746</v>
      </c>
    </row>
    <row r="1521" spans="15:19" x14ac:dyDescent="0.2">
      <c r="O1521" s="4">
        <f t="shared" ca="1" si="148"/>
        <v>0.9630568450360254</v>
      </c>
      <c r="P1521" s="4">
        <f t="shared" ca="1" si="149"/>
        <v>1.78731673997256</v>
      </c>
      <c r="Q1521" s="4">
        <f t="shared" ca="1" si="150"/>
        <v>1889.5399916187876</v>
      </c>
      <c r="R1521" s="4">
        <f t="shared" ca="1" si="151"/>
        <v>-34.130052381212408</v>
      </c>
      <c r="S1521" s="4">
        <f t="shared" ca="1" si="152"/>
        <v>-16.802787964140908</v>
      </c>
    </row>
    <row r="1522" spans="15:19" x14ac:dyDescent="0.2">
      <c r="O1522" s="4">
        <f t="shared" ca="1" si="148"/>
        <v>0.89026612835603325</v>
      </c>
      <c r="P1522" s="4">
        <f t="shared" ca="1" si="149"/>
        <v>1.2279446589673153</v>
      </c>
      <c r="Q1522" s="4">
        <f t="shared" ca="1" si="150"/>
        <v>1900.094599696642</v>
      </c>
      <c r="R1522" s="4">
        <f t="shared" ca="1" si="151"/>
        <v>-23.575444303357926</v>
      </c>
      <c r="S1522" s="4">
        <f t="shared" ca="1" si="152"/>
        <v>-11.707871109178226</v>
      </c>
    </row>
    <row r="1523" spans="15:19" x14ac:dyDescent="0.2">
      <c r="O1523" s="4">
        <f t="shared" ca="1" si="148"/>
        <v>0.37868402560583436</v>
      </c>
      <c r="P1523" s="4">
        <f t="shared" ca="1" si="149"/>
        <v>-0.3089388396497007</v>
      </c>
      <c r="Q1523" s="4">
        <f t="shared" ca="1" si="150"/>
        <v>1929.0935496622412</v>
      </c>
      <c r="R1523" s="4">
        <f t="shared" ca="1" si="151"/>
        <v>5.4235056622412685</v>
      </c>
      <c r="S1523" s="4">
        <f t="shared" ca="1" si="152"/>
        <v>2.7574053915490304</v>
      </c>
    </row>
    <row r="1524" spans="15:19" x14ac:dyDescent="0.2">
      <c r="O1524" s="4">
        <f t="shared" ca="1" si="148"/>
        <v>0.78720456855297849</v>
      </c>
      <c r="P1524" s="4">
        <f t="shared" ca="1" si="149"/>
        <v>0.79675925492876987</v>
      </c>
      <c r="Q1524" s="4">
        <f t="shared" ca="1" si="150"/>
        <v>1908.2304954680928</v>
      </c>
      <c r="R1524" s="4">
        <f t="shared" ca="1" si="151"/>
        <v>-15.439548531907121</v>
      </c>
      <c r="S1524" s="4">
        <f t="shared" ca="1" si="152"/>
        <v>-7.7186136726034995</v>
      </c>
    </row>
    <row r="1525" spans="15:19" x14ac:dyDescent="0.2">
      <c r="O1525" s="4">
        <f t="shared" ca="1" si="148"/>
        <v>0.27067107799640044</v>
      </c>
      <c r="P1525" s="4">
        <f t="shared" ca="1" si="149"/>
        <v>-0.6107846512093873</v>
      </c>
      <c r="Q1525" s="4">
        <f t="shared" ca="1" si="150"/>
        <v>1934.7889791431498</v>
      </c>
      <c r="R1525" s="4">
        <f t="shared" ca="1" si="151"/>
        <v>11.118935143149884</v>
      </c>
      <c r="S1525" s="4">
        <f t="shared" ca="1" si="152"/>
        <v>5.6788401393258976</v>
      </c>
    </row>
    <row r="1526" spans="15:19" x14ac:dyDescent="0.2">
      <c r="O1526" s="4">
        <f t="shared" ca="1" si="148"/>
        <v>0.10517819224903624</v>
      </c>
      <c r="P1526" s="4">
        <f t="shared" ca="1" si="149"/>
        <v>-1.2525860768459345</v>
      </c>
      <c r="Q1526" s="4">
        <f t="shared" ca="1" si="150"/>
        <v>1946.8989194519843</v>
      </c>
      <c r="R1526" s="4">
        <f t="shared" ca="1" si="151"/>
        <v>23.228875451984322</v>
      </c>
      <c r="S1526" s="4">
        <f t="shared" ca="1" si="152"/>
        <v>11.978330957787602</v>
      </c>
    </row>
    <row r="1527" spans="15:19" x14ac:dyDescent="0.2">
      <c r="O1527" s="4">
        <f t="shared" ca="1" si="148"/>
        <v>0.11210845410522263</v>
      </c>
      <c r="P1527" s="4">
        <f t="shared" ca="1" si="149"/>
        <v>-1.2153912381427203</v>
      </c>
      <c r="Q1527" s="4">
        <f t="shared" ca="1" si="150"/>
        <v>1946.197102256664</v>
      </c>
      <c r="R1527" s="4">
        <f t="shared" ca="1" si="151"/>
        <v>22.527058256664077</v>
      </c>
      <c r="S1527" s="4">
        <f t="shared" ca="1" si="152"/>
        <v>11.609992289752576</v>
      </c>
    </row>
    <row r="1528" spans="15:19" x14ac:dyDescent="0.2">
      <c r="O1528" s="4">
        <f t="shared" ca="1" si="148"/>
        <v>0.29044088909313559</v>
      </c>
      <c r="P1528" s="4">
        <f t="shared" ca="1" si="149"/>
        <v>-0.55209717374558365</v>
      </c>
      <c r="Q1528" s="4">
        <f t="shared" ca="1" si="150"/>
        <v>1933.6816244060396</v>
      </c>
      <c r="R1528" s="4">
        <f t="shared" ca="1" si="151"/>
        <v>10.011580406039684</v>
      </c>
      <c r="S1528" s="4">
        <f t="shared" ca="1" si="152"/>
        <v>5.1087613217226746</v>
      </c>
    </row>
    <row r="1529" spans="15:19" x14ac:dyDescent="0.2">
      <c r="O1529" s="4">
        <f t="shared" ca="1" si="148"/>
        <v>0.55213539207047291</v>
      </c>
      <c r="P1529" s="4">
        <f t="shared" ca="1" si="149"/>
        <v>0.13105826521243727</v>
      </c>
      <c r="Q1529" s="4">
        <f t="shared" ca="1" si="150"/>
        <v>1920.791388802041</v>
      </c>
      <c r="R1529" s="4">
        <f t="shared" ca="1" si="151"/>
        <v>-2.8786551979590058</v>
      </c>
      <c r="S1529" s="4">
        <f t="shared" ca="1" si="152"/>
        <v>-1.4538302148227991</v>
      </c>
    </row>
    <row r="1530" spans="15:19" x14ac:dyDescent="0.2">
      <c r="O1530" s="4">
        <f t="shared" ca="1" si="148"/>
        <v>0.41771886641542555</v>
      </c>
      <c r="P1530" s="4">
        <f t="shared" ca="1" si="149"/>
        <v>-0.20773263705960426</v>
      </c>
      <c r="Q1530" s="4">
        <f t="shared" ca="1" si="150"/>
        <v>1927.1839230654568</v>
      </c>
      <c r="R1530" s="4">
        <f t="shared" ca="1" si="151"/>
        <v>3.5138790654568766</v>
      </c>
      <c r="S1530" s="4">
        <f t="shared" ca="1" si="152"/>
        <v>1.7837862256588175</v>
      </c>
    </row>
    <row r="1531" spans="15:19" x14ac:dyDescent="0.2">
      <c r="O1531" s="4">
        <f t="shared" ca="1" si="148"/>
        <v>0.80202292658900576</v>
      </c>
      <c r="P1531" s="4">
        <f t="shared" ca="1" si="149"/>
        <v>0.84886907807284573</v>
      </c>
      <c r="Q1531" s="4">
        <f t="shared" ca="1" si="150"/>
        <v>1907.2472523299946</v>
      </c>
      <c r="R1531" s="4">
        <f t="shared" ca="1" si="151"/>
        <v>-16.422791670005381</v>
      </c>
      <c r="S1531" s="4">
        <f t="shared" ca="1" si="152"/>
        <v>-8.2035881412106288</v>
      </c>
    </row>
    <row r="1532" spans="15:19" x14ac:dyDescent="0.2">
      <c r="O1532" s="4">
        <f t="shared" ca="1" si="148"/>
        <v>9.2693334091283219E-2</v>
      </c>
      <c r="P1532" s="4">
        <f t="shared" ca="1" si="149"/>
        <v>-1.3243504935421433</v>
      </c>
      <c r="Q1532" s="4">
        <f t="shared" ca="1" si="150"/>
        <v>1948.2530186605165</v>
      </c>
      <c r="R1532" s="4">
        <f t="shared" ca="1" si="151"/>
        <v>24.582974660516584</v>
      </c>
      <c r="S1532" s="4">
        <f t="shared" ca="1" si="152"/>
        <v>12.690143711508943</v>
      </c>
    </row>
    <row r="1533" spans="15:19" x14ac:dyDescent="0.2">
      <c r="O1533" s="4">
        <f t="shared" ca="1" si="148"/>
        <v>0.84768461071556667</v>
      </c>
      <c r="P1533" s="4">
        <f t="shared" ca="1" si="149"/>
        <v>1.0265534593021266</v>
      </c>
      <c r="Q1533" s="4">
        <f t="shared" ca="1" si="150"/>
        <v>1903.8945840987508</v>
      </c>
      <c r="R1533" s="4">
        <f t="shared" ca="1" si="151"/>
        <v>-19.775459901249178</v>
      </c>
      <c r="S1533" s="4">
        <f t="shared" ca="1" si="152"/>
        <v>-9.8513394213251164</v>
      </c>
    </row>
    <row r="1534" spans="15:19" x14ac:dyDescent="0.2">
      <c r="O1534" s="4">
        <f t="shared" ca="1" si="148"/>
        <v>0.2649722166141425</v>
      </c>
      <c r="P1534" s="4">
        <f t="shared" ca="1" si="149"/>
        <v>-0.62809084018804173</v>
      </c>
      <c r="Q1534" s="4">
        <f t="shared" ca="1" si="150"/>
        <v>1935.1155239389909</v>
      </c>
      <c r="R1534" s="4">
        <f t="shared" ca="1" si="151"/>
        <v>11.445479938990957</v>
      </c>
      <c r="S1534" s="4">
        <f t="shared" ca="1" si="152"/>
        <v>5.8471397185041978</v>
      </c>
    </row>
    <row r="1535" spans="15:19" x14ac:dyDescent="0.2">
      <c r="O1535" s="4">
        <f t="shared" ca="1" si="148"/>
        <v>0.48212583412380361</v>
      </c>
      <c r="P1535" s="4">
        <f t="shared" ca="1" si="149"/>
        <v>-4.4818889913752116E-2</v>
      </c>
      <c r="Q1535" s="4">
        <f t="shared" ca="1" si="150"/>
        <v>1924.1099570775066</v>
      </c>
      <c r="R1535" s="4">
        <f t="shared" ca="1" si="151"/>
        <v>0.4399130775066169</v>
      </c>
      <c r="S1535" s="4">
        <f t="shared" ca="1" si="152"/>
        <v>0.22276708620857225</v>
      </c>
    </row>
    <row r="1536" spans="15:19" x14ac:dyDescent="0.2">
      <c r="O1536" s="4">
        <f t="shared" ca="1" si="148"/>
        <v>1.8001910798880028E-2</v>
      </c>
      <c r="P1536" s="4">
        <f t="shared" ca="1" si="149"/>
        <v>-2.0968842668821233</v>
      </c>
      <c r="Q1536" s="4">
        <f t="shared" ca="1" si="150"/>
        <v>1962.8297047007929</v>
      </c>
      <c r="R1536" s="4">
        <f t="shared" ca="1" si="151"/>
        <v>39.159660700792983</v>
      </c>
      <c r="S1536" s="4">
        <f t="shared" ca="1" si="152"/>
        <v>20.447235931786565</v>
      </c>
    </row>
    <row r="1537" spans="15:19" x14ac:dyDescent="0.2">
      <c r="O1537" s="4">
        <f t="shared" ca="1" si="148"/>
        <v>0.93855649711846123</v>
      </c>
      <c r="P1537" s="4">
        <f t="shared" ca="1" si="149"/>
        <v>1.5427682904273685</v>
      </c>
      <c r="Q1537" s="4">
        <f t="shared" ca="1" si="150"/>
        <v>1894.1542959944331</v>
      </c>
      <c r="R1537" s="4">
        <f t="shared" ca="1" si="151"/>
        <v>-29.51574800556682</v>
      </c>
      <c r="S1537" s="4">
        <f t="shared" ca="1" si="152"/>
        <v>-14.586530428555632</v>
      </c>
    </row>
    <row r="1538" spans="15:19" x14ac:dyDescent="0.2">
      <c r="O1538" s="4">
        <f t="shared" ca="1" si="148"/>
        <v>0.16307383474560222</v>
      </c>
      <c r="P1538" s="4">
        <f t="shared" ca="1" si="149"/>
        <v>-0.98190293543137797</v>
      </c>
      <c r="Q1538" s="4">
        <f t="shared" ca="1" si="150"/>
        <v>1941.7914881590623</v>
      </c>
      <c r="R1538" s="4">
        <f t="shared" ca="1" si="151"/>
        <v>18.121444159062321</v>
      </c>
      <c r="S1538" s="4">
        <f t="shared" ca="1" si="152"/>
        <v>9.306928666494553</v>
      </c>
    </row>
    <row r="1539" spans="15:19" x14ac:dyDescent="0.2">
      <c r="O1539" s="4">
        <f t="shared" ref="O1539:O1602" ca="1" si="153">RAND()</f>
        <v>2.4990696207479068E-2</v>
      </c>
      <c r="P1539" s="4">
        <f t="shared" ref="P1539:P1602" ca="1" si="154">NORMSINV(O1539)</f>
        <v>-1.9601231980426428</v>
      </c>
      <c r="Q1539" s="4">
        <f t="shared" ref="Q1539:Q1602" ca="1" si="155">$B$4*(1+$B$17-$B$32*P1539)</f>
        <v>1960.2492050102917</v>
      </c>
      <c r="R1539" s="4">
        <f t="shared" ref="R1539:R1602" ca="1" si="156">Q1539-$B$4</f>
        <v>36.579161010291728</v>
      </c>
      <c r="S1539" s="4">
        <f t="shared" ref="S1539:S1602" ca="1" si="157">R1539*$B$12+0.5*$B$13*R1539^2</f>
        <v>19.061402472514438</v>
      </c>
    </row>
    <row r="1540" spans="15:19" x14ac:dyDescent="0.2">
      <c r="O1540" s="4">
        <f t="shared" ca="1" si="153"/>
        <v>0.5053127145741293</v>
      </c>
      <c r="P1540" s="4">
        <f t="shared" ca="1" si="154"/>
        <v>1.3317394202694562E-2</v>
      </c>
      <c r="Q1540" s="4">
        <f t="shared" ca="1" si="155"/>
        <v>1923.0130026266349</v>
      </c>
      <c r="R1540" s="4">
        <f t="shared" ca="1" si="156"/>
        <v>-0.65704137336501844</v>
      </c>
      <c r="S1540" s="4">
        <f t="shared" ca="1" si="157"/>
        <v>-0.33242504570043124</v>
      </c>
    </row>
    <row r="1541" spans="15:19" x14ac:dyDescent="0.2">
      <c r="O1541" s="4">
        <f t="shared" ca="1" si="153"/>
        <v>0.68532567197929006</v>
      </c>
      <c r="P1541" s="4">
        <f t="shared" ca="1" si="154"/>
        <v>0.48264382493049268</v>
      </c>
      <c r="Q1541" s="4">
        <f t="shared" ca="1" si="155"/>
        <v>1914.157436349519</v>
      </c>
      <c r="R1541" s="4">
        <f t="shared" ca="1" si="156"/>
        <v>-9.5126076504809589</v>
      </c>
      <c r="S1541" s="4">
        <f t="shared" ca="1" si="157"/>
        <v>-4.7785395938950481</v>
      </c>
    </row>
    <row r="1542" spans="15:19" x14ac:dyDescent="0.2">
      <c r="O1542" s="4">
        <f t="shared" ca="1" si="153"/>
        <v>0.14586039101206993</v>
      </c>
      <c r="P1542" s="4">
        <f t="shared" ca="1" si="154"/>
        <v>-1.0543542015247498</v>
      </c>
      <c r="Q1542" s="4">
        <f t="shared" ca="1" si="155"/>
        <v>1943.1585473032826</v>
      </c>
      <c r="R1542" s="4">
        <f t="shared" ca="1" si="156"/>
        <v>19.488503303282641</v>
      </c>
      <c r="S1542" s="4">
        <f t="shared" ca="1" si="157"/>
        <v>10.019876868951449</v>
      </c>
    </row>
    <row r="1543" spans="15:19" x14ac:dyDescent="0.2">
      <c r="O1543" s="4">
        <f t="shared" ca="1" si="153"/>
        <v>0.47720018815964793</v>
      </c>
      <c r="P1543" s="4">
        <f t="shared" ca="1" si="154"/>
        <v>-5.7181799513786463E-2</v>
      </c>
      <c r="Q1543" s="4">
        <f t="shared" ca="1" si="155"/>
        <v>1924.3432287583091</v>
      </c>
      <c r="R1543" s="4">
        <f t="shared" ca="1" si="156"/>
        <v>0.67318475830916213</v>
      </c>
      <c r="S1543" s="4">
        <f t="shared" ca="1" si="157"/>
        <v>0.34095719314027551</v>
      </c>
    </row>
    <row r="1544" spans="15:19" x14ac:dyDescent="0.2">
      <c r="O1544" s="4">
        <f t="shared" ca="1" si="153"/>
        <v>0.94103653229713868</v>
      </c>
      <c r="P1544" s="4">
        <f t="shared" ca="1" si="154"/>
        <v>1.5635344663443074</v>
      </c>
      <c r="Q1544" s="4">
        <f t="shared" ca="1" si="155"/>
        <v>1893.7624658414422</v>
      </c>
      <c r="R1544" s="4">
        <f t="shared" ca="1" si="156"/>
        <v>-29.907578158557726</v>
      </c>
      <c r="S1544" s="4">
        <f t="shared" ca="1" si="157"/>
        <v>-14.775400550747593</v>
      </c>
    </row>
    <row r="1545" spans="15:19" x14ac:dyDescent="0.2">
      <c r="O1545" s="4">
        <f t="shared" ca="1" si="153"/>
        <v>0.60678069678985769</v>
      </c>
      <c r="P1545" s="4">
        <f t="shared" ca="1" si="154"/>
        <v>0.27093814498036722</v>
      </c>
      <c r="Q1545" s="4">
        <f t="shared" ca="1" si="155"/>
        <v>1918.1520412924644</v>
      </c>
      <c r="R1545" s="4">
        <f t="shared" ca="1" si="156"/>
        <v>-5.5180027075355156</v>
      </c>
      <c r="S1545" s="4">
        <f t="shared" ca="1" si="157"/>
        <v>-2.7808724310304012</v>
      </c>
    </row>
    <row r="1546" spans="15:19" x14ac:dyDescent="0.2">
      <c r="O1546" s="4">
        <f t="shared" ca="1" si="153"/>
        <v>0.11087445790092509</v>
      </c>
      <c r="P1546" s="4">
        <f t="shared" ca="1" si="154"/>
        <v>-1.2218908243237043</v>
      </c>
      <c r="Q1546" s="4">
        <f t="shared" ca="1" si="155"/>
        <v>1946.3197408136066</v>
      </c>
      <c r="R1546" s="4">
        <f t="shared" ca="1" si="156"/>
        <v>22.649696813606624</v>
      </c>
      <c r="S1546" s="4">
        <f t="shared" ca="1" si="157"/>
        <v>11.674328459753051</v>
      </c>
    </row>
    <row r="1547" spans="15:19" x14ac:dyDescent="0.2">
      <c r="O1547" s="4">
        <f t="shared" ca="1" si="153"/>
        <v>0.1542649515625043</v>
      </c>
      <c r="P1547" s="4">
        <f t="shared" ca="1" si="154"/>
        <v>-1.018311588047651</v>
      </c>
      <c r="Q1547" s="4">
        <f t="shared" ca="1" si="155"/>
        <v>1942.4784710673205</v>
      </c>
      <c r="R1547" s="4">
        <f t="shared" ca="1" si="156"/>
        <v>18.808427067320508</v>
      </c>
      <c r="S1547" s="4">
        <f t="shared" ca="1" si="157"/>
        <v>9.6650135673245003</v>
      </c>
    </row>
    <row r="1548" spans="15:19" x14ac:dyDescent="0.2">
      <c r="O1548" s="4">
        <f t="shared" ca="1" si="153"/>
        <v>0.15909867555768997</v>
      </c>
      <c r="P1548" s="4">
        <f t="shared" ca="1" si="154"/>
        <v>-0.99816913357716353</v>
      </c>
      <c r="Q1548" s="4">
        <f t="shared" ca="1" si="155"/>
        <v>1942.0984097094495</v>
      </c>
      <c r="R1548" s="4">
        <f t="shared" ca="1" si="156"/>
        <v>18.428365709449508</v>
      </c>
      <c r="S1548" s="4">
        <f t="shared" ca="1" si="157"/>
        <v>9.4668618333317873</v>
      </c>
    </row>
    <row r="1549" spans="15:19" x14ac:dyDescent="0.2">
      <c r="O1549" s="4">
        <f t="shared" ca="1" si="153"/>
        <v>0.77606365743073302</v>
      </c>
      <c r="P1549" s="4">
        <f t="shared" ca="1" si="154"/>
        <v>0.75896635217573027</v>
      </c>
      <c r="Q1549" s="4">
        <f t="shared" ca="1" si="155"/>
        <v>1908.9435973375423</v>
      </c>
      <c r="R1549" s="4">
        <f t="shared" ca="1" si="156"/>
        <v>-14.726446662457647</v>
      </c>
      <c r="S1549" s="4">
        <f t="shared" ca="1" si="157"/>
        <v>-7.366391161686825</v>
      </c>
    </row>
    <row r="1550" spans="15:19" x14ac:dyDescent="0.2">
      <c r="O1550" s="4">
        <f t="shared" ca="1" si="153"/>
        <v>2.378617378742176E-2</v>
      </c>
      <c r="P1550" s="4">
        <f t="shared" ca="1" si="154"/>
        <v>-1.981168793543306</v>
      </c>
      <c r="Q1550" s="4">
        <f t="shared" ca="1" si="155"/>
        <v>1960.6463074396358</v>
      </c>
      <c r="R1550" s="4">
        <f t="shared" ca="1" si="156"/>
        <v>36.976263439635886</v>
      </c>
      <c r="S1550" s="4">
        <f t="shared" ca="1" si="157"/>
        <v>19.274309712206588</v>
      </c>
    </row>
    <row r="1551" spans="15:19" x14ac:dyDescent="0.2">
      <c r="O1551" s="4">
        <f t="shared" ca="1" si="153"/>
        <v>0.63727804795639797</v>
      </c>
      <c r="P1551" s="4">
        <f t="shared" ca="1" si="154"/>
        <v>0.35119254303672842</v>
      </c>
      <c r="Q1551" s="4">
        <f t="shared" ca="1" si="155"/>
        <v>1916.6377474140736</v>
      </c>
      <c r="R1551" s="4">
        <f t="shared" ca="1" si="156"/>
        <v>-7.0322965859263604</v>
      </c>
      <c r="S1551" s="4">
        <f t="shared" ca="1" si="157"/>
        <v>-3.5396865385665959</v>
      </c>
    </row>
    <row r="1552" spans="15:19" x14ac:dyDescent="0.2">
      <c r="O1552" s="4">
        <f t="shared" ca="1" si="153"/>
        <v>0.12590031274446412</v>
      </c>
      <c r="P1552" s="4">
        <f t="shared" ca="1" si="154"/>
        <v>-1.1459867718504901</v>
      </c>
      <c r="Q1552" s="4">
        <f t="shared" ca="1" si="155"/>
        <v>1944.8875321772089</v>
      </c>
      <c r="R1552" s="4">
        <f t="shared" ca="1" si="156"/>
        <v>21.217488177208907</v>
      </c>
      <c r="S1552" s="4">
        <f t="shared" ca="1" si="157"/>
        <v>10.923755497210296</v>
      </c>
    </row>
    <row r="1553" spans="15:19" x14ac:dyDescent="0.2">
      <c r="O1553" s="4">
        <f t="shared" ca="1" si="153"/>
        <v>0.77303232988859627</v>
      </c>
      <c r="P1553" s="4">
        <f t="shared" ca="1" si="154"/>
        <v>0.74887037070586271</v>
      </c>
      <c r="Q1553" s="4">
        <f t="shared" ca="1" si="155"/>
        <v>1909.1340950960007</v>
      </c>
      <c r="R1553" s="4">
        <f t="shared" ca="1" si="156"/>
        <v>-14.53594890399927</v>
      </c>
      <c r="S1553" s="4">
        <f t="shared" ca="1" si="157"/>
        <v>-7.2722285055913662</v>
      </c>
    </row>
    <row r="1554" spans="15:19" x14ac:dyDescent="0.2">
      <c r="O1554" s="4">
        <f t="shared" ca="1" si="153"/>
        <v>0.4008217572836873</v>
      </c>
      <c r="P1554" s="4">
        <f t="shared" ca="1" si="154"/>
        <v>-0.25122065704372581</v>
      </c>
      <c r="Q1554" s="4">
        <f t="shared" ca="1" si="155"/>
        <v>1928.004484231451</v>
      </c>
      <c r="R1554" s="4">
        <f t="shared" ca="1" si="156"/>
        <v>4.3344402314510262</v>
      </c>
      <c r="S1554" s="4">
        <f t="shared" ca="1" si="157"/>
        <v>2.2017838616151861</v>
      </c>
    </row>
    <row r="1555" spans="15:19" x14ac:dyDescent="0.2">
      <c r="O1555" s="4">
        <f t="shared" ca="1" si="153"/>
        <v>0.604934742446812</v>
      </c>
      <c r="P1555" s="4">
        <f t="shared" ca="1" si="154"/>
        <v>0.26614113599813866</v>
      </c>
      <c r="Q1555" s="4">
        <f t="shared" ca="1" si="155"/>
        <v>1918.2425544794337</v>
      </c>
      <c r="R1555" s="4">
        <f t="shared" ca="1" si="156"/>
        <v>-5.4274895205662688</v>
      </c>
      <c r="S1555" s="4">
        <f t="shared" ca="1" si="157"/>
        <v>-2.7354570573346764</v>
      </c>
    </row>
    <row r="1556" spans="15:19" x14ac:dyDescent="0.2">
      <c r="O1556" s="4">
        <f t="shared" ca="1" si="153"/>
        <v>0.32781325183913868</v>
      </c>
      <c r="P1556" s="4">
        <f t="shared" ca="1" si="154"/>
        <v>-0.4459594966419051</v>
      </c>
      <c r="Q1556" s="4">
        <f t="shared" ca="1" si="155"/>
        <v>1931.6789474363379</v>
      </c>
      <c r="R1556" s="4">
        <f t="shared" ca="1" si="156"/>
        <v>8.0089034363379596</v>
      </c>
      <c r="S1556" s="4">
        <f t="shared" ca="1" si="157"/>
        <v>4.0802958176808541</v>
      </c>
    </row>
    <row r="1557" spans="15:19" x14ac:dyDescent="0.2">
      <c r="O1557" s="4">
        <f t="shared" ca="1" si="153"/>
        <v>1.3388377054368572E-2</v>
      </c>
      <c r="P1557" s="4">
        <f t="shared" ca="1" si="154"/>
        <v>-2.214756912947466</v>
      </c>
      <c r="Q1557" s="4">
        <f t="shared" ca="1" si="155"/>
        <v>1965.0538049456309</v>
      </c>
      <c r="R1557" s="4">
        <f t="shared" ca="1" si="156"/>
        <v>41.383760945630911</v>
      </c>
      <c r="S1557" s="4">
        <f t="shared" ca="1" si="157"/>
        <v>21.64601827546851</v>
      </c>
    </row>
    <row r="1558" spans="15:19" x14ac:dyDescent="0.2">
      <c r="O1558" s="4">
        <f t="shared" ca="1" si="153"/>
        <v>0.95131571609224896</v>
      </c>
      <c r="P1558" s="4">
        <f t="shared" ca="1" si="154"/>
        <v>1.6577468768138099</v>
      </c>
      <c r="Q1558" s="4">
        <f t="shared" ca="1" si="155"/>
        <v>1891.9848028111592</v>
      </c>
      <c r="R1558" s="4">
        <f t="shared" ca="1" si="156"/>
        <v>-31.685241188840791</v>
      </c>
      <c r="S1558" s="4">
        <f t="shared" ca="1" si="157"/>
        <v>-15.630700459005292</v>
      </c>
    </row>
    <row r="1559" spans="15:19" x14ac:dyDescent="0.2">
      <c r="O1559" s="4">
        <f t="shared" ca="1" si="153"/>
        <v>0.44766866090600432</v>
      </c>
      <c r="P1559" s="4">
        <f t="shared" ca="1" si="154"/>
        <v>-0.13155368403315595</v>
      </c>
      <c r="Q1559" s="4">
        <f t="shared" ca="1" si="155"/>
        <v>1925.7465274208071</v>
      </c>
      <c r="R1559" s="4">
        <f t="shared" ca="1" si="156"/>
        <v>2.0764834208071079</v>
      </c>
      <c r="S1559" s="4">
        <f t="shared" ca="1" si="157"/>
        <v>1.0528914409002283</v>
      </c>
    </row>
    <row r="1560" spans="15:19" x14ac:dyDescent="0.2">
      <c r="O1560" s="4">
        <f t="shared" ca="1" si="153"/>
        <v>0.31329550949082152</v>
      </c>
      <c r="P1560" s="4">
        <f t="shared" ca="1" si="154"/>
        <v>-0.48653059459223513</v>
      </c>
      <c r="Q1560" s="4">
        <f t="shared" ca="1" si="155"/>
        <v>1932.4444701585026</v>
      </c>
      <c r="R1560" s="4">
        <f t="shared" ca="1" si="156"/>
        <v>8.7744261585025924</v>
      </c>
      <c r="S1560" s="4">
        <f t="shared" ca="1" si="157"/>
        <v>4.4730409514813481</v>
      </c>
    </row>
    <row r="1561" spans="15:19" x14ac:dyDescent="0.2">
      <c r="O1561" s="4">
        <f t="shared" ca="1" si="153"/>
        <v>0.5635093454178981</v>
      </c>
      <c r="P1561" s="4">
        <f t="shared" ca="1" si="154"/>
        <v>0.1598727570721736</v>
      </c>
      <c r="Q1561" s="4">
        <f t="shared" ca="1" si="155"/>
        <v>1920.2476976188925</v>
      </c>
      <c r="R1561" s="4">
        <f t="shared" ca="1" si="156"/>
        <v>-3.4223463811074453</v>
      </c>
      <c r="S1561" s="4">
        <f t="shared" ca="1" si="157"/>
        <v>-1.7276574797883892</v>
      </c>
    </row>
    <row r="1562" spans="15:19" x14ac:dyDescent="0.2">
      <c r="O1562" s="4">
        <f t="shared" ca="1" si="153"/>
        <v>0.64826173152106048</v>
      </c>
      <c r="P1562" s="4">
        <f t="shared" ca="1" si="154"/>
        <v>0.38063172518424931</v>
      </c>
      <c r="Q1562" s="4">
        <f t="shared" ca="1" si="155"/>
        <v>1916.0822691550563</v>
      </c>
      <c r="R1562" s="4">
        <f t="shared" ca="1" si="156"/>
        <v>-7.587774844943624</v>
      </c>
      <c r="S1562" s="4">
        <f t="shared" ca="1" si="157"/>
        <v>-3.8175692112940447</v>
      </c>
    </row>
    <row r="1563" spans="15:19" x14ac:dyDescent="0.2">
      <c r="O1563" s="4">
        <f t="shared" ca="1" si="153"/>
        <v>0.75342975886500918</v>
      </c>
      <c r="P1563" s="4">
        <f t="shared" ca="1" si="154"/>
        <v>0.6853224277382618</v>
      </c>
      <c r="Q1563" s="4">
        <f t="shared" ca="1" si="155"/>
        <v>1910.3331603603442</v>
      </c>
      <c r="R1563" s="4">
        <f t="shared" ca="1" si="156"/>
        <v>-13.336883639655753</v>
      </c>
      <c r="S1563" s="4">
        <f t="shared" ca="1" si="157"/>
        <v>-6.6788547252128962</v>
      </c>
    </row>
    <row r="1564" spans="15:19" x14ac:dyDescent="0.2">
      <c r="O1564" s="4">
        <f t="shared" ca="1" si="153"/>
        <v>0.40321603273234918</v>
      </c>
      <c r="P1564" s="4">
        <f t="shared" ca="1" si="154"/>
        <v>-0.24503146865860778</v>
      </c>
      <c r="Q1564" s="4">
        <f t="shared" ca="1" si="155"/>
        <v>1927.8877024685723</v>
      </c>
      <c r="R1564" s="4">
        <f t="shared" ca="1" si="156"/>
        <v>4.217658468572381</v>
      </c>
      <c r="S1564" s="4">
        <f t="shared" ca="1" si="157"/>
        <v>2.1422612374727952</v>
      </c>
    </row>
    <row r="1565" spans="15:19" x14ac:dyDescent="0.2">
      <c r="O1565" s="4">
        <f t="shared" ca="1" si="153"/>
        <v>0.71029682529358196</v>
      </c>
      <c r="P1565" s="4">
        <f t="shared" ca="1" si="154"/>
        <v>0.55425206704359908</v>
      </c>
      <c r="Q1565" s="4">
        <f t="shared" ca="1" si="155"/>
        <v>1912.8062839479016</v>
      </c>
      <c r="R1565" s="4">
        <f t="shared" ca="1" si="156"/>
        <v>-10.863760052098314</v>
      </c>
      <c r="S1565" s="4">
        <f t="shared" ca="1" si="157"/>
        <v>-5.4512989158000087</v>
      </c>
    </row>
    <row r="1566" spans="15:19" x14ac:dyDescent="0.2">
      <c r="O1566" s="4">
        <f t="shared" ca="1" si="153"/>
        <v>0.18059867887249093</v>
      </c>
      <c r="P1566" s="4">
        <f t="shared" ca="1" si="154"/>
        <v>-0.91308591458353716</v>
      </c>
      <c r="Q1566" s="4">
        <f t="shared" ca="1" si="155"/>
        <v>1940.4930023947579</v>
      </c>
      <c r="R1566" s="4">
        <f t="shared" ca="1" si="156"/>
        <v>16.822958394757961</v>
      </c>
      <c r="S1566" s="4">
        <f t="shared" ca="1" si="157"/>
        <v>8.6311517655859262</v>
      </c>
    </row>
    <row r="1567" spans="15:19" x14ac:dyDescent="0.2">
      <c r="O1567" s="4">
        <f t="shared" ca="1" si="153"/>
        <v>3.5252542548397492E-2</v>
      </c>
      <c r="P1567" s="4">
        <f t="shared" ca="1" si="154"/>
        <v>-1.8086519960829948</v>
      </c>
      <c r="Q1567" s="4">
        <f t="shared" ca="1" si="155"/>
        <v>1957.3911446493012</v>
      </c>
      <c r="R1567" s="4">
        <f t="shared" ca="1" si="156"/>
        <v>33.721100649301206</v>
      </c>
      <c r="S1567" s="4">
        <f t="shared" ca="1" si="157"/>
        <v>17.532835001125402</v>
      </c>
    </row>
    <row r="1568" spans="15:19" x14ac:dyDescent="0.2">
      <c r="O1568" s="4">
        <f t="shared" ca="1" si="153"/>
        <v>0.17262481075726033</v>
      </c>
      <c r="P1568" s="4">
        <f t="shared" ca="1" si="154"/>
        <v>-0.94384351227810814</v>
      </c>
      <c r="Q1568" s="4">
        <f t="shared" ca="1" si="155"/>
        <v>1941.0733574037158</v>
      </c>
      <c r="R1568" s="4">
        <f t="shared" ca="1" si="156"/>
        <v>17.403313403715856</v>
      </c>
      <c r="S1568" s="4">
        <f t="shared" ca="1" si="157"/>
        <v>8.9330189297288474</v>
      </c>
    </row>
    <row r="1569" spans="15:19" x14ac:dyDescent="0.2">
      <c r="O1569" s="4">
        <f t="shared" ca="1" si="153"/>
        <v>4.3744276925501535E-2</v>
      </c>
      <c r="P1569" s="4">
        <f t="shared" ca="1" si="154"/>
        <v>-1.7087970258307053</v>
      </c>
      <c r="Q1569" s="4">
        <f t="shared" ca="1" si="155"/>
        <v>1955.5070140117036</v>
      </c>
      <c r="R1569" s="4">
        <f t="shared" ca="1" si="156"/>
        <v>31.83697001170367</v>
      </c>
      <c r="S1569" s="4">
        <f t="shared" ca="1" si="157"/>
        <v>16.528788439155853</v>
      </c>
    </row>
    <row r="1570" spans="15:19" x14ac:dyDescent="0.2">
      <c r="O1570" s="4">
        <f t="shared" ca="1" si="153"/>
        <v>0.10267028546267376</v>
      </c>
      <c r="P1570" s="4">
        <f t="shared" ca="1" si="154"/>
        <v>-1.266481996758539</v>
      </c>
      <c r="Q1570" s="4">
        <f t="shared" ca="1" si="155"/>
        <v>1947.1611170008771</v>
      </c>
      <c r="R1570" s="4">
        <f t="shared" ca="1" si="156"/>
        <v>23.491073000877122</v>
      </c>
      <c r="S1570" s="4">
        <f t="shared" ca="1" si="157"/>
        <v>12.116044464621854</v>
      </c>
    </row>
    <row r="1571" spans="15:19" x14ac:dyDescent="0.2">
      <c r="O1571" s="4">
        <f t="shared" ca="1" si="153"/>
        <v>0.45983763995562488</v>
      </c>
      <c r="P1571" s="4">
        <f t="shared" ca="1" si="154"/>
        <v>-0.10084276295854556</v>
      </c>
      <c r="Q1571" s="4">
        <f t="shared" ca="1" si="155"/>
        <v>1925.1670531376612</v>
      </c>
      <c r="R1571" s="4">
        <f t="shared" ca="1" si="156"/>
        <v>1.49700913766128</v>
      </c>
      <c r="S1571" s="4">
        <f t="shared" ca="1" si="157"/>
        <v>0.7587129454822884</v>
      </c>
    </row>
    <row r="1572" spans="15:19" x14ac:dyDescent="0.2">
      <c r="O1572" s="4">
        <f t="shared" ca="1" si="153"/>
        <v>8.7678330895934686E-2</v>
      </c>
      <c r="P1572" s="4">
        <f t="shared" ca="1" si="154"/>
        <v>-1.3551911557091543</v>
      </c>
      <c r="Q1572" s="4">
        <f t="shared" ca="1" si="155"/>
        <v>1948.8349409857231</v>
      </c>
      <c r="R1572" s="4">
        <f t="shared" ca="1" si="156"/>
        <v>25.16489698572309</v>
      </c>
      <c r="S1572" s="4">
        <f t="shared" ca="1" si="157"/>
        <v>12.996502901082803</v>
      </c>
    </row>
    <row r="1573" spans="15:19" x14ac:dyDescent="0.2">
      <c r="O1573" s="4">
        <f t="shared" ca="1" si="153"/>
        <v>0.44444959563479725</v>
      </c>
      <c r="P1573" s="4">
        <f t="shared" ca="1" si="154"/>
        <v>-0.13969726014180225</v>
      </c>
      <c r="Q1573" s="4">
        <f t="shared" ca="1" si="155"/>
        <v>1925.9001858837473</v>
      </c>
      <c r="R1573" s="4">
        <f t="shared" ca="1" si="156"/>
        <v>2.2301418837473648</v>
      </c>
      <c r="S1573" s="4">
        <f t="shared" ca="1" si="157"/>
        <v>1.130944237736667</v>
      </c>
    </row>
    <row r="1574" spans="15:19" x14ac:dyDescent="0.2">
      <c r="O1574" s="4">
        <f t="shared" ca="1" si="153"/>
        <v>0.58971470275465543</v>
      </c>
      <c r="P1574" s="4">
        <f t="shared" ca="1" si="154"/>
        <v>0.22681114832951391</v>
      </c>
      <c r="Q1574" s="4">
        <f t="shared" ca="1" si="155"/>
        <v>1918.9846590993197</v>
      </c>
      <c r="R1574" s="4">
        <f t="shared" ca="1" si="156"/>
        <v>-4.6853849006802193</v>
      </c>
      <c r="S1574" s="4">
        <f t="shared" ca="1" si="157"/>
        <v>-2.3628514074369225</v>
      </c>
    </row>
    <row r="1575" spans="15:19" x14ac:dyDescent="0.2">
      <c r="O1575" s="4">
        <f t="shared" ca="1" si="153"/>
        <v>0.45210705417278785</v>
      </c>
      <c r="P1575" s="4">
        <f t="shared" ca="1" si="154"/>
        <v>-0.12033963461562222</v>
      </c>
      <c r="Q1575" s="4">
        <f t="shared" ca="1" si="155"/>
        <v>1925.5349332054595</v>
      </c>
      <c r="R1575" s="4">
        <f t="shared" ca="1" si="156"/>
        <v>1.8648892054595763</v>
      </c>
      <c r="S1575" s="4">
        <f t="shared" ca="1" si="157"/>
        <v>0.94544089235284068</v>
      </c>
    </row>
    <row r="1576" spans="15:19" x14ac:dyDescent="0.2">
      <c r="O1576" s="4">
        <f t="shared" ca="1" si="153"/>
        <v>0.94848278365781902</v>
      </c>
      <c r="P1576" s="4">
        <f t="shared" ca="1" si="154"/>
        <v>1.6303173965170739</v>
      </c>
      <c r="Q1576" s="4">
        <f t="shared" ca="1" si="155"/>
        <v>1892.502360666015</v>
      </c>
      <c r="R1576" s="4">
        <f t="shared" ca="1" si="156"/>
        <v>-31.167683333984996</v>
      </c>
      <c r="S1576" s="4">
        <f t="shared" ca="1" si="157"/>
        <v>-15.381949575450282</v>
      </c>
    </row>
    <row r="1577" spans="15:19" x14ac:dyDescent="0.2">
      <c r="O1577" s="4">
        <f t="shared" ca="1" si="153"/>
        <v>0.94647447125029871</v>
      </c>
      <c r="P1577" s="4">
        <f t="shared" ca="1" si="154"/>
        <v>1.6115906002020102</v>
      </c>
      <c r="Q1577" s="4">
        <f t="shared" ca="1" si="155"/>
        <v>1892.8557104351064</v>
      </c>
      <c r="R1577" s="4">
        <f t="shared" ca="1" si="156"/>
        <v>-30.814333564893559</v>
      </c>
      <c r="S1577" s="4">
        <f t="shared" ca="1" si="157"/>
        <v>-15.211995819307427</v>
      </c>
    </row>
    <row r="1578" spans="15:19" x14ac:dyDescent="0.2">
      <c r="O1578" s="4">
        <f t="shared" ca="1" si="153"/>
        <v>0.95110653217380492</v>
      </c>
      <c r="P1578" s="4">
        <f t="shared" ca="1" si="154"/>
        <v>1.655678538994134</v>
      </c>
      <c r="Q1578" s="4">
        <f t="shared" ca="1" si="155"/>
        <v>1892.0238295981594</v>
      </c>
      <c r="R1578" s="4">
        <f t="shared" ca="1" si="156"/>
        <v>-31.646214401840552</v>
      </c>
      <c r="S1578" s="4">
        <f t="shared" ca="1" si="157"/>
        <v>-15.6119508389157</v>
      </c>
    </row>
    <row r="1579" spans="15:19" x14ac:dyDescent="0.2">
      <c r="O1579" s="4">
        <f t="shared" ca="1" si="153"/>
        <v>0.1860076761737276</v>
      </c>
      <c r="P1579" s="4">
        <f t="shared" ca="1" si="154"/>
        <v>-0.8927046634346093</v>
      </c>
      <c r="Q1579" s="4">
        <f t="shared" ca="1" si="155"/>
        <v>1940.1084352607909</v>
      </c>
      <c r="R1579" s="4">
        <f t="shared" ca="1" si="156"/>
        <v>16.438391260790922</v>
      </c>
      <c r="S1579" s="4">
        <f t="shared" ca="1" si="157"/>
        <v>8.4312732027744755</v>
      </c>
    </row>
    <row r="1580" spans="15:19" x14ac:dyDescent="0.2">
      <c r="O1580" s="4">
        <f t="shared" ca="1" si="153"/>
        <v>0.89089018386755126</v>
      </c>
      <c r="P1580" s="4">
        <f t="shared" ca="1" si="154"/>
        <v>1.2312760607167015</v>
      </c>
      <c r="Q1580" s="4">
        <f t="shared" ca="1" si="155"/>
        <v>1900.0317405711894</v>
      </c>
      <c r="R1580" s="4">
        <f t="shared" ca="1" si="156"/>
        <v>-23.638303428810559</v>
      </c>
      <c r="S1580" s="4">
        <f t="shared" ca="1" si="157"/>
        <v>-11.738482908071425</v>
      </c>
    </row>
    <row r="1581" spans="15:19" x14ac:dyDescent="0.2">
      <c r="O1581" s="4">
        <f t="shared" ca="1" si="153"/>
        <v>0.98372550827402838</v>
      </c>
      <c r="P1581" s="4">
        <f t="shared" ca="1" si="154"/>
        <v>2.1376029335907081</v>
      </c>
      <c r="Q1581" s="4">
        <f t="shared" ca="1" si="155"/>
        <v>1882.9305564784443</v>
      </c>
      <c r="R1581" s="4">
        <f t="shared" ca="1" si="156"/>
        <v>-40.739487521555702</v>
      </c>
      <c r="S1581" s="4">
        <f t="shared" ca="1" si="157"/>
        <v>-19.947112450176739</v>
      </c>
    </row>
    <row r="1582" spans="15:19" x14ac:dyDescent="0.2">
      <c r="O1582" s="4">
        <f t="shared" ca="1" si="153"/>
        <v>0.55592357911123169</v>
      </c>
      <c r="P1582" s="4">
        <f t="shared" ca="1" si="154"/>
        <v>0.14064190507379815</v>
      </c>
      <c r="Q1582" s="4">
        <f t="shared" ca="1" si="155"/>
        <v>1920.6105582491216</v>
      </c>
      <c r="R1582" s="4">
        <f t="shared" ca="1" si="156"/>
        <v>-3.0594857508783662</v>
      </c>
      <c r="S1582" s="4">
        <f t="shared" ca="1" si="157"/>
        <v>-1.5449313020887294</v>
      </c>
    </row>
    <row r="1583" spans="15:19" x14ac:dyDescent="0.2">
      <c r="O1583" s="4">
        <f t="shared" ca="1" si="153"/>
        <v>6.0914907915071592E-2</v>
      </c>
      <c r="P1583" s="4">
        <f t="shared" ca="1" si="154"/>
        <v>-1.5471386498027055</v>
      </c>
      <c r="Q1583" s="4">
        <f t="shared" ca="1" si="155"/>
        <v>1952.4567352090655</v>
      </c>
      <c r="R1583" s="4">
        <f t="shared" ca="1" si="156"/>
        <v>28.786691209065566</v>
      </c>
      <c r="S1583" s="4">
        <f t="shared" ca="1" si="157"/>
        <v>14.909432569924856</v>
      </c>
    </row>
    <row r="1584" spans="15:19" x14ac:dyDescent="0.2">
      <c r="O1584" s="4">
        <f t="shared" ca="1" si="153"/>
        <v>0.9637963996617771</v>
      </c>
      <c r="P1584" s="4">
        <f t="shared" ca="1" si="154"/>
        <v>1.796549292123669</v>
      </c>
      <c r="Q1584" s="4">
        <f t="shared" ca="1" si="155"/>
        <v>1889.3657856245622</v>
      </c>
      <c r="R1584" s="4">
        <f t="shared" ca="1" si="156"/>
        <v>-34.304258375437712</v>
      </c>
      <c r="S1584" s="4">
        <f t="shared" ca="1" si="157"/>
        <v>-16.886119800935067</v>
      </c>
    </row>
    <row r="1585" spans="15:19" x14ac:dyDescent="0.2">
      <c r="O1585" s="4">
        <f t="shared" ca="1" si="153"/>
        <v>0.62185166342614828</v>
      </c>
      <c r="P1585" s="4">
        <f t="shared" ca="1" si="154"/>
        <v>0.31034755277698145</v>
      </c>
      <c r="Q1585" s="4">
        <f t="shared" ca="1" si="155"/>
        <v>1917.4084381202681</v>
      </c>
      <c r="R1585" s="4">
        <f t="shared" ca="1" si="156"/>
        <v>-6.2616058797318601</v>
      </c>
      <c r="S1585" s="4">
        <f t="shared" ca="1" si="157"/>
        <v>-3.1537259767409682</v>
      </c>
    </row>
    <row r="1586" spans="15:19" x14ac:dyDescent="0.2">
      <c r="O1586" s="4">
        <f t="shared" ca="1" si="153"/>
        <v>0.29283765285742747</v>
      </c>
      <c r="P1586" s="4">
        <f t="shared" ca="1" si="154"/>
        <v>-0.54511372197027241</v>
      </c>
      <c r="Q1586" s="4">
        <f t="shared" ca="1" si="155"/>
        <v>1933.5498559481168</v>
      </c>
      <c r="R1586" s="4">
        <f t="shared" ca="1" si="156"/>
        <v>9.8798119481168669</v>
      </c>
      <c r="S1586" s="4">
        <f t="shared" ca="1" si="157"/>
        <v>5.040991885572641</v>
      </c>
    </row>
    <row r="1587" spans="15:19" x14ac:dyDescent="0.2">
      <c r="O1587" s="4">
        <f t="shared" ca="1" si="153"/>
        <v>0.70880078901240939</v>
      </c>
      <c r="P1587" s="4">
        <f t="shared" ca="1" si="154"/>
        <v>0.54988475388569114</v>
      </c>
      <c r="Q1587" s="4">
        <f t="shared" ca="1" si="155"/>
        <v>1912.8886893454899</v>
      </c>
      <c r="R1587" s="4">
        <f t="shared" ca="1" si="156"/>
        <v>-10.781354654510096</v>
      </c>
      <c r="S1587" s="4">
        <f t="shared" ca="1" si="157"/>
        <v>-5.4103105752972116</v>
      </c>
    </row>
    <row r="1588" spans="15:19" x14ac:dyDescent="0.2">
      <c r="O1588" s="4">
        <f t="shared" ca="1" si="153"/>
        <v>0.17574619889878063</v>
      </c>
      <c r="P1588" s="4">
        <f t="shared" ca="1" si="154"/>
        <v>-0.93169843055018675</v>
      </c>
      <c r="Q1588" s="4">
        <f t="shared" ca="1" si="155"/>
        <v>1940.8441958454889</v>
      </c>
      <c r="R1588" s="4">
        <f t="shared" ca="1" si="156"/>
        <v>17.17415184548895</v>
      </c>
      <c r="S1588" s="4">
        <f t="shared" ca="1" si="157"/>
        <v>8.8137895586988257</v>
      </c>
    </row>
    <row r="1589" spans="15:19" x14ac:dyDescent="0.2">
      <c r="O1589" s="4">
        <f t="shared" ca="1" si="153"/>
        <v>7.285039148161887E-2</v>
      </c>
      <c r="P1589" s="4">
        <f t="shared" ca="1" si="154"/>
        <v>-1.4548861490923057</v>
      </c>
      <c r="Q1589" s="4">
        <f t="shared" ca="1" si="155"/>
        <v>1950.7160530723195</v>
      </c>
      <c r="R1589" s="4">
        <f t="shared" ca="1" si="156"/>
        <v>27.046009072319521</v>
      </c>
      <c r="S1589" s="4">
        <f t="shared" ca="1" si="157"/>
        <v>13.988720392148384</v>
      </c>
    </row>
    <row r="1590" spans="15:19" x14ac:dyDescent="0.2">
      <c r="O1590" s="4">
        <f t="shared" ca="1" si="153"/>
        <v>0.30209007494694973</v>
      </c>
      <c r="P1590" s="4">
        <f t="shared" ca="1" si="154"/>
        <v>-0.51839865934502882</v>
      </c>
      <c r="Q1590" s="4">
        <f t="shared" ca="1" si="155"/>
        <v>1933.0457782056633</v>
      </c>
      <c r="R1590" s="4">
        <f t="shared" ca="1" si="156"/>
        <v>9.3757342056633206</v>
      </c>
      <c r="S1590" s="4">
        <f t="shared" ca="1" si="157"/>
        <v>4.7818716620840425</v>
      </c>
    </row>
    <row r="1591" spans="15:19" x14ac:dyDescent="0.2">
      <c r="O1591" s="4">
        <f t="shared" ca="1" si="153"/>
        <v>0.38848915061889477</v>
      </c>
      <c r="P1591" s="4">
        <f t="shared" ca="1" si="154"/>
        <v>-0.2832590035514837</v>
      </c>
      <c r="Q1591" s="4">
        <f t="shared" ca="1" si="155"/>
        <v>1928.6090052691188</v>
      </c>
      <c r="R1591" s="4">
        <f t="shared" ca="1" si="156"/>
        <v>4.9389612691188631</v>
      </c>
      <c r="S1591" s="4">
        <f t="shared" ca="1" si="157"/>
        <v>2.5100803484693883</v>
      </c>
    </row>
    <row r="1592" spans="15:19" x14ac:dyDescent="0.2">
      <c r="O1592" s="4">
        <f t="shared" ca="1" si="153"/>
        <v>0.3639164172559306</v>
      </c>
      <c r="P1592" s="4">
        <f t="shared" ca="1" si="154"/>
        <v>-0.34800978555111811</v>
      </c>
      <c r="Q1592" s="4">
        <f t="shared" ca="1" si="155"/>
        <v>1929.8307665081009</v>
      </c>
      <c r="R1592" s="4">
        <f t="shared" ca="1" si="156"/>
        <v>6.1607225081008892</v>
      </c>
      <c r="S1592" s="4">
        <f t="shared" ca="1" si="157"/>
        <v>3.1340681869647788</v>
      </c>
    </row>
    <row r="1593" spans="15:19" x14ac:dyDescent="0.2">
      <c r="O1593" s="4">
        <f t="shared" ca="1" si="153"/>
        <v>0.43108628964845597</v>
      </c>
      <c r="P1593" s="4">
        <f t="shared" ca="1" si="154"/>
        <v>-0.17360922795721631</v>
      </c>
      <c r="Q1593" s="4">
        <f t="shared" ca="1" si="155"/>
        <v>1926.5400596665029</v>
      </c>
      <c r="R1593" s="4">
        <f t="shared" ca="1" si="156"/>
        <v>2.8700156665029226</v>
      </c>
      <c r="S1593" s="4">
        <f t="shared" ca="1" si="157"/>
        <v>1.4561830670273996</v>
      </c>
    </row>
    <row r="1594" spans="15:19" x14ac:dyDescent="0.2">
      <c r="O1594" s="4">
        <f t="shared" ca="1" si="153"/>
        <v>0.62955663815311003</v>
      </c>
      <c r="P1594" s="4">
        <f t="shared" ca="1" si="154"/>
        <v>0.33067932116892629</v>
      </c>
      <c r="Q1594" s="4">
        <f t="shared" ca="1" si="155"/>
        <v>1917.0248046601907</v>
      </c>
      <c r="R1594" s="4">
        <f t="shared" ca="1" si="156"/>
        <v>-6.6452393398092227</v>
      </c>
      <c r="S1594" s="4">
        <f t="shared" ca="1" si="157"/>
        <v>-3.3459093895546155</v>
      </c>
    </row>
    <row r="1595" spans="15:19" x14ac:dyDescent="0.2">
      <c r="O1595" s="4">
        <f t="shared" ca="1" si="153"/>
        <v>0.15052256846112677</v>
      </c>
      <c r="P1595" s="4">
        <f t="shared" ca="1" si="154"/>
        <v>-1.0341947309050579</v>
      </c>
      <c r="Q1595" s="4">
        <f t="shared" ca="1" si="155"/>
        <v>1942.778164873281</v>
      </c>
      <c r="R1595" s="4">
        <f t="shared" ca="1" si="156"/>
        <v>19.108120873280996</v>
      </c>
      <c r="S1595" s="4">
        <f t="shared" ca="1" si="157"/>
        <v>9.821347179317133</v>
      </c>
    </row>
    <row r="1596" spans="15:19" x14ac:dyDescent="0.2">
      <c r="O1596" s="4">
        <f t="shared" ca="1" si="153"/>
        <v>0.52182624015078294</v>
      </c>
      <c r="P1596" s="4">
        <f t="shared" ca="1" si="154"/>
        <v>5.4737592576421301E-2</v>
      </c>
      <c r="Q1596" s="4">
        <f t="shared" ca="1" si="155"/>
        <v>1922.2314585074575</v>
      </c>
      <c r="R1596" s="4">
        <f t="shared" ca="1" si="156"/>
        <v>-1.4385854925424155</v>
      </c>
      <c r="S1596" s="4">
        <f t="shared" ca="1" si="157"/>
        <v>-0.72738362588397232</v>
      </c>
    </row>
    <row r="1597" spans="15:19" x14ac:dyDescent="0.2">
      <c r="O1597" s="4">
        <f t="shared" ca="1" si="153"/>
        <v>0.86996417608407606</v>
      </c>
      <c r="P1597" s="4">
        <f t="shared" ca="1" si="154"/>
        <v>1.1262218010878913</v>
      </c>
      <c r="Q1597" s="4">
        <f t="shared" ca="1" si="155"/>
        <v>1902.0139748923923</v>
      </c>
      <c r="R1597" s="4">
        <f t="shared" ca="1" si="156"/>
        <v>-21.656069107607664</v>
      </c>
      <c r="S1597" s="4">
        <f t="shared" ca="1" si="157"/>
        <v>-10.771604806586177</v>
      </c>
    </row>
    <row r="1598" spans="15:19" x14ac:dyDescent="0.2">
      <c r="O1598" s="4">
        <f t="shared" ca="1" si="153"/>
        <v>1.8512802465884381E-2</v>
      </c>
      <c r="P1598" s="4">
        <f t="shared" ca="1" si="154"/>
        <v>-2.0854816190190739</v>
      </c>
      <c r="Q1598" s="4">
        <f t="shared" ca="1" si="155"/>
        <v>1962.6145518833196</v>
      </c>
      <c r="R1598" s="4">
        <f t="shared" ca="1" si="156"/>
        <v>38.944507883319602</v>
      </c>
      <c r="S1598" s="4">
        <f t="shared" ca="1" si="157"/>
        <v>20.331482941793464</v>
      </c>
    </row>
    <row r="1599" spans="15:19" x14ac:dyDescent="0.2">
      <c r="O1599" s="4">
        <f t="shared" ca="1" si="153"/>
        <v>0.60762737466186756</v>
      </c>
      <c r="P1599" s="4">
        <f t="shared" ca="1" si="154"/>
        <v>0.27314045416116722</v>
      </c>
      <c r="Q1599" s="4">
        <f t="shared" ca="1" si="155"/>
        <v>1918.1104866438525</v>
      </c>
      <c r="R1599" s="4">
        <f t="shared" ca="1" si="156"/>
        <v>-5.5595573561474794</v>
      </c>
      <c r="S1599" s="4">
        <f t="shared" ca="1" si="157"/>
        <v>-2.8017204174001762</v>
      </c>
    </row>
    <row r="1600" spans="15:19" x14ac:dyDescent="0.2">
      <c r="O1600" s="4">
        <f t="shared" ca="1" si="153"/>
        <v>0.50183877823319534</v>
      </c>
      <c r="P1600" s="4">
        <f t="shared" ca="1" si="154"/>
        <v>4.6091498297160111E-3</v>
      </c>
      <c r="Q1600" s="4">
        <f t="shared" ca="1" si="155"/>
        <v>1923.1773156295967</v>
      </c>
      <c r="R1600" s="4">
        <f t="shared" ca="1" si="156"/>
        <v>-0.49272837040325612</v>
      </c>
      <c r="S1600" s="4">
        <f t="shared" ca="1" si="157"/>
        <v>-0.24932509855169105</v>
      </c>
    </row>
    <row r="1601" spans="15:19" x14ac:dyDescent="0.2">
      <c r="O1601" s="4">
        <f t="shared" ca="1" si="153"/>
        <v>0.83114753948835873</v>
      </c>
      <c r="P1601" s="4">
        <f t="shared" ca="1" si="154"/>
        <v>0.95870987757203852</v>
      </c>
      <c r="Q1601" s="4">
        <f t="shared" ca="1" si="155"/>
        <v>1905.1747023600556</v>
      </c>
      <c r="R1601" s="4">
        <f t="shared" ca="1" si="156"/>
        <v>-18.4953416399444</v>
      </c>
      <c r="S1601" s="4">
        <f t="shared" ca="1" si="157"/>
        <v>-9.2232738090981812</v>
      </c>
    </row>
    <row r="1602" spans="15:19" x14ac:dyDescent="0.2">
      <c r="O1602" s="4">
        <f t="shared" ca="1" si="153"/>
        <v>0.90614070407752245</v>
      </c>
      <c r="P1602" s="4">
        <f t="shared" ca="1" si="154"/>
        <v>1.3173581801536227</v>
      </c>
      <c r="Q1602" s="4">
        <f t="shared" ca="1" si="155"/>
        <v>1898.4074853321094</v>
      </c>
      <c r="R1602" s="4">
        <f t="shared" ca="1" si="156"/>
        <v>-25.262558667890517</v>
      </c>
      <c r="S1602" s="4">
        <f t="shared" ca="1" si="157"/>
        <v>-12.528364336142069</v>
      </c>
    </row>
    <row r="1603" spans="15:19" x14ac:dyDescent="0.2">
      <c r="O1603" s="4">
        <f t="shared" ref="O1603:O1666" ca="1" si="158">RAND()</f>
        <v>0.33199444407380019</v>
      </c>
      <c r="P1603" s="4">
        <f t="shared" ref="P1603:P1666" ca="1" si="159">NORMSINV(O1603)</f>
        <v>-0.4344125469216803</v>
      </c>
      <c r="Q1603" s="4">
        <f t="shared" ref="Q1603:Q1666" ca="1" si="160">$B$4*(1+$B$17-$B$32*P1603)</f>
        <v>1931.4610718345159</v>
      </c>
      <c r="R1603" s="4">
        <f t="shared" ref="R1603:R1666" ca="1" si="161">Q1603-$B$4</f>
        <v>7.7910278345159441</v>
      </c>
      <c r="S1603" s="4">
        <f t="shared" ref="S1603:S1666" ca="1" si="162">R1603*$B$12+0.5*$B$13*R1603^2</f>
        <v>3.9686037509131249</v>
      </c>
    </row>
    <row r="1604" spans="15:19" x14ac:dyDescent="0.2">
      <c r="O1604" s="4">
        <f t="shared" ca="1" si="158"/>
        <v>0.31462174815088784</v>
      </c>
      <c r="P1604" s="4">
        <f t="shared" ca="1" si="159"/>
        <v>-0.48279190899959079</v>
      </c>
      <c r="Q1604" s="4">
        <f t="shared" ca="1" si="160"/>
        <v>1932.3739261279786</v>
      </c>
      <c r="R1604" s="4">
        <f t="shared" ca="1" si="161"/>
        <v>8.7038821279786589</v>
      </c>
      <c r="S1604" s="4">
        <f t="shared" ca="1" si="162"/>
        <v>4.4368289598458679</v>
      </c>
    </row>
    <row r="1605" spans="15:19" x14ac:dyDescent="0.2">
      <c r="O1605" s="4">
        <f t="shared" ca="1" si="158"/>
        <v>0.69387872831524744</v>
      </c>
      <c r="P1605" s="4">
        <f t="shared" ca="1" si="159"/>
        <v>0.50687497811602278</v>
      </c>
      <c r="Q1605" s="4">
        <f t="shared" ca="1" si="160"/>
        <v>1913.7002266784748</v>
      </c>
      <c r="R1605" s="4">
        <f t="shared" ca="1" si="161"/>
        <v>-9.96981732152517</v>
      </c>
      <c r="S1605" s="4">
        <f t="shared" ca="1" si="162"/>
        <v>-5.0063576169544222</v>
      </c>
    </row>
    <row r="1606" spans="15:19" x14ac:dyDescent="0.2">
      <c r="O1606" s="4">
        <f t="shared" ca="1" si="158"/>
        <v>0.13276926893654328</v>
      </c>
      <c r="P1606" s="4">
        <f t="shared" ca="1" si="159"/>
        <v>-1.1133956605853279</v>
      </c>
      <c r="Q1606" s="4">
        <f t="shared" ca="1" si="160"/>
        <v>1944.2725812028816</v>
      </c>
      <c r="R1606" s="4">
        <f t="shared" ca="1" si="161"/>
        <v>20.602537202881649</v>
      </c>
      <c r="S1606" s="4">
        <f t="shared" ca="1" si="162"/>
        <v>10.601992583323655</v>
      </c>
    </row>
    <row r="1607" spans="15:19" x14ac:dyDescent="0.2">
      <c r="O1607" s="4">
        <f t="shared" ca="1" si="158"/>
        <v>0.9516934711013284</v>
      </c>
      <c r="P1607" s="4">
        <f t="shared" ca="1" si="159"/>
        <v>1.6615000554248414</v>
      </c>
      <c r="Q1607" s="4">
        <f t="shared" ca="1" si="160"/>
        <v>1891.9139853166312</v>
      </c>
      <c r="R1607" s="4">
        <f t="shared" ca="1" si="161"/>
        <v>-31.756058683368792</v>
      </c>
      <c r="S1607" s="4">
        <f t="shared" ca="1" si="162"/>
        <v>-15.664720106531885</v>
      </c>
    </row>
    <row r="1608" spans="15:19" x14ac:dyDescent="0.2">
      <c r="O1608" s="4">
        <f t="shared" ca="1" si="158"/>
        <v>0.46004329764754148</v>
      </c>
      <c r="P1608" s="4">
        <f t="shared" ca="1" si="159"/>
        <v>-0.1003246412455832</v>
      </c>
      <c r="Q1608" s="4">
        <f t="shared" ca="1" si="160"/>
        <v>1925.1572768692297</v>
      </c>
      <c r="R1608" s="4">
        <f t="shared" ca="1" si="161"/>
        <v>1.4872328692297287</v>
      </c>
      <c r="S1608" s="4">
        <f t="shared" ca="1" si="162"/>
        <v>0.75375222650134266</v>
      </c>
    </row>
    <row r="1609" spans="15:19" x14ac:dyDescent="0.2">
      <c r="O1609" s="4">
        <f t="shared" ca="1" si="158"/>
        <v>4.7396716997067934E-2</v>
      </c>
      <c r="P1609" s="4">
        <f t="shared" ca="1" si="159"/>
        <v>-1.6706368258559878</v>
      </c>
      <c r="Q1609" s="4">
        <f t="shared" ca="1" si="160"/>
        <v>1954.7869817316123</v>
      </c>
      <c r="R1609" s="4">
        <f t="shared" ca="1" si="161"/>
        <v>31.116937731612325</v>
      </c>
      <c r="S1609" s="4">
        <f t="shared" ca="1" si="162"/>
        <v>16.145849068189648</v>
      </c>
    </row>
    <row r="1610" spans="15:19" x14ac:dyDescent="0.2">
      <c r="O1610" s="4">
        <f t="shared" ca="1" si="158"/>
        <v>0.18115348026125</v>
      </c>
      <c r="P1610" s="4">
        <f t="shared" ca="1" si="159"/>
        <v>-0.91097800944949436</v>
      </c>
      <c r="Q1610" s="4">
        <f t="shared" ca="1" si="160"/>
        <v>1940.4532290250982</v>
      </c>
      <c r="R1610" s="4">
        <f t="shared" ca="1" si="161"/>
        <v>16.783185025098192</v>
      </c>
      <c r="S1610" s="4">
        <f t="shared" ca="1" si="162"/>
        <v>8.6104739955256093</v>
      </c>
    </row>
    <row r="1611" spans="15:19" x14ac:dyDescent="0.2">
      <c r="O1611" s="4">
        <f t="shared" ca="1" si="158"/>
        <v>0.12002663313686945</v>
      </c>
      <c r="P1611" s="4">
        <f t="shared" ca="1" si="159"/>
        <v>-1.1748536637439286</v>
      </c>
      <c r="Q1611" s="4">
        <f t="shared" ca="1" si="160"/>
        <v>1945.4322120793831</v>
      </c>
      <c r="R1611" s="4">
        <f t="shared" ca="1" si="161"/>
        <v>21.762168079383173</v>
      </c>
      <c r="S1611" s="4">
        <f t="shared" ca="1" si="162"/>
        <v>11.209007352435037</v>
      </c>
    </row>
    <row r="1612" spans="15:19" x14ac:dyDescent="0.2">
      <c r="O1612" s="4">
        <f t="shared" ca="1" si="158"/>
        <v>0.37974807995105375</v>
      </c>
      <c r="P1612" s="4">
        <f t="shared" ca="1" si="159"/>
        <v>-0.30614248705301766</v>
      </c>
      <c r="Q1612" s="4">
        <f t="shared" ca="1" si="160"/>
        <v>1929.0407862035208</v>
      </c>
      <c r="R1612" s="4">
        <f t="shared" ca="1" si="161"/>
        <v>5.3707422035208765</v>
      </c>
      <c r="S1612" s="4">
        <f t="shared" ca="1" si="162"/>
        <v>2.7304641689710922</v>
      </c>
    </row>
    <row r="1613" spans="15:19" x14ac:dyDescent="0.2">
      <c r="O1613" s="4">
        <f t="shared" ca="1" si="158"/>
        <v>0.49047963453042132</v>
      </c>
      <c r="P1613" s="4">
        <f t="shared" ca="1" si="159"/>
        <v>-2.3866282780904122E-2</v>
      </c>
      <c r="Q1613" s="4">
        <f t="shared" ca="1" si="160"/>
        <v>1923.7146092151336</v>
      </c>
      <c r="R1613" s="4">
        <f t="shared" ca="1" si="161"/>
        <v>4.4565215133616221E-2</v>
      </c>
      <c r="S1613" s="4">
        <f t="shared" ca="1" si="162"/>
        <v>2.2560156875960292E-2</v>
      </c>
    </row>
    <row r="1614" spans="15:19" x14ac:dyDescent="0.2">
      <c r="O1614" s="4">
        <f t="shared" ca="1" si="158"/>
        <v>0.97736226430306561</v>
      </c>
      <c r="P1614" s="4">
        <f t="shared" ca="1" si="159"/>
        <v>2.002086107618462</v>
      </c>
      <c r="Q1614" s="4">
        <f t="shared" ca="1" si="160"/>
        <v>1885.4875789589396</v>
      </c>
      <c r="R1614" s="4">
        <f t="shared" ca="1" si="161"/>
        <v>-38.182465041060368</v>
      </c>
      <c r="S1614" s="4">
        <f t="shared" ca="1" si="162"/>
        <v>-18.734871314080845</v>
      </c>
    </row>
    <row r="1615" spans="15:19" x14ac:dyDescent="0.2">
      <c r="O1615" s="4">
        <f t="shared" ca="1" si="158"/>
        <v>7.5192279149991825E-2</v>
      </c>
      <c r="P1615" s="4">
        <f t="shared" ca="1" si="159"/>
        <v>-1.4381744655840993</v>
      </c>
      <c r="Q1615" s="4">
        <f t="shared" ca="1" si="160"/>
        <v>1950.4007258049426</v>
      </c>
      <c r="R1615" s="4">
        <f t="shared" ca="1" si="161"/>
        <v>26.730681804942606</v>
      </c>
      <c r="S1615" s="4">
        <f t="shared" ca="1" si="162"/>
        <v>13.822195863330862</v>
      </c>
    </row>
    <row r="1616" spans="15:19" x14ac:dyDescent="0.2">
      <c r="O1616" s="4">
        <f t="shared" ca="1" si="158"/>
        <v>0.22867188193910282</v>
      </c>
      <c r="P1616" s="4">
        <f t="shared" ca="1" si="159"/>
        <v>-0.74322781851126574</v>
      </c>
      <c r="Q1616" s="4">
        <f t="shared" ca="1" si="160"/>
        <v>1937.2880057676982</v>
      </c>
      <c r="R1616" s="4">
        <f t="shared" ca="1" si="161"/>
        <v>13.617961767698262</v>
      </c>
      <c r="S1616" s="4">
        <f t="shared" ca="1" si="162"/>
        <v>6.9690361665529004</v>
      </c>
    </row>
    <row r="1617" spans="15:19" x14ac:dyDescent="0.2">
      <c r="O1617" s="4">
        <f t="shared" ca="1" si="158"/>
        <v>0.98298008053376629</v>
      </c>
      <c r="P1617" s="4">
        <f t="shared" ca="1" si="159"/>
        <v>2.1195994497197397</v>
      </c>
      <c r="Q1617" s="4">
        <f t="shared" ca="1" si="160"/>
        <v>1883.2702583025909</v>
      </c>
      <c r="R1617" s="4">
        <f t="shared" ca="1" si="161"/>
        <v>-40.399785697409015</v>
      </c>
      <c r="S1617" s="4">
        <f t="shared" ca="1" si="162"/>
        <v>-19.786372173289113</v>
      </c>
    </row>
    <row r="1618" spans="15:19" x14ac:dyDescent="0.2">
      <c r="O1618" s="4">
        <f t="shared" ca="1" si="158"/>
        <v>7.2327763663148081E-3</v>
      </c>
      <c r="P1618" s="4">
        <f t="shared" ca="1" si="159"/>
        <v>-2.4454898323262464</v>
      </c>
      <c r="Q1618" s="4">
        <f t="shared" ca="1" si="160"/>
        <v>1969.4074286201012</v>
      </c>
      <c r="R1618" s="4">
        <f t="shared" ca="1" si="161"/>
        <v>45.737384620101238</v>
      </c>
      <c r="S1618" s="4">
        <f t="shared" ca="1" si="162"/>
        <v>24.004263601156925</v>
      </c>
    </row>
    <row r="1619" spans="15:19" x14ac:dyDescent="0.2">
      <c r="O1619" s="4">
        <f t="shared" ca="1" si="158"/>
        <v>0.77159401253501414</v>
      </c>
      <c r="P1619" s="4">
        <f t="shared" ca="1" si="159"/>
        <v>0.74410661955671642</v>
      </c>
      <c r="Q1619" s="4">
        <f t="shared" ca="1" si="160"/>
        <v>1909.2239807518408</v>
      </c>
      <c r="R1619" s="4">
        <f t="shared" ca="1" si="161"/>
        <v>-14.446063248159135</v>
      </c>
      <c r="S1619" s="4">
        <f t="shared" ca="1" si="162"/>
        <v>-7.2277879488594046</v>
      </c>
    </row>
    <row r="1620" spans="15:19" x14ac:dyDescent="0.2">
      <c r="O1620" s="4">
        <f t="shared" ca="1" si="158"/>
        <v>0.61766000503186469</v>
      </c>
      <c r="P1620" s="4">
        <f t="shared" ca="1" si="159"/>
        <v>0.29934084858607102</v>
      </c>
      <c r="Q1620" s="4">
        <f t="shared" ca="1" si="160"/>
        <v>1917.6161200066347</v>
      </c>
      <c r="R1620" s="4">
        <f t="shared" ca="1" si="161"/>
        <v>-6.053923993365288</v>
      </c>
      <c r="S1620" s="4">
        <f t="shared" ca="1" si="162"/>
        <v>-3.0496365376748744</v>
      </c>
    </row>
    <row r="1621" spans="15:19" x14ac:dyDescent="0.2">
      <c r="O1621" s="4">
        <f t="shared" ca="1" si="158"/>
        <v>9.0732549665922591E-2</v>
      </c>
      <c r="P1621" s="4">
        <f t="shared" ca="1" si="159"/>
        <v>-1.3362575714549556</v>
      </c>
      <c r="Q1621" s="4">
        <f t="shared" ca="1" si="160"/>
        <v>1948.4776894029253</v>
      </c>
      <c r="R1621" s="4">
        <f t="shared" ca="1" si="161"/>
        <v>24.807645402925345</v>
      </c>
      <c r="S1621" s="4">
        <f t="shared" ca="1" si="162"/>
        <v>12.808391337419096</v>
      </c>
    </row>
    <row r="1622" spans="15:19" x14ac:dyDescent="0.2">
      <c r="O1622" s="4">
        <f t="shared" ca="1" si="158"/>
        <v>0.59237927252508016</v>
      </c>
      <c r="P1622" s="4">
        <f t="shared" ca="1" si="159"/>
        <v>0.23366964529864098</v>
      </c>
      <c r="Q1622" s="4">
        <f t="shared" ca="1" si="160"/>
        <v>1918.855248372595</v>
      </c>
      <c r="R1622" s="4">
        <f t="shared" ca="1" si="161"/>
        <v>-4.8147956274049193</v>
      </c>
      <c r="S1622" s="4">
        <f t="shared" ca="1" si="162"/>
        <v>-2.4278599236796099</v>
      </c>
    </row>
    <row r="1623" spans="15:19" x14ac:dyDescent="0.2">
      <c r="O1623" s="4">
        <f t="shared" ca="1" si="158"/>
        <v>0.24101289177744867</v>
      </c>
      <c r="P1623" s="4">
        <f t="shared" ca="1" si="159"/>
        <v>-0.70304808515507577</v>
      </c>
      <c r="Q1623" s="4">
        <f t="shared" ca="1" si="160"/>
        <v>1936.5298675755216</v>
      </c>
      <c r="R1623" s="4">
        <f t="shared" ca="1" si="161"/>
        <v>12.859823575521659</v>
      </c>
      <c r="S1623" s="4">
        <f t="shared" ca="1" si="162"/>
        <v>6.5770877532889296</v>
      </c>
    </row>
    <row r="1624" spans="15:19" x14ac:dyDescent="0.2">
      <c r="O1624" s="4">
        <f t="shared" ca="1" si="158"/>
        <v>4.5779566216087586E-2</v>
      </c>
      <c r="P1624" s="4">
        <f t="shared" ca="1" si="159"/>
        <v>-1.687230013112319</v>
      </c>
      <c r="Q1624" s="4">
        <f t="shared" ca="1" si="160"/>
        <v>1955.100073132131</v>
      </c>
      <c r="R1624" s="4">
        <f t="shared" ca="1" si="161"/>
        <v>31.43002913213104</v>
      </c>
      <c r="S1624" s="4">
        <f t="shared" ca="1" si="162"/>
        <v>16.312310604878274</v>
      </c>
    </row>
    <row r="1625" spans="15:19" x14ac:dyDescent="0.2">
      <c r="O1625" s="4">
        <f t="shared" ca="1" si="158"/>
        <v>0.82318426527816346</v>
      </c>
      <c r="P1625" s="4">
        <f t="shared" ca="1" si="159"/>
        <v>0.92756845064756732</v>
      </c>
      <c r="Q1625" s="4">
        <f t="shared" ca="1" si="160"/>
        <v>1905.7622997166886</v>
      </c>
      <c r="R1625" s="4">
        <f t="shared" ca="1" si="161"/>
        <v>-17.907744283311331</v>
      </c>
      <c r="S1625" s="4">
        <f t="shared" ca="1" si="162"/>
        <v>-8.9345336277972311</v>
      </c>
    </row>
    <row r="1626" spans="15:19" x14ac:dyDescent="0.2">
      <c r="O1626" s="4">
        <f t="shared" ca="1" si="158"/>
        <v>0.85253622976632948</v>
      </c>
      <c r="P1626" s="4">
        <f t="shared" ca="1" si="159"/>
        <v>1.0473730845076916</v>
      </c>
      <c r="Q1626" s="4">
        <f t="shared" ca="1" si="160"/>
        <v>1903.5017454286876</v>
      </c>
      <c r="R1626" s="4">
        <f t="shared" ca="1" si="161"/>
        <v>-20.168298571312334</v>
      </c>
      <c r="S1626" s="4">
        <f t="shared" ca="1" si="162"/>
        <v>-10.043810696323446</v>
      </c>
    </row>
    <row r="1627" spans="15:19" x14ac:dyDescent="0.2">
      <c r="O1627" s="4">
        <f t="shared" ca="1" si="158"/>
        <v>0.43650815566382384</v>
      </c>
      <c r="P1627" s="4">
        <f t="shared" ca="1" si="159"/>
        <v>-0.15982832429940103</v>
      </c>
      <c r="Q1627" s="4">
        <f t="shared" ca="1" si="160"/>
        <v>1926.2800323215456</v>
      </c>
      <c r="R1627" s="4">
        <f t="shared" ca="1" si="161"/>
        <v>2.609988321545643</v>
      </c>
      <c r="S1627" s="4">
        <f t="shared" ca="1" si="162"/>
        <v>1.3239746244123403</v>
      </c>
    </row>
    <row r="1628" spans="15:19" x14ac:dyDescent="0.2">
      <c r="O1628" s="4">
        <f t="shared" ca="1" si="158"/>
        <v>0.54964775909821617</v>
      </c>
      <c r="P1628" s="4">
        <f t="shared" ca="1" si="159"/>
        <v>0.12477146076917772</v>
      </c>
      <c r="Q1628" s="4">
        <f t="shared" ca="1" si="160"/>
        <v>1920.9100124502602</v>
      </c>
      <c r="R1628" s="4">
        <f t="shared" ca="1" si="161"/>
        <v>-2.7600315497397787</v>
      </c>
      <c r="S1628" s="4">
        <f t="shared" ca="1" si="162"/>
        <v>-1.3940540432990485</v>
      </c>
    </row>
    <row r="1629" spans="15:19" x14ac:dyDescent="0.2">
      <c r="O1629" s="4">
        <f t="shared" ca="1" si="158"/>
        <v>3.2779096620474846E-2</v>
      </c>
      <c r="P1629" s="4">
        <f t="shared" ca="1" si="159"/>
        <v>-1.8414325720904587</v>
      </c>
      <c r="Q1629" s="4">
        <f t="shared" ca="1" si="160"/>
        <v>1958.0096705716237</v>
      </c>
      <c r="R1629" s="4">
        <f t="shared" ca="1" si="161"/>
        <v>34.339626571623739</v>
      </c>
      <c r="S1629" s="4">
        <f t="shared" ca="1" si="162"/>
        <v>17.863075406525901</v>
      </c>
    </row>
    <row r="1630" spans="15:19" x14ac:dyDescent="0.2">
      <c r="O1630" s="4">
        <f t="shared" ca="1" si="158"/>
        <v>0.73556598710079624</v>
      </c>
      <c r="P1630" s="4">
        <f t="shared" ca="1" si="159"/>
        <v>0.62973492876025361</v>
      </c>
      <c r="Q1630" s="4">
        <f t="shared" ca="1" si="160"/>
        <v>1911.3820226215544</v>
      </c>
      <c r="R1630" s="4">
        <f t="shared" ca="1" si="161"/>
        <v>-12.288021378445592</v>
      </c>
      <c r="S1630" s="4">
        <f t="shared" ca="1" si="162"/>
        <v>-6.1588511729603024</v>
      </c>
    </row>
    <row r="1631" spans="15:19" x14ac:dyDescent="0.2">
      <c r="O1631" s="4">
        <f t="shared" ca="1" si="158"/>
        <v>0.23583319638621547</v>
      </c>
      <c r="P1631" s="4">
        <f t="shared" ca="1" si="159"/>
        <v>-0.71977036714698406</v>
      </c>
      <c r="Q1631" s="4">
        <f t="shared" ca="1" si="160"/>
        <v>1936.8453948222063</v>
      </c>
      <c r="R1631" s="4">
        <f t="shared" ca="1" si="161"/>
        <v>13.175350822206383</v>
      </c>
      <c r="S1631" s="4">
        <f t="shared" ca="1" si="162"/>
        <v>6.7401547312024332</v>
      </c>
    </row>
    <row r="1632" spans="15:19" x14ac:dyDescent="0.2">
      <c r="O1632" s="4">
        <f t="shared" ca="1" si="158"/>
        <v>0.63797853743922406</v>
      </c>
      <c r="P1632" s="4">
        <f t="shared" ca="1" si="159"/>
        <v>0.35306071298526481</v>
      </c>
      <c r="Q1632" s="4">
        <f t="shared" ca="1" si="160"/>
        <v>1916.6024975288915</v>
      </c>
      <c r="R1632" s="4">
        <f t="shared" ca="1" si="161"/>
        <v>-7.0675464711084715</v>
      </c>
      <c r="S1632" s="4">
        <f t="shared" ca="1" si="162"/>
        <v>-3.5573280550441688</v>
      </c>
    </row>
    <row r="1633" spans="15:19" x14ac:dyDescent="0.2">
      <c r="O1633" s="4">
        <f t="shared" ca="1" si="158"/>
        <v>0.96270422098719466</v>
      </c>
      <c r="P1633" s="4">
        <f t="shared" ca="1" si="159"/>
        <v>1.7829677205744103</v>
      </c>
      <c r="Q1633" s="4">
        <f t="shared" ca="1" si="160"/>
        <v>1889.6220518374312</v>
      </c>
      <c r="R1633" s="4">
        <f t="shared" ca="1" si="161"/>
        <v>-34.047992162568789</v>
      </c>
      <c r="S1633" s="4">
        <f t="shared" ca="1" si="162"/>
        <v>-16.763525710022467</v>
      </c>
    </row>
    <row r="1634" spans="15:19" x14ac:dyDescent="0.2">
      <c r="O1634" s="4">
        <f t="shared" ca="1" si="158"/>
        <v>0.9782360583656039</v>
      </c>
      <c r="P1634" s="4">
        <f t="shared" ca="1" si="159"/>
        <v>2.0186089191194401</v>
      </c>
      <c r="Q1634" s="4">
        <f t="shared" ca="1" si="160"/>
        <v>1885.1758154554348</v>
      </c>
      <c r="R1634" s="4">
        <f t="shared" ca="1" si="161"/>
        <v>-38.494228544565203</v>
      </c>
      <c r="S1634" s="4">
        <f t="shared" ca="1" si="162"/>
        <v>-18.882958065594121</v>
      </c>
    </row>
    <row r="1635" spans="15:19" x14ac:dyDescent="0.2">
      <c r="O1635" s="4">
        <f t="shared" ca="1" si="158"/>
        <v>0.14178317358145198</v>
      </c>
      <c r="P1635" s="4">
        <f t="shared" ca="1" si="159"/>
        <v>-1.0723422261246813</v>
      </c>
      <c r="Q1635" s="4">
        <f t="shared" ca="1" si="160"/>
        <v>1943.4979574315212</v>
      </c>
      <c r="R1635" s="4">
        <f t="shared" ca="1" si="161"/>
        <v>19.82791343152121</v>
      </c>
      <c r="S1635" s="4">
        <f t="shared" ca="1" si="162"/>
        <v>10.197121690879747</v>
      </c>
    </row>
    <row r="1636" spans="15:19" x14ac:dyDescent="0.2">
      <c r="O1636" s="4">
        <f t="shared" ca="1" si="158"/>
        <v>0.10319959016087321</v>
      </c>
      <c r="P1636" s="4">
        <f t="shared" ca="1" si="159"/>
        <v>-1.2635288637002144</v>
      </c>
      <c r="Q1636" s="4">
        <f t="shared" ca="1" si="160"/>
        <v>1947.1053953031185</v>
      </c>
      <c r="R1636" s="4">
        <f t="shared" ca="1" si="161"/>
        <v>23.435351303118523</v>
      </c>
      <c r="S1636" s="4">
        <f t="shared" ca="1" si="162"/>
        <v>12.086773182661855</v>
      </c>
    </row>
    <row r="1637" spans="15:19" x14ac:dyDescent="0.2">
      <c r="O1637" s="4">
        <f t="shared" ca="1" si="158"/>
        <v>0.50012618114850027</v>
      </c>
      <c r="P1637" s="4">
        <f t="shared" ca="1" si="159"/>
        <v>3.1628923982972843E-4</v>
      </c>
      <c r="Q1637" s="4">
        <f t="shared" ca="1" si="160"/>
        <v>1923.2583162061319</v>
      </c>
      <c r="R1637" s="4">
        <f t="shared" ca="1" si="161"/>
        <v>-0.41172779386806724</v>
      </c>
      <c r="S1637" s="4">
        <f t="shared" ca="1" si="162"/>
        <v>-0.20835163580676669</v>
      </c>
    </row>
    <row r="1638" spans="15:19" x14ac:dyDescent="0.2">
      <c r="O1638" s="4">
        <f t="shared" ca="1" si="158"/>
        <v>0.20627057394314308</v>
      </c>
      <c r="P1638" s="4">
        <f t="shared" ca="1" si="159"/>
        <v>-0.81942995908936733</v>
      </c>
      <c r="Q1638" s="4">
        <f t="shared" ca="1" si="160"/>
        <v>1938.7258389306439</v>
      </c>
      <c r="R1638" s="4">
        <f t="shared" ca="1" si="161"/>
        <v>15.05579493064397</v>
      </c>
      <c r="S1638" s="4">
        <f t="shared" ca="1" si="162"/>
        <v>7.7136640789826334</v>
      </c>
    </row>
    <row r="1639" spans="15:19" x14ac:dyDescent="0.2">
      <c r="O1639" s="4">
        <f t="shared" ca="1" si="158"/>
        <v>0.75388220226409952</v>
      </c>
      <c r="P1639" s="4">
        <f t="shared" ca="1" si="159"/>
        <v>0.68675743708774206</v>
      </c>
      <c r="Q1639" s="4">
        <f t="shared" ca="1" si="160"/>
        <v>1910.3060836402392</v>
      </c>
      <c r="R1639" s="4">
        <f t="shared" ca="1" si="161"/>
        <v>-13.363960359760767</v>
      </c>
      <c r="S1639" s="4">
        <f t="shared" ca="1" si="162"/>
        <v>-6.6922669267849795</v>
      </c>
    </row>
    <row r="1640" spans="15:19" x14ac:dyDescent="0.2">
      <c r="O1640" s="4">
        <f t="shared" ca="1" si="158"/>
        <v>0.80166065518977847</v>
      </c>
      <c r="P1640" s="4">
        <f t="shared" ca="1" si="159"/>
        <v>0.84756784256371132</v>
      </c>
      <c r="Q1640" s="4">
        <f t="shared" ca="1" si="160"/>
        <v>1907.2718049154423</v>
      </c>
      <c r="R1640" s="4">
        <f t="shared" ca="1" si="161"/>
        <v>-16.398239084557645</v>
      </c>
      <c r="S1640" s="4">
        <f t="shared" ca="1" si="162"/>
        <v>-8.1914874151046444</v>
      </c>
    </row>
    <row r="1641" spans="15:19" x14ac:dyDescent="0.2">
      <c r="O1641" s="4">
        <f t="shared" ca="1" si="158"/>
        <v>0.26593607490385762</v>
      </c>
      <c r="P1641" s="4">
        <f t="shared" ca="1" si="159"/>
        <v>-0.62515070797233918</v>
      </c>
      <c r="Q1641" s="4">
        <f t="shared" ca="1" si="160"/>
        <v>1935.0600475498616</v>
      </c>
      <c r="R1641" s="4">
        <f t="shared" ca="1" si="161"/>
        <v>11.390003549861603</v>
      </c>
      <c r="S1641" s="4">
        <f t="shared" ca="1" si="162"/>
        <v>5.8185413393653178</v>
      </c>
    </row>
    <row r="1642" spans="15:19" x14ac:dyDescent="0.2">
      <c r="O1642" s="4">
        <f t="shared" ca="1" si="158"/>
        <v>0.95556152178244758</v>
      </c>
      <c r="P1642" s="4">
        <f t="shared" ca="1" si="159"/>
        <v>1.7013517467944883</v>
      </c>
      <c r="Q1642" s="4">
        <f t="shared" ca="1" si="160"/>
        <v>1891.1620368409579</v>
      </c>
      <c r="R1642" s="4">
        <f t="shared" ca="1" si="161"/>
        <v>-32.508007159042108</v>
      </c>
      <c r="S1642" s="4">
        <f t="shared" ca="1" si="162"/>
        <v>-16.02569287556372</v>
      </c>
    </row>
    <row r="1643" spans="15:19" x14ac:dyDescent="0.2">
      <c r="O1643" s="4">
        <f t="shared" ca="1" si="158"/>
        <v>0.501669221853555</v>
      </c>
      <c r="P1643" s="4">
        <f t="shared" ca="1" si="159"/>
        <v>4.1841309032836184E-3</v>
      </c>
      <c r="Q1643" s="4">
        <f t="shared" ca="1" si="160"/>
        <v>1923.1853351721277</v>
      </c>
      <c r="R1643" s="4">
        <f t="shared" ca="1" si="161"/>
        <v>-0.4847088278722822</v>
      </c>
      <c r="S1643" s="4">
        <f t="shared" ca="1" si="162"/>
        <v>-0.24526871842435141</v>
      </c>
    </row>
    <row r="1644" spans="15:19" x14ac:dyDescent="0.2">
      <c r="O1644" s="4">
        <f t="shared" ca="1" si="158"/>
        <v>0.79286942601873023</v>
      </c>
      <c r="P1644" s="4">
        <f t="shared" ca="1" si="159"/>
        <v>0.81641792508216759</v>
      </c>
      <c r="Q1644" s="4">
        <f t="shared" ca="1" si="160"/>
        <v>1907.8595624776081</v>
      </c>
      <c r="R1644" s="4">
        <f t="shared" ca="1" si="161"/>
        <v>-15.81048152239191</v>
      </c>
      <c r="S1644" s="4">
        <f t="shared" ca="1" si="162"/>
        <v>-7.9016649746888197</v>
      </c>
    </row>
    <row r="1645" spans="15:19" x14ac:dyDescent="0.2">
      <c r="O1645" s="4">
        <f t="shared" ca="1" si="158"/>
        <v>0.29822101017878277</v>
      </c>
      <c r="P1645" s="4">
        <f t="shared" ca="1" si="159"/>
        <v>-0.52952397076269164</v>
      </c>
      <c r="Q1645" s="4">
        <f t="shared" ca="1" si="160"/>
        <v>1933.2556980528364</v>
      </c>
      <c r="R1645" s="4">
        <f t="shared" ca="1" si="161"/>
        <v>9.5856540528363894</v>
      </c>
      <c r="S1645" s="4">
        <f t="shared" ca="1" si="162"/>
        <v>4.8897554317044927</v>
      </c>
    </row>
    <row r="1646" spans="15:19" x14ac:dyDescent="0.2">
      <c r="O1646" s="4">
        <f t="shared" ca="1" si="158"/>
        <v>0.41849649504067343</v>
      </c>
      <c r="P1646" s="4">
        <f t="shared" ca="1" si="159"/>
        <v>-0.20574130744233343</v>
      </c>
      <c r="Q1646" s="4">
        <f t="shared" ca="1" si="160"/>
        <v>1927.1463493209351</v>
      </c>
      <c r="R1646" s="4">
        <f t="shared" ca="1" si="161"/>
        <v>3.4763053209351256</v>
      </c>
      <c r="S1646" s="4">
        <f t="shared" ca="1" si="162"/>
        <v>1.7646591124759399</v>
      </c>
    </row>
    <row r="1647" spans="15:19" x14ac:dyDescent="0.2">
      <c r="O1647" s="4">
        <f t="shared" ca="1" si="158"/>
        <v>0.41142194286466371</v>
      </c>
      <c r="P1647" s="4">
        <f t="shared" ca="1" si="159"/>
        <v>-0.22388872945747798</v>
      </c>
      <c r="Q1647" s="4">
        <f t="shared" ca="1" si="160"/>
        <v>1927.4887670666494</v>
      </c>
      <c r="R1647" s="4">
        <f t="shared" ca="1" si="161"/>
        <v>3.8187230666494543</v>
      </c>
      <c r="S1647" s="4">
        <f t="shared" ca="1" si="162"/>
        <v>1.9390111667285845</v>
      </c>
    </row>
    <row r="1648" spans="15:19" x14ac:dyDescent="0.2">
      <c r="O1648" s="4">
        <f t="shared" ca="1" si="158"/>
        <v>0.82287927975900643</v>
      </c>
      <c r="P1648" s="4">
        <f t="shared" ca="1" si="159"/>
        <v>0.92639365467092993</v>
      </c>
      <c r="Q1648" s="4">
        <f t="shared" ca="1" si="160"/>
        <v>1905.7844665561249</v>
      </c>
      <c r="R1648" s="4">
        <f t="shared" ca="1" si="161"/>
        <v>-17.885577443875036</v>
      </c>
      <c r="S1648" s="4">
        <f t="shared" ca="1" si="162"/>
        <v>-8.9236355353778514</v>
      </c>
    </row>
    <row r="1649" spans="15:19" x14ac:dyDescent="0.2">
      <c r="O1649" s="4">
        <f t="shared" ca="1" si="158"/>
        <v>0.88881366927439875</v>
      </c>
      <c r="P1649" s="4">
        <f t="shared" ca="1" si="159"/>
        <v>1.2202432879455483</v>
      </c>
      <c r="Q1649" s="4">
        <f t="shared" ca="1" si="160"/>
        <v>1900.2399143370344</v>
      </c>
      <c r="R1649" s="4">
        <f t="shared" ca="1" si="161"/>
        <v>-23.430129662965555</v>
      </c>
      <c r="S1649" s="4">
        <f t="shared" ca="1" si="162"/>
        <v>-11.637091941139076</v>
      </c>
    </row>
    <row r="1650" spans="15:19" x14ac:dyDescent="0.2">
      <c r="O1650" s="4">
        <f t="shared" ca="1" si="158"/>
        <v>0.69605413384823089</v>
      </c>
      <c r="P1650" s="4">
        <f t="shared" ca="1" si="159"/>
        <v>0.51308518781815693</v>
      </c>
      <c r="Q1650" s="4">
        <f t="shared" ca="1" si="160"/>
        <v>1913.5830482712695</v>
      </c>
      <c r="R1650" s="4">
        <f t="shared" ca="1" si="161"/>
        <v>-10.086995728730471</v>
      </c>
      <c r="S1650" s="4">
        <f t="shared" ca="1" si="162"/>
        <v>-5.0647177699965082</v>
      </c>
    </row>
    <row r="1651" spans="15:19" x14ac:dyDescent="0.2">
      <c r="O1651" s="4">
        <f t="shared" ca="1" si="158"/>
        <v>0.30814460720498227</v>
      </c>
      <c r="P1651" s="4">
        <f t="shared" ca="1" si="159"/>
        <v>-0.50111638735457398</v>
      </c>
      <c r="Q1651" s="4">
        <f t="shared" ca="1" si="160"/>
        <v>1932.7196846916172</v>
      </c>
      <c r="R1651" s="4">
        <f t="shared" ca="1" si="161"/>
        <v>9.0496406916172418</v>
      </c>
      <c r="S1651" s="4">
        <f t="shared" ca="1" si="162"/>
        <v>4.6143540984173397</v>
      </c>
    </row>
    <row r="1652" spans="15:19" x14ac:dyDescent="0.2">
      <c r="O1652" s="4">
        <f t="shared" ca="1" si="158"/>
        <v>0.74263426970100488</v>
      </c>
      <c r="P1652" s="4">
        <f t="shared" ca="1" si="159"/>
        <v>0.65148809343547209</v>
      </c>
      <c r="Q1652" s="4">
        <f t="shared" ca="1" si="160"/>
        <v>1910.9715693018475</v>
      </c>
      <c r="R1652" s="4">
        <f t="shared" ca="1" si="161"/>
        <v>-12.698474698152495</v>
      </c>
      <c r="S1652" s="4">
        <f t="shared" ca="1" si="162"/>
        <v>-6.3624518471459828</v>
      </c>
    </row>
    <row r="1653" spans="15:19" x14ac:dyDescent="0.2">
      <c r="O1653" s="4">
        <f t="shared" ca="1" si="158"/>
        <v>0.65504505958554071</v>
      </c>
      <c r="P1653" s="4">
        <f t="shared" ca="1" si="159"/>
        <v>0.39897736739147843</v>
      </c>
      <c r="Q1653" s="4">
        <f t="shared" ca="1" si="160"/>
        <v>1915.7361112576407</v>
      </c>
      <c r="R1653" s="4">
        <f t="shared" ca="1" si="161"/>
        <v>-7.9339327423592749</v>
      </c>
      <c r="S1653" s="4">
        <f t="shared" ca="1" si="162"/>
        <v>-3.990610562205795</v>
      </c>
    </row>
    <row r="1654" spans="15:19" x14ac:dyDescent="0.2">
      <c r="O1654" s="4">
        <f t="shared" ca="1" si="158"/>
        <v>0.83557791390475611</v>
      </c>
      <c r="P1654" s="4">
        <f t="shared" ca="1" si="159"/>
        <v>0.97644463376714374</v>
      </c>
      <c r="Q1654" s="4">
        <f t="shared" ca="1" si="160"/>
        <v>1904.8400710701649</v>
      </c>
      <c r="R1654" s="4">
        <f t="shared" ca="1" si="161"/>
        <v>-18.829972929835094</v>
      </c>
      <c r="S1654" s="4">
        <f t="shared" ca="1" si="162"/>
        <v>-9.3875830622870637</v>
      </c>
    </row>
    <row r="1655" spans="15:19" x14ac:dyDescent="0.2">
      <c r="O1655" s="4">
        <f t="shared" ca="1" si="158"/>
        <v>0.13903826021253562</v>
      </c>
      <c r="P1655" s="4">
        <f t="shared" ca="1" si="159"/>
        <v>-1.0846504072176919</v>
      </c>
      <c r="Q1655" s="4">
        <f t="shared" ca="1" si="160"/>
        <v>1943.7301964581002</v>
      </c>
      <c r="R1655" s="4">
        <f t="shared" ca="1" si="161"/>
        <v>20.06015245810022</v>
      </c>
      <c r="S1655" s="4">
        <f t="shared" ca="1" si="162"/>
        <v>10.318454273367344</v>
      </c>
    </row>
    <row r="1656" spans="15:19" x14ac:dyDescent="0.2">
      <c r="O1656" s="4">
        <f t="shared" ca="1" si="158"/>
        <v>0.38297343854892196</v>
      </c>
      <c r="P1656" s="4">
        <f t="shared" ca="1" si="159"/>
        <v>-0.29768069746353609</v>
      </c>
      <c r="Q1656" s="4">
        <f t="shared" ca="1" si="160"/>
        <v>1928.8811234749242</v>
      </c>
      <c r="R1656" s="4">
        <f t="shared" ca="1" si="161"/>
        <v>5.2110794749241904</v>
      </c>
      <c r="S1656" s="4">
        <f t="shared" ca="1" si="162"/>
        <v>2.6489535792489463</v>
      </c>
    </row>
    <row r="1657" spans="15:19" x14ac:dyDescent="0.2">
      <c r="O1657" s="4">
        <f t="shared" ca="1" si="158"/>
        <v>0.64538536865557172</v>
      </c>
      <c r="P1657" s="4">
        <f t="shared" ca="1" si="159"/>
        <v>0.37289141379919749</v>
      </c>
      <c r="Q1657" s="4">
        <f t="shared" ca="1" si="160"/>
        <v>1916.2283185483743</v>
      </c>
      <c r="R1657" s="4">
        <f t="shared" ca="1" si="161"/>
        <v>-7.4417254516256435</v>
      </c>
      <c r="S1657" s="4">
        <f t="shared" ca="1" si="162"/>
        <v>-3.7445311149162603</v>
      </c>
    </row>
    <row r="1658" spans="15:19" x14ac:dyDescent="0.2">
      <c r="O1658" s="4">
        <f t="shared" ca="1" si="158"/>
        <v>0.74731511989387034</v>
      </c>
      <c r="P1658" s="4">
        <f t="shared" ca="1" si="159"/>
        <v>0.66606467831774419</v>
      </c>
      <c r="Q1658" s="4">
        <f t="shared" ca="1" si="160"/>
        <v>1910.6965285091974</v>
      </c>
      <c r="R1658" s="4">
        <f t="shared" ca="1" si="161"/>
        <v>-12.973515490802583</v>
      </c>
      <c r="S1658" s="4">
        <f t="shared" ca="1" si="162"/>
        <v>-6.4988059378679868</v>
      </c>
    </row>
    <row r="1659" spans="15:19" x14ac:dyDescent="0.2">
      <c r="O1659" s="4">
        <f t="shared" ca="1" si="158"/>
        <v>0.21645879242873978</v>
      </c>
      <c r="P1659" s="4">
        <f t="shared" ca="1" si="159"/>
        <v>-0.78420882988616913</v>
      </c>
      <c r="Q1659" s="4">
        <f t="shared" ca="1" si="160"/>
        <v>1938.06126301164</v>
      </c>
      <c r="R1659" s="4">
        <f t="shared" ca="1" si="161"/>
        <v>14.391219011640032</v>
      </c>
      <c r="S1659" s="4">
        <f t="shared" ca="1" si="162"/>
        <v>7.3692829856169526</v>
      </c>
    </row>
    <row r="1660" spans="15:19" x14ac:dyDescent="0.2">
      <c r="O1660" s="4">
        <f t="shared" ca="1" si="158"/>
        <v>0.1702095032266534</v>
      </c>
      <c r="P1660" s="4">
        <f t="shared" ca="1" si="159"/>
        <v>-0.95333767908244149</v>
      </c>
      <c r="Q1660" s="4">
        <f t="shared" ca="1" si="160"/>
        <v>1941.2524997189087</v>
      </c>
      <c r="R1660" s="4">
        <f t="shared" ca="1" si="161"/>
        <v>17.582455718908705</v>
      </c>
      <c r="S1660" s="4">
        <f t="shared" ca="1" si="162"/>
        <v>9.0262538029225787</v>
      </c>
    </row>
    <row r="1661" spans="15:19" x14ac:dyDescent="0.2">
      <c r="O1661" s="4">
        <f t="shared" ca="1" si="158"/>
        <v>0.53720180354450764</v>
      </c>
      <c r="P1661" s="4">
        <f t="shared" ca="1" si="159"/>
        <v>9.338665379415502E-2</v>
      </c>
      <c r="Q1661" s="4">
        <f t="shared" ca="1" si="160"/>
        <v>1921.502202065132</v>
      </c>
      <c r="R1661" s="4">
        <f t="shared" ca="1" si="161"/>
        <v>-2.1678419348679654</v>
      </c>
      <c r="S1661" s="4">
        <f t="shared" ca="1" si="162"/>
        <v>-1.0954697836755383</v>
      </c>
    </row>
    <row r="1662" spans="15:19" x14ac:dyDescent="0.2">
      <c r="O1662" s="4">
        <f t="shared" ca="1" si="158"/>
        <v>0.57537917504534508</v>
      </c>
      <c r="P1662" s="4">
        <f t="shared" ca="1" si="159"/>
        <v>0.19008611554979371</v>
      </c>
      <c r="Q1662" s="4">
        <f t="shared" ca="1" si="160"/>
        <v>1919.677611680971</v>
      </c>
      <c r="R1662" s="4">
        <f t="shared" ca="1" si="161"/>
        <v>-3.9924323190289215</v>
      </c>
      <c r="S1662" s="4">
        <f t="shared" ca="1" si="162"/>
        <v>-2.0145198590253202</v>
      </c>
    </row>
    <row r="1663" spans="15:19" x14ac:dyDescent="0.2">
      <c r="O1663" s="4">
        <f t="shared" ca="1" si="158"/>
        <v>0.9881124308308844</v>
      </c>
      <c r="P1663" s="4">
        <f t="shared" ca="1" si="159"/>
        <v>2.2607436092117092</v>
      </c>
      <c r="Q1663" s="4">
        <f t="shared" ca="1" si="160"/>
        <v>1880.6070555141378</v>
      </c>
      <c r="R1663" s="4">
        <f t="shared" ca="1" si="161"/>
        <v>-43.062988485862206</v>
      </c>
      <c r="S1663" s="4">
        <f t="shared" ca="1" si="162"/>
        <v>-21.044028858020894</v>
      </c>
    </row>
    <row r="1664" spans="15:19" x14ac:dyDescent="0.2">
      <c r="O1664" s="4">
        <f t="shared" ca="1" si="158"/>
        <v>0.83974156245322862</v>
      </c>
      <c r="P1664" s="4">
        <f t="shared" ca="1" si="159"/>
        <v>0.99339627722512813</v>
      </c>
      <c r="Q1664" s="4">
        <f t="shared" ca="1" si="160"/>
        <v>1904.5202160773074</v>
      </c>
      <c r="R1664" s="4">
        <f t="shared" ca="1" si="161"/>
        <v>-19.149827922692566</v>
      </c>
      <c r="S1664" s="4">
        <f t="shared" ca="1" si="162"/>
        <v>-9.5445517038900629</v>
      </c>
    </row>
    <row r="1665" spans="15:19" x14ac:dyDescent="0.2">
      <c r="O1665" s="4">
        <f t="shared" ca="1" si="158"/>
        <v>0.73597549436188914</v>
      </c>
      <c r="P1665" s="4">
        <f t="shared" ca="1" si="159"/>
        <v>0.63098702032833076</v>
      </c>
      <c r="Q1665" s="4">
        <f t="shared" ca="1" si="160"/>
        <v>1911.3583973169898</v>
      </c>
      <c r="R1665" s="4">
        <f t="shared" ca="1" si="161"/>
        <v>-12.311646683010167</v>
      </c>
      <c r="S1665" s="4">
        <f t="shared" ca="1" si="162"/>
        <v>-6.1705739552236682</v>
      </c>
    </row>
    <row r="1666" spans="15:19" x14ac:dyDescent="0.2">
      <c r="O1666" s="4">
        <f t="shared" ca="1" si="158"/>
        <v>0.92782237215806662</v>
      </c>
      <c r="P1666" s="4">
        <f t="shared" ca="1" si="159"/>
        <v>1.4597628725387735</v>
      </c>
      <c r="Q1666" s="4">
        <f t="shared" ca="1" si="160"/>
        <v>1895.720497962501</v>
      </c>
      <c r="R1666" s="4">
        <f t="shared" ca="1" si="161"/>
        <v>-27.949546037498976</v>
      </c>
      <c r="S1666" s="4">
        <f t="shared" ca="1" si="162"/>
        <v>-13.830340800438256</v>
      </c>
    </row>
    <row r="1667" spans="15:19" x14ac:dyDescent="0.2">
      <c r="O1667" s="4">
        <f t="shared" ref="O1667:O1730" ca="1" si="163">RAND()</f>
        <v>2.1252981806387017E-2</v>
      </c>
      <c r="P1667" s="4">
        <f t="shared" ref="P1667:P1730" ca="1" si="164">NORMSINV(O1667)</f>
        <v>-2.028532168256469</v>
      </c>
      <c r="Q1667" s="4">
        <f t="shared" ref="Q1667:Q1730" ca="1" si="165">$B$4*(1+$B$17-$B$32*P1667)</f>
        <v>1961.5399914012012</v>
      </c>
      <c r="R1667" s="4">
        <f t="shared" ref="R1667:R1730" ca="1" si="166">Q1667-$B$4</f>
        <v>37.869947401201216</v>
      </c>
      <c r="S1667" s="4">
        <f t="shared" ref="S1667:S1730" ca="1" si="167">R1667*$B$12+0.5*$B$13*R1667^2</f>
        <v>19.75392968282344</v>
      </c>
    </row>
    <row r="1668" spans="15:19" x14ac:dyDescent="0.2">
      <c r="O1668" s="4">
        <f t="shared" ca="1" si="163"/>
        <v>0.3125941883818063</v>
      </c>
      <c r="P1668" s="4">
        <f t="shared" ca="1" si="164"/>
        <v>-0.48851037779642192</v>
      </c>
      <c r="Q1668" s="4">
        <f t="shared" ca="1" si="165"/>
        <v>1932.4818260375478</v>
      </c>
      <c r="R1668" s="4">
        <f t="shared" ca="1" si="166"/>
        <v>8.8117820375478004</v>
      </c>
      <c r="S1668" s="4">
        <f t="shared" ca="1" si="167"/>
        <v>4.4922182867734186</v>
      </c>
    </row>
    <row r="1669" spans="15:19" x14ac:dyDescent="0.2">
      <c r="O1669" s="4">
        <f t="shared" ca="1" si="163"/>
        <v>0.19840384604651307</v>
      </c>
      <c r="P1669" s="4">
        <f t="shared" ca="1" si="164"/>
        <v>-0.84733631233639706</v>
      </c>
      <c r="Q1669" s="4">
        <f t="shared" ca="1" si="165"/>
        <v>1939.2523947445757</v>
      </c>
      <c r="R1669" s="4">
        <f t="shared" ca="1" si="166"/>
        <v>15.582350744575706</v>
      </c>
      <c r="S1669" s="4">
        <f t="shared" ca="1" si="167"/>
        <v>7.9867789127062965</v>
      </c>
    </row>
    <row r="1670" spans="15:19" x14ac:dyDescent="0.2">
      <c r="O1670" s="4">
        <f t="shared" ca="1" si="163"/>
        <v>4.1349231585137369E-2</v>
      </c>
      <c r="P1670" s="4">
        <f t="shared" ca="1" si="164"/>
        <v>-1.7352391023547107</v>
      </c>
      <c r="Q1670" s="4">
        <f t="shared" ca="1" si="165"/>
        <v>1956.005940869072</v>
      </c>
      <c r="R1670" s="4">
        <f t="shared" ca="1" si="166"/>
        <v>32.33589686907203</v>
      </c>
      <c r="S1670" s="4">
        <f t="shared" ca="1" si="167"/>
        <v>16.794383467424655</v>
      </c>
    </row>
    <row r="1671" spans="15:19" x14ac:dyDescent="0.2">
      <c r="O1671" s="4">
        <f t="shared" ca="1" si="163"/>
        <v>0.6679217588751023</v>
      </c>
      <c r="P1671" s="4">
        <f t="shared" ca="1" si="164"/>
        <v>0.43418172572893199</v>
      </c>
      <c r="Q1671" s="4">
        <f t="shared" ca="1" si="165"/>
        <v>1915.0718517825942</v>
      </c>
      <c r="R1671" s="4">
        <f t="shared" ca="1" si="166"/>
        <v>-8.5981922174057672</v>
      </c>
      <c r="S1671" s="4">
        <f t="shared" ca="1" si="167"/>
        <v>-4.3223949350189601</v>
      </c>
    </row>
    <row r="1672" spans="15:19" x14ac:dyDescent="0.2">
      <c r="O1672" s="4">
        <f t="shared" ca="1" si="163"/>
        <v>0.96794841230562489</v>
      </c>
      <c r="P1672" s="4">
        <f t="shared" ca="1" si="164"/>
        <v>1.8514615915702348</v>
      </c>
      <c r="Q1672" s="4">
        <f t="shared" ca="1" si="165"/>
        <v>1888.3296634815504</v>
      </c>
      <c r="R1672" s="4">
        <f t="shared" ca="1" si="166"/>
        <v>-35.340380518449592</v>
      </c>
      <c r="S1672" s="4">
        <f t="shared" ca="1" si="167"/>
        <v>-17.381240719625417</v>
      </c>
    </row>
    <row r="1673" spans="15:19" x14ac:dyDescent="0.2">
      <c r="O1673" s="4">
        <f t="shared" ca="1" si="163"/>
        <v>9.1906032744388577E-2</v>
      </c>
      <c r="P1673" s="4">
        <f t="shared" ca="1" si="164"/>
        <v>-1.3291088361681695</v>
      </c>
      <c r="Q1673" s="4">
        <f t="shared" ca="1" si="165"/>
        <v>1948.3428022647099</v>
      </c>
      <c r="R1673" s="4">
        <f t="shared" ca="1" si="166"/>
        <v>24.672758264709955</v>
      </c>
      <c r="S1673" s="4">
        <f t="shared" ca="1" si="167"/>
        <v>12.737393256906746</v>
      </c>
    </row>
    <row r="1674" spans="15:19" x14ac:dyDescent="0.2">
      <c r="O1674" s="4">
        <f t="shared" ca="1" si="163"/>
        <v>0.60672292742143719</v>
      </c>
      <c r="P1674" s="4">
        <f t="shared" ca="1" si="164"/>
        <v>0.27078792802722335</v>
      </c>
      <c r="Q1674" s="4">
        <f t="shared" ca="1" si="165"/>
        <v>1918.1548756868165</v>
      </c>
      <c r="R1674" s="4">
        <f t="shared" ca="1" si="166"/>
        <v>-5.5151683131834943</v>
      </c>
      <c r="S1674" s="4">
        <f t="shared" ca="1" si="167"/>
        <v>-2.7794503628611884</v>
      </c>
    </row>
    <row r="1675" spans="15:19" x14ac:dyDescent="0.2">
      <c r="O1675" s="4">
        <f t="shared" ca="1" si="163"/>
        <v>0.73062002954580119</v>
      </c>
      <c r="P1675" s="4">
        <f t="shared" ca="1" si="164"/>
        <v>0.61468927966998399</v>
      </c>
      <c r="Q1675" s="4">
        <f t="shared" ca="1" si="165"/>
        <v>1911.6659140326869</v>
      </c>
      <c r="R1675" s="4">
        <f t="shared" ca="1" si="166"/>
        <v>-12.00412996731302</v>
      </c>
      <c r="S1675" s="4">
        <f t="shared" ca="1" si="167"/>
        <v>-6.0179498449410405</v>
      </c>
    </row>
    <row r="1676" spans="15:19" x14ac:dyDescent="0.2">
      <c r="O1676" s="4">
        <f t="shared" ca="1" si="163"/>
        <v>0.52963711278191994</v>
      </c>
      <c r="P1676" s="4">
        <f t="shared" ca="1" si="164"/>
        <v>7.4357689514747319E-2</v>
      </c>
      <c r="Q1676" s="4">
        <f t="shared" ca="1" si="165"/>
        <v>1921.8612533422993</v>
      </c>
      <c r="R1676" s="4">
        <f t="shared" ca="1" si="166"/>
        <v>-1.8087906577006834</v>
      </c>
      <c r="S1676" s="4">
        <f t="shared" ca="1" si="167"/>
        <v>-0.91429572985123941</v>
      </c>
    </row>
    <row r="1677" spans="15:19" x14ac:dyDescent="0.2">
      <c r="O1677" s="4">
        <f t="shared" ca="1" si="163"/>
        <v>2.0647199828507712E-2</v>
      </c>
      <c r="P1677" s="4">
        <f t="shared" ca="1" si="164"/>
        <v>-2.0405618276590163</v>
      </c>
      <c r="Q1677" s="4">
        <f t="shared" ca="1" si="165"/>
        <v>1961.7669750934799</v>
      </c>
      <c r="R1677" s="4">
        <f t="shared" ca="1" si="166"/>
        <v>38.096931093479952</v>
      </c>
      <c r="S1677" s="4">
        <f t="shared" ca="1" si="167"/>
        <v>19.875850244541468</v>
      </c>
    </row>
    <row r="1678" spans="15:19" x14ac:dyDescent="0.2">
      <c r="O1678" s="4">
        <f t="shared" ca="1" si="163"/>
        <v>0.75503508995957891</v>
      </c>
      <c r="P1678" s="4">
        <f t="shared" ca="1" si="164"/>
        <v>0.69042045007138719</v>
      </c>
      <c r="Q1678" s="4">
        <f t="shared" ca="1" si="165"/>
        <v>1910.2369674513211</v>
      </c>
      <c r="R1678" s="4">
        <f t="shared" ca="1" si="166"/>
        <v>-13.433076548678855</v>
      </c>
      <c r="S1678" s="4">
        <f t="shared" ca="1" si="167"/>
        <v>-6.7265002819986242</v>
      </c>
    </row>
    <row r="1679" spans="15:19" x14ac:dyDescent="0.2">
      <c r="O1679" s="4">
        <f t="shared" ca="1" si="163"/>
        <v>0.69477581804807953</v>
      </c>
      <c r="P1679" s="4">
        <f t="shared" ca="1" si="164"/>
        <v>0.50943355123720935</v>
      </c>
      <c r="Q1679" s="4">
        <f t="shared" ca="1" si="165"/>
        <v>1913.6519498025818</v>
      </c>
      <c r="R1679" s="4">
        <f t="shared" ca="1" si="166"/>
        <v>-10.018094197418122</v>
      </c>
      <c r="S1679" s="4">
        <f t="shared" ca="1" si="167"/>
        <v>-5.0304030413522591</v>
      </c>
    </row>
    <row r="1680" spans="15:19" x14ac:dyDescent="0.2">
      <c r="O1680" s="4">
        <f t="shared" ca="1" si="163"/>
        <v>0.73324051563435688</v>
      </c>
      <c r="P1680" s="4">
        <f t="shared" ca="1" si="164"/>
        <v>0.62264327191081348</v>
      </c>
      <c r="Q1680" s="4">
        <f t="shared" ca="1" si="165"/>
        <v>1911.5158327654822</v>
      </c>
      <c r="R1680" s="4">
        <f t="shared" ca="1" si="166"/>
        <v>-12.154211234517788</v>
      </c>
      <c r="S1680" s="4">
        <f t="shared" ca="1" si="167"/>
        <v>-6.0924465356534991</v>
      </c>
    </row>
    <row r="1681" spans="15:19" x14ac:dyDescent="0.2">
      <c r="O1681" s="4">
        <f t="shared" ca="1" si="163"/>
        <v>0.25505872197543866</v>
      </c>
      <c r="P1681" s="4">
        <f t="shared" ca="1" si="164"/>
        <v>-0.65865483181352957</v>
      </c>
      <c r="Q1681" s="4">
        <f t="shared" ca="1" si="165"/>
        <v>1935.6922258586185</v>
      </c>
      <c r="R1681" s="4">
        <f t="shared" ca="1" si="166"/>
        <v>12.022181858618524</v>
      </c>
      <c r="S1681" s="4">
        <f t="shared" ca="1" si="167"/>
        <v>6.1445810910132055</v>
      </c>
    </row>
    <row r="1682" spans="15:19" x14ac:dyDescent="0.2">
      <c r="O1682" s="4">
        <f t="shared" ca="1" si="163"/>
        <v>0.67723028928391926</v>
      </c>
      <c r="P1682" s="4">
        <f t="shared" ca="1" si="164"/>
        <v>0.45996767708744407</v>
      </c>
      <c r="Q1682" s="4">
        <f t="shared" ca="1" si="165"/>
        <v>1914.5853051354775</v>
      </c>
      <c r="R1682" s="4">
        <f t="shared" ca="1" si="166"/>
        <v>-9.0847388645224783</v>
      </c>
      <c r="S1682" s="4">
        <f t="shared" ca="1" si="167"/>
        <v>-4.5651873645519156</v>
      </c>
    </row>
    <row r="1683" spans="15:19" x14ac:dyDescent="0.2">
      <c r="O1683" s="4">
        <f t="shared" ca="1" si="163"/>
        <v>0.96967084067977538</v>
      </c>
      <c r="P1683" s="4">
        <f t="shared" ca="1" si="164"/>
        <v>1.8759778706851706</v>
      </c>
      <c r="Q1683" s="4">
        <f t="shared" ca="1" si="165"/>
        <v>1887.8670738629901</v>
      </c>
      <c r="R1683" s="4">
        <f t="shared" ca="1" si="166"/>
        <v>-35.802970137009879</v>
      </c>
      <c r="S1683" s="4">
        <f t="shared" ca="1" si="167"/>
        <v>-17.60201139592602</v>
      </c>
    </row>
    <row r="1684" spans="15:19" x14ac:dyDescent="0.2">
      <c r="O1684" s="4">
        <f t="shared" ca="1" si="163"/>
        <v>0.35508887588922478</v>
      </c>
      <c r="P1684" s="4">
        <f t="shared" ca="1" si="164"/>
        <v>-0.37161737363176373</v>
      </c>
      <c r="Q1684" s="4">
        <f t="shared" ca="1" si="165"/>
        <v>1930.2762103339828</v>
      </c>
      <c r="R1684" s="4">
        <f t="shared" ca="1" si="166"/>
        <v>6.6061663339828556</v>
      </c>
      <c r="S1684" s="4">
        <f t="shared" ca="1" si="167"/>
        <v>3.3618711896352469</v>
      </c>
    </row>
    <row r="1685" spans="15:19" x14ac:dyDescent="0.2">
      <c r="O1685" s="4">
        <f t="shared" ca="1" si="163"/>
        <v>0.43341366183157992</v>
      </c>
      <c r="P1685" s="4">
        <f t="shared" ca="1" si="164"/>
        <v>-0.1676897965902624</v>
      </c>
      <c r="Q1685" s="4">
        <f t="shared" ca="1" si="165"/>
        <v>1926.4283678602014</v>
      </c>
      <c r="R1685" s="4">
        <f t="shared" ca="1" si="166"/>
        <v>2.7583238602014717</v>
      </c>
      <c r="S1685" s="4">
        <f t="shared" ca="1" si="167"/>
        <v>1.3993876809097563</v>
      </c>
    </row>
    <row r="1686" spans="15:19" x14ac:dyDescent="0.2">
      <c r="O1686" s="4">
        <f t="shared" ca="1" si="163"/>
        <v>0.2188879299751274</v>
      </c>
      <c r="P1686" s="4">
        <f t="shared" ca="1" si="164"/>
        <v>-0.7759544858121229</v>
      </c>
      <c r="Q1686" s="4">
        <f t="shared" ca="1" si="165"/>
        <v>1937.905514504341</v>
      </c>
      <c r="R1686" s="4">
        <f t="shared" ca="1" si="166"/>
        <v>14.235470504341038</v>
      </c>
      <c r="S1686" s="4">
        <f t="shared" ca="1" si="167"/>
        <v>7.2886266214193958</v>
      </c>
    </row>
    <row r="1687" spans="15:19" x14ac:dyDescent="0.2">
      <c r="O1687" s="4">
        <f t="shared" ca="1" si="163"/>
        <v>0.468909566888838</v>
      </c>
      <c r="P1687" s="4">
        <f t="shared" ca="1" si="164"/>
        <v>-7.8011212641768704E-2</v>
      </c>
      <c r="Q1687" s="4">
        <f t="shared" ca="1" si="165"/>
        <v>1924.7362521134658</v>
      </c>
      <c r="R1687" s="4">
        <f t="shared" ca="1" si="166"/>
        <v>1.066208113465791</v>
      </c>
      <c r="S1687" s="4">
        <f t="shared" ca="1" si="167"/>
        <v>0.54018774663451652</v>
      </c>
    </row>
    <row r="1688" spans="15:19" x14ac:dyDescent="0.2">
      <c r="O1688" s="4">
        <f t="shared" ca="1" si="163"/>
        <v>0.88286066754558989</v>
      </c>
      <c r="P1688" s="4">
        <f t="shared" ca="1" si="164"/>
        <v>1.1894092442183346</v>
      </c>
      <c r="Q1688" s="4">
        <f t="shared" ca="1" si="165"/>
        <v>1900.8217117810746</v>
      </c>
      <c r="R1688" s="4">
        <f t="shared" ca="1" si="166"/>
        <v>-22.848332218925407</v>
      </c>
      <c r="S1688" s="4">
        <f t="shared" ca="1" si="167"/>
        <v>-11.353540589367068</v>
      </c>
    </row>
    <row r="1689" spans="15:19" x14ac:dyDescent="0.2">
      <c r="O1689" s="4">
        <f t="shared" ca="1" si="163"/>
        <v>0.25441718207032737</v>
      </c>
      <c r="P1689" s="4">
        <f t="shared" ca="1" si="164"/>
        <v>-0.66065379100654442</v>
      </c>
      <c r="Q1689" s="4">
        <f t="shared" ca="1" si="165"/>
        <v>1935.7299435630987</v>
      </c>
      <c r="R1689" s="4">
        <f t="shared" ca="1" si="166"/>
        <v>12.059899563098725</v>
      </c>
      <c r="S1689" s="4">
        <f t="shared" ca="1" si="167"/>
        <v>6.1640439119195509</v>
      </c>
    </row>
    <row r="1690" spans="15:19" x14ac:dyDescent="0.2">
      <c r="O1690" s="4">
        <f t="shared" ca="1" si="163"/>
        <v>0.85887675680360531</v>
      </c>
      <c r="P1690" s="4">
        <f t="shared" ca="1" si="164"/>
        <v>1.0752864822165631</v>
      </c>
      <c r="Q1690" s="4">
        <f t="shared" ca="1" si="165"/>
        <v>1902.9750566951186</v>
      </c>
      <c r="R1690" s="4">
        <f t="shared" ca="1" si="166"/>
        <v>-20.694987304881352</v>
      </c>
      <c r="S1690" s="4">
        <f t="shared" ca="1" si="167"/>
        <v>-10.301664653689105</v>
      </c>
    </row>
    <row r="1691" spans="15:19" x14ac:dyDescent="0.2">
      <c r="O1691" s="4">
        <f t="shared" ca="1" si="163"/>
        <v>0.9994079471414995</v>
      </c>
      <c r="P1691" s="4">
        <f t="shared" ca="1" si="164"/>
        <v>3.2426813293041259</v>
      </c>
      <c r="Q1691" s="4">
        <f t="shared" ca="1" si="165"/>
        <v>1862.0791951786482</v>
      </c>
      <c r="R1691" s="4">
        <f t="shared" ca="1" si="166"/>
        <v>-61.590848821351756</v>
      </c>
      <c r="S1691" s="4">
        <f t="shared" ca="1" si="167"/>
        <v>-29.633701254735222</v>
      </c>
    </row>
    <row r="1692" spans="15:19" x14ac:dyDescent="0.2">
      <c r="O1692" s="4">
        <f t="shared" ca="1" si="163"/>
        <v>0.5911114571932643</v>
      </c>
      <c r="P1692" s="4">
        <f t="shared" ca="1" si="164"/>
        <v>0.23040498792008557</v>
      </c>
      <c r="Q1692" s="4">
        <f t="shared" ca="1" si="165"/>
        <v>1918.9168481204358</v>
      </c>
      <c r="R1692" s="4">
        <f t="shared" ca="1" si="166"/>
        <v>-4.7531958795641458</v>
      </c>
      <c r="S1692" s="4">
        <f t="shared" ca="1" si="167"/>
        <v>-2.3969174488062897</v>
      </c>
    </row>
    <row r="1693" spans="15:19" x14ac:dyDescent="0.2">
      <c r="O1693" s="4">
        <f t="shared" ca="1" si="163"/>
        <v>0.53398909721126397</v>
      </c>
      <c r="P1693" s="4">
        <f t="shared" ca="1" si="164"/>
        <v>8.5301366005748253E-2</v>
      </c>
      <c r="Q1693" s="4">
        <f t="shared" ca="1" si="165"/>
        <v>1921.6547607049017</v>
      </c>
      <c r="R1693" s="4">
        <f t="shared" ca="1" si="166"/>
        <v>-2.0152832950982429</v>
      </c>
      <c r="S1693" s="4">
        <f t="shared" ca="1" si="167"/>
        <v>-1.018502886065862</v>
      </c>
    </row>
    <row r="1694" spans="15:19" x14ac:dyDescent="0.2">
      <c r="O1694" s="4">
        <f t="shared" ca="1" si="163"/>
        <v>8.1524254745198643E-2</v>
      </c>
      <c r="P1694" s="4">
        <f t="shared" ca="1" si="164"/>
        <v>-1.3948916698726357</v>
      </c>
      <c r="Q1694" s="4">
        <f t="shared" ca="1" si="165"/>
        <v>1949.5840369483462</v>
      </c>
      <c r="R1694" s="4">
        <f t="shared" ca="1" si="166"/>
        <v>25.913992948346277</v>
      </c>
      <c r="S1694" s="4">
        <f t="shared" ca="1" si="167"/>
        <v>13.3912783004918</v>
      </c>
    </row>
    <row r="1695" spans="15:19" x14ac:dyDescent="0.2">
      <c r="O1695" s="4">
        <f t="shared" ca="1" si="163"/>
        <v>0.10879631408891133</v>
      </c>
      <c r="P1695" s="4">
        <f t="shared" ca="1" si="164"/>
        <v>-1.2329548003422532</v>
      </c>
      <c r="Q1695" s="4">
        <f t="shared" ca="1" si="165"/>
        <v>1946.528503343279</v>
      </c>
      <c r="R1695" s="4">
        <f t="shared" ca="1" si="166"/>
        <v>22.858459343279037</v>
      </c>
      <c r="S1695" s="4">
        <f t="shared" ca="1" si="167"/>
        <v>11.783873416659068</v>
      </c>
    </row>
    <row r="1696" spans="15:19" x14ac:dyDescent="0.2">
      <c r="O1696" s="4">
        <f t="shared" ca="1" si="163"/>
        <v>0.194918677861181</v>
      </c>
      <c r="P1696" s="4">
        <f t="shared" ca="1" si="164"/>
        <v>-0.85991235812832278</v>
      </c>
      <c r="Q1696" s="4">
        <f t="shared" ca="1" si="165"/>
        <v>1939.4896880221818</v>
      </c>
      <c r="R1696" s="4">
        <f t="shared" ca="1" si="166"/>
        <v>15.819644022181819</v>
      </c>
      <c r="S1696" s="4">
        <f t="shared" ca="1" si="167"/>
        <v>8.1099323632105005</v>
      </c>
    </row>
    <row r="1697" spans="15:19" x14ac:dyDescent="0.2">
      <c r="O1697" s="4">
        <f t="shared" ca="1" si="163"/>
        <v>0.24842650269103295</v>
      </c>
      <c r="P1697" s="4">
        <f t="shared" ca="1" si="164"/>
        <v>-0.67944964137259067</v>
      </c>
      <c r="Q1697" s="4">
        <f t="shared" ca="1" si="165"/>
        <v>1936.0845962903979</v>
      </c>
      <c r="R1697" s="4">
        <f t="shared" ca="1" si="166"/>
        <v>12.414552290397978</v>
      </c>
      <c r="S1697" s="4">
        <f t="shared" ca="1" si="167"/>
        <v>6.347105929100235</v>
      </c>
    </row>
    <row r="1698" spans="15:19" x14ac:dyDescent="0.2">
      <c r="O1698" s="4">
        <f t="shared" ca="1" si="163"/>
        <v>0.73409593251721972</v>
      </c>
      <c r="P1698" s="4">
        <f t="shared" ca="1" si="164"/>
        <v>0.62524825586987187</v>
      </c>
      <c r="Q1698" s="4">
        <f t="shared" ca="1" si="165"/>
        <v>1911.4666801787325</v>
      </c>
      <c r="R1698" s="4">
        <f t="shared" ca="1" si="166"/>
        <v>-12.20336382126743</v>
      </c>
      <c r="S1698" s="4">
        <f t="shared" ca="1" si="167"/>
        <v>-6.1168406978383221</v>
      </c>
    </row>
    <row r="1699" spans="15:19" x14ac:dyDescent="0.2">
      <c r="O1699" s="4">
        <f t="shared" ca="1" si="163"/>
        <v>0.45985856747766873</v>
      </c>
      <c r="P1699" s="4">
        <f t="shared" ca="1" si="164"/>
        <v>-0.10079003817381281</v>
      </c>
      <c r="Q1699" s="4">
        <f t="shared" ca="1" si="165"/>
        <v>1925.1660582910147</v>
      </c>
      <c r="R1699" s="4">
        <f t="shared" ca="1" si="166"/>
        <v>1.4960142910147169</v>
      </c>
      <c r="S1699" s="4">
        <f t="shared" ca="1" si="167"/>
        <v>0.75820813227631911</v>
      </c>
    </row>
    <row r="1700" spans="15:19" x14ac:dyDescent="0.2">
      <c r="O1700" s="4">
        <f t="shared" ca="1" si="163"/>
        <v>0.15457008432608565</v>
      </c>
      <c r="P1700" s="4">
        <f t="shared" ca="1" si="164"/>
        <v>-1.0170278758105491</v>
      </c>
      <c r="Q1700" s="4">
        <f t="shared" ca="1" si="165"/>
        <v>1942.4542491227378</v>
      </c>
      <c r="R1700" s="4">
        <f t="shared" ca="1" si="166"/>
        <v>18.784205122737831</v>
      </c>
      <c r="S1700" s="4">
        <f t="shared" ca="1" si="167"/>
        <v>9.6523815180624251</v>
      </c>
    </row>
    <row r="1701" spans="15:19" x14ac:dyDescent="0.2">
      <c r="O1701" s="4">
        <f t="shared" ca="1" si="163"/>
        <v>0.27849899778009801</v>
      </c>
      <c r="P1701" s="4">
        <f t="shared" ca="1" si="164"/>
        <v>-0.58730632260140947</v>
      </c>
      <c r="Q1701" s="4">
        <f t="shared" ca="1" si="165"/>
        <v>1934.3459742718037</v>
      </c>
      <c r="R1701" s="4">
        <f t="shared" ca="1" si="166"/>
        <v>10.675930271803736</v>
      </c>
      <c r="S1701" s="4">
        <f t="shared" ca="1" si="167"/>
        <v>5.4506563866286761</v>
      </c>
    </row>
    <row r="1702" spans="15:19" x14ac:dyDescent="0.2">
      <c r="O1702" s="4">
        <f t="shared" ca="1" si="163"/>
        <v>0.65372585758264135</v>
      </c>
      <c r="P1702" s="4">
        <f t="shared" ca="1" si="164"/>
        <v>0.39539921969496639</v>
      </c>
      <c r="Q1702" s="4">
        <f t="shared" ca="1" si="165"/>
        <v>1915.8036261513291</v>
      </c>
      <c r="R1702" s="4">
        <f t="shared" ca="1" si="166"/>
        <v>-7.8664178486708352</v>
      </c>
      <c r="S1702" s="4">
        <f t="shared" ca="1" si="167"/>
        <v>-3.956868106474968</v>
      </c>
    </row>
    <row r="1703" spans="15:19" x14ac:dyDescent="0.2">
      <c r="O1703" s="4">
        <f t="shared" ca="1" si="163"/>
        <v>0.22984944038187916</v>
      </c>
      <c r="P1703" s="4">
        <f t="shared" ca="1" si="164"/>
        <v>-0.7393427759421114</v>
      </c>
      <c r="Q1703" s="4">
        <f t="shared" ca="1" si="165"/>
        <v>1937.2147001754536</v>
      </c>
      <c r="R1703" s="4">
        <f t="shared" ca="1" si="166"/>
        <v>13.544656175453611</v>
      </c>
      <c r="S1703" s="4">
        <f t="shared" ca="1" si="167"/>
        <v>6.9311176129763279</v>
      </c>
    </row>
    <row r="1704" spans="15:19" x14ac:dyDescent="0.2">
      <c r="O1704" s="4">
        <f t="shared" ca="1" si="163"/>
        <v>0.99461352584550033</v>
      </c>
      <c r="P1704" s="4">
        <f t="shared" ca="1" si="164"/>
        <v>2.5499787569312184</v>
      </c>
      <c r="Q1704" s="4">
        <f t="shared" ca="1" si="165"/>
        <v>1875.1495725074178</v>
      </c>
      <c r="R1704" s="4">
        <f t="shared" ca="1" si="166"/>
        <v>-48.520471492582146</v>
      </c>
      <c r="S1704" s="4">
        <f t="shared" ca="1" si="167"/>
        <v>-23.603200834634126</v>
      </c>
    </row>
    <row r="1705" spans="15:19" x14ac:dyDescent="0.2">
      <c r="O1705" s="4">
        <f t="shared" ca="1" si="163"/>
        <v>0.86299434530740415</v>
      </c>
      <c r="P1705" s="4">
        <f t="shared" ca="1" si="164"/>
        <v>1.0938715695898071</v>
      </c>
      <c r="Q1705" s="4">
        <f t="shared" ca="1" si="165"/>
        <v>1902.624380785508</v>
      </c>
      <c r="R1705" s="4">
        <f t="shared" ca="1" si="166"/>
        <v>-21.045663214491924</v>
      </c>
      <c r="S1705" s="4">
        <f t="shared" ca="1" si="167"/>
        <v>-10.473221782364257</v>
      </c>
    </row>
    <row r="1706" spans="15:19" x14ac:dyDescent="0.2">
      <c r="O1706" s="4">
        <f t="shared" ca="1" si="163"/>
        <v>0.88343519895309242</v>
      </c>
      <c r="P1706" s="4">
        <f t="shared" ca="1" si="164"/>
        <v>1.1923358009427538</v>
      </c>
      <c r="Q1706" s="4">
        <f t="shared" ca="1" si="165"/>
        <v>1900.7664915434316</v>
      </c>
      <c r="R1706" s="4">
        <f t="shared" ca="1" si="166"/>
        <v>-22.903552456568377</v>
      </c>
      <c r="S1706" s="4">
        <f t="shared" ca="1" si="167"/>
        <v>-11.380465182657618</v>
      </c>
    </row>
    <row r="1707" spans="15:19" x14ac:dyDescent="0.2">
      <c r="O1707" s="4">
        <f t="shared" ca="1" si="163"/>
        <v>0.9779483234141878</v>
      </c>
      <c r="P1707" s="4">
        <f t="shared" ca="1" si="164"/>
        <v>2.0131071978843136</v>
      </c>
      <c r="Q1707" s="4">
        <f t="shared" ca="1" si="165"/>
        <v>1885.2796256264501</v>
      </c>
      <c r="R1707" s="4">
        <f t="shared" ca="1" si="166"/>
        <v>-38.390418373549892</v>
      </c>
      <c r="S1707" s="4">
        <f t="shared" ca="1" si="167"/>
        <v>-18.833657325930616</v>
      </c>
    </row>
    <row r="1708" spans="15:19" x14ac:dyDescent="0.2">
      <c r="O1708" s="4">
        <f t="shared" ca="1" si="163"/>
        <v>0.81062044985988124</v>
      </c>
      <c r="P1708" s="4">
        <f t="shared" ca="1" si="164"/>
        <v>0.88018499586742294</v>
      </c>
      <c r="Q1708" s="4">
        <f t="shared" ca="1" si="165"/>
        <v>1906.6563625624431</v>
      </c>
      <c r="R1708" s="4">
        <f t="shared" ca="1" si="166"/>
        <v>-17.013681437556897</v>
      </c>
      <c r="S1708" s="4">
        <f t="shared" ca="1" si="167"/>
        <v>-8.4946597527254948</v>
      </c>
    </row>
    <row r="1709" spans="15:19" x14ac:dyDescent="0.2">
      <c r="O1709" s="4">
        <f t="shared" ca="1" si="163"/>
        <v>0.66050438536601441</v>
      </c>
      <c r="P1709" s="4">
        <f t="shared" ca="1" si="164"/>
        <v>0.41384007961578617</v>
      </c>
      <c r="Q1709" s="4">
        <f t="shared" ca="1" si="165"/>
        <v>1915.4556716221487</v>
      </c>
      <c r="R1709" s="4">
        <f t="shared" ca="1" si="166"/>
        <v>-8.2143723778513049</v>
      </c>
      <c r="S1709" s="4">
        <f t="shared" ca="1" si="167"/>
        <v>-4.1307283887799091</v>
      </c>
    </row>
    <row r="1710" spans="15:19" x14ac:dyDescent="0.2">
      <c r="O1710" s="4">
        <f t="shared" ca="1" si="163"/>
        <v>2.0053301424561409E-2</v>
      </c>
      <c r="P1710" s="4">
        <f t="shared" ca="1" si="164"/>
        <v>-2.0526492963894039</v>
      </c>
      <c r="Q1710" s="4">
        <f t="shared" ca="1" si="165"/>
        <v>1961.9950495709784</v>
      </c>
      <c r="R1710" s="4">
        <f t="shared" ca="1" si="166"/>
        <v>38.325005570978419</v>
      </c>
      <c r="S1710" s="4">
        <f t="shared" ca="1" si="167"/>
        <v>19.998398952178832</v>
      </c>
    </row>
    <row r="1711" spans="15:19" x14ac:dyDescent="0.2">
      <c r="O1711" s="4">
        <f t="shared" ca="1" si="163"/>
        <v>0.14766903379910234</v>
      </c>
      <c r="P1711" s="4">
        <f t="shared" ca="1" si="164"/>
        <v>-1.0464830479336271</v>
      </c>
      <c r="Q1711" s="4">
        <f t="shared" ca="1" si="165"/>
        <v>1943.010029091352</v>
      </c>
      <c r="R1711" s="4">
        <f t="shared" ca="1" si="166"/>
        <v>19.339985091351991</v>
      </c>
      <c r="S1711" s="4">
        <f t="shared" ca="1" si="167"/>
        <v>9.9423480339126638</v>
      </c>
    </row>
    <row r="1712" spans="15:19" x14ac:dyDescent="0.2">
      <c r="O1712" s="4">
        <f t="shared" ca="1" si="163"/>
        <v>4.8116538614978999E-2</v>
      </c>
      <c r="P1712" s="4">
        <f t="shared" ca="1" si="164"/>
        <v>-1.6633965801644894</v>
      </c>
      <c r="Q1712" s="4">
        <f t="shared" ca="1" si="165"/>
        <v>1954.650367913626</v>
      </c>
      <c r="R1712" s="4">
        <f t="shared" ca="1" si="166"/>
        <v>30.98032391362608</v>
      </c>
      <c r="S1712" s="4">
        <f t="shared" ca="1" si="167"/>
        <v>16.073240507131949</v>
      </c>
    </row>
    <row r="1713" spans="15:19" x14ac:dyDescent="0.2">
      <c r="O1713" s="4">
        <f t="shared" ca="1" si="163"/>
        <v>2.0255824527040778E-2</v>
      </c>
      <c r="P1713" s="4">
        <f t="shared" ca="1" si="164"/>
        <v>-2.0484936971207808</v>
      </c>
      <c r="Q1713" s="4">
        <f t="shared" ca="1" si="165"/>
        <v>1961.9166389332322</v>
      </c>
      <c r="R1713" s="4">
        <f t="shared" ca="1" si="166"/>
        <v>38.246594933232245</v>
      </c>
      <c r="S1713" s="4">
        <f t="shared" ca="1" si="167"/>
        <v>19.95626266428599</v>
      </c>
    </row>
    <row r="1714" spans="15:19" x14ac:dyDescent="0.2">
      <c r="O1714" s="4">
        <f t="shared" ca="1" si="163"/>
        <v>0.71642214754217703</v>
      </c>
      <c r="P1714" s="4">
        <f t="shared" ca="1" si="164"/>
        <v>0.57224544305190739</v>
      </c>
      <c r="Q1714" s="4">
        <f t="shared" ca="1" si="165"/>
        <v>1912.4667728456959</v>
      </c>
      <c r="R1714" s="4">
        <f t="shared" ca="1" si="166"/>
        <v>-11.203271154304048</v>
      </c>
      <c r="S1714" s="4">
        <f t="shared" ca="1" si="167"/>
        <v>-5.620112997726844</v>
      </c>
    </row>
    <row r="1715" spans="15:19" x14ac:dyDescent="0.2">
      <c r="O1715" s="4">
        <f t="shared" ca="1" si="163"/>
        <v>0.1894441443442989</v>
      </c>
      <c r="P1715" s="4">
        <f t="shared" ca="1" si="164"/>
        <v>-0.87994650736876323</v>
      </c>
      <c r="Q1715" s="4">
        <f t="shared" ca="1" si="165"/>
        <v>1939.8677058042388</v>
      </c>
      <c r="R1715" s="4">
        <f t="shared" ca="1" si="166"/>
        <v>16.197661804238805</v>
      </c>
      <c r="S1715" s="4">
        <f t="shared" ca="1" si="167"/>
        <v>8.3062154711338163</v>
      </c>
    </row>
    <row r="1716" spans="15:19" x14ac:dyDescent="0.2">
      <c r="O1716" s="4">
        <f t="shared" ca="1" si="163"/>
        <v>0.78652740601889792</v>
      </c>
      <c r="P1716" s="4">
        <f t="shared" ca="1" si="164"/>
        <v>0.79442992640800947</v>
      </c>
      <c r="Q1716" s="4">
        <f t="shared" ca="1" si="165"/>
        <v>1908.2744468029127</v>
      </c>
      <c r="R1716" s="4">
        <f t="shared" ca="1" si="166"/>
        <v>-15.395597197087227</v>
      </c>
      <c r="S1716" s="4">
        <f t="shared" ca="1" si="167"/>
        <v>-7.6969167552827438</v>
      </c>
    </row>
    <row r="1717" spans="15:19" x14ac:dyDescent="0.2">
      <c r="O1717" s="4">
        <f t="shared" ca="1" si="163"/>
        <v>0.26253312069627033</v>
      </c>
      <c r="P1717" s="4">
        <f t="shared" ca="1" si="164"/>
        <v>-0.63555540851807912</v>
      </c>
      <c r="Q1717" s="4">
        <f t="shared" ca="1" si="165"/>
        <v>1935.2563704271677</v>
      </c>
      <c r="R1717" s="4">
        <f t="shared" ca="1" si="166"/>
        <v>11.586326427167705</v>
      </c>
      <c r="S1717" s="4">
        <f t="shared" ca="1" si="167"/>
        <v>5.9197581022225645</v>
      </c>
    </row>
    <row r="1718" spans="15:19" x14ac:dyDescent="0.2">
      <c r="O1718" s="4">
        <f t="shared" ca="1" si="163"/>
        <v>0.92009468033369479</v>
      </c>
      <c r="P1718" s="4">
        <f t="shared" ca="1" si="164"/>
        <v>1.4057087105871426</v>
      </c>
      <c r="Q1718" s="4">
        <f t="shared" ca="1" si="165"/>
        <v>1896.7404281909653</v>
      </c>
      <c r="R1718" s="4">
        <f t="shared" ca="1" si="166"/>
        <v>-26.929615809034658</v>
      </c>
      <c r="S1718" s="4">
        <f t="shared" ca="1" si="167"/>
        <v>-13.336826980280104</v>
      </c>
    </row>
    <row r="1719" spans="15:19" x14ac:dyDescent="0.2">
      <c r="O1719" s="4">
        <f t="shared" ca="1" si="163"/>
        <v>0.13352269715297593</v>
      </c>
      <c r="P1719" s="4">
        <f t="shared" ca="1" si="164"/>
        <v>-1.1098924035847153</v>
      </c>
      <c r="Q1719" s="4">
        <f t="shared" ca="1" si="165"/>
        <v>1944.2064793971372</v>
      </c>
      <c r="R1719" s="4">
        <f t="shared" ca="1" si="166"/>
        <v>20.536435397137211</v>
      </c>
      <c r="S1719" s="4">
        <f t="shared" ca="1" si="167"/>
        <v>10.567424233872412</v>
      </c>
    </row>
    <row r="1720" spans="15:19" x14ac:dyDescent="0.2">
      <c r="O1720" s="4">
        <f t="shared" ca="1" si="163"/>
        <v>0.74226981413634396</v>
      </c>
      <c r="P1720" s="4">
        <f t="shared" ca="1" si="164"/>
        <v>0.65035897334955317</v>
      </c>
      <c r="Q1720" s="4">
        <f t="shared" ca="1" si="165"/>
        <v>1910.9928742979037</v>
      </c>
      <c r="R1720" s="4">
        <f t="shared" ca="1" si="166"/>
        <v>-12.677169702096307</v>
      </c>
      <c r="S1720" s="4">
        <f t="shared" ca="1" si="167"/>
        <v>-6.3518871224848628</v>
      </c>
    </row>
    <row r="1721" spans="15:19" x14ac:dyDescent="0.2">
      <c r="O1721" s="4">
        <f t="shared" ca="1" si="163"/>
        <v>0.31305357234733167</v>
      </c>
      <c r="P1721" s="4">
        <f t="shared" ca="1" si="164"/>
        <v>-0.48721335135250193</v>
      </c>
      <c r="Q1721" s="4">
        <f t="shared" ca="1" si="165"/>
        <v>1932.4573528715694</v>
      </c>
      <c r="R1721" s="4">
        <f t="shared" ca="1" si="166"/>
        <v>8.7873088715693939</v>
      </c>
      <c r="S1721" s="4">
        <f t="shared" ca="1" si="167"/>
        <v>4.4796544034994348</v>
      </c>
    </row>
    <row r="1722" spans="15:19" x14ac:dyDescent="0.2">
      <c r="O1722" s="4">
        <f t="shared" ca="1" si="163"/>
        <v>0.48606703439234356</v>
      </c>
      <c r="P1722" s="4">
        <f t="shared" ca="1" si="164"/>
        <v>-3.4931868425409913E-2</v>
      </c>
      <c r="Q1722" s="4">
        <f t="shared" ca="1" si="165"/>
        <v>1923.9234021163093</v>
      </c>
      <c r="R1722" s="4">
        <f t="shared" ca="1" si="166"/>
        <v>0.25335811630930039</v>
      </c>
      <c r="S1722" s="4">
        <f t="shared" ca="1" si="167"/>
        <v>0.12827849000457098</v>
      </c>
    </row>
    <row r="1723" spans="15:19" x14ac:dyDescent="0.2">
      <c r="O1723" s="4">
        <f t="shared" ca="1" si="163"/>
        <v>0.59503095427178809</v>
      </c>
      <c r="P1723" s="4">
        <f t="shared" ca="1" si="164"/>
        <v>0.24050589804121003</v>
      </c>
      <c r="Q1723" s="4">
        <f t="shared" ca="1" si="165"/>
        <v>1918.7262573648757</v>
      </c>
      <c r="R1723" s="4">
        <f t="shared" ca="1" si="166"/>
        <v>-4.9437866351242974</v>
      </c>
      <c r="S1723" s="4">
        <f t="shared" ca="1" si="167"/>
        <v>-2.4926440289731517</v>
      </c>
    </row>
    <row r="1724" spans="15:19" x14ac:dyDescent="0.2">
      <c r="O1724" s="4">
        <f t="shared" ca="1" si="163"/>
        <v>0.31806100183126584</v>
      </c>
      <c r="P1724" s="4">
        <f t="shared" ca="1" si="164"/>
        <v>-0.47312780075844063</v>
      </c>
      <c r="Q1724" s="4">
        <f t="shared" ca="1" si="165"/>
        <v>1932.1915772436298</v>
      </c>
      <c r="R1724" s="4">
        <f t="shared" ca="1" si="166"/>
        <v>8.5215332436298468</v>
      </c>
      <c r="S1724" s="4">
        <f t="shared" ca="1" si="167"/>
        <v>4.3432435497008415</v>
      </c>
    </row>
    <row r="1725" spans="15:19" x14ac:dyDescent="0.2">
      <c r="O1725" s="4">
        <f t="shared" ca="1" si="163"/>
        <v>0.39175709827705607</v>
      </c>
      <c r="P1725" s="4">
        <f t="shared" ca="1" si="164"/>
        <v>-0.27474234420402649</v>
      </c>
      <c r="Q1725" s="4">
        <f t="shared" ca="1" si="165"/>
        <v>1928.4483072210801</v>
      </c>
      <c r="R1725" s="4">
        <f t="shared" ca="1" si="166"/>
        <v>4.7782632210801239</v>
      </c>
      <c r="S1725" s="4">
        <f t="shared" ca="1" si="167"/>
        <v>2.4280977680550846</v>
      </c>
    </row>
    <row r="1726" spans="15:19" x14ac:dyDescent="0.2">
      <c r="O1726" s="4">
        <f t="shared" ca="1" si="163"/>
        <v>0.59921487125368611</v>
      </c>
      <c r="P1726" s="4">
        <f t="shared" ca="1" si="164"/>
        <v>0.25131541577523647</v>
      </c>
      <c r="Q1726" s="4">
        <f t="shared" ca="1" si="165"/>
        <v>1918.5222961250006</v>
      </c>
      <c r="R1726" s="4">
        <f t="shared" ca="1" si="166"/>
        <v>-5.1477478749993679</v>
      </c>
      <c r="S1726" s="4">
        <f t="shared" ca="1" si="167"/>
        <v>-2.5950533431632961</v>
      </c>
    </row>
    <row r="1727" spans="15:19" x14ac:dyDescent="0.2">
      <c r="O1727" s="4">
        <f t="shared" ca="1" si="163"/>
        <v>0.37565387770470815</v>
      </c>
      <c r="P1727" s="4">
        <f t="shared" ca="1" si="164"/>
        <v>-0.31691545400267068</v>
      </c>
      <c r="Q1727" s="4">
        <f t="shared" ca="1" si="165"/>
        <v>1929.2440577786504</v>
      </c>
      <c r="R1727" s="4">
        <f t="shared" ca="1" si="166"/>
        <v>5.5740137786503965</v>
      </c>
      <c r="S1727" s="4">
        <f t="shared" ca="1" si="167"/>
        <v>2.8342678617576769</v>
      </c>
    </row>
    <row r="1728" spans="15:19" x14ac:dyDescent="0.2">
      <c r="O1728" s="4">
        <f t="shared" ca="1" si="163"/>
        <v>0.48977793458289276</v>
      </c>
      <c r="P1728" s="4">
        <f t="shared" ca="1" si="164"/>
        <v>-2.5625722563316859E-2</v>
      </c>
      <c r="Q1728" s="4">
        <f t="shared" ca="1" si="165"/>
        <v>1923.7478075065221</v>
      </c>
      <c r="R1728" s="4">
        <f t="shared" ca="1" si="166"/>
        <v>7.7763506522160242E-2</v>
      </c>
      <c r="S1728" s="4">
        <f t="shared" ca="1" si="167"/>
        <v>3.9367110301650021E-2</v>
      </c>
    </row>
    <row r="1729" spans="15:19" x14ac:dyDescent="0.2">
      <c r="O1729" s="4">
        <f t="shared" ca="1" si="163"/>
        <v>0.98753595360883373</v>
      </c>
      <c r="P1729" s="4">
        <f t="shared" ca="1" si="164"/>
        <v>2.2425152195895355</v>
      </c>
      <c r="Q1729" s="4">
        <f t="shared" ca="1" si="165"/>
        <v>1880.9510010110362</v>
      </c>
      <c r="R1729" s="4">
        <f t="shared" ca="1" si="166"/>
        <v>-42.719042988963793</v>
      </c>
      <c r="S1729" s="4">
        <f t="shared" ca="1" si="167"/>
        <v>-20.881930588817362</v>
      </c>
    </row>
    <row r="1730" spans="15:19" x14ac:dyDescent="0.2">
      <c r="O1730" s="4">
        <f t="shared" ca="1" si="163"/>
        <v>0.89026579451361465</v>
      </c>
      <c r="P1730" s="4">
        <f t="shared" ca="1" si="164"/>
        <v>1.22794288045847</v>
      </c>
      <c r="Q1730" s="4">
        <f t="shared" ca="1" si="165"/>
        <v>1900.0946332547412</v>
      </c>
      <c r="R1730" s="4">
        <f t="shared" ca="1" si="166"/>
        <v>-23.57541074525875</v>
      </c>
      <c r="S1730" s="4">
        <f t="shared" ca="1" si="167"/>
        <v>-11.707854765842541</v>
      </c>
    </row>
    <row r="1731" spans="15:19" x14ac:dyDescent="0.2">
      <c r="O1731" s="4">
        <f t="shared" ref="O1731:O1794" ca="1" si="168">RAND()</f>
        <v>0.77991922789675816</v>
      </c>
      <c r="P1731" s="4">
        <f t="shared" ref="P1731:P1794" ca="1" si="169">NORMSINV(O1731)</f>
        <v>0.77192045043221713</v>
      </c>
      <c r="Q1731" s="4">
        <f t="shared" ref="Q1731:Q1794" ca="1" si="170">$B$4*(1+$B$17-$B$32*P1731)</f>
        <v>1908.6991707121492</v>
      </c>
      <c r="R1731" s="4">
        <f t="shared" ref="R1731:R1794" ca="1" si="171">Q1731-$B$4</f>
        <v>-14.970873287850736</v>
      </c>
      <c r="S1731" s="4">
        <f t="shared" ref="S1731:S1794" ca="1" si="172">R1731*$B$12+0.5*$B$13*R1731^2</f>
        <v>-7.4871674731103051</v>
      </c>
    </row>
    <row r="1732" spans="15:19" x14ac:dyDescent="0.2">
      <c r="O1732" s="4">
        <f t="shared" ca="1" si="168"/>
        <v>0.73314991850841282</v>
      </c>
      <c r="P1732" s="4">
        <f t="shared" ca="1" si="169"/>
        <v>0.62236762588093464</v>
      </c>
      <c r="Q1732" s="4">
        <f t="shared" ca="1" si="170"/>
        <v>1911.5210338398874</v>
      </c>
      <c r="R1732" s="4">
        <f t="shared" ca="1" si="171"/>
        <v>-12.149010160112539</v>
      </c>
      <c r="S1732" s="4">
        <f t="shared" ca="1" si="172"/>
        <v>-6.0898651555610037</v>
      </c>
    </row>
    <row r="1733" spans="15:19" x14ac:dyDescent="0.2">
      <c r="O1733" s="4">
        <f t="shared" ca="1" si="168"/>
        <v>9.3033124678846169E-2</v>
      </c>
      <c r="P1733" s="4">
        <f t="shared" ca="1" si="169"/>
        <v>-1.3223060789022067</v>
      </c>
      <c r="Q1733" s="4">
        <f t="shared" ca="1" si="170"/>
        <v>1948.2144432721377</v>
      </c>
      <c r="R1733" s="4">
        <f t="shared" ca="1" si="171"/>
        <v>24.544399272137753</v>
      </c>
      <c r="S1733" s="4">
        <f t="shared" ca="1" si="172"/>
        <v>12.669845032114592</v>
      </c>
    </row>
    <row r="1734" spans="15:19" x14ac:dyDescent="0.2">
      <c r="O1734" s="4">
        <f t="shared" ca="1" si="168"/>
        <v>9.7651838475077968E-2</v>
      </c>
      <c r="P1734" s="4">
        <f t="shared" ca="1" si="169"/>
        <v>-1.2950479843073632</v>
      </c>
      <c r="Q1734" s="4">
        <f t="shared" ca="1" si="170"/>
        <v>1947.7001192378011</v>
      </c>
      <c r="R1734" s="4">
        <f t="shared" ca="1" si="171"/>
        <v>24.030075237801157</v>
      </c>
      <c r="S1734" s="4">
        <f t="shared" ca="1" si="172"/>
        <v>12.399319349694146</v>
      </c>
    </row>
    <row r="1735" spans="15:19" x14ac:dyDescent="0.2">
      <c r="O1735" s="4">
        <f t="shared" ca="1" si="168"/>
        <v>0.59240108614322273</v>
      </c>
      <c r="P1735" s="4">
        <f t="shared" ca="1" si="169"/>
        <v>0.23372583763088836</v>
      </c>
      <c r="Q1735" s="4">
        <f t="shared" ca="1" si="170"/>
        <v>1918.8541880979335</v>
      </c>
      <c r="R1735" s="4">
        <f t="shared" ca="1" si="171"/>
        <v>-4.8158559020664597</v>
      </c>
      <c r="S1735" s="4">
        <f t="shared" ca="1" si="172"/>
        <v>-2.4283924884594312</v>
      </c>
    </row>
    <row r="1736" spans="15:19" x14ac:dyDescent="0.2">
      <c r="O1736" s="4">
        <f t="shared" ca="1" si="168"/>
        <v>5.8141594695348631E-2</v>
      </c>
      <c r="P1736" s="4">
        <f t="shared" ca="1" si="169"/>
        <v>-1.5705673047772115</v>
      </c>
      <c r="Q1736" s="4">
        <f t="shared" ca="1" si="170"/>
        <v>1952.8988028049364</v>
      </c>
      <c r="R1736" s="4">
        <f t="shared" ca="1" si="171"/>
        <v>29.228758804936433</v>
      </c>
      <c r="S1736" s="4">
        <f t="shared" ca="1" si="172"/>
        <v>15.143651519838057</v>
      </c>
    </row>
    <row r="1737" spans="15:19" x14ac:dyDescent="0.2">
      <c r="O1737" s="4">
        <f t="shared" ca="1" si="168"/>
        <v>4.6262267855289418E-2</v>
      </c>
      <c r="P1737" s="4">
        <f t="shared" ca="1" si="169"/>
        <v>-1.6822285203127136</v>
      </c>
      <c r="Q1737" s="4">
        <f t="shared" ca="1" si="170"/>
        <v>1955.0057016071721</v>
      </c>
      <c r="R1737" s="4">
        <f t="shared" ca="1" si="171"/>
        <v>31.335657607172152</v>
      </c>
      <c r="S1737" s="4">
        <f t="shared" ca="1" si="172"/>
        <v>16.262127624055509</v>
      </c>
    </row>
    <row r="1738" spans="15:19" x14ac:dyDescent="0.2">
      <c r="O1738" s="4">
        <f t="shared" ca="1" si="168"/>
        <v>0.37957799849860585</v>
      </c>
      <c r="P1738" s="4">
        <f t="shared" ca="1" si="169"/>
        <v>-0.30658930267282203</v>
      </c>
      <c r="Q1738" s="4">
        <f t="shared" ca="1" si="170"/>
        <v>1929.0492170207001</v>
      </c>
      <c r="R1738" s="4">
        <f t="shared" ca="1" si="171"/>
        <v>5.3791730207001365</v>
      </c>
      <c r="S1738" s="4">
        <f t="shared" ca="1" si="172"/>
        <v>2.7347688241222272</v>
      </c>
    </row>
    <row r="1739" spans="15:19" x14ac:dyDescent="0.2">
      <c r="O1739" s="4">
        <f t="shared" ca="1" si="168"/>
        <v>6.1966567663961358E-2</v>
      </c>
      <c r="P1739" s="4">
        <f t="shared" ca="1" si="169"/>
        <v>-1.538472467674828</v>
      </c>
      <c r="Q1739" s="4">
        <f t="shared" ca="1" si="170"/>
        <v>1952.2932158647916</v>
      </c>
      <c r="R1739" s="4">
        <f t="shared" ca="1" si="171"/>
        <v>28.62317186479163</v>
      </c>
      <c r="S1739" s="4">
        <f t="shared" ca="1" si="172"/>
        <v>14.822836063703765</v>
      </c>
    </row>
    <row r="1740" spans="15:19" x14ac:dyDescent="0.2">
      <c r="O1740" s="4">
        <f t="shared" ca="1" si="168"/>
        <v>0.15957602548392158</v>
      </c>
      <c r="P1740" s="4">
        <f t="shared" ca="1" si="169"/>
        <v>-0.99620191125684165</v>
      </c>
      <c r="Q1740" s="4">
        <f t="shared" ca="1" si="170"/>
        <v>1942.0612908375965</v>
      </c>
      <c r="R1740" s="4">
        <f t="shared" ca="1" si="171"/>
        <v>18.391246837596555</v>
      </c>
      <c r="S1740" s="4">
        <f t="shared" ca="1" si="172"/>
        <v>9.4475155543037221</v>
      </c>
    </row>
    <row r="1741" spans="15:19" x14ac:dyDescent="0.2">
      <c r="O1741" s="4">
        <f t="shared" ca="1" si="168"/>
        <v>0.7982071904355974</v>
      </c>
      <c r="P1741" s="4">
        <f t="shared" ca="1" si="169"/>
        <v>0.83523462292996487</v>
      </c>
      <c r="Q1741" s="4">
        <f t="shared" ca="1" si="170"/>
        <v>1907.5045163860225</v>
      </c>
      <c r="R1741" s="4">
        <f t="shared" ca="1" si="171"/>
        <v>-16.165527613977474</v>
      </c>
      <c r="S1741" s="4">
        <f t="shared" ca="1" si="172"/>
        <v>-8.0767713444487441</v>
      </c>
    </row>
    <row r="1742" spans="15:19" x14ac:dyDescent="0.2">
      <c r="O1742" s="4">
        <f t="shared" ca="1" si="168"/>
        <v>5.6736505396911108E-2</v>
      </c>
      <c r="P1742" s="4">
        <f t="shared" ca="1" si="169"/>
        <v>-1.5827738859894687</v>
      </c>
      <c r="Q1742" s="4">
        <f t="shared" ca="1" si="170"/>
        <v>1953.129124776734</v>
      </c>
      <c r="R1742" s="4">
        <f t="shared" ca="1" si="171"/>
        <v>29.459080776734027</v>
      </c>
      <c r="S1742" s="4">
        <f t="shared" ca="1" si="172"/>
        <v>15.265745152940724</v>
      </c>
    </row>
    <row r="1743" spans="15:19" x14ac:dyDescent="0.2">
      <c r="O1743" s="4">
        <f t="shared" ca="1" si="168"/>
        <v>2.3975818149343353E-2</v>
      </c>
      <c r="P1743" s="4">
        <f t="shared" ca="1" si="169"/>
        <v>-1.9777967853589111</v>
      </c>
      <c r="Q1743" s="4">
        <f t="shared" ca="1" si="170"/>
        <v>1960.5826821246974</v>
      </c>
      <c r="R1743" s="4">
        <f t="shared" ca="1" si="171"/>
        <v>36.912638124697423</v>
      </c>
      <c r="S1743" s="4">
        <f t="shared" ca="1" si="172"/>
        <v>19.24018823885104</v>
      </c>
    </row>
    <row r="1744" spans="15:19" x14ac:dyDescent="0.2">
      <c r="O1744" s="4">
        <f t="shared" ca="1" si="168"/>
        <v>0.91404151884470919</v>
      </c>
      <c r="P1744" s="4">
        <f t="shared" ca="1" si="169"/>
        <v>1.3660700990154044</v>
      </c>
      <c r="Q1744" s="4">
        <f t="shared" ca="1" si="170"/>
        <v>1897.4883561339157</v>
      </c>
      <c r="R1744" s="4">
        <f t="shared" ca="1" si="171"/>
        <v>-26.181687866084303</v>
      </c>
      <c r="S1744" s="4">
        <f t="shared" ca="1" si="172"/>
        <v>-12.974388714797307</v>
      </c>
    </row>
    <row r="1745" spans="15:19" x14ac:dyDescent="0.2">
      <c r="O1745" s="4">
        <f t="shared" ca="1" si="168"/>
        <v>0.18096576654752394</v>
      </c>
      <c r="P1745" s="4">
        <f t="shared" ca="1" si="169"/>
        <v>-0.91169075302698821</v>
      </c>
      <c r="Q1745" s="4">
        <f t="shared" ca="1" si="170"/>
        <v>1940.4666775495707</v>
      </c>
      <c r="R1745" s="4">
        <f t="shared" ca="1" si="171"/>
        <v>16.796633549570743</v>
      </c>
      <c r="S1745" s="4">
        <f t="shared" ca="1" si="172"/>
        <v>8.6174656024007508</v>
      </c>
    </row>
    <row r="1746" spans="15:19" x14ac:dyDescent="0.2">
      <c r="O1746" s="4">
        <f t="shared" ca="1" si="168"/>
        <v>0.58980337095218682</v>
      </c>
      <c r="P1746" s="4">
        <f t="shared" ca="1" si="169"/>
        <v>0.22703920344591513</v>
      </c>
      <c r="Q1746" s="4">
        <f t="shared" ca="1" si="170"/>
        <v>1918.9803560022301</v>
      </c>
      <c r="R1746" s="4">
        <f t="shared" ca="1" si="171"/>
        <v>-4.6896879977698518</v>
      </c>
      <c r="S1746" s="4">
        <f t="shared" ca="1" si="172"/>
        <v>-2.3650132554069252</v>
      </c>
    </row>
    <row r="1747" spans="15:19" x14ac:dyDescent="0.2">
      <c r="O1747" s="4">
        <f t="shared" ca="1" si="168"/>
        <v>0.43558534582983821</v>
      </c>
      <c r="P1747" s="4">
        <f t="shared" ca="1" si="169"/>
        <v>-0.16217164062027775</v>
      </c>
      <c r="Q1747" s="4">
        <f t="shared" ca="1" si="170"/>
        <v>1926.324247587572</v>
      </c>
      <c r="R1747" s="4">
        <f t="shared" ca="1" si="171"/>
        <v>2.6542035875720558</v>
      </c>
      <c r="S1747" s="4">
        <f t="shared" ca="1" si="172"/>
        <v>1.3464515736338687</v>
      </c>
    </row>
    <row r="1748" spans="15:19" x14ac:dyDescent="0.2">
      <c r="O1748" s="4">
        <f t="shared" ca="1" si="168"/>
        <v>0.39274270150047341</v>
      </c>
      <c r="P1748" s="4">
        <f t="shared" ca="1" si="169"/>
        <v>-0.27217767998783865</v>
      </c>
      <c r="Q1748" s="4">
        <f t="shared" ca="1" si="170"/>
        <v>1928.3999154143164</v>
      </c>
      <c r="R1748" s="4">
        <f t="shared" ca="1" si="171"/>
        <v>4.7298714143164489</v>
      </c>
      <c r="S1748" s="4">
        <f t="shared" ca="1" si="172"/>
        <v>2.4034140624900053</v>
      </c>
    </row>
    <row r="1749" spans="15:19" x14ac:dyDescent="0.2">
      <c r="O1749" s="4">
        <f t="shared" ca="1" si="168"/>
        <v>0.11960503284491275</v>
      </c>
      <c r="P1749" s="4">
        <f t="shared" ca="1" si="169"/>
        <v>-1.1769635232977662</v>
      </c>
      <c r="Q1749" s="4">
        <f t="shared" ca="1" si="170"/>
        <v>1945.4720223263478</v>
      </c>
      <c r="R1749" s="4">
        <f t="shared" ca="1" si="171"/>
        <v>21.801978326347808</v>
      </c>
      <c r="S1749" s="4">
        <f t="shared" ca="1" si="172"/>
        <v>11.229865669311165</v>
      </c>
    </row>
    <row r="1750" spans="15:19" x14ac:dyDescent="0.2">
      <c r="O1750" s="4">
        <f t="shared" ca="1" si="168"/>
        <v>0.72332979982548107</v>
      </c>
      <c r="P1750" s="4">
        <f t="shared" ca="1" si="169"/>
        <v>0.59276206235656459</v>
      </c>
      <c r="Q1750" s="4">
        <f t="shared" ca="1" si="170"/>
        <v>1912.0796514944586</v>
      </c>
      <c r="R1750" s="4">
        <f t="shared" ca="1" si="171"/>
        <v>-11.590392505541331</v>
      </c>
      <c r="S1750" s="4">
        <f t="shared" ca="1" si="172"/>
        <v>-5.8124856737509099</v>
      </c>
    </row>
    <row r="1751" spans="15:19" x14ac:dyDescent="0.2">
      <c r="O1751" s="4">
        <f t="shared" ca="1" si="168"/>
        <v>0.44528916324928047</v>
      </c>
      <c r="P1751" s="4">
        <f t="shared" ca="1" si="169"/>
        <v>-0.13757245464936951</v>
      </c>
      <c r="Q1751" s="4">
        <f t="shared" ca="1" si="170"/>
        <v>1925.860093626776</v>
      </c>
      <c r="R1751" s="4">
        <f t="shared" ca="1" si="171"/>
        <v>2.1900496267760445</v>
      </c>
      <c r="S1751" s="4">
        <f t="shared" ca="1" si="172"/>
        <v>1.1105770056003106</v>
      </c>
    </row>
    <row r="1752" spans="15:19" x14ac:dyDescent="0.2">
      <c r="O1752" s="4">
        <f t="shared" ca="1" si="168"/>
        <v>0.54125230991904028</v>
      </c>
      <c r="P1752" s="4">
        <f t="shared" ca="1" si="169"/>
        <v>0.10358917296021787</v>
      </c>
      <c r="Q1752" s="4">
        <f t="shared" ca="1" si="170"/>
        <v>1921.3096940818748</v>
      </c>
      <c r="R1752" s="4">
        <f t="shared" ca="1" si="171"/>
        <v>-2.3603499181251664</v>
      </c>
      <c r="S1752" s="4">
        <f t="shared" ca="1" si="172"/>
        <v>-1.1925643628287139</v>
      </c>
    </row>
    <row r="1753" spans="15:19" x14ac:dyDescent="0.2">
      <c r="O1753" s="4">
        <f t="shared" ca="1" si="168"/>
        <v>0.19657679079904034</v>
      </c>
      <c r="P1753" s="4">
        <f t="shared" ca="1" si="169"/>
        <v>-0.85391230409532592</v>
      </c>
      <c r="Q1753" s="4">
        <f t="shared" ca="1" si="170"/>
        <v>1939.3764749732745</v>
      </c>
      <c r="R1753" s="4">
        <f t="shared" ca="1" si="171"/>
        <v>15.706430973274564</v>
      </c>
      <c r="S1753" s="4">
        <f t="shared" ca="1" si="172"/>
        <v>8.0511699124949967</v>
      </c>
    </row>
    <row r="1754" spans="15:19" x14ac:dyDescent="0.2">
      <c r="O1754" s="4">
        <f t="shared" ca="1" si="168"/>
        <v>0.19863877406956831</v>
      </c>
      <c r="P1754" s="4">
        <f t="shared" ca="1" si="169"/>
        <v>-0.84649341082902652</v>
      </c>
      <c r="Q1754" s="4">
        <f t="shared" ca="1" si="170"/>
        <v>1939.2364903128735</v>
      </c>
      <c r="R1754" s="4">
        <f t="shared" ca="1" si="171"/>
        <v>15.566446312873495</v>
      </c>
      <c r="S1754" s="4">
        <f t="shared" ca="1" si="172"/>
        <v>7.978526269907964</v>
      </c>
    </row>
    <row r="1755" spans="15:19" x14ac:dyDescent="0.2">
      <c r="O1755" s="4">
        <f t="shared" ca="1" si="168"/>
        <v>0.41419448735769904</v>
      </c>
      <c r="P1755" s="4">
        <f t="shared" ca="1" si="169"/>
        <v>-0.21676822658970563</v>
      </c>
      <c r="Q1755" s="4">
        <f t="shared" ca="1" si="170"/>
        <v>1927.3544126366758</v>
      </c>
      <c r="R1755" s="4">
        <f t="shared" ca="1" si="171"/>
        <v>3.6843686366757993</v>
      </c>
      <c r="S1755" s="4">
        <f t="shared" ca="1" si="172"/>
        <v>1.8705892825435511</v>
      </c>
    </row>
    <row r="1756" spans="15:19" x14ac:dyDescent="0.2">
      <c r="O1756" s="4">
        <f t="shared" ca="1" si="168"/>
        <v>0.88199816201185266</v>
      </c>
      <c r="P1756" s="4">
        <f t="shared" ca="1" si="169"/>
        <v>1.1850348301861078</v>
      </c>
      <c r="Q1756" s="4">
        <f t="shared" ca="1" si="170"/>
        <v>1900.9042511627279</v>
      </c>
      <c r="R1756" s="4">
        <f t="shared" ca="1" si="171"/>
        <v>-22.765792837272102</v>
      </c>
      <c r="S1756" s="4">
        <f t="shared" ca="1" si="172"/>
        <v>-11.313290945943407</v>
      </c>
    </row>
    <row r="1757" spans="15:19" x14ac:dyDescent="0.2">
      <c r="O1757" s="4">
        <f t="shared" ca="1" si="168"/>
        <v>9.8891642583284534E-2</v>
      </c>
      <c r="P1757" s="4">
        <f t="shared" ca="1" si="169"/>
        <v>-1.2878927913583293</v>
      </c>
      <c r="Q1757" s="4">
        <f t="shared" ca="1" si="170"/>
        <v>1947.5651102520781</v>
      </c>
      <c r="R1757" s="4">
        <f t="shared" ca="1" si="171"/>
        <v>23.895066252078095</v>
      </c>
      <c r="S1757" s="4">
        <f t="shared" ca="1" si="172"/>
        <v>12.328342608637442</v>
      </c>
    </row>
    <row r="1758" spans="15:19" x14ac:dyDescent="0.2">
      <c r="O1758" s="4">
        <f t="shared" ca="1" si="168"/>
        <v>0.14472458034311741</v>
      </c>
      <c r="P1758" s="4">
        <f t="shared" ca="1" si="169"/>
        <v>-1.0593307823836107</v>
      </c>
      <c r="Q1758" s="4">
        <f t="shared" ca="1" si="170"/>
        <v>1943.2524487730141</v>
      </c>
      <c r="R1758" s="4">
        <f t="shared" ca="1" si="171"/>
        <v>19.582404773014105</v>
      </c>
      <c r="S1758" s="4">
        <f t="shared" ca="1" si="172"/>
        <v>10.068904174648672</v>
      </c>
    </row>
    <row r="1759" spans="15:19" x14ac:dyDescent="0.2">
      <c r="O1759" s="4">
        <f t="shared" ca="1" si="168"/>
        <v>0.82267419495676963</v>
      </c>
      <c r="P1759" s="4">
        <f t="shared" ca="1" si="169"/>
        <v>0.92560439198906586</v>
      </c>
      <c r="Q1759" s="4">
        <f t="shared" ca="1" si="170"/>
        <v>1905.7993588944457</v>
      </c>
      <c r="R1759" s="4">
        <f t="shared" ca="1" si="171"/>
        <v>-17.87068510555423</v>
      </c>
      <c r="S1759" s="4">
        <f t="shared" ca="1" si="172"/>
        <v>-8.91631364991723</v>
      </c>
    </row>
    <row r="1760" spans="15:19" x14ac:dyDescent="0.2">
      <c r="O1760" s="4">
        <f t="shared" ca="1" si="168"/>
        <v>0.60204346247192952</v>
      </c>
      <c r="P1760" s="4">
        <f t="shared" ca="1" si="169"/>
        <v>0.25863992545284081</v>
      </c>
      <c r="Q1760" s="4">
        <f t="shared" ca="1" si="170"/>
        <v>1918.3840923575358</v>
      </c>
      <c r="R1760" s="4">
        <f t="shared" ca="1" si="171"/>
        <v>-5.2859516424641697</v>
      </c>
      <c r="S1760" s="4">
        <f t="shared" ca="1" si="172"/>
        <v>-2.6644264596560934</v>
      </c>
    </row>
    <row r="1761" spans="15:19" x14ac:dyDescent="0.2">
      <c r="O1761" s="4">
        <f t="shared" ca="1" si="168"/>
        <v>0.99338434914465301</v>
      </c>
      <c r="P1761" s="4">
        <f t="shared" ca="1" si="169"/>
        <v>2.4774821765623836</v>
      </c>
      <c r="Q1761" s="4">
        <f t="shared" ca="1" si="170"/>
        <v>1876.5174866718191</v>
      </c>
      <c r="R1761" s="4">
        <f t="shared" ca="1" si="171"/>
        <v>-47.152557328180819</v>
      </c>
      <c r="S1761" s="4">
        <f t="shared" ca="1" si="172"/>
        <v>-22.96402344971716</v>
      </c>
    </row>
    <row r="1762" spans="15:19" x14ac:dyDescent="0.2">
      <c r="O1762" s="4">
        <f t="shared" ca="1" si="168"/>
        <v>0.956584681239664</v>
      </c>
      <c r="P1762" s="4">
        <f t="shared" ca="1" si="169"/>
        <v>1.7123584157337748</v>
      </c>
      <c r="Q1762" s="4">
        <f t="shared" ca="1" si="170"/>
        <v>1890.9543556197427</v>
      </c>
      <c r="R1762" s="4">
        <f t="shared" ca="1" si="171"/>
        <v>-32.715688380257234</v>
      </c>
      <c r="S1762" s="4">
        <f t="shared" ca="1" si="172"/>
        <v>-16.125309091393312</v>
      </c>
    </row>
    <row r="1763" spans="15:19" x14ac:dyDescent="0.2">
      <c r="O1763" s="4">
        <f t="shared" ca="1" si="168"/>
        <v>0.25791026232396097</v>
      </c>
      <c r="P1763" s="4">
        <f t="shared" ca="1" si="169"/>
        <v>-0.64980138431138135</v>
      </c>
      <c r="Q1763" s="4">
        <f t="shared" ca="1" si="170"/>
        <v>1935.5251730655027</v>
      </c>
      <c r="R1763" s="4">
        <f t="shared" ca="1" si="171"/>
        <v>11.855129065502751</v>
      </c>
      <c r="S1763" s="4">
        <f t="shared" ca="1" si="172"/>
        <v>6.0583936247529033</v>
      </c>
    </row>
    <row r="1764" spans="15:19" x14ac:dyDescent="0.2">
      <c r="O1764" s="4">
        <f t="shared" ca="1" si="168"/>
        <v>0.32237288667072728</v>
      </c>
      <c r="P1764" s="4">
        <f t="shared" ca="1" si="169"/>
        <v>-0.46107363948560598</v>
      </c>
      <c r="Q1764" s="4">
        <f t="shared" ca="1" si="170"/>
        <v>1931.9641312336084</v>
      </c>
      <c r="R1764" s="4">
        <f t="shared" ca="1" si="171"/>
        <v>8.2940872336084794</v>
      </c>
      <c r="S1764" s="4">
        <f t="shared" ca="1" si="172"/>
        <v>4.2265512560180429</v>
      </c>
    </row>
    <row r="1765" spans="15:19" x14ac:dyDescent="0.2">
      <c r="O1765" s="4">
        <f t="shared" ca="1" si="168"/>
        <v>0.31429987038495066</v>
      </c>
      <c r="P1765" s="4">
        <f t="shared" ca="1" si="169"/>
        <v>-0.48369866502913084</v>
      </c>
      <c r="Q1765" s="4">
        <f t="shared" ca="1" si="170"/>
        <v>1932.3910354096874</v>
      </c>
      <c r="R1765" s="4">
        <f t="shared" ca="1" si="171"/>
        <v>8.7209914096874854</v>
      </c>
      <c r="S1765" s="4">
        <f t="shared" ca="1" si="172"/>
        <v>4.4456112041862657</v>
      </c>
    </row>
    <row r="1766" spans="15:19" x14ac:dyDescent="0.2">
      <c r="O1766" s="4">
        <f t="shared" ca="1" si="168"/>
        <v>0.89033905453047046</v>
      </c>
      <c r="P1766" s="4">
        <f t="shared" ca="1" si="169"/>
        <v>1.2283332582928093</v>
      </c>
      <c r="Q1766" s="4">
        <f t="shared" ca="1" si="170"/>
        <v>1900.0872673435997</v>
      </c>
      <c r="R1766" s="4">
        <f t="shared" ca="1" si="171"/>
        <v>-23.582776656400256</v>
      </c>
      <c r="S1766" s="4">
        <f t="shared" ca="1" si="172"/>
        <v>-11.71144206141599</v>
      </c>
    </row>
    <row r="1767" spans="15:19" x14ac:dyDescent="0.2">
      <c r="O1767" s="4">
        <f t="shared" ca="1" si="168"/>
        <v>0.56543962082585675</v>
      </c>
      <c r="P1767" s="4">
        <f t="shared" ca="1" si="169"/>
        <v>0.16477541137857543</v>
      </c>
      <c r="Q1767" s="4">
        <f t="shared" ca="1" si="170"/>
        <v>1920.1551910449996</v>
      </c>
      <c r="R1767" s="4">
        <f t="shared" ca="1" si="171"/>
        <v>-3.5148529550003786</v>
      </c>
      <c r="S1767" s="4">
        <f t="shared" ca="1" si="172"/>
        <v>-1.7742239823884562</v>
      </c>
    </row>
    <row r="1768" spans="15:19" x14ac:dyDescent="0.2">
      <c r="O1768" s="4">
        <f t="shared" ca="1" si="168"/>
        <v>0.48562141600130282</v>
      </c>
      <c r="P1768" s="4">
        <f t="shared" ca="1" si="169"/>
        <v>-3.6049571845244516E-2</v>
      </c>
      <c r="Q1768" s="4">
        <f t="shared" ca="1" si="170"/>
        <v>1923.9444916950424</v>
      </c>
      <c r="R1768" s="4">
        <f t="shared" ca="1" si="171"/>
        <v>0.27444769504245414</v>
      </c>
      <c r="S1768" s="4">
        <f t="shared" ca="1" si="172"/>
        <v>0.13895877249958991</v>
      </c>
    </row>
    <row r="1769" spans="15:19" x14ac:dyDescent="0.2">
      <c r="O1769" s="4">
        <f t="shared" ca="1" si="168"/>
        <v>0.33781662433515625</v>
      </c>
      <c r="P1769" s="4">
        <f t="shared" ca="1" si="169"/>
        <v>-0.41842932636848906</v>
      </c>
      <c r="Q1769" s="4">
        <f t="shared" ca="1" si="170"/>
        <v>1931.1594896953829</v>
      </c>
      <c r="R1769" s="4">
        <f t="shared" ca="1" si="171"/>
        <v>7.4894456953829831</v>
      </c>
      <c r="S1769" s="4">
        <f t="shared" ca="1" si="172"/>
        <v>3.8140640137184016</v>
      </c>
    </row>
    <row r="1770" spans="15:19" x14ac:dyDescent="0.2">
      <c r="O1770" s="4">
        <f t="shared" ca="1" si="168"/>
        <v>0.55619254632210191</v>
      </c>
      <c r="P1770" s="4">
        <f t="shared" ca="1" si="169"/>
        <v>0.1413228395239863</v>
      </c>
      <c r="Q1770" s="4">
        <f t="shared" ca="1" si="170"/>
        <v>1920.5977099206252</v>
      </c>
      <c r="R1770" s="4">
        <f t="shared" ca="1" si="171"/>
        <v>-3.0723340793747411</v>
      </c>
      <c r="S1770" s="4">
        <f t="shared" ca="1" si="172"/>
        <v>-1.5514031814282705</v>
      </c>
    </row>
    <row r="1771" spans="15:19" x14ac:dyDescent="0.2">
      <c r="O1771" s="4">
        <f t="shared" ca="1" si="168"/>
        <v>0.60783192914831796</v>
      </c>
      <c r="P1771" s="4">
        <f t="shared" ca="1" si="169"/>
        <v>0.27367272289620931</v>
      </c>
      <c r="Q1771" s="4">
        <f t="shared" ca="1" si="170"/>
        <v>1918.1004434399078</v>
      </c>
      <c r="R1771" s="4">
        <f t="shared" ca="1" si="171"/>
        <v>-5.5696005600921126</v>
      </c>
      <c r="S1771" s="4">
        <f t="shared" ca="1" si="172"/>
        <v>-2.806758886503764</v>
      </c>
    </row>
    <row r="1772" spans="15:19" x14ac:dyDescent="0.2">
      <c r="O1772" s="4">
        <f t="shared" ca="1" si="168"/>
        <v>0.86184067584959534</v>
      </c>
      <c r="P1772" s="4">
        <f t="shared" ca="1" si="169"/>
        <v>1.0886264491203592</v>
      </c>
      <c r="Q1772" s="4">
        <f t="shared" ca="1" si="170"/>
        <v>1902.723349240953</v>
      </c>
      <c r="R1772" s="4">
        <f t="shared" ca="1" si="171"/>
        <v>-20.946694759046977</v>
      </c>
      <c r="S1772" s="4">
        <f t="shared" ca="1" si="172"/>
        <v>-10.424814727483197</v>
      </c>
    </row>
    <row r="1773" spans="15:19" x14ac:dyDescent="0.2">
      <c r="O1773" s="4">
        <f t="shared" ca="1" si="168"/>
        <v>0.41661812022920808</v>
      </c>
      <c r="P1773" s="4">
        <f t="shared" ca="1" si="169"/>
        <v>-0.21055280797165932</v>
      </c>
      <c r="Q1773" s="4">
        <f t="shared" ca="1" si="170"/>
        <v>1927.2371359441468</v>
      </c>
      <c r="R1773" s="4">
        <f t="shared" ca="1" si="171"/>
        <v>3.5670919441467959</v>
      </c>
      <c r="S1773" s="4">
        <f t="shared" ca="1" si="172"/>
        <v>1.8108764892834419</v>
      </c>
    </row>
    <row r="1774" spans="15:19" x14ac:dyDescent="0.2">
      <c r="O1774" s="4">
        <f t="shared" ca="1" si="168"/>
        <v>0.92554587268913113</v>
      </c>
      <c r="P1774" s="4">
        <f t="shared" ca="1" si="169"/>
        <v>1.4433984708598453</v>
      </c>
      <c r="Q1774" s="4">
        <f t="shared" ca="1" si="170"/>
        <v>1896.0292724831015</v>
      </c>
      <c r="R1774" s="4">
        <f t="shared" ca="1" si="171"/>
        <v>-27.64077151689844</v>
      </c>
      <c r="S1774" s="4">
        <f t="shared" ca="1" si="172"/>
        <v>-13.681023405520689</v>
      </c>
    </row>
    <row r="1775" spans="15:19" x14ac:dyDescent="0.2">
      <c r="O1775" s="4">
        <f t="shared" ca="1" si="168"/>
        <v>0.40936200960133595</v>
      </c>
      <c r="P1775" s="4">
        <f t="shared" ca="1" si="169"/>
        <v>-0.22918642999697361</v>
      </c>
      <c r="Q1775" s="4">
        <f t="shared" ca="1" si="170"/>
        <v>1927.588727638167</v>
      </c>
      <c r="R1775" s="4">
        <f t="shared" ca="1" si="171"/>
        <v>3.9186836381670673</v>
      </c>
      <c r="S1775" s="4">
        <f t="shared" ca="1" si="172"/>
        <v>1.989927028964477</v>
      </c>
    </row>
    <row r="1776" spans="15:19" x14ac:dyDescent="0.2">
      <c r="O1776" s="4">
        <f t="shared" ca="1" si="168"/>
        <v>0.78064730922238579</v>
      </c>
      <c r="P1776" s="4">
        <f t="shared" ca="1" si="169"/>
        <v>0.7743812275919123</v>
      </c>
      <c r="Q1776" s="4">
        <f t="shared" ca="1" si="170"/>
        <v>1908.6527391161337</v>
      </c>
      <c r="R1776" s="4">
        <f t="shared" ca="1" si="171"/>
        <v>-15.017304883866245</v>
      </c>
      <c r="S1776" s="4">
        <f t="shared" ca="1" si="172"/>
        <v>-7.5101047990341492</v>
      </c>
    </row>
    <row r="1777" spans="15:19" x14ac:dyDescent="0.2">
      <c r="O1777" s="4">
        <f t="shared" ca="1" si="168"/>
        <v>2.4066329925912289E-2</v>
      </c>
      <c r="P1777" s="4">
        <f t="shared" ca="1" si="169"/>
        <v>-1.9761953191202504</v>
      </c>
      <c r="Q1777" s="4">
        <f t="shared" ca="1" si="170"/>
        <v>1960.5524645842215</v>
      </c>
      <c r="R1777" s="4">
        <f t="shared" ca="1" si="171"/>
        <v>36.882420584221563</v>
      </c>
      <c r="S1777" s="4">
        <f t="shared" ca="1" si="172"/>
        <v>19.223984098111796</v>
      </c>
    </row>
    <row r="1778" spans="15:19" x14ac:dyDescent="0.2">
      <c r="O1778" s="4">
        <f t="shared" ca="1" si="168"/>
        <v>0.92093683857306785</v>
      </c>
      <c r="P1778" s="4">
        <f t="shared" ca="1" si="169"/>
        <v>1.4114012898858563</v>
      </c>
      <c r="Q1778" s="4">
        <f t="shared" ca="1" si="170"/>
        <v>1896.6330167818332</v>
      </c>
      <c r="R1778" s="4">
        <f t="shared" ca="1" si="171"/>
        <v>-27.037027218166713</v>
      </c>
      <c r="S1778" s="4">
        <f t="shared" ca="1" si="172"/>
        <v>-13.388840056689489</v>
      </c>
    </row>
    <row r="1779" spans="15:19" x14ac:dyDescent="0.2">
      <c r="O1779" s="4">
        <f t="shared" ca="1" si="168"/>
        <v>0.14169632769862417</v>
      </c>
      <c r="P1779" s="4">
        <f t="shared" ca="1" si="169"/>
        <v>-1.072729154663538</v>
      </c>
      <c r="Q1779" s="4">
        <f t="shared" ca="1" si="170"/>
        <v>1943.5052582590392</v>
      </c>
      <c r="R1779" s="4">
        <f t="shared" ca="1" si="171"/>
        <v>19.835214259039276</v>
      </c>
      <c r="S1779" s="4">
        <f t="shared" ca="1" si="172"/>
        <v>10.200935317803472</v>
      </c>
    </row>
    <row r="1780" spans="15:19" x14ac:dyDescent="0.2">
      <c r="O1780" s="4">
        <f t="shared" ca="1" si="168"/>
        <v>0.24642040243960794</v>
      </c>
      <c r="P1780" s="4">
        <f t="shared" ca="1" si="169"/>
        <v>-0.68579751292383906</v>
      </c>
      <c r="Q1780" s="4">
        <f t="shared" ca="1" si="170"/>
        <v>1936.204372193821</v>
      </c>
      <c r="R1780" s="4">
        <f t="shared" ca="1" si="171"/>
        <v>12.534328193821011</v>
      </c>
      <c r="S1780" s="4">
        <f t="shared" ca="1" si="172"/>
        <v>6.4089540992747782</v>
      </c>
    </row>
    <row r="1781" spans="15:19" x14ac:dyDescent="0.2">
      <c r="O1781" s="4">
        <f t="shared" ca="1" si="168"/>
        <v>0.2363385246436267</v>
      </c>
      <c r="P1781" s="4">
        <f t="shared" ca="1" si="169"/>
        <v>-0.71813013747846377</v>
      </c>
      <c r="Q1781" s="4">
        <f t="shared" ca="1" si="170"/>
        <v>1936.8144458673037</v>
      </c>
      <c r="R1781" s="4">
        <f t="shared" ca="1" si="171"/>
        <v>13.144401867303714</v>
      </c>
      <c r="S1781" s="4">
        <f t="shared" ca="1" si="172"/>
        <v>6.7241564811820025</v>
      </c>
    </row>
    <row r="1782" spans="15:19" x14ac:dyDescent="0.2">
      <c r="O1782" s="4">
        <f t="shared" ca="1" si="168"/>
        <v>0.69906940651779226</v>
      </c>
      <c r="P1782" s="4">
        <f t="shared" ca="1" si="169"/>
        <v>0.52172590273325514</v>
      </c>
      <c r="Q1782" s="4">
        <f t="shared" ca="1" si="170"/>
        <v>1913.4200094594694</v>
      </c>
      <c r="R1782" s="4">
        <f t="shared" ca="1" si="171"/>
        <v>-10.250034540530578</v>
      </c>
      <c r="S1782" s="4">
        <f t="shared" ca="1" si="172"/>
        <v>-5.1458998837689505</v>
      </c>
    </row>
    <row r="1783" spans="15:19" x14ac:dyDescent="0.2">
      <c r="O1783" s="4">
        <f t="shared" ca="1" si="168"/>
        <v>0.90689410062819276</v>
      </c>
      <c r="P1783" s="4">
        <f t="shared" ca="1" si="169"/>
        <v>1.3218689341044112</v>
      </c>
      <c r="Q1783" s="4">
        <f t="shared" ca="1" si="170"/>
        <v>1898.3223733973118</v>
      </c>
      <c r="R1783" s="4">
        <f t="shared" ca="1" si="171"/>
        <v>-25.34767060268814</v>
      </c>
      <c r="S1783" s="4">
        <f t="shared" ca="1" si="172"/>
        <v>-12.569695366452507</v>
      </c>
    </row>
    <row r="1784" spans="15:19" x14ac:dyDescent="0.2">
      <c r="O1784" s="4">
        <f t="shared" ca="1" si="168"/>
        <v>0.43842096914356865</v>
      </c>
      <c r="P1784" s="4">
        <f t="shared" ca="1" si="169"/>
        <v>-0.15497384315517029</v>
      </c>
      <c r="Q1784" s="4">
        <f t="shared" ca="1" si="170"/>
        <v>1926.1884347112275</v>
      </c>
      <c r="R1784" s="4">
        <f t="shared" ca="1" si="171"/>
        <v>2.5183907112275392</v>
      </c>
      <c r="S1784" s="4">
        <f t="shared" ca="1" si="172"/>
        <v>1.277415797224253</v>
      </c>
    </row>
    <row r="1785" spans="15:19" x14ac:dyDescent="0.2">
      <c r="O1785" s="4">
        <f t="shared" ca="1" si="168"/>
        <v>0.45532952494905565</v>
      </c>
      <c r="P1785" s="4">
        <f t="shared" ca="1" si="169"/>
        <v>-0.11220728898278667</v>
      </c>
      <c r="Q1785" s="4">
        <f t="shared" ca="1" si="170"/>
        <v>1925.3814866466787</v>
      </c>
      <c r="R1785" s="4">
        <f t="shared" ca="1" si="171"/>
        <v>1.7114426466787336</v>
      </c>
      <c r="S1785" s="4">
        <f t="shared" ca="1" si="172"/>
        <v>0.86754135155701773</v>
      </c>
    </row>
    <row r="1786" spans="15:19" x14ac:dyDescent="0.2">
      <c r="O1786" s="4">
        <f t="shared" ca="1" si="168"/>
        <v>0.97667994517518641</v>
      </c>
      <c r="P1786" s="4">
        <f t="shared" ca="1" si="169"/>
        <v>1.9895538008185434</v>
      </c>
      <c r="Q1786" s="4">
        <f t="shared" ca="1" si="170"/>
        <v>1885.724046939871</v>
      </c>
      <c r="R1786" s="4">
        <f t="shared" ca="1" si="171"/>
        <v>-37.945997060129002</v>
      </c>
      <c r="S1786" s="4">
        <f t="shared" ca="1" si="172"/>
        <v>-18.622496943245459</v>
      </c>
    </row>
    <row r="1787" spans="15:19" x14ac:dyDescent="0.2">
      <c r="O1787" s="4">
        <f t="shared" ca="1" si="168"/>
        <v>0.3439625959531688</v>
      </c>
      <c r="P1787" s="4">
        <f t="shared" ca="1" si="169"/>
        <v>-0.40167232853564028</v>
      </c>
      <c r="Q1787" s="4">
        <f t="shared" ca="1" si="170"/>
        <v>1930.8433074068971</v>
      </c>
      <c r="R1787" s="4">
        <f t="shared" ca="1" si="171"/>
        <v>7.1732634068971493</v>
      </c>
      <c r="S1787" s="4">
        <f t="shared" ca="1" si="172"/>
        <v>3.652122233184425</v>
      </c>
    </row>
    <row r="1788" spans="15:19" x14ac:dyDescent="0.2">
      <c r="O1788" s="4">
        <f t="shared" ca="1" si="168"/>
        <v>0.54651636079558419</v>
      </c>
      <c r="P1788" s="4">
        <f t="shared" ca="1" si="169"/>
        <v>0.11686469159028781</v>
      </c>
      <c r="Q1788" s="4">
        <f t="shared" ca="1" si="170"/>
        <v>1921.0592026810191</v>
      </c>
      <c r="R1788" s="4">
        <f t="shared" ca="1" si="171"/>
        <v>-2.6108413189808743</v>
      </c>
      <c r="S1788" s="4">
        <f t="shared" ca="1" si="172"/>
        <v>-1.3188586643314055</v>
      </c>
    </row>
    <row r="1789" spans="15:19" x14ac:dyDescent="0.2">
      <c r="O1789" s="4">
        <f t="shared" ca="1" si="168"/>
        <v>0.27016698470101608</v>
      </c>
      <c r="P1789" s="4">
        <f t="shared" ca="1" si="169"/>
        <v>-0.61230804277569972</v>
      </c>
      <c r="Q1789" s="4">
        <f t="shared" ca="1" si="170"/>
        <v>1934.8177235182759</v>
      </c>
      <c r="R1789" s="4">
        <f t="shared" ca="1" si="171"/>
        <v>11.147679518275936</v>
      </c>
      <c r="S1789" s="4">
        <f t="shared" ca="1" si="172"/>
        <v>5.6936513641196926</v>
      </c>
    </row>
    <row r="1790" spans="15:19" x14ac:dyDescent="0.2">
      <c r="O1790" s="4">
        <f t="shared" ca="1" si="168"/>
        <v>0.21755218069972804</v>
      </c>
      <c r="P1790" s="4">
        <f t="shared" ca="1" si="169"/>
        <v>-0.78048685574354715</v>
      </c>
      <c r="Q1790" s="4">
        <f t="shared" ca="1" si="170"/>
        <v>1937.9910343039778</v>
      </c>
      <c r="R1790" s="4">
        <f t="shared" ca="1" si="171"/>
        <v>14.320990303977851</v>
      </c>
      <c r="S1790" s="4">
        <f t="shared" ca="1" si="172"/>
        <v>7.3329117028353359</v>
      </c>
    </row>
    <row r="1791" spans="15:19" x14ac:dyDescent="0.2">
      <c r="O1791" s="4">
        <f t="shared" ca="1" si="168"/>
        <v>0.8891113696429509</v>
      </c>
      <c r="P1791" s="4">
        <f t="shared" ca="1" si="169"/>
        <v>1.2218158832805188</v>
      </c>
      <c r="Q1791" s="4">
        <f t="shared" ca="1" si="170"/>
        <v>1900.2102415521579</v>
      </c>
      <c r="R1791" s="4">
        <f t="shared" ca="1" si="171"/>
        <v>-23.459802447842094</v>
      </c>
      <c r="S1791" s="4">
        <f t="shared" ca="1" si="172"/>
        <v>-11.651546217736705</v>
      </c>
    </row>
    <row r="1792" spans="15:19" x14ac:dyDescent="0.2">
      <c r="O1792" s="4">
        <f t="shared" ca="1" si="168"/>
        <v>0.63114106227114697</v>
      </c>
      <c r="P1792" s="4">
        <f t="shared" ca="1" si="169"/>
        <v>0.33487699636125329</v>
      </c>
      <c r="Q1792" s="4">
        <f t="shared" ca="1" si="170"/>
        <v>1916.9456001056597</v>
      </c>
      <c r="R1792" s="4">
        <f t="shared" ca="1" si="171"/>
        <v>-6.7244438943403111</v>
      </c>
      <c r="S1792" s="4">
        <f t="shared" ca="1" si="172"/>
        <v>-3.3855724490529462</v>
      </c>
    </row>
    <row r="1793" spans="15:19" x14ac:dyDescent="0.2">
      <c r="O1793" s="4">
        <f t="shared" ca="1" si="168"/>
        <v>0.30422054964565592</v>
      </c>
      <c r="P1793" s="4">
        <f t="shared" ca="1" si="169"/>
        <v>-0.51229995136148521</v>
      </c>
      <c r="Q1793" s="4">
        <f t="shared" ca="1" si="170"/>
        <v>1932.9307036877647</v>
      </c>
      <c r="R1793" s="4">
        <f t="shared" ca="1" si="171"/>
        <v>9.2606596877647007</v>
      </c>
      <c r="S1793" s="4">
        <f t="shared" ca="1" si="172"/>
        <v>4.7227468238846706</v>
      </c>
    </row>
    <row r="1794" spans="15:19" x14ac:dyDescent="0.2">
      <c r="O1794" s="4">
        <f t="shared" ca="1" si="168"/>
        <v>0.95941306291361206</v>
      </c>
      <c r="P1794" s="4">
        <f t="shared" ca="1" si="169"/>
        <v>1.7439152205142892</v>
      </c>
      <c r="Q1794" s="4">
        <f t="shared" ca="1" si="170"/>
        <v>1890.3589206347697</v>
      </c>
      <c r="R1794" s="4">
        <f t="shared" ca="1" si="171"/>
        <v>-33.311123365230287</v>
      </c>
      <c r="S1794" s="4">
        <f t="shared" ca="1" si="172"/>
        <v>-16.410720319249599</v>
      </c>
    </row>
    <row r="1795" spans="15:19" x14ac:dyDescent="0.2">
      <c r="O1795" s="4">
        <f t="shared" ref="O1795:O1858" ca="1" si="173">RAND()</f>
        <v>8.7437869557327574E-2</v>
      </c>
      <c r="P1795" s="4">
        <f t="shared" ref="P1795:P1858" ca="1" si="174">NORMSINV(O1795)</f>
        <v>-1.3567025588272654</v>
      </c>
      <c r="Q1795" s="4">
        <f t="shared" ref="Q1795:Q1858" ca="1" si="175">$B$4*(1+$B$17-$B$32*P1795)</f>
        <v>1948.8634591547577</v>
      </c>
      <c r="R1795" s="4">
        <f t="shared" ref="R1795:R1858" ca="1" si="176">Q1795-$B$4</f>
        <v>25.193415154757759</v>
      </c>
      <c r="S1795" s="4">
        <f t="shared" ref="S1795:S1858" ca="1" si="177">R1795*$B$12+0.5*$B$13*R1795^2</f>
        <v>13.011523680629027</v>
      </c>
    </row>
    <row r="1796" spans="15:19" x14ac:dyDescent="0.2">
      <c r="O1796" s="4">
        <f t="shared" ca="1" si="173"/>
        <v>0.93710675511970409</v>
      </c>
      <c r="P1796" s="4">
        <f t="shared" ca="1" si="174"/>
        <v>1.5309308257737739</v>
      </c>
      <c r="Q1796" s="4">
        <f t="shared" ca="1" si="175"/>
        <v>1894.3776532271172</v>
      </c>
      <c r="R1796" s="4">
        <f t="shared" ca="1" si="176"/>
        <v>-29.292390772882754</v>
      </c>
      <c r="S1796" s="4">
        <f t="shared" ca="1" si="177"/>
        <v>-14.478811754720109</v>
      </c>
    </row>
    <row r="1797" spans="15:19" x14ac:dyDescent="0.2">
      <c r="O1797" s="4">
        <f t="shared" ca="1" si="173"/>
        <v>0.86596720239656377</v>
      </c>
      <c r="P1797" s="4">
        <f t="shared" ca="1" si="174"/>
        <v>1.1075282733799683</v>
      </c>
      <c r="Q1797" s="4">
        <f t="shared" ca="1" si="175"/>
        <v>1902.3666969270619</v>
      </c>
      <c r="R1797" s="4">
        <f t="shared" ca="1" si="176"/>
        <v>-21.303347072938095</v>
      </c>
      <c r="S1797" s="4">
        <f t="shared" ca="1" si="177"/>
        <v>-10.599221668918617</v>
      </c>
    </row>
    <row r="1798" spans="15:19" x14ac:dyDescent="0.2">
      <c r="O1798" s="4">
        <f t="shared" ca="1" si="173"/>
        <v>0.76500323826366534</v>
      </c>
      <c r="P1798" s="4">
        <f t="shared" ca="1" si="174"/>
        <v>0.72248958971560562</v>
      </c>
      <c r="Q1798" s="4">
        <f t="shared" ca="1" si="175"/>
        <v>1909.6318653880746</v>
      </c>
      <c r="R1798" s="4">
        <f t="shared" ca="1" si="176"/>
        <v>-14.038178611925332</v>
      </c>
      <c r="S1798" s="4">
        <f t="shared" ca="1" si="177"/>
        <v>-7.0260421969348625</v>
      </c>
    </row>
    <row r="1799" spans="15:19" x14ac:dyDescent="0.2">
      <c r="O1799" s="4">
        <f t="shared" ca="1" si="173"/>
        <v>0.91436344273419978</v>
      </c>
      <c r="P1799" s="4">
        <f t="shared" ca="1" si="174"/>
        <v>1.3681244824109919</v>
      </c>
      <c r="Q1799" s="4">
        <f t="shared" ca="1" si="175"/>
        <v>1897.4495926483603</v>
      </c>
      <c r="R1799" s="4">
        <f t="shared" ca="1" si="176"/>
        <v>-26.220451351639667</v>
      </c>
      <c r="S1799" s="4">
        <f t="shared" ca="1" si="177"/>
        <v>-12.993184295398981</v>
      </c>
    </row>
    <row r="1800" spans="15:19" x14ac:dyDescent="0.2">
      <c r="O1800" s="4">
        <f t="shared" ca="1" si="173"/>
        <v>0.78346800695931595</v>
      </c>
      <c r="P1800" s="4">
        <f t="shared" ca="1" si="174"/>
        <v>0.78395931059547042</v>
      </c>
      <c r="Q1800" s="4">
        <f t="shared" ca="1" si="175"/>
        <v>1908.472013413739</v>
      </c>
      <c r="R1800" s="4">
        <f t="shared" ca="1" si="176"/>
        <v>-15.198030586260984</v>
      </c>
      <c r="S1800" s="4">
        <f t="shared" ca="1" si="177"/>
        <v>-7.5993670418529771</v>
      </c>
    </row>
    <row r="1801" spans="15:19" x14ac:dyDescent="0.2">
      <c r="O1801" s="4">
        <f t="shared" ca="1" si="173"/>
        <v>0.21969589676634771</v>
      </c>
      <c r="P1801" s="4">
        <f t="shared" ca="1" si="174"/>
        <v>-0.7732206729282084</v>
      </c>
      <c r="Q1801" s="4">
        <f t="shared" ca="1" si="175"/>
        <v>1937.8539310869201</v>
      </c>
      <c r="R1801" s="4">
        <f t="shared" ca="1" si="176"/>
        <v>14.183887086920095</v>
      </c>
      <c r="S1801" s="4">
        <f t="shared" ca="1" si="177"/>
        <v>7.2619178399762552</v>
      </c>
    </row>
    <row r="1802" spans="15:19" x14ac:dyDescent="0.2">
      <c r="O1802" s="4">
        <f t="shared" ca="1" si="173"/>
        <v>0.62210751536125009</v>
      </c>
      <c r="P1802" s="4">
        <f t="shared" ca="1" si="174"/>
        <v>0.31102058939945576</v>
      </c>
      <c r="Q1802" s="4">
        <f t="shared" ca="1" si="175"/>
        <v>1917.395738813289</v>
      </c>
      <c r="R1802" s="4">
        <f t="shared" ca="1" si="176"/>
        <v>-6.2743051867109898</v>
      </c>
      <c r="S1802" s="4">
        <f t="shared" ca="1" si="177"/>
        <v>-3.1600896859669212</v>
      </c>
    </row>
    <row r="1803" spans="15:19" x14ac:dyDescent="0.2">
      <c r="O1803" s="4">
        <f t="shared" ca="1" si="173"/>
        <v>0.87322600908351777</v>
      </c>
      <c r="P1803" s="4">
        <f t="shared" ca="1" si="174"/>
        <v>1.1417739770932338</v>
      </c>
      <c r="Q1803" s="4">
        <f t="shared" ca="1" si="175"/>
        <v>1901.7205259912614</v>
      </c>
      <c r="R1803" s="4">
        <f t="shared" ca="1" si="176"/>
        <v>-21.949518008738551</v>
      </c>
      <c r="S1803" s="4">
        <f t="shared" ca="1" si="177"/>
        <v>-10.914942652099271</v>
      </c>
    </row>
    <row r="1804" spans="15:19" x14ac:dyDescent="0.2">
      <c r="O1804" s="4">
        <f t="shared" ca="1" si="173"/>
        <v>3.2279226052138177E-2</v>
      </c>
      <c r="P1804" s="4">
        <f t="shared" ca="1" si="174"/>
        <v>-1.8483034833985927</v>
      </c>
      <c r="Q1804" s="4">
        <f t="shared" ca="1" si="175"/>
        <v>1958.1393155404335</v>
      </c>
      <c r="R1804" s="4">
        <f t="shared" ca="1" si="176"/>
        <v>34.46927154043351</v>
      </c>
      <c r="S1804" s="4">
        <f t="shared" ca="1" si="177"/>
        <v>17.932334313213477</v>
      </c>
    </row>
    <row r="1805" spans="15:19" x14ac:dyDescent="0.2">
      <c r="O1805" s="4">
        <f t="shared" ca="1" si="173"/>
        <v>0.50049158531154181</v>
      </c>
      <c r="P1805" s="4">
        <f t="shared" ca="1" si="174"/>
        <v>1.2322219531322512E-3</v>
      </c>
      <c r="Q1805" s="4">
        <f t="shared" ca="1" si="175"/>
        <v>1923.241033772591</v>
      </c>
      <c r="R1805" s="4">
        <f t="shared" ca="1" si="176"/>
        <v>-0.42901022740898043</v>
      </c>
      <c r="S1805" s="4">
        <f t="shared" ca="1" si="177"/>
        <v>-0.21709425822954556</v>
      </c>
    </row>
    <row r="1806" spans="15:19" x14ac:dyDescent="0.2">
      <c r="O1806" s="4">
        <f t="shared" ca="1" si="173"/>
        <v>0.23639242555097983</v>
      </c>
      <c r="P1806" s="4">
        <f t="shared" ca="1" si="174"/>
        <v>-0.71795529621135534</v>
      </c>
      <c r="Q1806" s="4">
        <f t="shared" ca="1" si="175"/>
        <v>1936.8111468448587</v>
      </c>
      <c r="R1806" s="4">
        <f t="shared" ca="1" si="176"/>
        <v>13.141102844858779</v>
      </c>
      <c r="S1806" s="4">
        <f t="shared" ca="1" si="177"/>
        <v>6.7224511841004535</v>
      </c>
    </row>
    <row r="1807" spans="15:19" x14ac:dyDescent="0.2">
      <c r="O1807" s="4">
        <f t="shared" ca="1" si="173"/>
        <v>0.90865983277650897</v>
      </c>
      <c r="P1807" s="4">
        <f t="shared" ca="1" si="174"/>
        <v>1.3325475281247365</v>
      </c>
      <c r="Q1807" s="4">
        <f t="shared" ca="1" si="175"/>
        <v>1898.1208825139904</v>
      </c>
      <c r="R1807" s="4">
        <f t="shared" ca="1" si="176"/>
        <v>-25.549161486009552</v>
      </c>
      <c r="S1807" s="4">
        <f t="shared" ca="1" si="177"/>
        <v>-12.667517429451021</v>
      </c>
    </row>
    <row r="1808" spans="15:19" x14ac:dyDescent="0.2">
      <c r="O1808" s="4">
        <f t="shared" ca="1" si="173"/>
        <v>0.80203611059890279</v>
      </c>
      <c r="P1808" s="4">
        <f t="shared" ca="1" si="174"/>
        <v>0.84891646056155778</v>
      </c>
      <c r="Q1808" s="4">
        <f t="shared" ca="1" si="175"/>
        <v>1907.2463582853773</v>
      </c>
      <c r="R1808" s="4">
        <f t="shared" ca="1" si="176"/>
        <v>-16.423685714622707</v>
      </c>
      <c r="S1808" s="4">
        <f t="shared" ca="1" si="177"/>
        <v>-8.2040287612700684</v>
      </c>
    </row>
    <row r="1809" spans="15:19" x14ac:dyDescent="0.2">
      <c r="O1809" s="4">
        <f t="shared" ca="1" si="173"/>
        <v>0.34369502145210684</v>
      </c>
      <c r="P1809" s="4">
        <f t="shared" ca="1" si="174"/>
        <v>-0.40239949325408975</v>
      </c>
      <c r="Q1809" s="4">
        <f t="shared" ca="1" si="175"/>
        <v>1930.8570280391418</v>
      </c>
      <c r="R1809" s="4">
        <f t="shared" ca="1" si="176"/>
        <v>7.186984039141862</v>
      </c>
      <c r="S1809" s="4">
        <f t="shared" ca="1" si="177"/>
        <v>3.6591479571500352</v>
      </c>
    </row>
    <row r="1810" spans="15:19" x14ac:dyDescent="0.2">
      <c r="O1810" s="4">
        <f t="shared" ca="1" si="173"/>
        <v>0.70345061907760731</v>
      </c>
      <c r="P1810" s="4">
        <f t="shared" ca="1" si="174"/>
        <v>0.53435092998273703</v>
      </c>
      <c r="Q1810" s="4">
        <f t="shared" ca="1" si="175"/>
        <v>1913.1817919668281</v>
      </c>
      <c r="R1810" s="4">
        <f t="shared" ca="1" si="176"/>
        <v>-10.488252033171875</v>
      </c>
      <c r="S1810" s="4">
        <f t="shared" ca="1" si="177"/>
        <v>-5.2644768992611573</v>
      </c>
    </row>
    <row r="1811" spans="15:19" x14ac:dyDescent="0.2">
      <c r="O1811" s="4">
        <f t="shared" ca="1" si="173"/>
        <v>0.11122030759928869</v>
      </c>
      <c r="P1811" s="4">
        <f t="shared" ca="1" si="174"/>
        <v>-1.2200639976784955</v>
      </c>
      <c r="Q1811" s="4">
        <f t="shared" ca="1" si="175"/>
        <v>1946.2852710216364</v>
      </c>
      <c r="R1811" s="4">
        <f t="shared" ca="1" si="176"/>
        <v>22.615227021636429</v>
      </c>
      <c r="S1811" s="4">
        <f t="shared" ca="1" si="177"/>
        <v>11.656244374507564</v>
      </c>
    </row>
    <row r="1812" spans="15:19" x14ac:dyDescent="0.2">
      <c r="O1812" s="4">
        <f t="shared" ca="1" si="173"/>
        <v>0.28669780395542133</v>
      </c>
      <c r="P1812" s="4">
        <f t="shared" ca="1" si="174"/>
        <v>-0.56305767976902465</v>
      </c>
      <c r="Q1812" s="4">
        <f t="shared" ca="1" si="175"/>
        <v>1933.8884345943575</v>
      </c>
      <c r="R1812" s="4">
        <f t="shared" ca="1" si="176"/>
        <v>10.218390594357516</v>
      </c>
      <c r="S1812" s="4">
        <f t="shared" ca="1" si="177"/>
        <v>5.2151537463532218</v>
      </c>
    </row>
    <row r="1813" spans="15:19" x14ac:dyDescent="0.2">
      <c r="O1813" s="4">
        <f t="shared" ca="1" si="173"/>
        <v>0.48657296458198773</v>
      </c>
      <c r="P1813" s="4">
        <f t="shared" ca="1" si="174"/>
        <v>-3.3662943315562521E-2</v>
      </c>
      <c r="Q1813" s="4">
        <f t="shared" ca="1" si="175"/>
        <v>1923.8994591851736</v>
      </c>
      <c r="R1813" s="4">
        <f t="shared" ca="1" si="176"/>
        <v>0.22941518517359327</v>
      </c>
      <c r="S1813" s="4">
        <f t="shared" ca="1" si="177"/>
        <v>0.11615363842852852</v>
      </c>
    </row>
    <row r="1814" spans="15:19" x14ac:dyDescent="0.2">
      <c r="O1814" s="4">
        <f t="shared" ca="1" si="173"/>
        <v>0.15833075357108017</v>
      </c>
      <c r="P1814" s="4">
        <f t="shared" ca="1" si="174"/>
        <v>-1.0013419732595967</v>
      </c>
      <c r="Q1814" s="4">
        <f t="shared" ca="1" si="175"/>
        <v>1942.1582769793386</v>
      </c>
      <c r="R1814" s="4">
        <f t="shared" ca="1" si="176"/>
        <v>18.488232979338591</v>
      </c>
      <c r="S1814" s="4">
        <f t="shared" ca="1" si="177"/>
        <v>9.4980668938020756</v>
      </c>
    </row>
    <row r="1815" spans="15:19" x14ac:dyDescent="0.2">
      <c r="O1815" s="4">
        <f t="shared" ca="1" si="173"/>
        <v>0.2222567957874515</v>
      </c>
      <c r="P1815" s="4">
        <f t="shared" ca="1" si="174"/>
        <v>-0.76459358283249834</v>
      </c>
      <c r="Q1815" s="4">
        <f t="shared" ca="1" si="175"/>
        <v>1937.6911493573623</v>
      </c>
      <c r="R1815" s="4">
        <f t="shared" ca="1" si="176"/>
        <v>14.02110535736233</v>
      </c>
      <c r="S1815" s="4">
        <f t="shared" ca="1" si="177"/>
        <v>7.1776471744262462</v>
      </c>
    </row>
    <row r="1816" spans="15:19" x14ac:dyDescent="0.2">
      <c r="O1816" s="4">
        <f t="shared" ca="1" si="173"/>
        <v>0.62070239259851689</v>
      </c>
      <c r="P1816" s="4">
        <f t="shared" ca="1" si="174"/>
        <v>0.30732604297913424</v>
      </c>
      <c r="Q1816" s="4">
        <f t="shared" ca="1" si="175"/>
        <v>1917.4654499962674</v>
      </c>
      <c r="R1816" s="4">
        <f t="shared" ca="1" si="176"/>
        <v>-6.2045940037326091</v>
      </c>
      <c r="S1816" s="4">
        <f t="shared" ca="1" si="177"/>
        <v>-3.1251553195112929</v>
      </c>
    </row>
    <row r="1817" spans="15:19" x14ac:dyDescent="0.2">
      <c r="O1817" s="4">
        <f t="shared" ca="1" si="173"/>
        <v>4.4613424994228157E-2</v>
      </c>
      <c r="P1817" s="4">
        <f t="shared" ca="1" si="174"/>
        <v>-1.6994902506150165</v>
      </c>
      <c r="Q1817" s="4">
        <f t="shared" ca="1" si="175"/>
        <v>1955.3314075268509</v>
      </c>
      <c r="R1817" s="4">
        <f t="shared" ca="1" si="176"/>
        <v>31.661363526850892</v>
      </c>
      <c r="S1817" s="4">
        <f t="shared" ca="1" si="177"/>
        <v>16.435355601865062</v>
      </c>
    </row>
    <row r="1818" spans="15:19" x14ac:dyDescent="0.2">
      <c r="O1818" s="4">
        <f t="shared" ca="1" si="173"/>
        <v>0.47210919723681499</v>
      </c>
      <c r="P1818" s="4">
        <f t="shared" ca="1" si="174"/>
        <v>-6.9968923471432104E-2</v>
      </c>
      <c r="Q1818" s="4">
        <f t="shared" ca="1" si="175"/>
        <v>1924.5845048004983</v>
      </c>
      <c r="R1818" s="4">
        <f t="shared" ca="1" si="176"/>
        <v>0.91446080049831835</v>
      </c>
      <c r="S1818" s="4">
        <f t="shared" ca="1" si="177"/>
        <v>0.46324942125070301</v>
      </c>
    </row>
    <row r="1819" spans="15:19" x14ac:dyDescent="0.2">
      <c r="O1819" s="4">
        <f t="shared" ca="1" si="173"/>
        <v>0.86326649729946525</v>
      </c>
      <c r="P1819" s="4">
        <f t="shared" ca="1" si="174"/>
        <v>1.0951132936530381</v>
      </c>
      <c r="Q1819" s="4">
        <f t="shared" ca="1" si="175"/>
        <v>1902.6009511019874</v>
      </c>
      <c r="R1819" s="4">
        <f t="shared" ca="1" si="176"/>
        <v>-21.069092898012514</v>
      </c>
      <c r="S1819" s="4">
        <f t="shared" ca="1" si="177"/>
        <v>-10.484680448035677</v>
      </c>
    </row>
    <row r="1820" spans="15:19" x14ac:dyDescent="0.2">
      <c r="O1820" s="4">
        <f t="shared" ca="1" si="173"/>
        <v>0.58878118822787684</v>
      </c>
      <c r="P1820" s="4">
        <f t="shared" ca="1" si="174"/>
        <v>0.22441085687635512</v>
      </c>
      <c r="Q1820" s="4">
        <f t="shared" ca="1" si="175"/>
        <v>1919.0299494104042</v>
      </c>
      <c r="R1820" s="4">
        <f t="shared" ca="1" si="176"/>
        <v>-4.6400945895957193</v>
      </c>
      <c r="S1820" s="4">
        <f t="shared" ca="1" si="177"/>
        <v>-2.3400969356133094</v>
      </c>
    </row>
    <row r="1821" spans="15:19" x14ac:dyDescent="0.2">
      <c r="O1821" s="4">
        <f t="shared" ca="1" si="173"/>
        <v>0.50386986354170504</v>
      </c>
      <c r="P1821" s="4">
        <f t="shared" ca="1" si="174"/>
        <v>9.7004615043333759E-3</v>
      </c>
      <c r="Q1821" s="4">
        <f t="shared" ca="1" si="175"/>
        <v>1923.0812493417848</v>
      </c>
      <c r="R1821" s="4">
        <f t="shared" ca="1" si="176"/>
        <v>-0.58879465821519261</v>
      </c>
      <c r="S1821" s="4">
        <f t="shared" ca="1" si="177"/>
        <v>-0.29791250076355641</v>
      </c>
    </row>
    <row r="1822" spans="15:19" x14ac:dyDescent="0.2">
      <c r="O1822" s="4">
        <f t="shared" ca="1" si="173"/>
        <v>0.5841781482833428</v>
      </c>
      <c r="P1822" s="4">
        <f t="shared" ca="1" si="174"/>
        <v>0.21259393377897015</v>
      </c>
      <c r="Q1822" s="4">
        <f t="shared" ca="1" si="175"/>
        <v>1919.2529190512107</v>
      </c>
      <c r="R1822" s="4">
        <f t="shared" ca="1" si="176"/>
        <v>-4.417124948789251</v>
      </c>
      <c r="S1822" s="4">
        <f t="shared" ca="1" si="177"/>
        <v>-2.2280495896606318</v>
      </c>
    </row>
    <row r="1823" spans="15:19" x14ac:dyDescent="0.2">
      <c r="O1823" s="4">
        <f t="shared" ca="1" si="173"/>
        <v>0.68091377029697986</v>
      </c>
      <c r="P1823" s="4">
        <f t="shared" ca="1" si="174"/>
        <v>0.4702555377674173</v>
      </c>
      <c r="Q1823" s="4">
        <f t="shared" ca="1" si="175"/>
        <v>1914.3911868712241</v>
      </c>
      <c r="R1823" s="4">
        <f t="shared" ca="1" si="176"/>
        <v>-9.2788571287758259</v>
      </c>
      <c r="S1823" s="4">
        <f t="shared" ca="1" si="177"/>
        <v>-4.6620008477998658</v>
      </c>
    </row>
    <row r="1824" spans="15:19" x14ac:dyDescent="0.2">
      <c r="O1824" s="4">
        <f t="shared" ca="1" si="173"/>
        <v>0.89605057314573067</v>
      </c>
      <c r="P1824" s="4">
        <f t="shared" ca="1" si="174"/>
        <v>1.2593640902736714</v>
      </c>
      <c r="Q1824" s="4">
        <f t="shared" ca="1" si="175"/>
        <v>1899.5017567666343</v>
      </c>
      <c r="R1824" s="4">
        <f t="shared" ca="1" si="176"/>
        <v>-24.168287233365618</v>
      </c>
      <c r="S1824" s="4">
        <f t="shared" ca="1" si="177"/>
        <v>-11.996452102573169</v>
      </c>
    </row>
    <row r="1825" spans="15:19" x14ac:dyDescent="0.2">
      <c r="O1825" s="4">
        <f t="shared" ca="1" si="173"/>
        <v>0.93981268683584862</v>
      </c>
      <c r="P1825" s="4">
        <f t="shared" ca="1" si="174"/>
        <v>1.5532030775820831</v>
      </c>
      <c r="Q1825" s="4">
        <f t="shared" ca="1" si="175"/>
        <v>1893.9574054227837</v>
      </c>
      <c r="R1825" s="4">
        <f t="shared" ca="1" si="176"/>
        <v>-29.712638577216239</v>
      </c>
      <c r="S1825" s="4">
        <f t="shared" ca="1" si="177"/>
        <v>-14.681451322239372</v>
      </c>
    </row>
    <row r="1826" spans="15:19" x14ac:dyDescent="0.2">
      <c r="O1826" s="4">
        <f t="shared" ca="1" si="173"/>
        <v>0.39648946477702085</v>
      </c>
      <c r="P1826" s="4">
        <f t="shared" ca="1" si="174"/>
        <v>-0.26244429116942553</v>
      </c>
      <c r="Q1826" s="4">
        <f t="shared" ca="1" si="175"/>
        <v>1928.2162592975092</v>
      </c>
      <c r="R1826" s="4">
        <f t="shared" ca="1" si="176"/>
        <v>4.5462152975092067</v>
      </c>
      <c r="S1826" s="4">
        <f t="shared" ca="1" si="177"/>
        <v>2.3097520500379103</v>
      </c>
    </row>
    <row r="1827" spans="15:19" x14ac:dyDescent="0.2">
      <c r="O1827" s="4">
        <f t="shared" ca="1" si="173"/>
        <v>0.14841067640093619</v>
      </c>
      <c r="P1827" s="4">
        <f t="shared" ca="1" si="174"/>
        <v>-1.0432741219329922</v>
      </c>
      <c r="Q1827" s="4">
        <f t="shared" ca="1" si="175"/>
        <v>1942.9494809205767</v>
      </c>
      <c r="R1827" s="4">
        <f t="shared" ca="1" si="176"/>
        <v>19.2794369205767</v>
      </c>
      <c r="S1827" s="4">
        <f t="shared" ca="1" si="177"/>
        <v>9.9107460924384227</v>
      </c>
    </row>
    <row r="1828" spans="15:19" x14ac:dyDescent="0.2">
      <c r="O1828" s="4">
        <f t="shared" ca="1" si="173"/>
        <v>0.18679445064306666</v>
      </c>
      <c r="P1828" s="4">
        <f t="shared" ca="1" si="174"/>
        <v>-0.88977092546240233</v>
      </c>
      <c r="Q1828" s="4">
        <f t="shared" ca="1" si="175"/>
        <v>1940.0530795225422</v>
      </c>
      <c r="R1828" s="4">
        <f t="shared" ca="1" si="176"/>
        <v>16.383035522542286</v>
      </c>
      <c r="S1828" s="4">
        <f t="shared" ca="1" si="177"/>
        <v>8.4025120003915692</v>
      </c>
    </row>
    <row r="1829" spans="15:19" x14ac:dyDescent="0.2">
      <c r="O1829" s="4">
        <f t="shared" ca="1" si="173"/>
        <v>0.21628518951170472</v>
      </c>
      <c r="P1829" s="4">
        <f t="shared" ca="1" si="174"/>
        <v>-0.7848007863202342</v>
      </c>
      <c r="Q1829" s="4">
        <f t="shared" ca="1" si="175"/>
        <v>1938.072432443174</v>
      </c>
      <c r="R1829" s="4">
        <f t="shared" ca="1" si="176"/>
        <v>14.402388443174004</v>
      </c>
      <c r="S1829" s="4">
        <f t="shared" ca="1" si="177"/>
        <v>7.3750679780749619</v>
      </c>
    </row>
    <row r="1830" spans="15:19" x14ac:dyDescent="0.2">
      <c r="O1830" s="4">
        <f t="shared" ca="1" si="173"/>
        <v>0.79209829487184824</v>
      </c>
      <c r="P1830" s="4">
        <f t="shared" ca="1" si="174"/>
        <v>0.8137234270769319</v>
      </c>
      <c r="Q1830" s="4">
        <f t="shared" ca="1" si="175"/>
        <v>1907.9104040754951</v>
      </c>
      <c r="R1830" s="4">
        <f t="shared" ca="1" si="176"/>
        <v>-15.759639924504881</v>
      </c>
      <c r="S1830" s="4">
        <f t="shared" ca="1" si="177"/>
        <v>-7.8765818366581586</v>
      </c>
    </row>
    <row r="1831" spans="15:19" x14ac:dyDescent="0.2">
      <c r="O1831" s="4">
        <f t="shared" ca="1" si="173"/>
        <v>0.13062946038316658</v>
      </c>
      <c r="P1831" s="4">
        <f t="shared" ca="1" si="174"/>
        <v>-1.1234205625983846</v>
      </c>
      <c r="Q1831" s="4">
        <f t="shared" ca="1" si="175"/>
        <v>1944.4617377864145</v>
      </c>
      <c r="R1831" s="4">
        <f t="shared" ca="1" si="176"/>
        <v>20.791693786414498</v>
      </c>
      <c r="S1831" s="4">
        <f t="shared" ca="1" si="177"/>
        <v>10.700932847179654</v>
      </c>
    </row>
    <row r="1832" spans="15:19" x14ac:dyDescent="0.2">
      <c r="O1832" s="4">
        <f t="shared" ca="1" si="173"/>
        <v>0.82255902984539886</v>
      </c>
      <c r="P1832" s="4">
        <f t="shared" ca="1" si="174"/>
        <v>0.92516143523153327</v>
      </c>
      <c r="Q1832" s="4">
        <f t="shared" ca="1" si="175"/>
        <v>1905.8077169000201</v>
      </c>
      <c r="R1832" s="4">
        <f t="shared" ca="1" si="176"/>
        <v>-17.862327099979893</v>
      </c>
      <c r="S1832" s="4">
        <f t="shared" ca="1" si="177"/>
        <v>-8.9122043195874419</v>
      </c>
    </row>
    <row r="1833" spans="15:19" x14ac:dyDescent="0.2">
      <c r="O1833" s="4">
        <f t="shared" ca="1" si="173"/>
        <v>0.24505656484341964</v>
      </c>
      <c r="P1833" s="4">
        <f t="shared" ca="1" si="174"/>
        <v>-0.69012890124921544</v>
      </c>
      <c r="Q1833" s="4">
        <f t="shared" ca="1" si="175"/>
        <v>1936.2860997375433</v>
      </c>
      <c r="R1833" s="4">
        <f t="shared" ca="1" si="176"/>
        <v>12.61605573754332</v>
      </c>
      <c r="S1833" s="4">
        <f t="shared" ca="1" si="177"/>
        <v>6.4511621047072882</v>
      </c>
    </row>
    <row r="1834" spans="15:19" x14ac:dyDescent="0.2">
      <c r="O1834" s="4">
        <f t="shared" ca="1" si="173"/>
        <v>0.118097045974069</v>
      </c>
      <c r="P1834" s="4">
        <f t="shared" ca="1" si="174"/>
        <v>-1.1845533472124239</v>
      </c>
      <c r="Q1834" s="4">
        <f t="shared" ca="1" si="175"/>
        <v>1945.6152322210128</v>
      </c>
      <c r="R1834" s="4">
        <f t="shared" ca="1" si="176"/>
        <v>21.945188221012813</v>
      </c>
      <c r="S1834" s="4">
        <f t="shared" ca="1" si="177"/>
        <v>11.304910220454103</v>
      </c>
    </row>
    <row r="1835" spans="15:19" x14ac:dyDescent="0.2">
      <c r="O1835" s="4">
        <f t="shared" ca="1" si="173"/>
        <v>0.57945659484344936</v>
      </c>
      <c r="P1835" s="4">
        <f t="shared" ca="1" si="174"/>
        <v>0.20050351362987751</v>
      </c>
      <c r="Q1835" s="4">
        <f t="shared" ca="1" si="175"/>
        <v>1919.4810492180598</v>
      </c>
      <c r="R1835" s="4">
        <f t="shared" ca="1" si="176"/>
        <v>-4.1889947819402096</v>
      </c>
      <c r="S1835" s="4">
        <f t="shared" ca="1" si="177"/>
        <v>-2.1133670700209346</v>
      </c>
    </row>
    <row r="1836" spans="15:19" x14ac:dyDescent="0.2">
      <c r="O1836" s="4">
        <f t="shared" ca="1" si="173"/>
        <v>0.76293837531188946</v>
      </c>
      <c r="P1836" s="4">
        <f t="shared" ca="1" si="174"/>
        <v>0.71578640312975761</v>
      </c>
      <c r="Q1836" s="4">
        <f t="shared" ca="1" si="175"/>
        <v>1909.7583456141867</v>
      </c>
      <c r="R1836" s="4">
        <f t="shared" ca="1" si="176"/>
        <v>-13.911698385813224</v>
      </c>
      <c r="S1836" s="4">
        <f t="shared" ca="1" si="177"/>
        <v>-6.9634557007877378</v>
      </c>
    </row>
    <row r="1837" spans="15:19" x14ac:dyDescent="0.2">
      <c r="O1837" s="4">
        <f t="shared" ca="1" si="173"/>
        <v>0.37589374526959352</v>
      </c>
      <c r="P1837" s="4">
        <f t="shared" ca="1" si="174"/>
        <v>-0.3162832936478161</v>
      </c>
      <c r="Q1837" s="4">
        <f t="shared" ca="1" si="175"/>
        <v>1929.2321297525395</v>
      </c>
      <c r="R1837" s="4">
        <f t="shared" ca="1" si="176"/>
        <v>5.5620857525395877</v>
      </c>
      <c r="S1837" s="4">
        <f t="shared" ca="1" si="177"/>
        <v>2.8281757064149331</v>
      </c>
    </row>
    <row r="1838" spans="15:19" x14ac:dyDescent="0.2">
      <c r="O1838" s="4">
        <f t="shared" ca="1" si="173"/>
        <v>0.2954790507713756</v>
      </c>
      <c r="P1838" s="4">
        <f t="shared" ca="1" si="174"/>
        <v>-0.53744813508785905</v>
      </c>
      <c r="Q1838" s="4">
        <f t="shared" ca="1" si="175"/>
        <v>1933.4052165068972</v>
      </c>
      <c r="R1838" s="4">
        <f t="shared" ca="1" si="176"/>
        <v>9.7351725068972428</v>
      </c>
      <c r="S1838" s="4">
        <f t="shared" ca="1" si="177"/>
        <v>4.9666190874380867</v>
      </c>
    </row>
    <row r="1839" spans="15:19" x14ac:dyDescent="0.2">
      <c r="O1839" s="4">
        <f t="shared" ca="1" si="173"/>
        <v>0.85410773540420093</v>
      </c>
      <c r="P1839" s="4">
        <f t="shared" ca="1" si="174"/>
        <v>1.0542149232271096</v>
      </c>
      <c r="Q1839" s="4">
        <f t="shared" ca="1" si="175"/>
        <v>1903.3726490210056</v>
      </c>
      <c r="R1839" s="4">
        <f t="shared" ca="1" si="176"/>
        <v>-20.297394978994362</v>
      </c>
      <c r="S1839" s="4">
        <f t="shared" ca="1" si="177"/>
        <v>-10.107034042647273</v>
      </c>
    </row>
    <row r="1840" spans="15:19" x14ac:dyDescent="0.2">
      <c r="O1840" s="4">
        <f t="shared" ca="1" si="173"/>
        <v>9.5654860672979125E-2</v>
      </c>
      <c r="P1840" s="4">
        <f t="shared" ca="1" si="174"/>
        <v>-1.3067144143828677</v>
      </c>
      <c r="Q1840" s="4">
        <f t="shared" ca="1" si="175"/>
        <v>1947.9202492752056</v>
      </c>
      <c r="R1840" s="4">
        <f t="shared" ca="1" si="176"/>
        <v>24.250205275205644</v>
      </c>
      <c r="S1840" s="4">
        <f t="shared" ca="1" si="177"/>
        <v>12.515077638069895</v>
      </c>
    </row>
    <row r="1841" spans="15:19" x14ac:dyDescent="0.2">
      <c r="O1841" s="4">
        <f t="shared" ca="1" si="173"/>
        <v>0.89635035565264498</v>
      </c>
      <c r="P1841" s="4">
        <f t="shared" ca="1" si="174"/>
        <v>1.2610265304877335</v>
      </c>
      <c r="Q1841" s="4">
        <f t="shared" ca="1" si="175"/>
        <v>1899.4703887282424</v>
      </c>
      <c r="R1841" s="4">
        <f t="shared" ca="1" si="176"/>
        <v>-24.199655271757592</v>
      </c>
      <c r="S1841" s="4">
        <f t="shared" ca="1" si="177"/>
        <v>-12.011713302381041</v>
      </c>
    </row>
    <row r="1842" spans="15:19" x14ac:dyDescent="0.2">
      <c r="O1842" s="4">
        <f t="shared" ca="1" si="173"/>
        <v>0.33113111280362539</v>
      </c>
      <c r="P1842" s="4">
        <f t="shared" ca="1" si="174"/>
        <v>-0.43679196650325175</v>
      </c>
      <c r="Q1842" s="4">
        <f t="shared" ca="1" si="175"/>
        <v>1931.5059683211102</v>
      </c>
      <c r="R1842" s="4">
        <f t="shared" ca="1" si="176"/>
        <v>7.8359243211102694</v>
      </c>
      <c r="S1842" s="4">
        <f t="shared" ca="1" si="177"/>
        <v>3.9916163900183799</v>
      </c>
    </row>
    <row r="1843" spans="15:19" x14ac:dyDescent="0.2">
      <c r="O1843" s="4">
        <f t="shared" ca="1" si="173"/>
        <v>0.15775205074825271</v>
      </c>
      <c r="P1843" s="4">
        <f t="shared" ca="1" si="174"/>
        <v>-1.0037396887339973</v>
      </c>
      <c r="Q1843" s="4">
        <f t="shared" ca="1" si="175"/>
        <v>1942.203518685126</v>
      </c>
      <c r="R1843" s="4">
        <f t="shared" ca="1" si="176"/>
        <v>18.533474685126066</v>
      </c>
      <c r="S1843" s="4">
        <f t="shared" ca="1" si="177"/>
        <v>9.521650498916653</v>
      </c>
    </row>
    <row r="1844" spans="15:19" x14ac:dyDescent="0.2">
      <c r="O1844" s="4">
        <f t="shared" ca="1" si="173"/>
        <v>0.32117222257403499</v>
      </c>
      <c r="P1844" s="4">
        <f t="shared" ca="1" si="174"/>
        <v>-0.46442337639769521</v>
      </c>
      <c r="Q1844" s="4">
        <f t="shared" ca="1" si="175"/>
        <v>1932.0273363192243</v>
      </c>
      <c r="R1844" s="4">
        <f t="shared" ca="1" si="176"/>
        <v>8.3572923192243707</v>
      </c>
      <c r="S1844" s="4">
        <f t="shared" ca="1" si="177"/>
        <v>4.2589747102125912</v>
      </c>
    </row>
    <row r="1845" spans="15:19" x14ac:dyDescent="0.2">
      <c r="O1845" s="4">
        <f t="shared" ca="1" si="173"/>
        <v>0.37684709560237162</v>
      </c>
      <c r="P1845" s="4">
        <f t="shared" ca="1" si="174"/>
        <v>-0.31377202729005976</v>
      </c>
      <c r="Q1845" s="4">
        <f t="shared" ca="1" si="175"/>
        <v>1929.1847454924284</v>
      </c>
      <c r="R1845" s="4">
        <f t="shared" ca="1" si="176"/>
        <v>5.5147014924284576</v>
      </c>
      <c r="S1845" s="4">
        <f t="shared" ca="1" si="177"/>
        <v>2.8039756732833618</v>
      </c>
    </row>
    <row r="1846" spans="15:19" x14ac:dyDescent="0.2">
      <c r="O1846" s="4">
        <f t="shared" ca="1" si="173"/>
        <v>0.70936453319491</v>
      </c>
      <c r="P1846" s="4">
        <f t="shared" ca="1" si="174"/>
        <v>0.55152923187183589</v>
      </c>
      <c r="Q1846" s="4">
        <f t="shared" ca="1" si="175"/>
        <v>1912.8576602304772</v>
      </c>
      <c r="R1846" s="4">
        <f t="shared" ca="1" si="176"/>
        <v>-10.812383769522739</v>
      </c>
      <c r="S1846" s="4">
        <f t="shared" ca="1" si="177"/>
        <v>-5.4257450667808271</v>
      </c>
    </row>
    <row r="1847" spans="15:19" x14ac:dyDescent="0.2">
      <c r="O1847" s="4">
        <f t="shared" ca="1" si="173"/>
        <v>0.91418003737875708</v>
      </c>
      <c r="P1847" s="4">
        <f t="shared" ca="1" si="174"/>
        <v>1.3669533591800509</v>
      </c>
      <c r="Q1847" s="4">
        <f t="shared" ca="1" si="175"/>
        <v>1897.4716901879644</v>
      </c>
      <c r="R1847" s="4">
        <f t="shared" ca="1" si="176"/>
        <v>-26.198353812035521</v>
      </c>
      <c r="S1847" s="4">
        <f t="shared" ca="1" si="177"/>
        <v>-12.982469823529662</v>
      </c>
    </row>
    <row r="1848" spans="15:19" x14ac:dyDescent="0.2">
      <c r="O1848" s="4">
        <f t="shared" ca="1" si="173"/>
        <v>0.16722973601274782</v>
      </c>
      <c r="P1848" s="4">
        <f t="shared" ca="1" si="174"/>
        <v>-0.96517039623282319</v>
      </c>
      <c r="Q1848" s="4">
        <f t="shared" ca="1" si="175"/>
        <v>1941.4757673725139</v>
      </c>
      <c r="R1848" s="4">
        <f t="shared" ca="1" si="176"/>
        <v>17.805723372513967</v>
      </c>
      <c r="S1848" s="4">
        <f t="shared" ca="1" si="177"/>
        <v>9.1424903445525132</v>
      </c>
    </row>
    <row r="1849" spans="15:19" x14ac:dyDescent="0.2">
      <c r="O1849" s="4">
        <f t="shared" ca="1" si="173"/>
        <v>0.68402836909606557</v>
      </c>
      <c r="P1849" s="4">
        <f t="shared" ca="1" si="174"/>
        <v>0.47899348733887348</v>
      </c>
      <c r="Q1849" s="4">
        <f t="shared" ca="1" si="175"/>
        <v>1914.2263133706283</v>
      </c>
      <c r="R1849" s="4">
        <f t="shared" ca="1" si="176"/>
        <v>-9.4437306293716574</v>
      </c>
      <c r="S1849" s="4">
        <f t="shared" ca="1" si="177"/>
        <v>-4.744204863588136</v>
      </c>
    </row>
    <row r="1850" spans="15:19" x14ac:dyDescent="0.2">
      <c r="O1850" s="4">
        <f t="shared" ca="1" si="173"/>
        <v>0.77704899037867625</v>
      </c>
      <c r="P1850" s="4">
        <f t="shared" ca="1" si="174"/>
        <v>0.76226473088840918</v>
      </c>
      <c r="Q1850" s="4">
        <f t="shared" ca="1" si="175"/>
        <v>1908.8813613129232</v>
      </c>
      <c r="R1850" s="4">
        <f t="shared" ca="1" si="176"/>
        <v>-14.788682687076744</v>
      </c>
      <c r="S1850" s="4">
        <f t="shared" ca="1" si="177"/>
        <v>-7.3971478997269919</v>
      </c>
    </row>
    <row r="1851" spans="15:19" x14ac:dyDescent="0.2">
      <c r="O1851" s="4">
        <f t="shared" ca="1" si="173"/>
        <v>0.65270486961664798</v>
      </c>
      <c r="P1851" s="4">
        <f t="shared" ca="1" si="174"/>
        <v>0.39263340846879774</v>
      </c>
      <c r="Q1851" s="4">
        <f t="shared" ca="1" si="175"/>
        <v>1915.8558133349602</v>
      </c>
      <c r="R1851" s="4">
        <f t="shared" ca="1" si="176"/>
        <v>-7.8142306650397586</v>
      </c>
      <c r="S1851" s="4">
        <f t="shared" ca="1" si="177"/>
        <v>-3.930783559457363</v>
      </c>
    </row>
    <row r="1852" spans="15:19" x14ac:dyDescent="0.2">
      <c r="O1852" s="4">
        <f t="shared" ca="1" si="173"/>
        <v>0.43867306683489615</v>
      </c>
      <c r="P1852" s="4">
        <f t="shared" ca="1" si="174"/>
        <v>-0.15433432553791204</v>
      </c>
      <c r="Q1852" s="4">
        <f t="shared" ca="1" si="175"/>
        <v>1926.1763678633488</v>
      </c>
      <c r="R1852" s="4">
        <f t="shared" ca="1" si="176"/>
        <v>2.5063238633488254</v>
      </c>
      <c r="S1852" s="4">
        <f t="shared" ca="1" si="177"/>
        <v>1.27128275902326</v>
      </c>
    </row>
    <row r="1853" spans="15:19" x14ac:dyDescent="0.2">
      <c r="O1853" s="4">
        <f t="shared" ca="1" si="173"/>
        <v>0.75466704027756493</v>
      </c>
      <c r="P1853" s="4">
        <f t="shared" ca="1" si="174"/>
        <v>0.68925005944941575</v>
      </c>
      <c r="Q1853" s="4">
        <f t="shared" ca="1" si="175"/>
        <v>1910.2590511675669</v>
      </c>
      <c r="R1853" s="4">
        <f t="shared" ca="1" si="176"/>
        <v>-13.410992832433067</v>
      </c>
      <c r="S1853" s="4">
        <f t="shared" ca="1" si="177"/>
        <v>-6.7155626060073876</v>
      </c>
    </row>
    <row r="1854" spans="15:19" x14ac:dyDescent="0.2">
      <c r="O1854" s="4">
        <f t="shared" ca="1" si="173"/>
        <v>0.80286201273297242</v>
      </c>
      <c r="P1854" s="4">
        <f t="shared" ca="1" si="174"/>
        <v>0.85188851021687473</v>
      </c>
      <c r="Q1854" s="4">
        <f t="shared" ca="1" si="175"/>
        <v>1907.190279656563</v>
      </c>
      <c r="R1854" s="4">
        <f t="shared" ca="1" si="176"/>
        <v>-16.479764343436955</v>
      </c>
      <c r="S1854" s="4">
        <f t="shared" ca="1" si="177"/>
        <v>-8.231665196319204</v>
      </c>
    </row>
    <row r="1855" spans="15:19" x14ac:dyDescent="0.2">
      <c r="O1855" s="4">
        <f t="shared" ca="1" si="173"/>
        <v>0.19700222846989779</v>
      </c>
      <c r="P1855" s="4">
        <f t="shared" ca="1" si="174"/>
        <v>-0.85237776517420416</v>
      </c>
      <c r="Q1855" s="4">
        <f t="shared" ca="1" si="175"/>
        <v>1939.3475202623717</v>
      </c>
      <c r="R1855" s="4">
        <f t="shared" ca="1" si="176"/>
        <v>15.677476262371783</v>
      </c>
      <c r="S1855" s="4">
        <f t="shared" ca="1" si="177"/>
        <v>8.0361428455529715</v>
      </c>
    </row>
    <row r="1856" spans="15:19" x14ac:dyDescent="0.2">
      <c r="O1856" s="4">
        <f t="shared" ca="1" si="173"/>
        <v>0.10899371504034494</v>
      </c>
      <c r="P1856" s="4">
        <f t="shared" ca="1" si="174"/>
        <v>-1.2318973536784901</v>
      </c>
      <c r="Q1856" s="4">
        <f t="shared" ca="1" si="175"/>
        <v>1946.5085507294855</v>
      </c>
      <c r="R1856" s="4">
        <f t="shared" ca="1" si="176"/>
        <v>22.838506729485516</v>
      </c>
      <c r="S1856" s="4">
        <f t="shared" ca="1" si="177"/>
        <v>11.773402053020963</v>
      </c>
    </row>
    <row r="1857" spans="15:19" x14ac:dyDescent="0.2">
      <c r="O1857" s="4">
        <f t="shared" ca="1" si="173"/>
        <v>0.43214828555911944</v>
      </c>
      <c r="P1857" s="4">
        <f t="shared" ca="1" si="174"/>
        <v>-0.1709074086470842</v>
      </c>
      <c r="Q1857" s="4">
        <f t="shared" ca="1" si="175"/>
        <v>1926.4890799253178</v>
      </c>
      <c r="R1857" s="4">
        <f t="shared" ca="1" si="176"/>
        <v>2.8190359253178485</v>
      </c>
      <c r="S1857" s="4">
        <f t="shared" ca="1" si="177"/>
        <v>1.4302585618847423</v>
      </c>
    </row>
    <row r="1858" spans="15:19" x14ac:dyDescent="0.2">
      <c r="O1858" s="4">
        <f t="shared" ca="1" si="173"/>
        <v>0.75129075417524172</v>
      </c>
      <c r="P1858" s="4">
        <f t="shared" ca="1" si="174"/>
        <v>0.67855716486381379</v>
      </c>
      <c r="Q1858" s="4">
        <f t="shared" ca="1" si="175"/>
        <v>1910.4608118835577</v>
      </c>
      <c r="R1858" s="4">
        <f t="shared" ca="1" si="176"/>
        <v>-13.209232116442308</v>
      </c>
      <c r="S1858" s="4">
        <f t="shared" ca="1" si="177"/>
        <v>-6.6156156898190188</v>
      </c>
    </row>
    <row r="1859" spans="15:19" x14ac:dyDescent="0.2">
      <c r="O1859" s="4">
        <f t="shared" ref="O1859:O1922" ca="1" si="178">RAND()</f>
        <v>0.62151121974575829</v>
      </c>
      <c r="P1859" s="4">
        <f t="shared" ref="P1859:P1922" ca="1" si="179">NORMSINV(O1859)</f>
        <v>0.30945220945849639</v>
      </c>
      <c r="Q1859" s="4">
        <f t="shared" ref="Q1859:Q1922" ca="1" si="180">$B$4*(1+$B$17-$B$32*P1859)</f>
        <v>1917.4253320592804</v>
      </c>
      <c r="R1859" s="4">
        <f t="shared" ref="R1859:R1922" ca="1" si="181">Q1859-$B$4</f>
        <v>-6.244711940719526</v>
      </c>
      <c r="S1859" s="4">
        <f t="shared" ref="S1859:S1922" ca="1" si="182">R1859*$B$12+0.5*$B$13*R1859^2</f>
        <v>-3.1452601053194735</v>
      </c>
    </row>
    <row r="1860" spans="15:19" x14ac:dyDescent="0.2">
      <c r="O1860" s="4">
        <f t="shared" ca="1" si="178"/>
        <v>0.11817853078400031</v>
      </c>
      <c r="P1860" s="4">
        <f t="shared" ca="1" si="179"/>
        <v>-1.1841414826548073</v>
      </c>
      <c r="Q1860" s="4">
        <f t="shared" ca="1" si="180"/>
        <v>1945.6074608839467</v>
      </c>
      <c r="R1860" s="4">
        <f t="shared" ca="1" si="181"/>
        <v>21.937416883946753</v>
      </c>
      <c r="S1860" s="4">
        <f t="shared" ca="1" si="182"/>
        <v>11.300837472112088</v>
      </c>
    </row>
    <row r="1861" spans="15:19" x14ac:dyDescent="0.2">
      <c r="O1861" s="4">
        <f t="shared" ca="1" si="178"/>
        <v>0.92264824842818693</v>
      </c>
      <c r="P1861" s="4">
        <f t="shared" ca="1" si="179"/>
        <v>1.4231126454587999</v>
      </c>
      <c r="Q1861" s="4">
        <f t="shared" ca="1" si="180"/>
        <v>1896.412039059973</v>
      </c>
      <c r="R1861" s="4">
        <f t="shared" ca="1" si="181"/>
        <v>-27.258004940026922</v>
      </c>
      <c r="S1861" s="4">
        <f t="shared" ca="1" si="182"/>
        <v>-13.495817130427751</v>
      </c>
    </row>
    <row r="1862" spans="15:19" x14ac:dyDescent="0.2">
      <c r="O1862" s="4">
        <f t="shared" ca="1" si="178"/>
        <v>0.19825221771506907</v>
      </c>
      <c r="P1862" s="4">
        <f t="shared" ca="1" si="179"/>
        <v>-0.84788066153432062</v>
      </c>
      <c r="Q1862" s="4">
        <f t="shared" ca="1" si="180"/>
        <v>1939.2626658908068</v>
      </c>
      <c r="R1862" s="4">
        <f t="shared" ca="1" si="181"/>
        <v>15.592621890806868</v>
      </c>
      <c r="S1862" s="4">
        <f t="shared" ca="1" si="182"/>
        <v>7.9921086121996785</v>
      </c>
    </row>
    <row r="1863" spans="15:19" x14ac:dyDescent="0.2">
      <c r="O1863" s="4">
        <f t="shared" ca="1" si="178"/>
        <v>0.61988520423627114</v>
      </c>
      <c r="P1863" s="4">
        <f t="shared" ca="1" si="179"/>
        <v>0.305179307297892</v>
      </c>
      <c r="Q1863" s="4">
        <f t="shared" ca="1" si="180"/>
        <v>1917.5059560467687</v>
      </c>
      <c r="R1863" s="4">
        <f t="shared" ca="1" si="181"/>
        <v>-6.1640879532312738</v>
      </c>
      <c r="S1863" s="4">
        <f t="shared" ca="1" si="182"/>
        <v>-3.1048547043047057</v>
      </c>
    </row>
    <row r="1864" spans="15:19" x14ac:dyDescent="0.2">
      <c r="O1864" s="4">
        <f t="shared" ca="1" si="178"/>
        <v>0.99721196593173123</v>
      </c>
      <c r="P1864" s="4">
        <f t="shared" ca="1" si="179"/>
        <v>2.7717217315615121</v>
      </c>
      <c r="Q1864" s="4">
        <f t="shared" ca="1" si="180"/>
        <v>1870.9655771477737</v>
      </c>
      <c r="R1864" s="4">
        <f t="shared" ca="1" si="181"/>
        <v>-52.704466852226233</v>
      </c>
      <c r="S1864" s="4">
        <f t="shared" ca="1" si="182"/>
        <v>-25.54877640708753</v>
      </c>
    </row>
    <row r="1865" spans="15:19" x14ac:dyDescent="0.2">
      <c r="O1865" s="4">
        <f t="shared" ca="1" si="178"/>
        <v>0.8369480737124162</v>
      </c>
      <c r="P1865" s="4">
        <f t="shared" ca="1" si="179"/>
        <v>0.98199187184476844</v>
      </c>
      <c r="Q1865" s="4">
        <f t="shared" ca="1" si="180"/>
        <v>1904.7354020567977</v>
      </c>
      <c r="R1865" s="4">
        <f t="shared" ca="1" si="181"/>
        <v>-18.934641943202223</v>
      </c>
      <c r="S1865" s="4">
        <f t="shared" ca="1" si="182"/>
        <v>-9.4389584849557302</v>
      </c>
    </row>
    <row r="1866" spans="15:19" x14ac:dyDescent="0.2">
      <c r="O1866" s="4">
        <f t="shared" ca="1" si="178"/>
        <v>0.38932126811503542</v>
      </c>
      <c r="P1866" s="4">
        <f t="shared" ca="1" si="179"/>
        <v>-0.28108848067065573</v>
      </c>
      <c r="Q1866" s="4">
        <f t="shared" ca="1" si="180"/>
        <v>1928.5680503857614</v>
      </c>
      <c r="R1866" s="4">
        <f t="shared" ca="1" si="181"/>
        <v>4.8980063857613914</v>
      </c>
      <c r="S1866" s="4">
        <f t="shared" ca="1" si="182"/>
        <v>2.4891845886273272</v>
      </c>
    </row>
    <row r="1867" spans="15:19" x14ac:dyDescent="0.2">
      <c r="O1867" s="4">
        <f t="shared" ca="1" si="178"/>
        <v>0.15414844338835221</v>
      </c>
      <c r="P1867" s="4">
        <f t="shared" ca="1" si="179"/>
        <v>-1.0188021880000702</v>
      </c>
      <c r="Q1867" s="4">
        <f t="shared" ca="1" si="180"/>
        <v>1942.4877280366914</v>
      </c>
      <c r="R1867" s="4">
        <f t="shared" ca="1" si="181"/>
        <v>18.817684036691389</v>
      </c>
      <c r="S1867" s="4">
        <f t="shared" ca="1" si="182"/>
        <v>9.6698413196322814</v>
      </c>
    </row>
    <row r="1868" spans="15:19" x14ac:dyDescent="0.2">
      <c r="O1868" s="4">
        <f t="shared" ca="1" si="178"/>
        <v>0.45197613432768169</v>
      </c>
      <c r="P1868" s="4">
        <f t="shared" ca="1" si="179"/>
        <v>-0.12067019340426234</v>
      </c>
      <c r="Q1868" s="4">
        <f t="shared" ca="1" si="180"/>
        <v>1925.5411704106743</v>
      </c>
      <c r="R1868" s="4">
        <f t="shared" ca="1" si="181"/>
        <v>1.8711264106743783</v>
      </c>
      <c r="S1868" s="4">
        <f t="shared" ca="1" si="182"/>
        <v>0.94860771237303332</v>
      </c>
    </row>
    <row r="1869" spans="15:19" x14ac:dyDescent="0.2">
      <c r="O1869" s="4">
        <f t="shared" ca="1" si="178"/>
        <v>0.56852991410063047</v>
      </c>
      <c r="P1869" s="4">
        <f t="shared" ca="1" si="179"/>
        <v>0.17263266832252477</v>
      </c>
      <c r="Q1869" s="4">
        <f t="shared" ca="1" si="180"/>
        <v>1920.0069350443398</v>
      </c>
      <c r="R1869" s="4">
        <f t="shared" ca="1" si="181"/>
        <v>-3.6631089556601637</v>
      </c>
      <c r="S1869" s="4">
        <f t="shared" ca="1" si="182"/>
        <v>-1.8488394288058061</v>
      </c>
    </row>
    <row r="1870" spans="15:19" x14ac:dyDescent="0.2">
      <c r="O1870" s="4">
        <f t="shared" ca="1" si="178"/>
        <v>0.72493837275928275</v>
      </c>
      <c r="P1870" s="4">
        <f t="shared" ca="1" si="179"/>
        <v>0.59757544210528724</v>
      </c>
      <c r="Q1870" s="4">
        <f t="shared" ca="1" si="180"/>
        <v>1911.9888294128732</v>
      </c>
      <c r="R1870" s="4">
        <f t="shared" ca="1" si="181"/>
        <v>-11.68121458712676</v>
      </c>
      <c r="S1870" s="4">
        <f t="shared" ca="1" si="182"/>
        <v>-5.8576003293795429</v>
      </c>
    </row>
    <row r="1871" spans="15:19" x14ac:dyDescent="0.2">
      <c r="O1871" s="4">
        <f t="shared" ca="1" si="178"/>
        <v>0.82876168743119993</v>
      </c>
      <c r="P1871" s="4">
        <f t="shared" ca="1" si="179"/>
        <v>0.94928314207845432</v>
      </c>
      <c r="Q1871" s="4">
        <f t="shared" ca="1" si="180"/>
        <v>1905.3525723359928</v>
      </c>
      <c r="R1871" s="4">
        <f t="shared" ca="1" si="181"/>
        <v>-18.317471664007144</v>
      </c>
      <c r="S1871" s="4">
        <f t="shared" ca="1" si="182"/>
        <v>-9.1358997312880508</v>
      </c>
    </row>
    <row r="1872" spans="15:19" x14ac:dyDescent="0.2">
      <c r="O1872" s="4">
        <f t="shared" ca="1" si="178"/>
        <v>0.1166553327287978</v>
      </c>
      <c r="P1872" s="4">
        <f t="shared" ca="1" si="179"/>
        <v>-1.191873971604565</v>
      </c>
      <c r="Q1872" s="4">
        <f t="shared" ca="1" si="180"/>
        <v>1945.7533626783024</v>
      </c>
      <c r="R1872" s="4">
        <f t="shared" ca="1" si="181"/>
        <v>22.083318678302476</v>
      </c>
      <c r="S1872" s="4">
        <f t="shared" ca="1" si="182"/>
        <v>11.377308874778747</v>
      </c>
    </row>
    <row r="1873" spans="15:19" x14ac:dyDescent="0.2">
      <c r="O1873" s="4">
        <f t="shared" ca="1" si="178"/>
        <v>0.55757850377608675</v>
      </c>
      <c r="P1873" s="4">
        <f t="shared" ca="1" si="179"/>
        <v>0.14483266340819972</v>
      </c>
      <c r="Q1873" s="4">
        <f t="shared" ca="1" si="180"/>
        <v>1920.5314842065109</v>
      </c>
      <c r="R1873" s="4">
        <f t="shared" ca="1" si="181"/>
        <v>-3.1385597934890939</v>
      </c>
      <c r="S1873" s="4">
        <f t="shared" ca="1" si="182"/>
        <v>-1.5847598505145932</v>
      </c>
    </row>
    <row r="1874" spans="15:19" x14ac:dyDescent="0.2">
      <c r="O1874" s="4">
        <f t="shared" ca="1" si="178"/>
        <v>0.23289832686125955</v>
      </c>
      <c r="P1874" s="4">
        <f t="shared" ca="1" si="179"/>
        <v>-0.72933518638587613</v>
      </c>
      <c r="Q1874" s="4">
        <f t="shared" ca="1" si="180"/>
        <v>1937.025870254982</v>
      </c>
      <c r="R1874" s="4">
        <f t="shared" ca="1" si="181"/>
        <v>13.355826254982048</v>
      </c>
      <c r="S1874" s="4">
        <f t="shared" ca="1" si="182"/>
        <v>6.8334623023273755</v>
      </c>
    </row>
    <row r="1875" spans="15:19" x14ac:dyDescent="0.2">
      <c r="O1875" s="4">
        <f t="shared" ca="1" si="178"/>
        <v>0.16496509387455494</v>
      </c>
      <c r="P1875" s="4">
        <f t="shared" ca="1" si="179"/>
        <v>-0.97425450508381273</v>
      </c>
      <c r="Q1875" s="4">
        <f t="shared" ca="1" si="180"/>
        <v>1941.6471724388637</v>
      </c>
      <c r="R1875" s="4">
        <f t="shared" ca="1" si="181"/>
        <v>17.977128438863701</v>
      </c>
      <c r="S1875" s="4">
        <f t="shared" ca="1" si="182"/>
        <v>9.2317539709918321</v>
      </c>
    </row>
    <row r="1876" spans="15:19" x14ac:dyDescent="0.2">
      <c r="O1876" s="4">
        <f t="shared" ca="1" si="178"/>
        <v>0.78917949018146694</v>
      </c>
      <c r="P1876" s="4">
        <f t="shared" ca="1" si="179"/>
        <v>0.80357750372021275</v>
      </c>
      <c r="Q1876" s="4">
        <f t="shared" ca="1" si="180"/>
        <v>1908.1018441710139</v>
      </c>
      <c r="R1876" s="4">
        <f t="shared" ca="1" si="181"/>
        <v>-15.568199828986053</v>
      </c>
      <c r="S1876" s="4">
        <f t="shared" ca="1" si="182"/>
        <v>-7.7821143440299814</v>
      </c>
    </row>
    <row r="1877" spans="15:19" x14ac:dyDescent="0.2">
      <c r="O1877" s="4">
        <f t="shared" ca="1" si="178"/>
        <v>0.24774506327494938</v>
      </c>
      <c r="P1877" s="4">
        <f t="shared" ca="1" si="179"/>
        <v>-0.68160282754351864</v>
      </c>
      <c r="Q1877" s="4">
        <f t="shared" ca="1" si="180"/>
        <v>1936.1252240530707</v>
      </c>
      <c r="R1877" s="4">
        <f t="shared" ca="1" si="181"/>
        <v>12.455180053070762</v>
      </c>
      <c r="S1877" s="4">
        <f t="shared" ca="1" si="182"/>
        <v>6.3680834039005205</v>
      </c>
    </row>
    <row r="1878" spans="15:19" x14ac:dyDescent="0.2">
      <c r="O1878" s="4">
        <f t="shared" ca="1" si="178"/>
        <v>0.86260920109252437</v>
      </c>
      <c r="P1878" s="4">
        <f t="shared" ca="1" si="179"/>
        <v>1.092117182725743</v>
      </c>
      <c r="Q1878" s="4">
        <f t="shared" ca="1" si="180"/>
        <v>1902.6574837350399</v>
      </c>
      <c r="R1878" s="4">
        <f t="shared" ca="1" si="181"/>
        <v>-21.01256026496003</v>
      </c>
      <c r="S1878" s="4">
        <f t="shared" ca="1" si="182"/>
        <v>-10.457031487709003</v>
      </c>
    </row>
    <row r="1879" spans="15:19" x14ac:dyDescent="0.2">
      <c r="O1879" s="4">
        <f t="shared" ca="1" si="178"/>
        <v>1.5715719936725492E-2</v>
      </c>
      <c r="P1879" s="4">
        <f t="shared" ca="1" si="179"/>
        <v>-2.1515674273705563</v>
      </c>
      <c r="Q1879" s="4">
        <f t="shared" ca="1" si="180"/>
        <v>1963.8615032960618</v>
      </c>
      <c r="R1879" s="4">
        <f t="shared" ca="1" si="181"/>
        <v>40.191459296061794</v>
      </c>
      <c r="S1879" s="4">
        <f t="shared" ca="1" si="182"/>
        <v>21.002871025172084</v>
      </c>
    </row>
    <row r="1880" spans="15:19" x14ac:dyDescent="0.2">
      <c r="O1880" s="4">
        <f t="shared" ca="1" si="178"/>
        <v>0.67791389328385288</v>
      </c>
      <c r="P1880" s="4">
        <f t="shared" ca="1" si="179"/>
        <v>0.46187325630617687</v>
      </c>
      <c r="Q1880" s="4">
        <f t="shared" ca="1" si="180"/>
        <v>1914.5493493870624</v>
      </c>
      <c r="R1880" s="4">
        <f t="shared" ca="1" si="181"/>
        <v>-9.120694612937541</v>
      </c>
      <c r="S1880" s="4">
        <f t="shared" ca="1" si="182"/>
        <v>-4.5831220531440433</v>
      </c>
    </row>
    <row r="1881" spans="15:19" x14ac:dyDescent="0.2">
      <c r="O1881" s="4">
        <f t="shared" ca="1" si="178"/>
        <v>0.27888595539134231</v>
      </c>
      <c r="P1881" s="4">
        <f t="shared" ca="1" si="179"/>
        <v>-0.58615417850365104</v>
      </c>
      <c r="Q1881" s="4">
        <f t="shared" ca="1" si="180"/>
        <v>1934.3242348432302</v>
      </c>
      <c r="R1881" s="4">
        <f t="shared" ca="1" si="181"/>
        <v>10.654190843230253</v>
      </c>
      <c r="S1881" s="4">
        <f t="shared" ca="1" si="182"/>
        <v>5.4394629150585496</v>
      </c>
    </row>
    <row r="1882" spans="15:19" x14ac:dyDescent="0.2">
      <c r="O1882" s="4">
        <f t="shared" ca="1" si="178"/>
        <v>0.23241043722475108</v>
      </c>
      <c r="P1882" s="4">
        <f t="shared" ca="1" si="179"/>
        <v>-0.73093169631183341</v>
      </c>
      <c r="Q1882" s="4">
        <f t="shared" ca="1" si="180"/>
        <v>1937.0559942764216</v>
      </c>
      <c r="R1882" s="4">
        <f t="shared" ca="1" si="181"/>
        <v>13.385950276421681</v>
      </c>
      <c r="S1882" s="4">
        <f t="shared" ca="1" si="182"/>
        <v>6.8490392997369947</v>
      </c>
    </row>
    <row r="1883" spans="15:19" x14ac:dyDescent="0.2">
      <c r="O1883" s="4">
        <f t="shared" ca="1" si="178"/>
        <v>0.27505371247620236</v>
      </c>
      <c r="P1883" s="4">
        <f t="shared" ca="1" si="179"/>
        <v>-0.59759915985653345</v>
      </c>
      <c r="Q1883" s="4">
        <f t="shared" ca="1" si="180"/>
        <v>1934.5401864374194</v>
      </c>
      <c r="R1883" s="4">
        <f t="shared" ca="1" si="181"/>
        <v>10.870142437419418</v>
      </c>
      <c r="S1883" s="4">
        <f t="shared" ca="1" si="182"/>
        <v>5.550671872171498</v>
      </c>
    </row>
    <row r="1884" spans="15:19" x14ac:dyDescent="0.2">
      <c r="O1884" s="4">
        <f t="shared" ca="1" si="178"/>
        <v>0.33057291195449234</v>
      </c>
      <c r="P1884" s="4">
        <f t="shared" ca="1" si="179"/>
        <v>-0.43833173543847892</v>
      </c>
      <c r="Q1884" s="4">
        <f t="shared" ca="1" si="180"/>
        <v>1931.5350217154314</v>
      </c>
      <c r="R1884" s="4">
        <f t="shared" ca="1" si="181"/>
        <v>7.8649777154314506</v>
      </c>
      <c r="S1884" s="4">
        <f t="shared" ca="1" si="182"/>
        <v>4.0065091933280454</v>
      </c>
    </row>
    <row r="1885" spans="15:19" x14ac:dyDescent="0.2">
      <c r="O1885" s="4">
        <f t="shared" ca="1" si="178"/>
        <v>0.76308231875723909</v>
      </c>
      <c r="P1885" s="4">
        <f t="shared" ca="1" si="179"/>
        <v>0.71625264335133776</v>
      </c>
      <c r="Q1885" s="4">
        <f t="shared" ca="1" si="180"/>
        <v>1909.7495482805764</v>
      </c>
      <c r="R1885" s="4">
        <f t="shared" ca="1" si="181"/>
        <v>-13.92049571942357</v>
      </c>
      <c r="S1885" s="4">
        <f t="shared" ca="1" si="182"/>
        <v>-6.9678093266981511</v>
      </c>
    </row>
    <row r="1886" spans="15:19" x14ac:dyDescent="0.2">
      <c r="O1886" s="4">
        <f t="shared" ca="1" si="178"/>
        <v>0.4977757462741752</v>
      </c>
      <c r="P1886" s="4">
        <f t="shared" ca="1" si="179"/>
        <v>-5.5754061643642138E-3</v>
      </c>
      <c r="Q1886" s="4">
        <f t="shared" ca="1" si="180"/>
        <v>1923.3694846716614</v>
      </c>
      <c r="R1886" s="4">
        <f t="shared" ca="1" si="181"/>
        <v>-0.30055932833852239</v>
      </c>
      <c r="S1886" s="4">
        <f t="shared" ca="1" si="182"/>
        <v>-0.15210930298628472</v>
      </c>
    </row>
    <row r="1887" spans="15:19" x14ac:dyDescent="0.2">
      <c r="O1887" s="4">
        <f t="shared" ca="1" si="178"/>
        <v>0.38642713403658568</v>
      </c>
      <c r="P1887" s="4">
        <f t="shared" ca="1" si="179"/>
        <v>-0.28864341557583861</v>
      </c>
      <c r="Q1887" s="4">
        <f t="shared" ca="1" si="180"/>
        <v>1928.710601971165</v>
      </c>
      <c r="R1887" s="4">
        <f t="shared" ca="1" si="181"/>
        <v>5.0405579711650716</v>
      </c>
      <c r="S1887" s="4">
        <f t="shared" ca="1" si="182"/>
        <v>2.5619223160631144</v>
      </c>
    </row>
    <row r="1888" spans="15:19" x14ac:dyDescent="0.2">
      <c r="O1888" s="4">
        <f t="shared" ca="1" si="178"/>
        <v>0.39664501459913415</v>
      </c>
      <c r="P1888" s="4">
        <f t="shared" ca="1" si="179"/>
        <v>-0.26204074528856797</v>
      </c>
      <c r="Q1888" s="4">
        <f t="shared" ca="1" si="180"/>
        <v>1928.2086449228227</v>
      </c>
      <c r="R1888" s="4">
        <f t="shared" ca="1" si="181"/>
        <v>4.5386009228227522</v>
      </c>
      <c r="S1888" s="4">
        <f t="shared" ca="1" si="182"/>
        <v>2.305869419896617</v>
      </c>
    </row>
    <row r="1889" spans="15:19" x14ac:dyDescent="0.2">
      <c r="O1889" s="4">
        <f t="shared" ca="1" si="178"/>
        <v>0.36231516302794398</v>
      </c>
      <c r="P1889" s="4">
        <f t="shared" ca="1" si="179"/>
        <v>-0.3522772790840078</v>
      </c>
      <c r="Q1889" s="4">
        <f t="shared" ca="1" si="180"/>
        <v>1929.9112884419692</v>
      </c>
      <c r="R1889" s="4">
        <f t="shared" ca="1" si="181"/>
        <v>6.2412444419692292</v>
      </c>
      <c r="S1889" s="4">
        <f t="shared" ca="1" si="182"/>
        <v>3.1752356902821535</v>
      </c>
    </row>
    <row r="1890" spans="15:19" x14ac:dyDescent="0.2">
      <c r="O1890" s="4">
        <f t="shared" ca="1" si="178"/>
        <v>0.69632114763398056</v>
      </c>
      <c r="P1890" s="4">
        <f t="shared" ca="1" si="179"/>
        <v>0.5138488022700588</v>
      </c>
      <c r="Q1890" s="4">
        <f t="shared" ca="1" si="180"/>
        <v>1913.568639880976</v>
      </c>
      <c r="R1890" s="4">
        <f t="shared" ca="1" si="181"/>
        <v>-10.101404119023982</v>
      </c>
      <c r="S1890" s="4">
        <f t="shared" ca="1" si="182"/>
        <v>-5.0718930290411866</v>
      </c>
    </row>
    <row r="1891" spans="15:19" x14ac:dyDescent="0.2">
      <c r="O1891" s="4">
        <f t="shared" ca="1" si="178"/>
        <v>0.66204566180115143</v>
      </c>
      <c r="P1891" s="4">
        <f t="shared" ca="1" si="179"/>
        <v>0.41805257729960704</v>
      </c>
      <c r="Q1891" s="4">
        <f t="shared" ca="1" si="180"/>
        <v>1915.3761873868939</v>
      </c>
      <c r="R1891" s="4">
        <f t="shared" ca="1" si="181"/>
        <v>-8.2938566131060725</v>
      </c>
      <c r="S1891" s="4">
        <f t="shared" ca="1" si="182"/>
        <v>-4.1704299537819161</v>
      </c>
    </row>
    <row r="1892" spans="15:19" x14ac:dyDescent="0.2">
      <c r="O1892" s="4">
        <f t="shared" ca="1" si="178"/>
        <v>0.43955531930075442</v>
      </c>
      <c r="P1892" s="4">
        <f t="shared" ca="1" si="179"/>
        <v>-0.15209673593829026</v>
      </c>
      <c r="Q1892" s="4">
        <f t="shared" ca="1" si="180"/>
        <v>1926.1341475201016</v>
      </c>
      <c r="R1892" s="4">
        <f t="shared" ca="1" si="181"/>
        <v>2.4641035201016166</v>
      </c>
      <c r="S1892" s="4">
        <f t="shared" ca="1" si="182"/>
        <v>1.2498249829678776</v>
      </c>
    </row>
    <row r="1893" spans="15:19" x14ac:dyDescent="0.2">
      <c r="O1893" s="4">
        <f t="shared" ca="1" si="178"/>
        <v>0.98455396008249663</v>
      </c>
      <c r="P1893" s="4">
        <f t="shared" ca="1" si="179"/>
        <v>2.1584600682937922</v>
      </c>
      <c r="Q1893" s="4">
        <f t="shared" ca="1" si="180"/>
        <v>1882.5370100539922</v>
      </c>
      <c r="R1893" s="4">
        <f t="shared" ca="1" si="181"/>
        <v>-41.133033946007799</v>
      </c>
      <c r="S1893" s="4">
        <f t="shared" ca="1" si="182"/>
        <v>-20.133213474786807</v>
      </c>
    </row>
    <row r="1894" spans="15:19" x14ac:dyDescent="0.2">
      <c r="O1894" s="4">
        <f t="shared" ca="1" si="178"/>
        <v>0.16076905344050074</v>
      </c>
      <c r="P1894" s="4">
        <f t="shared" ca="1" si="179"/>
        <v>-0.99130206108553831</v>
      </c>
      <c r="Q1894" s="4">
        <f t="shared" ca="1" si="180"/>
        <v>1941.9688371740074</v>
      </c>
      <c r="R1894" s="4">
        <f t="shared" ca="1" si="181"/>
        <v>18.298793174007415</v>
      </c>
      <c r="S1894" s="4">
        <f t="shared" ca="1" si="182"/>
        <v>9.3993337730505857</v>
      </c>
    </row>
    <row r="1895" spans="15:19" x14ac:dyDescent="0.2">
      <c r="O1895" s="4">
        <f t="shared" ca="1" si="178"/>
        <v>0.86112046605666526</v>
      </c>
      <c r="P1895" s="4">
        <f t="shared" ca="1" si="179"/>
        <v>1.0853671676825474</v>
      </c>
      <c r="Q1895" s="4">
        <f t="shared" ca="1" si="180"/>
        <v>1902.7848475519338</v>
      </c>
      <c r="R1895" s="4">
        <f t="shared" ca="1" si="181"/>
        <v>-20.885196448066154</v>
      </c>
      <c r="S1895" s="4">
        <f t="shared" ca="1" si="182"/>
        <v>-10.394730902580362</v>
      </c>
    </row>
    <row r="1896" spans="15:19" x14ac:dyDescent="0.2">
      <c r="O1896" s="4">
        <f t="shared" ca="1" si="178"/>
        <v>5.1556071563126027E-2</v>
      </c>
      <c r="P1896" s="4">
        <f t="shared" ca="1" si="179"/>
        <v>-1.629949629874226</v>
      </c>
      <c r="Q1896" s="4">
        <f t="shared" ca="1" si="180"/>
        <v>1954.0192683938235</v>
      </c>
      <c r="R1896" s="4">
        <f t="shared" ca="1" si="181"/>
        <v>30.349224393823533</v>
      </c>
      <c r="S1896" s="4">
        <f t="shared" ca="1" si="182"/>
        <v>15.738016114528461</v>
      </c>
    </row>
    <row r="1897" spans="15:19" x14ac:dyDescent="0.2">
      <c r="O1897" s="4">
        <f t="shared" ca="1" si="178"/>
        <v>0.55089235562137318</v>
      </c>
      <c r="P1897" s="4">
        <f t="shared" ca="1" si="179"/>
        <v>0.12791620235522791</v>
      </c>
      <c r="Q1897" s="4">
        <f t="shared" ca="1" si="180"/>
        <v>1920.8506753541233</v>
      </c>
      <c r="R1897" s="4">
        <f t="shared" ca="1" si="181"/>
        <v>-2.8193686458766933</v>
      </c>
      <c r="S1897" s="4">
        <f t="shared" ca="1" si="182"/>
        <v>-1.4239562960263981</v>
      </c>
    </row>
    <row r="1898" spans="15:19" x14ac:dyDescent="0.2">
      <c r="O1898" s="4">
        <f t="shared" ca="1" si="178"/>
        <v>0.80320702107507469</v>
      </c>
      <c r="P1898" s="4">
        <f t="shared" ca="1" si="179"/>
        <v>0.85313226997002334</v>
      </c>
      <c r="Q1898" s="4">
        <f t="shared" ca="1" si="180"/>
        <v>1907.1668115622779</v>
      </c>
      <c r="R1898" s="4">
        <f t="shared" ca="1" si="181"/>
        <v>-16.50323243772209</v>
      </c>
      <c r="S1898" s="4">
        <f t="shared" ca="1" si="182"/>
        <v>-8.2432298843622061</v>
      </c>
    </row>
    <row r="1899" spans="15:19" x14ac:dyDescent="0.2">
      <c r="O1899" s="4">
        <f t="shared" ca="1" si="178"/>
        <v>0.38064556212869238</v>
      </c>
      <c r="P1899" s="4">
        <f t="shared" ca="1" si="179"/>
        <v>-0.30378574946852099</v>
      </c>
      <c r="Q1899" s="4">
        <f t="shared" ca="1" si="180"/>
        <v>1928.9963176960796</v>
      </c>
      <c r="R1899" s="4">
        <f t="shared" ca="1" si="181"/>
        <v>5.3262736960796246</v>
      </c>
      <c r="S1899" s="4">
        <f t="shared" ca="1" si="182"/>
        <v>2.7077601401154161</v>
      </c>
    </row>
    <row r="1900" spans="15:19" x14ac:dyDescent="0.2">
      <c r="O1900" s="4">
        <f t="shared" ca="1" si="178"/>
        <v>0.14341600243241315</v>
      </c>
      <c r="P1900" s="4">
        <f t="shared" ca="1" si="179"/>
        <v>-1.0650970704150431</v>
      </c>
      <c r="Q1900" s="4">
        <f t="shared" ca="1" si="180"/>
        <v>1943.3612509680154</v>
      </c>
      <c r="R1900" s="4">
        <f t="shared" ca="1" si="181"/>
        <v>19.691206968015422</v>
      </c>
      <c r="S1900" s="4">
        <f t="shared" ca="1" si="182"/>
        <v>10.125720340722284</v>
      </c>
    </row>
    <row r="1901" spans="15:19" x14ac:dyDescent="0.2">
      <c r="O1901" s="4">
        <f t="shared" ca="1" si="178"/>
        <v>0.93857568679975845</v>
      </c>
      <c r="P1901" s="4">
        <f t="shared" ca="1" si="179"/>
        <v>1.5429264335124602</v>
      </c>
      <c r="Q1901" s="4">
        <f t="shared" ca="1" si="180"/>
        <v>1894.1513120445006</v>
      </c>
      <c r="R1901" s="4">
        <f t="shared" ca="1" si="181"/>
        <v>-29.518731955499334</v>
      </c>
      <c r="S1901" s="4">
        <f t="shared" ca="1" si="182"/>
        <v>-14.587969225579927</v>
      </c>
    </row>
    <row r="1902" spans="15:19" x14ac:dyDescent="0.2">
      <c r="O1902" s="4">
        <f t="shared" ca="1" si="178"/>
        <v>0.36797708691315445</v>
      </c>
      <c r="P1902" s="4">
        <f t="shared" ca="1" si="179"/>
        <v>-0.33721587115824886</v>
      </c>
      <c r="Q1902" s="4">
        <f t="shared" ca="1" si="180"/>
        <v>1929.6270996825453</v>
      </c>
      <c r="R1902" s="4">
        <f t="shared" ca="1" si="181"/>
        <v>5.9570556825453878</v>
      </c>
      <c r="S1902" s="4">
        <f t="shared" ca="1" si="182"/>
        <v>3.0299654024302436</v>
      </c>
    </row>
    <row r="1903" spans="15:19" x14ac:dyDescent="0.2">
      <c r="O1903" s="4">
        <f t="shared" ca="1" si="178"/>
        <v>0.24713698828371022</v>
      </c>
      <c r="P1903" s="4">
        <f t="shared" ca="1" si="179"/>
        <v>-0.6835268710000667</v>
      </c>
      <c r="Q1903" s="4">
        <f t="shared" ca="1" si="180"/>
        <v>1936.1615281971249</v>
      </c>
      <c r="R1903" s="4">
        <f t="shared" ca="1" si="181"/>
        <v>12.491484197124919</v>
      </c>
      <c r="S1903" s="4">
        <f t="shared" ca="1" si="182"/>
        <v>6.3868295864999647</v>
      </c>
    </row>
    <row r="1904" spans="15:19" x14ac:dyDescent="0.2">
      <c r="O1904" s="4">
        <f t="shared" ca="1" si="178"/>
        <v>0.46009524638464105</v>
      </c>
      <c r="P1904" s="4">
        <f t="shared" ca="1" si="179"/>
        <v>-0.10019376896433223</v>
      </c>
      <c r="Q1904" s="4">
        <f t="shared" ca="1" si="180"/>
        <v>1925.1548074831383</v>
      </c>
      <c r="R1904" s="4">
        <f t="shared" ca="1" si="181"/>
        <v>1.4847634831382948</v>
      </c>
      <c r="S1904" s="4">
        <f t="shared" ca="1" si="182"/>
        <v>0.7524992115907797</v>
      </c>
    </row>
    <row r="1905" spans="15:19" x14ac:dyDescent="0.2">
      <c r="O1905" s="4">
        <f t="shared" ca="1" si="178"/>
        <v>0.16036154978560135</v>
      </c>
      <c r="P1905" s="4">
        <f t="shared" ca="1" si="179"/>
        <v>-0.99297302659829445</v>
      </c>
      <c r="Q1905" s="4">
        <f t="shared" ca="1" si="180"/>
        <v>1942.0003660734603</v>
      </c>
      <c r="R1905" s="4">
        <f t="shared" ca="1" si="181"/>
        <v>18.330322073460366</v>
      </c>
      <c r="S1905" s="4">
        <f t="shared" ca="1" si="182"/>
        <v>9.4157641251298898</v>
      </c>
    </row>
    <row r="1906" spans="15:19" x14ac:dyDescent="0.2">
      <c r="O1906" s="4">
        <f t="shared" ca="1" si="178"/>
        <v>0.97891242727946082</v>
      </c>
      <c r="P1906" s="4">
        <f t="shared" ca="1" si="179"/>
        <v>2.031787773963563</v>
      </c>
      <c r="Q1906" s="4">
        <f t="shared" ca="1" si="180"/>
        <v>1884.9271479718079</v>
      </c>
      <c r="R1906" s="4">
        <f t="shared" ca="1" si="181"/>
        <v>-38.742896028192035</v>
      </c>
      <c r="S1906" s="4">
        <f t="shared" ca="1" si="182"/>
        <v>-19.001017662812199</v>
      </c>
    </row>
    <row r="1907" spans="15:19" x14ac:dyDescent="0.2">
      <c r="O1907" s="4">
        <f t="shared" ca="1" si="178"/>
        <v>0.90684048223970903</v>
      </c>
      <c r="P1907" s="4">
        <f t="shared" ca="1" si="179"/>
        <v>1.3215470194069092</v>
      </c>
      <c r="Q1907" s="4">
        <f t="shared" ca="1" si="180"/>
        <v>1898.32844750001</v>
      </c>
      <c r="R1907" s="4">
        <f t="shared" ca="1" si="181"/>
        <v>-25.341596499989919</v>
      </c>
      <c r="S1907" s="4">
        <f t="shared" ca="1" si="182"/>
        <v>-12.566745929453772</v>
      </c>
    </row>
    <row r="1908" spans="15:19" x14ac:dyDescent="0.2">
      <c r="O1908" s="4">
        <f t="shared" ca="1" si="178"/>
        <v>8.9545712482424933E-2</v>
      </c>
      <c r="P1908" s="4">
        <f t="shared" ca="1" si="179"/>
        <v>-1.3435577952671343</v>
      </c>
      <c r="Q1908" s="4">
        <f t="shared" ca="1" si="180"/>
        <v>1948.615434928372</v>
      </c>
      <c r="R1908" s="4">
        <f t="shared" ca="1" si="181"/>
        <v>24.945390928372035</v>
      </c>
      <c r="S1908" s="4">
        <f t="shared" ca="1" si="182"/>
        <v>12.880909222086148</v>
      </c>
    </row>
    <row r="1909" spans="15:19" x14ac:dyDescent="0.2">
      <c r="O1909" s="4">
        <f t="shared" ca="1" si="178"/>
        <v>0.93255526881203954</v>
      </c>
      <c r="P1909" s="4">
        <f t="shared" ca="1" si="179"/>
        <v>1.4950957213682445</v>
      </c>
      <c r="Q1909" s="4">
        <f t="shared" ca="1" si="180"/>
        <v>1895.0538140425617</v>
      </c>
      <c r="R1909" s="4">
        <f t="shared" ca="1" si="181"/>
        <v>-28.616229957438236</v>
      </c>
      <c r="S1909" s="4">
        <f t="shared" ca="1" si="182"/>
        <v>-14.152471542448959</v>
      </c>
    </row>
    <row r="1910" spans="15:19" x14ac:dyDescent="0.2">
      <c r="O1910" s="4">
        <f t="shared" ca="1" si="178"/>
        <v>0.19122951122149179</v>
      </c>
      <c r="P1910" s="4">
        <f t="shared" ca="1" si="179"/>
        <v>-0.873374432009137</v>
      </c>
      <c r="Q1910" s="4">
        <f t="shared" ca="1" si="180"/>
        <v>1939.7436994727923</v>
      </c>
      <c r="R1910" s="4">
        <f t="shared" ca="1" si="181"/>
        <v>16.073655472792325</v>
      </c>
      <c r="S1910" s="4">
        <f t="shared" ca="1" si="182"/>
        <v>8.2418132224942315</v>
      </c>
    </row>
    <row r="1911" spans="15:19" x14ac:dyDescent="0.2">
      <c r="O1911" s="4">
        <f t="shared" ca="1" si="178"/>
        <v>0.75899393721662545</v>
      </c>
      <c r="P1911" s="4">
        <f t="shared" ca="1" si="179"/>
        <v>0.70307000214046789</v>
      </c>
      <c r="Q1911" s="4">
        <f t="shared" ca="1" si="180"/>
        <v>1909.9982872079136</v>
      </c>
      <c r="R1911" s="4">
        <f t="shared" ca="1" si="181"/>
        <v>-13.671756792086398</v>
      </c>
      <c r="S1911" s="4">
        <f t="shared" ca="1" si="182"/>
        <v>-6.8446890702085561</v>
      </c>
    </row>
    <row r="1912" spans="15:19" x14ac:dyDescent="0.2">
      <c r="O1912" s="4">
        <f t="shared" ca="1" si="178"/>
        <v>0.84063775503320526</v>
      </c>
      <c r="P1912" s="4">
        <f t="shared" ca="1" si="179"/>
        <v>0.99708245201824619</v>
      </c>
      <c r="Q1912" s="4">
        <f t="shared" ca="1" si="180"/>
        <v>1904.4506628558133</v>
      </c>
      <c r="R1912" s="4">
        <f t="shared" ca="1" si="181"/>
        <v>-19.219381144186627</v>
      </c>
      <c r="S1912" s="4">
        <f t="shared" ca="1" si="182"/>
        <v>-9.5786738793813413</v>
      </c>
    </row>
    <row r="1913" spans="15:19" x14ac:dyDescent="0.2">
      <c r="O1913" s="4">
        <f t="shared" ca="1" si="178"/>
        <v>0.62534423515842641</v>
      </c>
      <c r="P1913" s="4">
        <f t="shared" ca="1" si="179"/>
        <v>0.31954729994046915</v>
      </c>
      <c r="Q1913" s="4">
        <f t="shared" ca="1" si="180"/>
        <v>1917.2348511125799</v>
      </c>
      <c r="R1913" s="4">
        <f t="shared" ca="1" si="181"/>
        <v>-6.4351928874200439</v>
      </c>
      <c r="S1913" s="4">
        <f t="shared" ca="1" si="182"/>
        <v>-3.2407002400103706</v>
      </c>
    </row>
    <row r="1914" spans="15:19" x14ac:dyDescent="0.2">
      <c r="O1914" s="4">
        <f t="shared" ca="1" si="178"/>
        <v>0.2229957858275794</v>
      </c>
      <c r="P1914" s="4">
        <f t="shared" ca="1" si="179"/>
        <v>-0.76211466386921278</v>
      </c>
      <c r="Q1914" s="4">
        <f t="shared" ca="1" si="180"/>
        <v>1937.6443754496131</v>
      </c>
      <c r="R1914" s="4">
        <f t="shared" ca="1" si="181"/>
        <v>13.974331449613146</v>
      </c>
      <c r="S1914" s="4">
        <f t="shared" ca="1" si="182"/>
        <v>7.1534367249462631</v>
      </c>
    </row>
    <row r="1915" spans="15:19" x14ac:dyDescent="0.2">
      <c r="O1915" s="4">
        <f t="shared" ca="1" si="178"/>
        <v>0.10355947687398093</v>
      </c>
      <c r="P1915" s="4">
        <f t="shared" ca="1" si="179"/>
        <v>-1.2615272354205842</v>
      </c>
      <c r="Q1915" s="4">
        <f t="shared" ca="1" si="180"/>
        <v>1947.0676272365197</v>
      </c>
      <c r="R1915" s="4">
        <f t="shared" ca="1" si="181"/>
        <v>23.397583236519722</v>
      </c>
      <c r="S1915" s="4">
        <f t="shared" ca="1" si="182"/>
        <v>12.06693459768714</v>
      </c>
    </row>
    <row r="1916" spans="15:19" x14ac:dyDescent="0.2">
      <c r="O1916" s="4">
        <f t="shared" ca="1" si="178"/>
        <v>0.76281624418062455</v>
      </c>
      <c r="P1916" s="4">
        <f t="shared" ca="1" si="179"/>
        <v>0.71539093609918136</v>
      </c>
      <c r="Q1916" s="4">
        <f t="shared" ca="1" si="180"/>
        <v>1909.7658075517006</v>
      </c>
      <c r="R1916" s="4">
        <f t="shared" ca="1" si="181"/>
        <v>-13.904236448299343</v>
      </c>
      <c r="S1916" s="4">
        <f t="shared" ca="1" si="182"/>
        <v>-6.959762886530207</v>
      </c>
    </row>
    <row r="1917" spans="15:19" x14ac:dyDescent="0.2">
      <c r="O1917" s="4">
        <f t="shared" ca="1" si="178"/>
        <v>0.30654338779440049</v>
      </c>
      <c r="P1917" s="4">
        <f t="shared" ca="1" si="179"/>
        <v>-0.50567221657837791</v>
      </c>
      <c r="Q1917" s="4">
        <f t="shared" ca="1" si="180"/>
        <v>1932.8056471369373</v>
      </c>
      <c r="R1917" s="4">
        <f t="shared" ca="1" si="181"/>
        <v>9.1356031369373341</v>
      </c>
      <c r="S1917" s="4">
        <f t="shared" ca="1" si="182"/>
        <v>4.6585054803968786</v>
      </c>
    </row>
    <row r="1918" spans="15:19" x14ac:dyDescent="0.2">
      <c r="O1918" s="4">
        <f t="shared" ca="1" si="178"/>
        <v>0.96090239585687454</v>
      </c>
      <c r="P1918" s="4">
        <f t="shared" ca="1" si="179"/>
        <v>1.7612552630859248</v>
      </c>
      <c r="Q1918" s="4">
        <f t="shared" ca="1" si="180"/>
        <v>1890.0317370666014</v>
      </c>
      <c r="R1918" s="4">
        <f t="shared" ca="1" si="181"/>
        <v>-33.638306933398553</v>
      </c>
      <c r="S1918" s="4">
        <f t="shared" ca="1" si="182"/>
        <v>-16.567427095144691</v>
      </c>
    </row>
    <row r="1919" spans="15:19" x14ac:dyDescent="0.2">
      <c r="O1919" s="4">
        <f t="shared" ca="1" si="178"/>
        <v>0.36031646627128266</v>
      </c>
      <c r="P1919" s="4">
        <f t="shared" ca="1" si="179"/>
        <v>-0.35761302102881415</v>
      </c>
      <c r="Q1919" s="4">
        <f t="shared" ca="1" si="180"/>
        <v>1930.0119668042689</v>
      </c>
      <c r="R1919" s="4">
        <f t="shared" ca="1" si="181"/>
        <v>6.341922804268961</v>
      </c>
      <c r="S1919" s="4">
        <f t="shared" ca="1" si="182"/>
        <v>3.2267157601491747</v>
      </c>
    </row>
    <row r="1920" spans="15:19" x14ac:dyDescent="0.2">
      <c r="O1920" s="4">
        <f t="shared" ca="1" si="178"/>
        <v>0.35335873973413767</v>
      </c>
      <c r="P1920" s="4">
        <f t="shared" ca="1" si="179"/>
        <v>-0.37626825168207689</v>
      </c>
      <c r="Q1920" s="4">
        <f t="shared" ca="1" si="180"/>
        <v>1930.3639662243925</v>
      </c>
      <c r="R1920" s="4">
        <f t="shared" ca="1" si="181"/>
        <v>6.6939222243925087</v>
      </c>
      <c r="S1920" s="4">
        <f t="shared" ca="1" si="182"/>
        <v>3.4067691962922289</v>
      </c>
    </row>
    <row r="1921" spans="15:19" x14ac:dyDescent="0.2">
      <c r="O1921" s="4">
        <f t="shared" ca="1" si="178"/>
        <v>0.54714935982402024</v>
      </c>
      <c r="P1921" s="4">
        <f t="shared" ca="1" si="179"/>
        <v>0.11846240677929619</v>
      </c>
      <c r="Q1921" s="4">
        <f t="shared" ca="1" si="180"/>
        <v>1921.0290559178668</v>
      </c>
      <c r="R1921" s="4">
        <f t="shared" ca="1" si="181"/>
        <v>-2.6409880821331626</v>
      </c>
      <c r="S1921" s="4">
        <f t="shared" ca="1" si="182"/>
        <v>-1.3340548016211513</v>
      </c>
    </row>
    <row r="1922" spans="15:19" x14ac:dyDescent="0.2">
      <c r="O1922" s="4">
        <f t="shared" ca="1" si="178"/>
        <v>0.26271656432672519</v>
      </c>
      <c r="P1922" s="4">
        <f t="shared" ca="1" si="179"/>
        <v>-0.63499277270214027</v>
      </c>
      <c r="Q1922" s="4">
        <f t="shared" ca="1" si="180"/>
        <v>1935.2457542367476</v>
      </c>
      <c r="R1922" s="4">
        <f t="shared" ca="1" si="181"/>
        <v>11.575710236747682</v>
      </c>
      <c r="S1922" s="4">
        <f t="shared" ca="1" si="182"/>
        <v>5.9142839873404345</v>
      </c>
    </row>
    <row r="1923" spans="15:19" x14ac:dyDescent="0.2">
      <c r="O1923" s="4">
        <f t="shared" ref="O1923:O1986" ca="1" si="183">RAND()</f>
        <v>8.7752313467653553E-2</v>
      </c>
      <c r="P1923" s="4">
        <f t="shared" ref="P1923:P1986" ca="1" si="184">NORMSINV(O1923)</f>
        <v>-1.3547267655930848</v>
      </c>
      <c r="Q1923" s="4">
        <f t="shared" ref="Q1923:Q1986" ca="1" si="185">$B$4*(1+$B$17-$B$32*P1923)</f>
        <v>1948.8261785611464</v>
      </c>
      <c r="R1923" s="4">
        <f t="shared" ref="R1923:R1986" ca="1" si="186">Q1923-$B$4</f>
        <v>25.156134561146473</v>
      </c>
      <c r="S1923" s="4">
        <f t="shared" ref="S1923:S1986" ca="1" si="187">R1923*$B$12+0.5*$B$13*R1923^2</f>
        <v>12.991887785173878</v>
      </c>
    </row>
    <row r="1924" spans="15:19" x14ac:dyDescent="0.2">
      <c r="O1924" s="4">
        <f t="shared" ca="1" si="183"/>
        <v>0.32388095860924337</v>
      </c>
      <c r="P1924" s="4">
        <f t="shared" ca="1" si="184"/>
        <v>-0.45687357670522455</v>
      </c>
      <c r="Q1924" s="4">
        <f t="shared" ca="1" si="185"/>
        <v>1931.8848816284624</v>
      </c>
      <c r="R1924" s="4">
        <f t="shared" ca="1" si="186"/>
        <v>8.2148376284624192</v>
      </c>
      <c r="S1924" s="4">
        <f t="shared" ca="1" si="187"/>
        <v>4.1859017504897897</v>
      </c>
    </row>
    <row r="1925" spans="15:19" x14ac:dyDescent="0.2">
      <c r="O1925" s="4">
        <f t="shared" ca="1" si="183"/>
        <v>0.8265075323849681</v>
      </c>
      <c r="P1925" s="4">
        <f t="shared" ca="1" si="184"/>
        <v>0.94045360837361713</v>
      </c>
      <c r="Q1925" s="4">
        <f t="shared" ca="1" si="185"/>
        <v>1905.5191739075215</v>
      </c>
      <c r="R1925" s="4">
        <f t="shared" ca="1" si="186"/>
        <v>-18.150870092478499</v>
      </c>
      <c r="S1925" s="4">
        <f t="shared" ca="1" si="187"/>
        <v>-9.054037607527615</v>
      </c>
    </row>
    <row r="1926" spans="15:19" x14ac:dyDescent="0.2">
      <c r="O1926" s="4">
        <f t="shared" ca="1" si="183"/>
        <v>5.0879985145336648E-2</v>
      </c>
      <c r="P1926" s="4">
        <f t="shared" ca="1" si="184"/>
        <v>-1.6363805355492711</v>
      </c>
      <c r="Q1926" s="4">
        <f t="shared" ca="1" si="185"/>
        <v>1954.140611040857</v>
      </c>
      <c r="R1926" s="4">
        <f t="shared" ca="1" si="186"/>
        <v>30.470567040857077</v>
      </c>
      <c r="S1926" s="4">
        <f t="shared" ca="1" si="187"/>
        <v>15.802445135920157</v>
      </c>
    </row>
    <row r="1927" spans="15:19" x14ac:dyDescent="0.2">
      <c r="O1927" s="4">
        <f t="shared" ca="1" si="183"/>
        <v>0.6538039311142505</v>
      </c>
      <c r="P1927" s="4">
        <f t="shared" ca="1" si="184"/>
        <v>0.39561084171203453</v>
      </c>
      <c r="Q1927" s="4">
        <f t="shared" ca="1" si="185"/>
        <v>1915.7996331249935</v>
      </c>
      <c r="R1927" s="4">
        <f t="shared" ca="1" si="186"/>
        <v>-7.8704108750064279</v>
      </c>
      <c r="S1927" s="4">
        <f t="shared" ca="1" si="187"/>
        <v>-3.95886383627577</v>
      </c>
    </row>
    <row r="1928" spans="15:19" x14ac:dyDescent="0.2">
      <c r="O1928" s="4">
        <f t="shared" ca="1" si="183"/>
        <v>4.2457089014604654E-2</v>
      </c>
      <c r="P1928" s="4">
        <f t="shared" ca="1" si="184"/>
        <v>-1.7228581608202851</v>
      </c>
      <c r="Q1928" s="4">
        <f t="shared" ca="1" si="185"/>
        <v>1955.7723289496216</v>
      </c>
      <c r="R1928" s="4">
        <f t="shared" ca="1" si="186"/>
        <v>32.102284949621662</v>
      </c>
      <c r="S1928" s="4">
        <f t="shared" ca="1" si="187"/>
        <v>16.669998997873172</v>
      </c>
    </row>
    <row r="1929" spans="15:19" x14ac:dyDescent="0.2">
      <c r="O1929" s="4">
        <f t="shared" ca="1" si="183"/>
        <v>2.7889258617608492E-2</v>
      </c>
      <c r="P1929" s="4">
        <f t="shared" ca="1" si="184"/>
        <v>-1.9127620835267833</v>
      </c>
      <c r="Q1929" s="4">
        <f t="shared" ca="1" si="185"/>
        <v>1959.3555636956462</v>
      </c>
      <c r="R1929" s="4">
        <f t="shared" ca="1" si="186"/>
        <v>35.685519695646235</v>
      </c>
      <c r="S1929" s="4">
        <f t="shared" ca="1" si="187"/>
        <v>18.582744482763392</v>
      </c>
    </row>
    <row r="1930" spans="15:19" x14ac:dyDescent="0.2">
      <c r="O1930" s="4">
        <f t="shared" ca="1" si="183"/>
        <v>0.55328815362833728</v>
      </c>
      <c r="P1930" s="4">
        <f t="shared" ca="1" si="184"/>
        <v>0.1339732934750309</v>
      </c>
      <c r="Q1930" s="4">
        <f t="shared" ca="1" si="185"/>
        <v>1920.7363860911582</v>
      </c>
      <c r="R1930" s="4">
        <f t="shared" ca="1" si="186"/>
        <v>-2.9336579088417238</v>
      </c>
      <c r="S1930" s="4">
        <f t="shared" ca="1" si="187"/>
        <v>-1.4815429886452125</v>
      </c>
    </row>
    <row r="1931" spans="15:19" x14ac:dyDescent="0.2">
      <c r="O1931" s="4">
        <f t="shared" ca="1" si="183"/>
        <v>0.85066862548453714</v>
      </c>
      <c r="P1931" s="4">
        <f t="shared" ca="1" si="184"/>
        <v>1.0393053466399327</v>
      </c>
      <c r="Q1931" s="4">
        <f t="shared" ca="1" si="185"/>
        <v>1903.6539729247686</v>
      </c>
      <c r="R1931" s="4">
        <f t="shared" ca="1" si="186"/>
        <v>-20.016071075231366</v>
      </c>
      <c r="S1931" s="4">
        <f t="shared" ca="1" si="187"/>
        <v>-9.9692417567695806</v>
      </c>
    </row>
    <row r="1932" spans="15:19" x14ac:dyDescent="0.2">
      <c r="O1932" s="4">
        <f t="shared" ca="1" si="183"/>
        <v>0.78272044168731836</v>
      </c>
      <c r="P1932" s="4">
        <f t="shared" ca="1" si="184"/>
        <v>0.78141386905158361</v>
      </c>
      <c r="Q1932" s="4">
        <f t="shared" ca="1" si="185"/>
        <v>1908.5200425142129</v>
      </c>
      <c r="R1932" s="4">
        <f t="shared" ca="1" si="186"/>
        <v>-15.150001485787016</v>
      </c>
      <c r="S1932" s="4">
        <f t="shared" ca="1" si="187"/>
        <v>-7.5756475802486003</v>
      </c>
    </row>
    <row r="1933" spans="15:19" x14ac:dyDescent="0.2">
      <c r="O1933" s="4">
        <f t="shared" ca="1" si="183"/>
        <v>0.10012863949697648</v>
      </c>
      <c r="P1933" s="4">
        <f t="shared" ca="1" si="184"/>
        <v>-1.2808189139875898</v>
      </c>
      <c r="Q1933" s="4">
        <f t="shared" ca="1" si="185"/>
        <v>1947.4316355832943</v>
      </c>
      <c r="R1933" s="4">
        <f t="shared" ca="1" si="186"/>
        <v>23.761591583294376</v>
      </c>
      <c r="S1933" s="4">
        <f t="shared" ca="1" si="187"/>
        <v>12.258187074241183</v>
      </c>
    </row>
    <row r="1934" spans="15:19" x14ac:dyDescent="0.2">
      <c r="O1934" s="4">
        <f t="shared" ca="1" si="183"/>
        <v>0.79220101601255499</v>
      </c>
      <c r="P1934" s="4">
        <f t="shared" ca="1" si="184"/>
        <v>0.81408201550817905</v>
      </c>
      <c r="Q1934" s="4">
        <f t="shared" ca="1" si="185"/>
        <v>1907.90363798816</v>
      </c>
      <c r="R1934" s="4">
        <f t="shared" ca="1" si="186"/>
        <v>-15.76640601183999</v>
      </c>
      <c r="S1934" s="4">
        <f t="shared" ca="1" si="187"/>
        <v>-7.8799200652260604</v>
      </c>
    </row>
    <row r="1935" spans="15:19" x14ac:dyDescent="0.2">
      <c r="O1935" s="4">
        <f t="shared" ca="1" si="183"/>
        <v>0.67334920750809657</v>
      </c>
      <c r="P1935" s="4">
        <f t="shared" ca="1" si="184"/>
        <v>0.44918031725993735</v>
      </c>
      <c r="Q1935" s="4">
        <f t="shared" ca="1" si="185"/>
        <v>1914.7888482850919</v>
      </c>
      <c r="R1935" s="4">
        <f t="shared" ca="1" si="186"/>
        <v>-8.8811957149080172</v>
      </c>
      <c r="S1935" s="4">
        <f t="shared" ca="1" si="187"/>
        <v>-4.4636404167431918</v>
      </c>
    </row>
    <row r="1936" spans="15:19" x14ac:dyDescent="0.2">
      <c r="O1936" s="4">
        <f t="shared" ca="1" si="183"/>
        <v>0.1666542022177453</v>
      </c>
      <c r="P1936" s="4">
        <f t="shared" ca="1" si="184"/>
        <v>-0.96747145484611297</v>
      </c>
      <c r="Q1936" s="4">
        <f t="shared" ca="1" si="185"/>
        <v>1941.5191852917349</v>
      </c>
      <c r="R1936" s="4">
        <f t="shared" ca="1" si="186"/>
        <v>17.849141291734895</v>
      </c>
      <c r="S1936" s="4">
        <f t="shared" ca="1" si="187"/>
        <v>9.1650990881359178</v>
      </c>
    </row>
    <row r="1937" spans="15:19" x14ac:dyDescent="0.2">
      <c r="O1937" s="4">
        <f t="shared" ca="1" si="183"/>
        <v>0.63610178421046992</v>
      </c>
      <c r="P1937" s="4">
        <f t="shared" ca="1" si="184"/>
        <v>0.34805825843448845</v>
      </c>
      <c r="Q1937" s="4">
        <f t="shared" ca="1" si="185"/>
        <v>1916.6968872008176</v>
      </c>
      <c r="R1937" s="4">
        <f t="shared" ca="1" si="186"/>
        <v>-6.973156799182334</v>
      </c>
      <c r="S1937" s="4">
        <f t="shared" ca="1" si="187"/>
        <v>-3.5100865663536709</v>
      </c>
    </row>
    <row r="1938" spans="15:19" x14ac:dyDescent="0.2">
      <c r="O1938" s="4">
        <f t="shared" ca="1" si="183"/>
        <v>9.1578225493145871E-2</v>
      </c>
      <c r="P1938" s="4">
        <f t="shared" ca="1" si="184"/>
        <v>-1.3310989604788364</v>
      </c>
      <c r="Q1938" s="4">
        <f t="shared" ca="1" si="185"/>
        <v>1948.3803532666968</v>
      </c>
      <c r="R1938" s="4">
        <f t="shared" ca="1" si="186"/>
        <v>24.710309266696868</v>
      </c>
      <c r="S1938" s="4">
        <f t="shared" ca="1" si="187"/>
        <v>12.757156804444566</v>
      </c>
    </row>
    <row r="1939" spans="15:19" x14ac:dyDescent="0.2">
      <c r="O1939" s="4">
        <f t="shared" ca="1" si="183"/>
        <v>1.2711481984366002E-2</v>
      </c>
      <c r="P1939" s="4">
        <f t="shared" ca="1" si="184"/>
        <v>-2.2349144766218156</v>
      </c>
      <c r="Q1939" s="4">
        <f t="shared" ca="1" si="185"/>
        <v>1965.4341513941072</v>
      </c>
      <c r="R1939" s="4">
        <f t="shared" ca="1" si="186"/>
        <v>41.764107394107214</v>
      </c>
      <c r="S1939" s="4">
        <f t="shared" ca="1" si="187"/>
        <v>21.851426935951732</v>
      </c>
    </row>
    <row r="1940" spans="15:19" x14ac:dyDescent="0.2">
      <c r="O1940" s="4">
        <f t="shared" ca="1" si="183"/>
        <v>0.6854569235678043</v>
      </c>
      <c r="P1940" s="4">
        <f t="shared" ca="1" si="184"/>
        <v>0.48301349699476698</v>
      </c>
      <c r="Q1940" s="4">
        <f t="shared" ca="1" si="185"/>
        <v>1914.1504611287523</v>
      </c>
      <c r="R1940" s="4">
        <f t="shared" ca="1" si="186"/>
        <v>-9.5195828712476214</v>
      </c>
      <c r="S1940" s="4">
        <f t="shared" ca="1" si="187"/>
        <v>-4.7820164790104487</v>
      </c>
    </row>
    <row r="1941" spans="15:19" x14ac:dyDescent="0.2">
      <c r="O1941" s="4">
        <f t="shared" ca="1" si="183"/>
        <v>0.41844146362474177</v>
      </c>
      <c r="P1941" s="4">
        <f t="shared" ca="1" si="184"/>
        <v>-0.20588220343735697</v>
      </c>
      <c r="Q1941" s="4">
        <f t="shared" ca="1" si="185"/>
        <v>1927.14900784119</v>
      </c>
      <c r="R1941" s="4">
        <f t="shared" ca="1" si="186"/>
        <v>3.4789638411900796</v>
      </c>
      <c r="S1941" s="4">
        <f t="shared" ca="1" si="187"/>
        <v>1.7660124084736322</v>
      </c>
    </row>
    <row r="1942" spans="15:19" x14ac:dyDescent="0.2">
      <c r="O1942" s="4">
        <f t="shared" ca="1" si="183"/>
        <v>0.94659913970942133</v>
      </c>
      <c r="P1942" s="4">
        <f t="shared" ca="1" si="184"/>
        <v>1.6127367139637998</v>
      </c>
      <c r="Q1942" s="4">
        <f t="shared" ca="1" si="185"/>
        <v>1892.8340847909615</v>
      </c>
      <c r="R1942" s="4">
        <f t="shared" ca="1" si="186"/>
        <v>-30.835959209038492</v>
      </c>
      <c r="S1942" s="4">
        <f t="shared" ca="1" si="187"/>
        <v>-15.222400216392863</v>
      </c>
    </row>
    <row r="1943" spans="15:19" x14ac:dyDescent="0.2">
      <c r="O1943" s="4">
        <f t="shared" ca="1" si="183"/>
        <v>0.93115132430699588</v>
      </c>
      <c r="P1943" s="4">
        <f t="shared" ca="1" si="184"/>
        <v>1.4844206817388299</v>
      </c>
      <c r="Q1943" s="4">
        <f t="shared" ca="1" si="185"/>
        <v>1895.2552378592484</v>
      </c>
      <c r="R1943" s="4">
        <f t="shared" ca="1" si="186"/>
        <v>-28.41480614075158</v>
      </c>
      <c r="S1943" s="4">
        <f t="shared" ca="1" si="187"/>
        <v>-14.055185004186141</v>
      </c>
    </row>
    <row r="1944" spans="15:19" x14ac:dyDescent="0.2">
      <c r="O1944" s="4">
        <f t="shared" ca="1" si="183"/>
        <v>0.29567052847209518</v>
      </c>
      <c r="P1944" s="4">
        <f t="shared" ca="1" si="184"/>
        <v>-0.53689367978766367</v>
      </c>
      <c r="Q1944" s="4">
        <f t="shared" ca="1" si="185"/>
        <v>1933.3947546719417</v>
      </c>
      <c r="R1944" s="4">
        <f t="shared" ca="1" si="186"/>
        <v>9.7247106719416934</v>
      </c>
      <c r="S1944" s="4">
        <f t="shared" ca="1" si="187"/>
        <v>4.9612403304804769</v>
      </c>
    </row>
    <row r="1945" spans="15:19" x14ac:dyDescent="0.2">
      <c r="O1945" s="4">
        <f t="shared" ca="1" si="183"/>
        <v>0.10888401635540113</v>
      </c>
      <c r="P1945" s="4">
        <f t="shared" ca="1" si="184"/>
        <v>-1.2324848225994087</v>
      </c>
      <c r="Q1945" s="4">
        <f t="shared" ca="1" si="185"/>
        <v>1946.5196354876073</v>
      </c>
      <c r="R1945" s="4">
        <f t="shared" ca="1" si="186"/>
        <v>22.849591487607313</v>
      </c>
      <c r="S1945" s="4">
        <f t="shared" ca="1" si="187"/>
        <v>11.779219422912895</v>
      </c>
    </row>
    <row r="1946" spans="15:19" x14ac:dyDescent="0.2">
      <c r="O1946" s="4">
        <f t="shared" ca="1" si="183"/>
        <v>0.29212299001528297</v>
      </c>
      <c r="P1946" s="4">
        <f t="shared" ca="1" si="184"/>
        <v>-0.54719323984332691</v>
      </c>
      <c r="Q1946" s="4">
        <f t="shared" ca="1" si="185"/>
        <v>1933.5890936878725</v>
      </c>
      <c r="R1946" s="4">
        <f t="shared" ca="1" si="186"/>
        <v>9.9190496878725298</v>
      </c>
      <c r="S1946" s="4">
        <f t="shared" ca="1" si="187"/>
        <v>5.0611706506159839</v>
      </c>
    </row>
    <row r="1947" spans="15:19" x14ac:dyDescent="0.2">
      <c r="O1947" s="4">
        <f t="shared" ca="1" si="183"/>
        <v>0.47628966404639517</v>
      </c>
      <c r="P1947" s="4">
        <f t="shared" ca="1" si="184"/>
        <v>-5.9468030836926249E-2</v>
      </c>
      <c r="Q1947" s="4">
        <f t="shared" ca="1" si="185"/>
        <v>1924.3863669062619</v>
      </c>
      <c r="R1947" s="4">
        <f t="shared" ca="1" si="186"/>
        <v>0.71632290626189388</v>
      </c>
      <c r="S1947" s="4">
        <f t="shared" ca="1" si="187"/>
        <v>0.36281854621787052</v>
      </c>
    </row>
    <row r="1948" spans="15:19" x14ac:dyDescent="0.2">
      <c r="O1948" s="4">
        <f t="shared" ca="1" si="183"/>
        <v>0.96184488836284088</v>
      </c>
      <c r="P1948" s="4">
        <f t="shared" ca="1" si="184"/>
        <v>1.7725082727407553</v>
      </c>
      <c r="Q1948" s="4">
        <f t="shared" ca="1" si="185"/>
        <v>1889.819407723332</v>
      </c>
      <c r="R1948" s="4">
        <f t="shared" ca="1" si="186"/>
        <v>-33.850636276667956</v>
      </c>
      <c r="S1948" s="4">
        <f t="shared" ca="1" si="187"/>
        <v>-16.669077034080047</v>
      </c>
    </row>
    <row r="1949" spans="15:19" x14ac:dyDescent="0.2">
      <c r="O1949" s="4">
        <f t="shared" ca="1" si="183"/>
        <v>0.38256220718866374</v>
      </c>
      <c r="P1949" s="4">
        <f t="shared" ca="1" si="184"/>
        <v>-0.29875837330153959</v>
      </c>
      <c r="Q1949" s="4">
        <f t="shared" ca="1" si="185"/>
        <v>1928.9014577863622</v>
      </c>
      <c r="R1949" s="4">
        <f t="shared" ca="1" si="186"/>
        <v>5.2314137863622818</v>
      </c>
      <c r="S1949" s="4">
        <f t="shared" ca="1" si="187"/>
        <v>2.6593334443214585</v>
      </c>
    </row>
    <row r="1950" spans="15:19" x14ac:dyDescent="0.2">
      <c r="O1950" s="4">
        <f t="shared" ca="1" si="183"/>
        <v>0.25971274311149273</v>
      </c>
      <c r="P1950" s="4">
        <f t="shared" ca="1" si="184"/>
        <v>-0.64423125496829514</v>
      </c>
      <c r="Q1950" s="4">
        <f t="shared" ca="1" si="185"/>
        <v>1935.4200721243656</v>
      </c>
      <c r="R1950" s="4">
        <f t="shared" ca="1" si="186"/>
        <v>11.750028124365599</v>
      </c>
      <c r="S1950" s="4">
        <f t="shared" ca="1" si="187"/>
        <v>6.0041805909875077</v>
      </c>
    </row>
    <row r="1951" spans="15:19" x14ac:dyDescent="0.2">
      <c r="O1951" s="4">
        <f t="shared" ca="1" si="183"/>
        <v>0.98600511235058108</v>
      </c>
      <c r="P1951" s="4">
        <f t="shared" ca="1" si="184"/>
        <v>2.197429654949171</v>
      </c>
      <c r="Q1951" s="4">
        <f t="shared" ca="1" si="185"/>
        <v>1881.8017057224561</v>
      </c>
      <c r="R1951" s="4">
        <f t="shared" ca="1" si="186"/>
        <v>-41.868338277543899</v>
      </c>
      <c r="S1951" s="4">
        <f t="shared" ca="1" si="187"/>
        <v>-20.480587778425182</v>
      </c>
    </row>
    <row r="1952" spans="15:19" x14ac:dyDescent="0.2">
      <c r="O1952" s="4">
        <f t="shared" ca="1" si="183"/>
        <v>0.13162658258096593</v>
      </c>
      <c r="P1952" s="4">
        <f t="shared" ca="1" si="184"/>
        <v>-1.1187351025794323</v>
      </c>
      <c r="Q1952" s="4">
        <f t="shared" ca="1" si="185"/>
        <v>1944.3733293801968</v>
      </c>
      <c r="R1952" s="4">
        <f t="shared" ca="1" si="186"/>
        <v>20.703285380196803</v>
      </c>
      <c r="S1952" s="4">
        <f t="shared" ca="1" si="187"/>
        <v>10.654686310520855</v>
      </c>
    </row>
    <row r="1953" spans="15:19" x14ac:dyDescent="0.2">
      <c r="O1953" s="4">
        <f t="shared" ca="1" si="183"/>
        <v>0.23952930602962974</v>
      </c>
      <c r="P1953" s="4">
        <f t="shared" ca="1" si="184"/>
        <v>-0.70781747639234094</v>
      </c>
      <c r="Q1953" s="4">
        <f t="shared" ca="1" si="185"/>
        <v>1936.6198596523318</v>
      </c>
      <c r="R1953" s="4">
        <f t="shared" ca="1" si="186"/>
        <v>12.949815652331836</v>
      </c>
      <c r="S1953" s="4">
        <f t="shared" ca="1" si="187"/>
        <v>6.6235881086777573</v>
      </c>
    </row>
    <row r="1954" spans="15:19" x14ac:dyDescent="0.2">
      <c r="O1954" s="4">
        <f t="shared" ca="1" si="183"/>
        <v>0.26643771385367943</v>
      </c>
      <c r="P1954" s="4">
        <f t="shared" ca="1" si="184"/>
        <v>-0.62362265659276839</v>
      </c>
      <c r="Q1954" s="4">
        <f t="shared" ca="1" si="185"/>
        <v>1935.0312152502493</v>
      </c>
      <c r="R1954" s="4">
        <f t="shared" ca="1" si="186"/>
        <v>11.361171250249299</v>
      </c>
      <c r="S1954" s="4">
        <f t="shared" ca="1" si="187"/>
        <v>5.8036791222258426</v>
      </c>
    </row>
    <row r="1955" spans="15:19" x14ac:dyDescent="0.2">
      <c r="O1955" s="4">
        <f t="shared" ca="1" si="183"/>
        <v>7.7198745196257801E-2</v>
      </c>
      <c r="P1955" s="4">
        <f t="shared" ca="1" si="184"/>
        <v>-1.4241692278663496</v>
      </c>
      <c r="Q1955" s="4">
        <f t="shared" ca="1" si="185"/>
        <v>1950.1364655742884</v>
      </c>
      <c r="R1955" s="4">
        <f t="shared" ca="1" si="186"/>
        <v>26.466421574288461</v>
      </c>
      <c r="S1955" s="4">
        <f t="shared" ca="1" si="187"/>
        <v>13.682702216327502</v>
      </c>
    </row>
    <row r="1956" spans="15:19" x14ac:dyDescent="0.2">
      <c r="O1956" s="4">
        <f t="shared" ca="1" si="183"/>
        <v>0.52269647634028482</v>
      </c>
      <c r="P1956" s="4">
        <f t="shared" ca="1" si="184"/>
        <v>5.6922353930392272E-2</v>
      </c>
      <c r="Q1956" s="4">
        <f t="shared" ca="1" si="185"/>
        <v>1922.1902349630266</v>
      </c>
      <c r="R1956" s="4">
        <f t="shared" ca="1" si="186"/>
        <v>-1.4798090369733927</v>
      </c>
      <c r="S1956" s="4">
        <f t="shared" ca="1" si="187"/>
        <v>-0.74820241475475535</v>
      </c>
    </row>
    <row r="1957" spans="15:19" x14ac:dyDescent="0.2">
      <c r="O1957" s="4">
        <f t="shared" ca="1" si="183"/>
        <v>0.68979171569638875</v>
      </c>
      <c r="P1957" s="4">
        <f t="shared" ca="1" si="184"/>
        <v>0.49526004786127831</v>
      </c>
      <c r="Q1957" s="4">
        <f t="shared" ca="1" si="185"/>
        <v>1913.9193849826756</v>
      </c>
      <c r="R1957" s="4">
        <f t="shared" ca="1" si="186"/>
        <v>-9.7506590173243239</v>
      </c>
      <c r="S1957" s="4">
        <f t="shared" ca="1" si="187"/>
        <v>-4.8971768517242493</v>
      </c>
    </row>
    <row r="1958" spans="15:19" x14ac:dyDescent="0.2">
      <c r="O1958" s="4">
        <f t="shared" ca="1" si="183"/>
        <v>0.16465052066658337</v>
      </c>
      <c r="P1958" s="4">
        <f t="shared" ca="1" si="184"/>
        <v>-0.97552271194423923</v>
      </c>
      <c r="Q1958" s="4">
        <f t="shared" ca="1" si="185"/>
        <v>1941.6711018175863</v>
      </c>
      <c r="R1958" s="4">
        <f t="shared" ca="1" si="186"/>
        <v>18.001057817586343</v>
      </c>
      <c r="S1958" s="4">
        <f t="shared" ca="1" si="187"/>
        <v>9.2442177172935232</v>
      </c>
    </row>
    <row r="1959" spans="15:19" x14ac:dyDescent="0.2">
      <c r="O1959" s="4">
        <f t="shared" ca="1" si="183"/>
        <v>0.45253149314104757</v>
      </c>
      <c r="P1959" s="4">
        <f t="shared" ca="1" si="184"/>
        <v>-0.11926806124899085</v>
      </c>
      <c r="Q1959" s="4">
        <f t="shared" ca="1" si="185"/>
        <v>1925.5147140395488</v>
      </c>
      <c r="R1959" s="4">
        <f t="shared" ca="1" si="186"/>
        <v>1.8446700395488733</v>
      </c>
      <c r="S1959" s="4">
        <f t="shared" ca="1" si="187"/>
        <v>0.9351752206249152</v>
      </c>
    </row>
    <row r="1960" spans="15:19" x14ac:dyDescent="0.2">
      <c r="O1960" s="4">
        <f t="shared" ca="1" si="183"/>
        <v>0.11753553237703884</v>
      </c>
      <c r="P1960" s="4">
        <f t="shared" ca="1" si="184"/>
        <v>-1.1873969949990901</v>
      </c>
      <c r="Q1960" s="4">
        <f t="shared" ca="1" si="185"/>
        <v>1945.6688880771392</v>
      </c>
      <c r="R1960" s="4">
        <f t="shared" ca="1" si="186"/>
        <v>21.998844077139211</v>
      </c>
      <c r="S1960" s="4">
        <f t="shared" ca="1" si="187"/>
        <v>11.333031150456099</v>
      </c>
    </row>
    <row r="1961" spans="15:19" x14ac:dyDescent="0.2">
      <c r="O1961" s="4">
        <f t="shared" ca="1" si="183"/>
        <v>0.51352476006999026</v>
      </c>
      <c r="P1961" s="4">
        <f t="shared" ca="1" si="184"/>
        <v>3.3908042537462282E-2</v>
      </c>
      <c r="Q1961" s="4">
        <f t="shared" ca="1" si="185"/>
        <v>1922.6244844459422</v>
      </c>
      <c r="R1961" s="4">
        <f t="shared" ca="1" si="186"/>
        <v>-1.0455595540577178</v>
      </c>
      <c r="S1961" s="4">
        <f t="shared" ca="1" si="187"/>
        <v>-0.52882748146788416</v>
      </c>
    </row>
    <row r="1962" spans="15:19" x14ac:dyDescent="0.2">
      <c r="O1962" s="4">
        <f t="shared" ca="1" si="183"/>
        <v>0.96244638969873275</v>
      </c>
      <c r="P1962" s="4">
        <f t="shared" ca="1" si="184"/>
        <v>1.7798090221055338</v>
      </c>
      <c r="Q1962" s="4">
        <f t="shared" ca="1" si="185"/>
        <v>1889.6816522814063</v>
      </c>
      <c r="R1962" s="4">
        <f t="shared" ca="1" si="186"/>
        <v>-33.988391718593675</v>
      </c>
      <c r="S1962" s="4">
        <f t="shared" ca="1" si="187"/>
        <v>-16.735006046676911</v>
      </c>
    </row>
    <row r="1963" spans="15:19" x14ac:dyDescent="0.2">
      <c r="O1963" s="4">
        <f t="shared" ca="1" si="183"/>
        <v>0.77428570276198017</v>
      </c>
      <c r="P1963" s="4">
        <f t="shared" ca="1" si="184"/>
        <v>0.75303547873284815</v>
      </c>
      <c r="Q1963" s="4">
        <f t="shared" ca="1" si="185"/>
        <v>1909.0555050406163</v>
      </c>
      <c r="R1963" s="4">
        <f t="shared" ca="1" si="186"/>
        <v>-14.614538959383708</v>
      </c>
      <c r="S1963" s="4">
        <f t="shared" ca="1" si="187"/>
        <v>-7.3110789908657843</v>
      </c>
    </row>
    <row r="1964" spans="15:19" x14ac:dyDescent="0.2">
      <c r="O1964" s="4">
        <f t="shared" ca="1" si="183"/>
        <v>5.0008865970330163E-2</v>
      </c>
      <c r="P1964" s="4">
        <f t="shared" ca="1" si="184"/>
        <v>-1.6447676688525019</v>
      </c>
      <c r="Q1964" s="4">
        <f t="shared" ca="1" si="185"/>
        <v>1954.2988651045086</v>
      </c>
      <c r="R1964" s="4">
        <f t="shared" ca="1" si="186"/>
        <v>30.628821104508688</v>
      </c>
      <c r="S1964" s="4">
        <f t="shared" ca="1" si="187"/>
        <v>15.886490937552946</v>
      </c>
    </row>
    <row r="1965" spans="15:19" x14ac:dyDescent="0.2">
      <c r="O1965" s="4">
        <f t="shared" ca="1" si="183"/>
        <v>0.77997131668792208</v>
      </c>
      <c r="P1965" s="4">
        <f t="shared" ca="1" si="184"/>
        <v>0.77209634535757499</v>
      </c>
      <c r="Q1965" s="4">
        <f t="shared" ca="1" si="185"/>
        <v>1908.695851808573</v>
      </c>
      <c r="R1965" s="4">
        <f t="shared" ca="1" si="186"/>
        <v>-14.974192191426937</v>
      </c>
      <c r="S1965" s="4">
        <f t="shared" ca="1" si="187"/>
        <v>-7.4888070781214831</v>
      </c>
    </row>
    <row r="1966" spans="15:19" x14ac:dyDescent="0.2">
      <c r="O1966" s="4">
        <f t="shared" ca="1" si="183"/>
        <v>0.58341537050224646</v>
      </c>
      <c r="P1966" s="4">
        <f t="shared" ca="1" si="184"/>
        <v>0.21063863916854231</v>
      </c>
      <c r="Q1966" s="4">
        <f t="shared" ca="1" si="185"/>
        <v>1919.2898128630234</v>
      </c>
      <c r="R1966" s="4">
        <f t="shared" ca="1" si="186"/>
        <v>-4.3802311369765903</v>
      </c>
      <c r="S1966" s="4">
        <f t="shared" ca="1" si="187"/>
        <v>-2.2095057023940718</v>
      </c>
    </row>
    <row r="1967" spans="15:19" x14ac:dyDescent="0.2">
      <c r="O1967" s="4">
        <f t="shared" ca="1" si="183"/>
        <v>0.7971384489582034</v>
      </c>
      <c r="P1967" s="4">
        <f t="shared" ca="1" si="184"/>
        <v>0.83144355595942088</v>
      </c>
      <c r="Q1967" s="4">
        <f t="shared" ca="1" si="185"/>
        <v>1907.5760487835621</v>
      </c>
      <c r="R1967" s="4">
        <f t="shared" ca="1" si="186"/>
        <v>-16.093995216437861</v>
      </c>
      <c r="S1967" s="4">
        <f t="shared" ca="1" si="187"/>
        <v>-8.0415002975181888</v>
      </c>
    </row>
    <row r="1968" spans="15:19" x14ac:dyDescent="0.2">
      <c r="O1968" s="4">
        <f t="shared" ca="1" si="183"/>
        <v>0.35380830145054387</v>
      </c>
      <c r="P1968" s="4">
        <f t="shared" ca="1" si="184"/>
        <v>-0.37505898028465351</v>
      </c>
      <c r="Q1968" s="4">
        <f t="shared" ca="1" si="185"/>
        <v>1930.3411488795646</v>
      </c>
      <c r="R1968" s="4">
        <f t="shared" ca="1" si="186"/>
        <v>6.6711048795646093</v>
      </c>
      <c r="S1968" s="4">
        <f t="shared" ca="1" si="187"/>
        <v>3.3950946952820669</v>
      </c>
    </row>
    <row r="1969" spans="15:19" x14ac:dyDescent="0.2">
      <c r="O1969" s="4">
        <f t="shared" ca="1" si="183"/>
        <v>0.99238669685465397</v>
      </c>
      <c r="P1969" s="4">
        <f t="shared" ca="1" si="184"/>
        <v>2.4269439923227534</v>
      </c>
      <c r="Q1969" s="4">
        <f t="shared" ca="1" si="185"/>
        <v>1877.471075071614</v>
      </c>
      <c r="R1969" s="4">
        <f t="shared" ca="1" si="186"/>
        <v>-46.198968928385966</v>
      </c>
      <c r="S1969" s="4">
        <f t="shared" ca="1" si="187"/>
        <v>-22.517544529377858</v>
      </c>
    </row>
    <row r="1970" spans="15:19" x14ac:dyDescent="0.2">
      <c r="O1970" s="4">
        <f t="shared" ca="1" si="183"/>
        <v>0.44053456722158768</v>
      </c>
      <c r="P1970" s="4">
        <f t="shared" ca="1" si="184"/>
        <v>-0.14961403506797719</v>
      </c>
      <c r="Q1970" s="4">
        <f t="shared" ca="1" si="185"/>
        <v>1926.0873022527912</v>
      </c>
      <c r="R1970" s="4">
        <f t="shared" ca="1" si="186"/>
        <v>2.4172582527912709</v>
      </c>
      <c r="S1970" s="4">
        <f t="shared" ca="1" si="187"/>
        <v>1.2260183658209431</v>
      </c>
    </row>
    <row r="1971" spans="15:19" x14ac:dyDescent="0.2">
      <c r="O1971" s="4">
        <f t="shared" ca="1" si="183"/>
        <v>0.53623688358547983</v>
      </c>
      <c r="P1971" s="4">
        <f t="shared" ca="1" si="184"/>
        <v>9.0957661432975595E-2</v>
      </c>
      <c r="Q1971" s="4">
        <f t="shared" ca="1" si="185"/>
        <v>1921.5480339242235</v>
      </c>
      <c r="R1971" s="4">
        <f t="shared" ca="1" si="186"/>
        <v>-2.1220100757764158</v>
      </c>
      <c r="S1971" s="4">
        <f t="shared" ca="1" si="187"/>
        <v>-1.0723492823356717</v>
      </c>
    </row>
    <row r="1972" spans="15:19" x14ac:dyDescent="0.2">
      <c r="O1972" s="4">
        <f t="shared" ca="1" si="183"/>
        <v>0.77410127958015329</v>
      </c>
      <c r="P1972" s="4">
        <f t="shared" ca="1" si="184"/>
        <v>0.75242179987387148</v>
      </c>
      <c r="Q1972" s="4">
        <f t="shared" ca="1" si="185"/>
        <v>1909.0670843454513</v>
      </c>
      <c r="R1972" s="4">
        <f t="shared" ca="1" si="186"/>
        <v>-14.602959654548613</v>
      </c>
      <c r="S1972" s="4">
        <f t="shared" ca="1" si="187"/>
        <v>-7.305355152317845</v>
      </c>
    </row>
    <row r="1973" spans="15:19" x14ac:dyDescent="0.2">
      <c r="O1973" s="4">
        <f t="shared" ca="1" si="183"/>
        <v>0.77196438120584732</v>
      </c>
      <c r="P1973" s="4">
        <f t="shared" ca="1" si="184"/>
        <v>0.74533167426542912</v>
      </c>
      <c r="Q1973" s="4">
        <f t="shared" ca="1" si="185"/>
        <v>1909.2008655968957</v>
      </c>
      <c r="R1973" s="4">
        <f t="shared" ca="1" si="186"/>
        <v>-14.469178403104252</v>
      </c>
      <c r="S1973" s="4">
        <f t="shared" ca="1" si="187"/>
        <v>-7.2392169896558096</v>
      </c>
    </row>
    <row r="1974" spans="15:19" x14ac:dyDescent="0.2">
      <c r="O1974" s="4">
        <f t="shared" ca="1" si="183"/>
        <v>0.4641163746000796</v>
      </c>
      <c r="P1974" s="4">
        <f t="shared" ca="1" si="184"/>
        <v>-9.0068539778791354E-2</v>
      </c>
      <c r="Q1974" s="4">
        <f t="shared" ca="1" si="185"/>
        <v>1924.9637578591389</v>
      </c>
      <c r="R1974" s="4">
        <f t="shared" ca="1" si="186"/>
        <v>1.2937138591389612</v>
      </c>
      <c r="S1974" s="4">
        <f t="shared" ca="1" si="187"/>
        <v>0.65557193725244867</v>
      </c>
    </row>
    <row r="1975" spans="15:19" x14ac:dyDescent="0.2">
      <c r="O1975" s="4">
        <f t="shared" ca="1" si="183"/>
        <v>0.47195196142869178</v>
      </c>
      <c r="P1975" s="4">
        <f t="shared" ca="1" si="184"/>
        <v>-7.0364026612674727E-2</v>
      </c>
      <c r="Q1975" s="4">
        <f t="shared" ca="1" si="185"/>
        <v>1924.5919598719038</v>
      </c>
      <c r="R1975" s="4">
        <f t="shared" ca="1" si="186"/>
        <v>0.92191587190382052</v>
      </c>
      <c r="S1975" s="4">
        <f t="shared" ca="1" si="187"/>
        <v>0.46702882432553272</v>
      </c>
    </row>
    <row r="1976" spans="15:19" x14ac:dyDescent="0.2">
      <c r="O1976" s="4">
        <f t="shared" ca="1" si="183"/>
        <v>7.9572975344720964E-2</v>
      </c>
      <c r="P1976" s="4">
        <f t="shared" ca="1" si="184"/>
        <v>-1.407949747876134</v>
      </c>
      <c r="Q1976" s="4">
        <f t="shared" ca="1" si="185"/>
        <v>1949.8304255334347</v>
      </c>
      <c r="R1976" s="4">
        <f t="shared" ca="1" si="186"/>
        <v>26.160381533434702</v>
      </c>
      <c r="S1976" s="4">
        <f t="shared" ca="1" si="187"/>
        <v>13.521225530118688</v>
      </c>
    </row>
    <row r="1977" spans="15:19" x14ac:dyDescent="0.2">
      <c r="O1977" s="4">
        <f t="shared" ca="1" si="183"/>
        <v>0.3698476161982075</v>
      </c>
      <c r="P1977" s="4">
        <f t="shared" ca="1" si="184"/>
        <v>-0.33225696537183141</v>
      </c>
      <c r="Q1977" s="4">
        <f t="shared" ca="1" si="185"/>
        <v>1929.5335317179508</v>
      </c>
      <c r="R1977" s="4">
        <f t="shared" ca="1" si="186"/>
        <v>5.8634877179508749</v>
      </c>
      <c r="S1977" s="4">
        <f t="shared" ca="1" si="187"/>
        <v>2.9821501538539428</v>
      </c>
    </row>
    <row r="1978" spans="15:19" x14ac:dyDescent="0.2">
      <c r="O1978" s="4">
        <f t="shared" ca="1" si="183"/>
        <v>0.44925300573879046</v>
      </c>
      <c r="P1978" s="4">
        <f t="shared" ca="1" si="184"/>
        <v>-0.12754885086852341</v>
      </c>
      <c r="Q1978" s="4">
        <f t="shared" ca="1" si="185"/>
        <v>1925.6709615391603</v>
      </c>
      <c r="R1978" s="4">
        <f t="shared" ca="1" si="186"/>
        <v>2.0009175391603549</v>
      </c>
      <c r="S1978" s="4">
        <f t="shared" ca="1" si="187"/>
        <v>1.0145138283745343</v>
      </c>
    </row>
    <row r="1979" spans="15:19" x14ac:dyDescent="0.2">
      <c r="O1979" s="4">
        <f t="shared" ca="1" si="183"/>
        <v>0.51483910919667886</v>
      </c>
      <c r="P1979" s="4">
        <f t="shared" ca="1" si="184"/>
        <v>3.7204711969654344E-2</v>
      </c>
      <c r="Q1979" s="4">
        <f t="shared" ca="1" si="185"/>
        <v>1922.5622806731753</v>
      </c>
      <c r="R1979" s="4">
        <f t="shared" ca="1" si="186"/>
        <v>-1.1077633268246245</v>
      </c>
      <c r="S1979" s="4">
        <f t="shared" ca="1" si="187"/>
        <v>-0.56026111571361736</v>
      </c>
    </row>
    <row r="1980" spans="15:19" x14ac:dyDescent="0.2">
      <c r="O1980" s="4">
        <f t="shared" ca="1" si="183"/>
        <v>0.57841136177892738</v>
      </c>
      <c r="P1980" s="4">
        <f t="shared" ca="1" si="184"/>
        <v>0.19783101859051139</v>
      </c>
      <c r="Q1980" s="4">
        <f t="shared" ca="1" si="185"/>
        <v>1919.5314756492105</v>
      </c>
      <c r="R1980" s="4">
        <f t="shared" ca="1" si="186"/>
        <v>-4.1385683507894555</v>
      </c>
      <c r="S1980" s="4">
        <f t="shared" ca="1" si="187"/>
        <v>-2.0880116569408185</v>
      </c>
    </row>
    <row r="1981" spans="15:19" x14ac:dyDescent="0.2">
      <c r="O1981" s="4">
        <f t="shared" ca="1" si="183"/>
        <v>0.55019333325256459</v>
      </c>
      <c r="P1981" s="4">
        <f t="shared" ca="1" si="184"/>
        <v>0.12614981782752807</v>
      </c>
      <c r="Q1981" s="4">
        <f t="shared" ca="1" si="185"/>
        <v>1920.8840046836299</v>
      </c>
      <c r="R1981" s="4">
        <f t="shared" ca="1" si="186"/>
        <v>-2.7860393163700792</v>
      </c>
      <c r="S1981" s="4">
        <f t="shared" ca="1" si="187"/>
        <v>-1.4071607134726007</v>
      </c>
    </row>
    <row r="1982" spans="15:19" x14ac:dyDescent="0.2">
      <c r="O1982" s="4">
        <f t="shared" ca="1" si="183"/>
        <v>0.84176747831174759</v>
      </c>
      <c r="P1982" s="4">
        <f t="shared" ca="1" si="184"/>
        <v>1.0017485675393296</v>
      </c>
      <c r="Q1982" s="4">
        <f t="shared" ca="1" si="185"/>
        <v>1904.3626194545723</v>
      </c>
      <c r="R1982" s="4">
        <f t="shared" ca="1" si="186"/>
        <v>-19.307424545427693</v>
      </c>
      <c r="S1982" s="4">
        <f t="shared" ca="1" si="187"/>
        <v>-9.6218615200287019</v>
      </c>
    </row>
    <row r="1983" spans="15:19" x14ac:dyDescent="0.2">
      <c r="O1983" s="4">
        <f t="shared" ca="1" si="183"/>
        <v>0.79582559207835302</v>
      </c>
      <c r="P1983" s="4">
        <f t="shared" ca="1" si="184"/>
        <v>0.82680284748761479</v>
      </c>
      <c r="Q1983" s="4">
        <f t="shared" ca="1" si="185"/>
        <v>1907.6636127875352</v>
      </c>
      <c r="R1983" s="4">
        <f t="shared" ca="1" si="186"/>
        <v>-16.006431212464804</v>
      </c>
      <c r="S1983" s="4">
        <f t="shared" ca="1" si="187"/>
        <v>-7.9983187482484848</v>
      </c>
    </row>
    <row r="1984" spans="15:19" x14ac:dyDescent="0.2">
      <c r="O1984" s="4">
        <f t="shared" ca="1" si="183"/>
        <v>0.65151680340238749</v>
      </c>
      <c r="P1984" s="4">
        <f t="shared" ca="1" si="184"/>
        <v>0.38941876468473313</v>
      </c>
      <c r="Q1984" s="4">
        <f t="shared" ca="1" si="185"/>
        <v>1915.916469392713</v>
      </c>
      <c r="R1984" s="4">
        <f t="shared" ca="1" si="186"/>
        <v>-7.7535746072869642</v>
      </c>
      <c r="S1984" s="4">
        <f t="shared" ca="1" si="187"/>
        <v>-3.9004632569212818</v>
      </c>
    </row>
    <row r="1985" spans="15:19" x14ac:dyDescent="0.2">
      <c r="O1985" s="4">
        <f t="shared" ca="1" si="183"/>
        <v>0.52604627105457136</v>
      </c>
      <c r="P1985" s="4">
        <f t="shared" ca="1" si="184"/>
        <v>6.5334771413759513E-2</v>
      </c>
      <c r="Q1985" s="4">
        <f t="shared" ca="1" si="185"/>
        <v>1922.0315038204842</v>
      </c>
      <c r="R1985" s="4">
        <f t="shared" ca="1" si="186"/>
        <v>-1.6385401795157577</v>
      </c>
      <c r="S1985" s="4">
        <f t="shared" ca="1" si="187"/>
        <v>-0.82835218309341163</v>
      </c>
    </row>
    <row r="1986" spans="15:19" x14ac:dyDescent="0.2">
      <c r="O1986" s="4">
        <f t="shared" ca="1" si="183"/>
        <v>8.4650067139138363E-2</v>
      </c>
      <c r="P1986" s="4">
        <f t="shared" ca="1" si="184"/>
        <v>-1.374456086550887</v>
      </c>
      <c r="Q1986" s="4">
        <f t="shared" ca="1" si="185"/>
        <v>1949.1984446384547</v>
      </c>
      <c r="R1986" s="4">
        <f t="shared" ca="1" si="186"/>
        <v>25.528400638454741</v>
      </c>
      <c r="S1986" s="4">
        <f t="shared" ca="1" si="187"/>
        <v>13.188013156149941</v>
      </c>
    </row>
    <row r="1987" spans="15:19" x14ac:dyDescent="0.2">
      <c r="O1987" s="4">
        <f t="shared" ref="O1987:O2050" ca="1" si="188">RAND()</f>
        <v>0.43033155614168583</v>
      </c>
      <c r="P1987" s="4">
        <f t="shared" ref="P1987:P2050" ca="1" si="189">NORMSINV(O1987)</f>
        <v>-0.17553011177881461</v>
      </c>
      <c r="Q1987" s="4">
        <f t="shared" ref="Q1987:Q2050" ca="1" si="190">$B$4*(1+$B$17-$B$32*P1987)</f>
        <v>1926.5763041924426</v>
      </c>
      <c r="R1987" s="4">
        <f t="shared" ref="R1987:R2050" ca="1" si="191">Q1987-$B$4</f>
        <v>2.9062601924426872</v>
      </c>
      <c r="S1987" s="4">
        <f t="shared" ref="S1987:S2050" ca="1" si="192">R1987*$B$12+0.5*$B$13*R1987^2</f>
        <v>1.4746156244235435</v>
      </c>
    </row>
    <row r="1988" spans="15:19" x14ac:dyDescent="0.2">
      <c r="O1988" s="4">
        <f t="shared" ca="1" si="188"/>
        <v>0.89015480310479278</v>
      </c>
      <c r="P1988" s="4">
        <f t="shared" ca="1" si="189"/>
        <v>1.2273518010786593</v>
      </c>
      <c r="Q1988" s="4">
        <f t="shared" ca="1" si="190"/>
        <v>1900.1057861374263</v>
      </c>
      <c r="R1988" s="4">
        <f t="shared" ca="1" si="191"/>
        <v>-23.564257862573641</v>
      </c>
      <c r="S1988" s="4">
        <f t="shared" ca="1" si="192"/>
        <v>-11.70242308126074</v>
      </c>
    </row>
    <row r="1989" spans="15:19" x14ac:dyDescent="0.2">
      <c r="O1989" s="4">
        <f t="shared" ca="1" si="188"/>
        <v>0.54365009391109143</v>
      </c>
      <c r="P1989" s="4">
        <f t="shared" ca="1" si="189"/>
        <v>0.10963378931044987</v>
      </c>
      <c r="Q1989" s="4">
        <f t="shared" ca="1" si="190"/>
        <v>1921.1956402012397</v>
      </c>
      <c r="R1989" s="4">
        <f t="shared" ca="1" si="191"/>
        <v>-2.4744037987602496</v>
      </c>
      <c r="S1989" s="4">
        <f t="shared" ca="1" si="192"/>
        <v>-1.2500750872542559</v>
      </c>
    </row>
    <row r="1990" spans="15:19" x14ac:dyDescent="0.2">
      <c r="O1990" s="4">
        <f t="shared" ca="1" si="188"/>
        <v>9.8697752008960471E-2</v>
      </c>
      <c r="P1990" s="4">
        <f t="shared" ca="1" si="189"/>
        <v>-1.2890074286054347</v>
      </c>
      <c r="Q1990" s="4">
        <f t="shared" ca="1" si="190"/>
        <v>1947.5861419762052</v>
      </c>
      <c r="R1990" s="4">
        <f t="shared" ca="1" si="191"/>
        <v>23.916097976205265</v>
      </c>
      <c r="S1990" s="4">
        <f t="shared" ca="1" si="192"/>
        <v>12.339398402349397</v>
      </c>
    </row>
    <row r="1991" spans="15:19" x14ac:dyDescent="0.2">
      <c r="O1991" s="4">
        <f t="shared" ca="1" si="188"/>
        <v>0.18064905163449652</v>
      </c>
      <c r="P1991" s="4">
        <f t="shared" ca="1" si="189"/>
        <v>-0.91289436156640547</v>
      </c>
      <c r="Q1991" s="4">
        <f t="shared" ca="1" si="190"/>
        <v>1940.4893880437912</v>
      </c>
      <c r="R1991" s="4">
        <f t="shared" ca="1" si="191"/>
        <v>16.819344043791261</v>
      </c>
      <c r="S1991" s="4">
        <f t="shared" ca="1" si="192"/>
        <v>8.6292726481058928</v>
      </c>
    </row>
    <row r="1992" spans="15:19" x14ac:dyDescent="0.2">
      <c r="O1992" s="4">
        <f t="shared" ca="1" si="188"/>
        <v>6.2682561589009089E-2</v>
      </c>
      <c r="P1992" s="4">
        <f t="shared" ca="1" si="189"/>
        <v>-1.5326377971853511</v>
      </c>
      <c r="Q1992" s="4">
        <f t="shared" ca="1" si="190"/>
        <v>1952.1831233836488</v>
      </c>
      <c r="R1992" s="4">
        <f t="shared" ca="1" si="191"/>
        <v>28.513079383648801</v>
      </c>
      <c r="S1992" s="4">
        <f t="shared" ca="1" si="192"/>
        <v>14.764545595388265</v>
      </c>
    </row>
    <row r="1993" spans="15:19" x14ac:dyDescent="0.2">
      <c r="O1993" s="4">
        <f t="shared" ca="1" si="188"/>
        <v>0.40112920663360918</v>
      </c>
      <c r="P1993" s="4">
        <f t="shared" ca="1" si="189"/>
        <v>-0.25042536849136476</v>
      </c>
      <c r="Q1993" s="4">
        <f t="shared" ca="1" si="190"/>
        <v>1927.9894781929588</v>
      </c>
      <c r="R1993" s="4">
        <f t="shared" ca="1" si="191"/>
        <v>4.3194341929588518</v>
      </c>
      <c r="S1993" s="4">
        <f t="shared" ca="1" si="192"/>
        <v>2.1941347957863431</v>
      </c>
    </row>
    <row r="1994" spans="15:19" x14ac:dyDescent="0.2">
      <c r="O1994" s="4">
        <f t="shared" ca="1" si="188"/>
        <v>0.3276384603026532</v>
      </c>
      <c r="P1994" s="4">
        <f t="shared" ca="1" si="189"/>
        <v>-0.44644349449556497</v>
      </c>
      <c r="Q1994" s="4">
        <f t="shared" ca="1" si="190"/>
        <v>1931.6880798328757</v>
      </c>
      <c r="R1994" s="4">
        <f t="shared" ca="1" si="191"/>
        <v>8.0180358328757393</v>
      </c>
      <c r="S1994" s="4">
        <f t="shared" ca="1" si="192"/>
        <v>4.0849783066878489</v>
      </c>
    </row>
    <row r="1995" spans="15:19" x14ac:dyDescent="0.2">
      <c r="O1995" s="4">
        <f t="shared" ca="1" si="188"/>
        <v>0.78445275290908201</v>
      </c>
      <c r="P1995" s="4">
        <f t="shared" ca="1" si="189"/>
        <v>0.78732012055596401</v>
      </c>
      <c r="Q1995" s="4">
        <f t="shared" ca="1" si="190"/>
        <v>1908.4085993944097</v>
      </c>
      <c r="R1995" s="4">
        <f t="shared" ca="1" si="191"/>
        <v>-15.261444605590214</v>
      </c>
      <c r="S1995" s="4">
        <f t="shared" ca="1" si="192"/>
        <v>-7.6306815618545896</v>
      </c>
    </row>
    <row r="1996" spans="15:19" x14ac:dyDescent="0.2">
      <c r="O1996" s="4">
        <f t="shared" ca="1" si="188"/>
        <v>0.73421548267657311</v>
      </c>
      <c r="P1996" s="4">
        <f t="shared" ca="1" si="189"/>
        <v>0.62561265733697036</v>
      </c>
      <c r="Q1996" s="4">
        <f t="shared" ca="1" si="190"/>
        <v>1911.4598044071329</v>
      </c>
      <c r="R1996" s="4">
        <f t="shared" ca="1" si="191"/>
        <v>-12.210239592867083</v>
      </c>
      <c r="S1996" s="4">
        <f t="shared" ca="1" si="192"/>
        <v>-6.1202529491682762</v>
      </c>
    </row>
    <row r="1997" spans="15:19" x14ac:dyDescent="0.2">
      <c r="O1997" s="4">
        <f t="shared" ca="1" si="188"/>
        <v>0.50050035769773715</v>
      </c>
      <c r="P1997" s="4">
        <f t="shared" ca="1" si="189"/>
        <v>1.2542110813989775E-3</v>
      </c>
      <c r="Q1997" s="4">
        <f t="shared" ca="1" si="190"/>
        <v>1923.240618866952</v>
      </c>
      <c r="R1997" s="4">
        <f t="shared" ca="1" si="191"/>
        <v>-0.42942513304797103</v>
      </c>
      <c r="S1997" s="4">
        <f t="shared" ca="1" si="192"/>
        <v>-0.21730414254225161</v>
      </c>
    </row>
    <row r="1998" spans="15:19" x14ac:dyDescent="0.2">
      <c r="O1998" s="4">
        <f t="shared" ca="1" si="188"/>
        <v>0.2885959362654541</v>
      </c>
      <c r="P1998" s="4">
        <f t="shared" ca="1" si="189"/>
        <v>-0.55749119613606235</v>
      </c>
      <c r="Q1998" s="4">
        <f t="shared" ca="1" si="190"/>
        <v>1933.7834024429274</v>
      </c>
      <c r="R1998" s="4">
        <f t="shared" ca="1" si="191"/>
        <v>10.113358442927392</v>
      </c>
      <c r="S1998" s="4">
        <f t="shared" ca="1" si="192"/>
        <v>5.1611161513397317</v>
      </c>
    </row>
    <row r="1999" spans="15:19" x14ac:dyDescent="0.2">
      <c r="O1999" s="4">
        <f t="shared" ca="1" si="188"/>
        <v>0.55084655902519764</v>
      </c>
      <c r="P1999" s="4">
        <f t="shared" ca="1" si="189"/>
        <v>0.12780046514644841</v>
      </c>
      <c r="Q1999" s="4">
        <f t="shared" ca="1" si="190"/>
        <v>1920.8528591615034</v>
      </c>
      <c r="R1999" s="4">
        <f t="shared" ca="1" si="191"/>
        <v>-2.817184838496587</v>
      </c>
      <c r="S1999" s="4">
        <f t="shared" ca="1" si="192"/>
        <v>-1.4228558420153798</v>
      </c>
    </row>
    <row r="2000" spans="15:19" x14ac:dyDescent="0.2">
      <c r="O2000" s="4">
        <f t="shared" ca="1" si="188"/>
        <v>0.45728575960804985</v>
      </c>
      <c r="P2000" s="4">
        <f t="shared" ca="1" si="189"/>
        <v>-0.10727411505784085</v>
      </c>
      <c r="Q2000" s="4">
        <f t="shared" ca="1" si="190"/>
        <v>1925.2884042081271</v>
      </c>
      <c r="R2000" s="4">
        <f t="shared" ca="1" si="191"/>
        <v>1.6183602081271147</v>
      </c>
      <c r="S2000" s="4">
        <f t="shared" ca="1" si="192"/>
        <v>0.82029593988121718</v>
      </c>
    </row>
    <row r="2001" spans="15:19" x14ac:dyDescent="0.2">
      <c r="O2001" s="4">
        <f t="shared" ca="1" si="188"/>
        <v>0.51763348905353723</v>
      </c>
      <c r="P2001" s="4">
        <f t="shared" ca="1" si="189"/>
        <v>4.4215004494681853E-2</v>
      </c>
      <c r="Q2001" s="4">
        <f t="shared" ca="1" si="190"/>
        <v>1922.4300057659618</v>
      </c>
      <c r="R2001" s="4">
        <f t="shared" ca="1" si="191"/>
        <v>-1.2400382340381384</v>
      </c>
      <c r="S2001" s="4">
        <f t="shared" ca="1" si="192"/>
        <v>-0.62709355188681171</v>
      </c>
    </row>
    <row r="2002" spans="15:19" x14ac:dyDescent="0.2">
      <c r="O2002" s="4">
        <f t="shared" ca="1" si="188"/>
        <v>0.84918646770402251</v>
      </c>
      <c r="P2002" s="4">
        <f t="shared" ca="1" si="189"/>
        <v>1.0329504989878195</v>
      </c>
      <c r="Q2002" s="4">
        <f t="shared" ca="1" si="190"/>
        <v>1903.7738804579474</v>
      </c>
      <c r="R2002" s="4">
        <f t="shared" ca="1" si="191"/>
        <v>-19.896163542052591</v>
      </c>
      <c r="S2002" s="4">
        <f t="shared" ca="1" si="192"/>
        <v>-9.9104915317723101</v>
      </c>
    </row>
    <row r="2003" spans="15:19" x14ac:dyDescent="0.2">
      <c r="O2003" s="4">
        <f t="shared" ca="1" si="188"/>
        <v>0.14249244147723805</v>
      </c>
      <c r="P2003" s="4">
        <f t="shared" ca="1" si="189"/>
        <v>-1.0691881817435629</v>
      </c>
      <c r="Q2003" s="4">
        <f t="shared" ca="1" si="190"/>
        <v>1943.4384448039996</v>
      </c>
      <c r="R2003" s="4">
        <f t="shared" ca="1" si="191"/>
        <v>19.768400803999612</v>
      </c>
      <c r="S2003" s="4">
        <f t="shared" ca="1" si="192"/>
        <v>10.166036565133622</v>
      </c>
    </row>
    <row r="2004" spans="15:19" x14ac:dyDescent="0.2">
      <c r="O2004" s="4">
        <f t="shared" ca="1" si="188"/>
        <v>0.18408020295497218</v>
      </c>
      <c r="P2004" s="4">
        <f t="shared" ca="1" si="189"/>
        <v>-0.89992454701440505</v>
      </c>
      <c r="Q2004" s="4">
        <f t="shared" ca="1" si="190"/>
        <v>1940.2446648727796</v>
      </c>
      <c r="R2004" s="4">
        <f t="shared" ca="1" si="191"/>
        <v>16.574620872779633</v>
      </c>
      <c r="S2004" s="4">
        <f t="shared" ca="1" si="192"/>
        <v>8.5020646994339106</v>
      </c>
    </row>
    <row r="2005" spans="15:19" x14ac:dyDescent="0.2">
      <c r="O2005" s="4">
        <f t="shared" ca="1" si="188"/>
        <v>0.2529212482646549</v>
      </c>
      <c r="P2005" s="4">
        <f t="shared" ca="1" si="189"/>
        <v>-0.66532523027830603</v>
      </c>
      <c r="Q2005" s="4">
        <f t="shared" ca="1" si="190"/>
        <v>1935.8180874164427</v>
      </c>
      <c r="R2005" s="4">
        <f t="shared" ca="1" si="191"/>
        <v>12.148043416442761</v>
      </c>
      <c r="S2005" s="4">
        <f t="shared" ca="1" si="192"/>
        <v>6.2095317905755181</v>
      </c>
    </row>
    <row r="2006" spans="15:19" x14ac:dyDescent="0.2">
      <c r="O2006" s="4">
        <f t="shared" ca="1" si="188"/>
        <v>0.20791802329153852</v>
      </c>
      <c r="P2006" s="4">
        <f t="shared" ca="1" si="189"/>
        <v>-0.8136664717584452</v>
      </c>
      <c r="Q2006" s="4">
        <f t="shared" ca="1" si="190"/>
        <v>1938.6170895811408</v>
      </c>
      <c r="R2006" s="4">
        <f t="shared" ca="1" si="191"/>
        <v>14.947045581140856</v>
      </c>
      <c r="S2006" s="4">
        <f t="shared" ca="1" si="192"/>
        <v>7.6572859119242951</v>
      </c>
    </row>
    <row r="2007" spans="15:19" x14ac:dyDescent="0.2">
      <c r="O2007" s="4">
        <f t="shared" ca="1" si="188"/>
        <v>0.76490483295444678</v>
      </c>
      <c r="P2007" s="4">
        <f t="shared" ca="1" si="189"/>
        <v>0.72216940014038455</v>
      </c>
      <c r="Q2007" s="4">
        <f t="shared" ca="1" si="190"/>
        <v>1909.6379069400073</v>
      </c>
      <c r="R2007" s="4">
        <f t="shared" ca="1" si="191"/>
        <v>-14.032137059992692</v>
      </c>
      <c r="S2007" s="4">
        <f t="shared" ca="1" si="192"/>
        <v>-7.0230529383358506</v>
      </c>
    </row>
    <row r="2008" spans="15:19" x14ac:dyDescent="0.2">
      <c r="O2008" s="4">
        <f t="shared" ca="1" si="188"/>
        <v>0.78527239082851308</v>
      </c>
      <c r="P2008" s="4">
        <f t="shared" ca="1" si="189"/>
        <v>0.79012423391379305</v>
      </c>
      <c r="Q2008" s="4">
        <f t="shared" ca="1" si="190"/>
        <v>1908.3556895004363</v>
      </c>
      <c r="R2008" s="4">
        <f t="shared" ca="1" si="191"/>
        <v>-15.314354499563706</v>
      </c>
      <c r="S2008" s="4">
        <f t="shared" ca="1" si="192"/>
        <v>-7.6568065271890582</v>
      </c>
    </row>
    <row r="2009" spans="15:19" x14ac:dyDescent="0.2">
      <c r="O2009" s="4">
        <f t="shared" ca="1" si="188"/>
        <v>0.99176810307991325</v>
      </c>
      <c r="P2009" s="4">
        <f t="shared" ca="1" si="189"/>
        <v>2.3984684698778542</v>
      </c>
      <c r="Q2009" s="4">
        <f t="shared" ca="1" si="190"/>
        <v>1878.0083703522041</v>
      </c>
      <c r="R2009" s="4">
        <f t="shared" ca="1" si="191"/>
        <v>-45.661673647795851</v>
      </c>
      <c r="S2009" s="4">
        <f t="shared" ca="1" si="192"/>
        <v>-22.265651822231284</v>
      </c>
    </row>
    <row r="2010" spans="15:19" x14ac:dyDescent="0.2">
      <c r="O2010" s="4">
        <f t="shared" ca="1" si="188"/>
        <v>0.53468502844947119</v>
      </c>
      <c r="P2010" s="4">
        <f t="shared" ca="1" si="189"/>
        <v>8.7052296686107311E-2</v>
      </c>
      <c r="Q2010" s="4">
        <f t="shared" ca="1" si="190"/>
        <v>1921.6217229689646</v>
      </c>
      <c r="R2010" s="4">
        <f t="shared" ca="1" si="191"/>
        <v>-2.048321031035357</v>
      </c>
      <c r="S2010" s="4">
        <f t="shared" ca="1" si="192"/>
        <v>-1.0351722616243377</v>
      </c>
    </row>
    <row r="2011" spans="15:19" x14ac:dyDescent="0.2">
      <c r="O2011" s="4">
        <f t="shared" ca="1" si="188"/>
        <v>0.59012968733165461</v>
      </c>
      <c r="P2011" s="4">
        <f t="shared" ca="1" si="189"/>
        <v>0.22787859285714337</v>
      </c>
      <c r="Q2011" s="4">
        <f t="shared" ca="1" si="190"/>
        <v>1918.9645178391163</v>
      </c>
      <c r="R2011" s="4">
        <f t="shared" ca="1" si="191"/>
        <v>-4.7055261608836645</v>
      </c>
      <c r="S2011" s="4">
        <f t="shared" ca="1" si="192"/>
        <v>-2.3729701156131817</v>
      </c>
    </row>
    <row r="2012" spans="15:19" x14ac:dyDescent="0.2">
      <c r="O2012" s="4">
        <f t="shared" ca="1" si="188"/>
        <v>0.79902519810393879</v>
      </c>
      <c r="P2012" s="4">
        <f t="shared" ca="1" si="189"/>
        <v>0.83814440952770264</v>
      </c>
      <c r="Q2012" s="4">
        <f t="shared" ca="1" si="190"/>
        <v>1907.4496125783921</v>
      </c>
      <c r="R2012" s="4">
        <f t="shared" ca="1" si="191"/>
        <v>-16.220431421607827</v>
      </c>
      <c r="S2012" s="4">
        <f t="shared" ca="1" si="192"/>
        <v>-8.1038403747845198</v>
      </c>
    </row>
    <row r="2013" spans="15:19" x14ac:dyDescent="0.2">
      <c r="O2013" s="4">
        <f t="shared" ca="1" si="188"/>
        <v>0.69237465197935422</v>
      </c>
      <c r="P2013" s="4">
        <f t="shared" ca="1" si="189"/>
        <v>0.50259265265384412</v>
      </c>
      <c r="Q2013" s="4">
        <f t="shared" ca="1" si="190"/>
        <v>1913.7810284711454</v>
      </c>
      <c r="R2013" s="4">
        <f t="shared" ca="1" si="191"/>
        <v>-9.8890155288545429</v>
      </c>
      <c r="S2013" s="4">
        <f t="shared" ca="1" si="192"/>
        <v>-4.9661081532631934</v>
      </c>
    </row>
    <row r="2014" spans="15:19" x14ac:dyDescent="0.2">
      <c r="O2014" s="4">
        <f t="shared" ca="1" si="188"/>
        <v>0.58352168212508004</v>
      </c>
      <c r="P2014" s="4">
        <f t="shared" ca="1" si="189"/>
        <v>0.21091110853174683</v>
      </c>
      <c r="Q2014" s="4">
        <f t="shared" ca="1" si="190"/>
        <v>1919.2846717280981</v>
      </c>
      <c r="R2014" s="4">
        <f t="shared" ca="1" si="191"/>
        <v>-4.3853722719018151</v>
      </c>
      <c r="S2014" s="4">
        <f t="shared" ca="1" si="192"/>
        <v>-2.2120898506145039</v>
      </c>
    </row>
    <row r="2015" spans="15:19" x14ac:dyDescent="0.2">
      <c r="O2015" s="4">
        <f t="shared" ca="1" si="188"/>
        <v>0.29797086671493611</v>
      </c>
      <c r="P2015" s="4">
        <f t="shared" ca="1" si="189"/>
        <v>-0.53024549218692307</v>
      </c>
      <c r="Q2015" s="4">
        <f t="shared" ca="1" si="190"/>
        <v>1933.2693122036158</v>
      </c>
      <c r="R2015" s="4">
        <f t="shared" ca="1" si="191"/>
        <v>9.599268203615793</v>
      </c>
      <c r="S2015" s="4">
        <f t="shared" ca="1" si="192"/>
        <v>4.8967533691338536</v>
      </c>
    </row>
    <row r="2016" spans="15:19" x14ac:dyDescent="0.2">
      <c r="O2016" s="4">
        <f t="shared" ca="1" si="188"/>
        <v>0.30543629240170223</v>
      </c>
      <c r="P2016" s="4">
        <f t="shared" ca="1" si="189"/>
        <v>-0.50882829444291888</v>
      </c>
      <c r="Q2016" s="4">
        <f t="shared" ca="1" si="190"/>
        <v>1932.8651981335897</v>
      </c>
      <c r="R2016" s="4">
        <f t="shared" ca="1" si="191"/>
        <v>9.1951541335897673</v>
      </c>
      <c r="S2016" s="4">
        <f t="shared" ca="1" si="192"/>
        <v>4.6890951410165549</v>
      </c>
    </row>
    <row r="2017" spans="15:19" x14ac:dyDescent="0.2">
      <c r="O2017" s="4">
        <f t="shared" ca="1" si="188"/>
        <v>0.619686485839264</v>
      </c>
      <c r="P2017" s="4">
        <f t="shared" ca="1" si="189"/>
        <v>0.30465749137333498</v>
      </c>
      <c r="Q2017" s="4">
        <f t="shared" ca="1" si="190"/>
        <v>1917.5158020200654</v>
      </c>
      <c r="R2017" s="4">
        <f t="shared" ca="1" si="191"/>
        <v>-6.154241979934568</v>
      </c>
      <c r="S2017" s="4">
        <f t="shared" ca="1" si="192"/>
        <v>-3.0999199479583099</v>
      </c>
    </row>
    <row r="2018" spans="15:19" x14ac:dyDescent="0.2">
      <c r="O2018" s="4">
        <f t="shared" ca="1" si="188"/>
        <v>7.4952944663629228E-2</v>
      </c>
      <c r="P2018" s="4">
        <f t="shared" ca="1" si="189"/>
        <v>-1.4398639668513267</v>
      </c>
      <c r="Q2018" s="4">
        <f t="shared" ca="1" si="190"/>
        <v>1950.4326044494587</v>
      </c>
      <c r="R2018" s="4">
        <f t="shared" ca="1" si="191"/>
        <v>26.762560449458761</v>
      </c>
      <c r="S2018" s="4">
        <f t="shared" ca="1" si="192"/>
        <v>13.839027317349252</v>
      </c>
    </row>
    <row r="2019" spans="15:19" x14ac:dyDescent="0.2">
      <c r="O2019" s="4">
        <f t="shared" ca="1" si="188"/>
        <v>0.99363302133188158</v>
      </c>
      <c r="P2019" s="4">
        <f t="shared" ca="1" si="189"/>
        <v>2.4911242671813638</v>
      </c>
      <c r="Q2019" s="4">
        <f t="shared" ca="1" si="190"/>
        <v>1876.2600785445004</v>
      </c>
      <c r="R2019" s="4">
        <f t="shared" ca="1" si="191"/>
        <v>-47.40996545549956</v>
      </c>
      <c r="S2019" s="4">
        <f t="shared" ca="1" si="192"/>
        <v>-23.0844174271244</v>
      </c>
    </row>
    <row r="2020" spans="15:19" x14ac:dyDescent="0.2">
      <c r="O2020" s="4">
        <f t="shared" ca="1" si="188"/>
        <v>0.88979480258219268</v>
      </c>
      <c r="P2020" s="4">
        <f t="shared" ca="1" si="189"/>
        <v>1.225437580312756</v>
      </c>
      <c r="Q2020" s="4">
        <f t="shared" ca="1" si="190"/>
        <v>1900.1419049403567</v>
      </c>
      <c r="R2020" s="4">
        <f t="shared" ca="1" si="191"/>
        <v>-23.528139059643308</v>
      </c>
      <c r="S2020" s="4">
        <f t="shared" ca="1" si="192"/>
        <v>-11.684831782033253</v>
      </c>
    </row>
    <row r="2021" spans="15:19" x14ac:dyDescent="0.2">
      <c r="O2021" s="4">
        <f t="shared" ca="1" si="188"/>
        <v>0.60293736859878133</v>
      </c>
      <c r="P2021" s="4">
        <f t="shared" ca="1" si="189"/>
        <v>0.26095752487433027</v>
      </c>
      <c r="Q2021" s="4">
        <f t="shared" ca="1" si="190"/>
        <v>1918.3403623352378</v>
      </c>
      <c r="R2021" s="4">
        <f t="shared" ca="1" si="191"/>
        <v>-5.3296816647621199</v>
      </c>
      <c r="S2021" s="4">
        <f t="shared" ca="1" si="192"/>
        <v>-2.6863740548329891</v>
      </c>
    </row>
    <row r="2022" spans="15:19" x14ac:dyDescent="0.2">
      <c r="O2022" s="4">
        <f t="shared" ca="1" si="188"/>
        <v>0.29934751004244486</v>
      </c>
      <c r="P2022" s="4">
        <f t="shared" ca="1" si="189"/>
        <v>-0.52627806657220633</v>
      </c>
      <c r="Q2022" s="4">
        <f t="shared" ca="1" si="190"/>
        <v>1933.1944521527419</v>
      </c>
      <c r="R2022" s="4">
        <f t="shared" ca="1" si="191"/>
        <v>9.5244081527418984</v>
      </c>
      <c r="S2022" s="4">
        <f t="shared" ca="1" si="192"/>
        <v>4.8582757180811855</v>
      </c>
    </row>
    <row r="2023" spans="15:19" x14ac:dyDescent="0.2">
      <c r="O2023" s="4">
        <f t="shared" ca="1" si="188"/>
        <v>0.76419926674557992</v>
      </c>
      <c r="P2023" s="4">
        <f t="shared" ca="1" si="189"/>
        <v>0.71987580442025634</v>
      </c>
      <c r="Q2023" s="4">
        <f t="shared" ca="1" si="190"/>
        <v>1909.6811840443479</v>
      </c>
      <c r="R2023" s="4">
        <f t="shared" ca="1" si="191"/>
        <v>-13.98885995565206</v>
      </c>
      <c r="S2023" s="4">
        <f t="shared" ca="1" si="192"/>
        <v>-7.0016392838891903</v>
      </c>
    </row>
    <row r="2024" spans="15:19" x14ac:dyDescent="0.2">
      <c r="O2024" s="4">
        <f t="shared" ca="1" si="188"/>
        <v>0.39111467257974863</v>
      </c>
      <c r="P2024" s="4">
        <f t="shared" ca="1" si="189"/>
        <v>-0.27641498940605619</v>
      </c>
      <c r="Q2024" s="4">
        <f t="shared" ca="1" si="190"/>
        <v>1928.4798678140382</v>
      </c>
      <c r="R2024" s="4">
        <f t="shared" ca="1" si="191"/>
        <v>4.8098238140382819</v>
      </c>
      <c r="S2024" s="4">
        <f t="shared" ca="1" si="192"/>
        <v>2.4441972308164805</v>
      </c>
    </row>
    <row r="2025" spans="15:19" x14ac:dyDescent="0.2">
      <c r="O2025" s="4">
        <f t="shared" ca="1" si="188"/>
        <v>0.96253981802937505</v>
      </c>
      <c r="P2025" s="4">
        <f t="shared" ca="1" si="189"/>
        <v>1.7809515631343251</v>
      </c>
      <c r="Q2025" s="4">
        <f t="shared" ca="1" si="190"/>
        <v>1889.660094049987</v>
      </c>
      <c r="R2025" s="4">
        <f t="shared" ca="1" si="191"/>
        <v>-34.009949950012924</v>
      </c>
      <c r="S2025" s="4">
        <f t="shared" ca="1" si="192"/>
        <v>-16.745322302040282</v>
      </c>
    </row>
    <row r="2026" spans="15:19" x14ac:dyDescent="0.2">
      <c r="O2026" s="4">
        <f t="shared" ca="1" si="188"/>
        <v>0.65337488186276682</v>
      </c>
      <c r="P2026" s="4">
        <f t="shared" ca="1" si="189"/>
        <v>0.39444810186036366</v>
      </c>
      <c r="Q2026" s="4">
        <f t="shared" ca="1" si="190"/>
        <v>1915.8215724813679</v>
      </c>
      <c r="R2026" s="4">
        <f t="shared" ca="1" si="191"/>
        <v>-7.8484715186320955</v>
      </c>
      <c r="S2026" s="4">
        <f t="shared" ca="1" si="192"/>
        <v>-3.9478983019586917</v>
      </c>
    </row>
    <row r="2027" spans="15:19" x14ac:dyDescent="0.2">
      <c r="O2027" s="4">
        <f t="shared" ca="1" si="188"/>
        <v>0.50612142450296338</v>
      </c>
      <c r="P2027" s="4">
        <f t="shared" ca="1" si="189"/>
        <v>1.5344737900052852E-2</v>
      </c>
      <c r="Q2027" s="4">
        <f t="shared" ca="1" si="190"/>
        <v>1922.9747493442646</v>
      </c>
      <c r="R2027" s="4">
        <f t="shared" ca="1" si="191"/>
        <v>-0.69529465573532434</v>
      </c>
      <c r="S2027" s="4">
        <f t="shared" ca="1" si="192"/>
        <v>-0.35176817370659147</v>
      </c>
    </row>
    <row r="2028" spans="15:19" x14ac:dyDescent="0.2">
      <c r="O2028" s="4">
        <f t="shared" ca="1" si="188"/>
        <v>0.31664410309034208</v>
      </c>
      <c r="P2028" s="4">
        <f t="shared" ca="1" si="189"/>
        <v>-0.47710380380077494</v>
      </c>
      <c r="Q2028" s="4">
        <f t="shared" ca="1" si="190"/>
        <v>1932.266599139168</v>
      </c>
      <c r="R2028" s="4">
        <f t="shared" ca="1" si="191"/>
        <v>8.5965551391680037</v>
      </c>
      <c r="S2028" s="4">
        <f t="shared" ca="1" si="192"/>
        <v>4.381743139151947</v>
      </c>
    </row>
    <row r="2029" spans="15:19" x14ac:dyDescent="0.2">
      <c r="O2029" s="4">
        <f t="shared" ca="1" si="188"/>
        <v>0.68967498502407254</v>
      </c>
      <c r="P2029" s="4">
        <f t="shared" ca="1" si="189"/>
        <v>0.49492929639404598</v>
      </c>
      <c r="Q2029" s="4">
        <f t="shared" ca="1" si="190"/>
        <v>1913.9256258234798</v>
      </c>
      <c r="R2029" s="4">
        <f t="shared" ca="1" si="191"/>
        <v>-9.7444181765201847</v>
      </c>
      <c r="S2029" s="4">
        <f t="shared" ca="1" si="192"/>
        <v>-4.8940672033321491</v>
      </c>
    </row>
    <row r="2030" spans="15:19" x14ac:dyDescent="0.2">
      <c r="O2030" s="4">
        <f t="shared" ca="1" si="188"/>
        <v>0.89984354356881024</v>
      </c>
      <c r="P2030" s="4">
        <f t="shared" ca="1" si="189"/>
        <v>1.2806605761980432</v>
      </c>
      <c r="Q2030" s="4">
        <f t="shared" ca="1" si="190"/>
        <v>1899.0999203682868</v>
      </c>
      <c r="R2030" s="4">
        <f t="shared" ca="1" si="191"/>
        <v>-24.570123631713159</v>
      </c>
      <c r="S2030" s="4">
        <f t="shared" ca="1" si="192"/>
        <v>-12.191893226523783</v>
      </c>
    </row>
    <row r="2031" spans="15:19" x14ac:dyDescent="0.2">
      <c r="O2031" s="4">
        <f t="shared" ca="1" si="188"/>
        <v>3.4295942892719977E-2</v>
      </c>
      <c r="P2031" s="4">
        <f t="shared" ca="1" si="189"/>
        <v>-1.8210984965913692</v>
      </c>
      <c r="Q2031" s="4">
        <f t="shared" ca="1" si="190"/>
        <v>1957.6259935794994</v>
      </c>
      <c r="R2031" s="4">
        <f t="shared" ca="1" si="191"/>
        <v>33.955949579499475</v>
      </c>
      <c r="S2031" s="4">
        <f t="shared" ca="1" si="192"/>
        <v>17.658187740498498</v>
      </c>
    </row>
    <row r="2032" spans="15:19" x14ac:dyDescent="0.2">
      <c r="O2032" s="4">
        <f t="shared" ca="1" si="188"/>
        <v>0.86688405967160176</v>
      </c>
      <c r="P2032" s="4">
        <f t="shared" ca="1" si="189"/>
        <v>1.1117820285985538</v>
      </c>
      <c r="Q2032" s="4">
        <f t="shared" ca="1" si="190"/>
        <v>1902.2864342169341</v>
      </c>
      <c r="R2032" s="4">
        <f t="shared" ca="1" si="191"/>
        <v>-21.383609783065822</v>
      </c>
      <c r="S2032" s="4">
        <f t="shared" ca="1" si="192"/>
        <v>-10.638456750238088</v>
      </c>
    </row>
    <row r="2033" spans="15:19" x14ac:dyDescent="0.2">
      <c r="O2033" s="4">
        <f t="shared" ca="1" si="188"/>
        <v>0.7533309386799345</v>
      </c>
      <c r="P2033" s="4">
        <f t="shared" ca="1" si="189"/>
        <v>0.68500918872680228</v>
      </c>
      <c r="Q2033" s="4">
        <f t="shared" ca="1" si="190"/>
        <v>1910.3390707643721</v>
      </c>
      <c r="R2033" s="4">
        <f t="shared" ca="1" si="191"/>
        <v>-13.33097323562788</v>
      </c>
      <c r="S2033" s="4">
        <f t="shared" ca="1" si="192"/>
        <v>-6.6759269821614833</v>
      </c>
    </row>
    <row r="2034" spans="15:19" x14ac:dyDescent="0.2">
      <c r="O2034" s="4">
        <f t="shared" ca="1" si="188"/>
        <v>0.98186504521935936</v>
      </c>
      <c r="P2034" s="4">
        <f t="shared" ca="1" si="189"/>
        <v>2.0938885491410724</v>
      </c>
      <c r="Q2034" s="4">
        <f t="shared" ca="1" si="190"/>
        <v>1883.7553888411917</v>
      </c>
      <c r="R2034" s="4">
        <f t="shared" ca="1" si="191"/>
        <v>-39.914655158808273</v>
      </c>
      <c r="S2034" s="4">
        <f t="shared" ca="1" si="192"/>
        <v>-19.556654976178645</v>
      </c>
    </row>
    <row r="2035" spans="15:19" x14ac:dyDescent="0.2">
      <c r="O2035" s="4">
        <f t="shared" ca="1" si="188"/>
        <v>0.36066831512588471</v>
      </c>
      <c r="P2035" s="4">
        <f t="shared" ca="1" si="189"/>
        <v>-0.35667298723914259</v>
      </c>
      <c r="Q2035" s="4">
        <f t="shared" ca="1" si="190"/>
        <v>1929.9942296154336</v>
      </c>
      <c r="R2035" s="4">
        <f t="shared" ca="1" si="191"/>
        <v>6.3241856154336347</v>
      </c>
      <c r="S2035" s="4">
        <f t="shared" ca="1" si="192"/>
        <v>3.2176455687834737</v>
      </c>
    </row>
    <row r="2036" spans="15:19" x14ac:dyDescent="0.2">
      <c r="O2036" s="4">
        <f t="shared" ca="1" si="188"/>
        <v>0.2308364099422785</v>
      </c>
      <c r="P2036" s="4">
        <f t="shared" ca="1" si="189"/>
        <v>-0.7360951077109078</v>
      </c>
      <c r="Q2036" s="4">
        <f t="shared" ca="1" si="190"/>
        <v>1937.1534209902541</v>
      </c>
      <c r="R2036" s="4">
        <f t="shared" ca="1" si="191"/>
        <v>13.483376990254101</v>
      </c>
      <c r="S2036" s="4">
        <f t="shared" ca="1" si="192"/>
        <v>6.8994232784180625</v>
      </c>
    </row>
    <row r="2037" spans="15:19" x14ac:dyDescent="0.2">
      <c r="O2037" s="4">
        <f t="shared" ca="1" si="188"/>
        <v>0.80084932638840256</v>
      </c>
      <c r="P2037" s="4">
        <f t="shared" ca="1" si="189"/>
        <v>0.84465883887916449</v>
      </c>
      <c r="Q2037" s="4">
        <f t="shared" ca="1" si="190"/>
        <v>1907.3266939505406</v>
      </c>
      <c r="R2037" s="4">
        <f t="shared" ca="1" si="191"/>
        <v>-16.343350049459332</v>
      </c>
      <c r="S2037" s="4">
        <f t="shared" ca="1" si="192"/>
        <v>-8.1644336140879918</v>
      </c>
    </row>
    <row r="2038" spans="15:19" x14ac:dyDescent="0.2">
      <c r="O2038" s="4">
        <f t="shared" ca="1" si="188"/>
        <v>1.2513828895095669E-2</v>
      </c>
      <c r="P2038" s="4">
        <f t="shared" ca="1" si="189"/>
        <v>-2.2409755656833763</v>
      </c>
      <c r="Q2038" s="4">
        <f t="shared" ca="1" si="190"/>
        <v>1965.5485160929225</v>
      </c>
      <c r="R2038" s="4">
        <f t="shared" ca="1" si="191"/>
        <v>41.878472092922493</v>
      </c>
      <c r="S2038" s="4">
        <f t="shared" ca="1" si="192"/>
        <v>21.913213392553406</v>
      </c>
    </row>
    <row r="2039" spans="15:19" x14ac:dyDescent="0.2">
      <c r="O2039" s="4">
        <f t="shared" ca="1" si="188"/>
        <v>0.94221862055084304</v>
      </c>
      <c r="P2039" s="4">
        <f t="shared" ca="1" si="189"/>
        <v>1.5736743318842801</v>
      </c>
      <c r="Q2039" s="4">
        <f t="shared" ca="1" si="190"/>
        <v>1893.5711400488781</v>
      </c>
      <c r="R2039" s="4">
        <f t="shared" ca="1" si="191"/>
        <v>-30.098903951121883</v>
      </c>
      <c r="S2039" s="4">
        <f t="shared" ca="1" si="192"/>
        <v>-14.867578065582</v>
      </c>
    </row>
    <row r="2040" spans="15:19" x14ac:dyDescent="0.2">
      <c r="O2040" s="4">
        <f t="shared" ca="1" si="188"/>
        <v>6.4465134720824602E-2</v>
      </c>
      <c r="P2040" s="4">
        <f t="shared" ca="1" si="189"/>
        <v>-1.5183338062413858</v>
      </c>
      <c r="Q2040" s="4">
        <f t="shared" ca="1" si="190"/>
        <v>1951.9132260764909</v>
      </c>
      <c r="R2040" s="4">
        <f t="shared" ca="1" si="191"/>
        <v>28.243182076490939</v>
      </c>
      <c r="S2040" s="4">
        <f t="shared" ca="1" si="192"/>
        <v>14.621685301073626</v>
      </c>
    </row>
    <row r="2041" spans="15:19" x14ac:dyDescent="0.2">
      <c r="O2041" s="4">
        <f t="shared" ca="1" si="188"/>
        <v>0.14872850626418466</v>
      </c>
      <c r="P2041" s="4">
        <f t="shared" ca="1" si="189"/>
        <v>-1.0419022248481797</v>
      </c>
      <c r="Q2041" s="4">
        <f t="shared" ca="1" si="190"/>
        <v>1942.9235950450654</v>
      </c>
      <c r="R2041" s="4">
        <f t="shared" ca="1" si="191"/>
        <v>19.253551045065478</v>
      </c>
      <c r="S2041" s="4">
        <f t="shared" ca="1" si="192"/>
        <v>9.8972363733823041</v>
      </c>
    </row>
    <row r="2042" spans="15:19" x14ac:dyDescent="0.2">
      <c r="O2042" s="4">
        <f t="shared" ca="1" si="188"/>
        <v>0.54209868691108032</v>
      </c>
      <c r="P2042" s="4">
        <f t="shared" ca="1" si="189"/>
        <v>0.10572237623468947</v>
      </c>
      <c r="Q2042" s="4">
        <f t="shared" ca="1" si="190"/>
        <v>1921.2694433699123</v>
      </c>
      <c r="R2042" s="4">
        <f t="shared" ca="1" si="191"/>
        <v>-2.4006006300876379</v>
      </c>
      <c r="S2042" s="4">
        <f t="shared" ca="1" si="192"/>
        <v>-1.2128616601289759</v>
      </c>
    </row>
    <row r="2043" spans="15:19" x14ac:dyDescent="0.2">
      <c r="O2043" s="4">
        <f t="shared" ca="1" si="188"/>
        <v>0.37530663378143481</v>
      </c>
      <c r="P2043" s="4">
        <f t="shared" ca="1" si="189"/>
        <v>-0.31783082450259537</v>
      </c>
      <c r="Q2043" s="4">
        <f t="shared" ca="1" si="190"/>
        <v>1929.2613296039715</v>
      </c>
      <c r="R2043" s="4">
        <f t="shared" ca="1" si="191"/>
        <v>5.591285603971528</v>
      </c>
      <c r="S2043" s="4">
        <f t="shared" ca="1" si="192"/>
        <v>2.8430895302169148</v>
      </c>
    </row>
    <row r="2044" spans="15:19" x14ac:dyDescent="0.2">
      <c r="O2044" s="4">
        <f t="shared" ca="1" si="188"/>
        <v>0.77167786149346762</v>
      </c>
      <c r="P2044" s="4">
        <f t="shared" ca="1" si="189"/>
        <v>0.74438386580435123</v>
      </c>
      <c r="Q2044" s="4">
        <f t="shared" ca="1" si="190"/>
        <v>1909.218749483452</v>
      </c>
      <c r="R2044" s="4">
        <f t="shared" ca="1" si="191"/>
        <v>-14.451294516547932</v>
      </c>
      <c r="S2044" s="4">
        <f t="shared" ca="1" si="192"/>
        <v>-7.2303745315702326</v>
      </c>
    </row>
    <row r="2045" spans="15:19" x14ac:dyDescent="0.2">
      <c r="O2045" s="4">
        <f t="shared" ca="1" si="188"/>
        <v>0.56419994311010924</v>
      </c>
      <c r="P2045" s="4">
        <f t="shared" ca="1" si="189"/>
        <v>0.16162633991007591</v>
      </c>
      <c r="Q2045" s="4">
        <f t="shared" ca="1" si="190"/>
        <v>1920.2146098402661</v>
      </c>
      <c r="R2045" s="4">
        <f t="shared" ca="1" si="191"/>
        <v>-3.4554341597338407</v>
      </c>
      <c r="S2045" s="4">
        <f t="shared" ca="1" si="192"/>
        <v>-1.7443142004816505</v>
      </c>
    </row>
    <row r="2046" spans="15:19" x14ac:dyDescent="0.2">
      <c r="O2046" s="4">
        <f t="shared" ca="1" si="188"/>
        <v>0.80453795947357065</v>
      </c>
      <c r="P2046" s="4">
        <f t="shared" ca="1" si="189"/>
        <v>0.85794274221943878</v>
      </c>
      <c r="Q2046" s="4">
        <f t="shared" ca="1" si="190"/>
        <v>1907.0760443413419</v>
      </c>
      <c r="R2046" s="4">
        <f t="shared" ca="1" si="191"/>
        <v>-16.593999658658049</v>
      </c>
      <c r="S2046" s="4">
        <f t="shared" ca="1" si="192"/>
        <v>-8.2879542461746158</v>
      </c>
    </row>
    <row r="2047" spans="15:19" x14ac:dyDescent="0.2">
      <c r="O2047" s="4">
        <f t="shared" ca="1" si="188"/>
        <v>4.4963030847383179E-2</v>
      </c>
      <c r="P2047" s="4">
        <f t="shared" ca="1" si="189"/>
        <v>-1.6957878636048749</v>
      </c>
      <c r="Q2047" s="4">
        <f t="shared" ca="1" si="190"/>
        <v>1955.2615484023584</v>
      </c>
      <c r="R2047" s="4">
        <f t="shared" ca="1" si="191"/>
        <v>31.591504402358396</v>
      </c>
      <c r="S2047" s="4">
        <f t="shared" ca="1" si="192"/>
        <v>16.398193475369574</v>
      </c>
    </row>
    <row r="2048" spans="15:19" x14ac:dyDescent="0.2">
      <c r="O2048" s="4">
        <f t="shared" ca="1" si="188"/>
        <v>0.33317927744230058</v>
      </c>
      <c r="P2048" s="4">
        <f t="shared" ca="1" si="189"/>
        <v>-0.43115103430713364</v>
      </c>
      <c r="Q2048" s="4">
        <f t="shared" ca="1" si="190"/>
        <v>1931.3995314241938</v>
      </c>
      <c r="R2048" s="4">
        <f t="shared" ca="1" si="191"/>
        <v>7.7294874241938487</v>
      </c>
      <c r="S2048" s="4">
        <f t="shared" ca="1" si="192"/>
        <v>3.9370625847822778</v>
      </c>
    </row>
    <row r="2049" spans="15:19" x14ac:dyDescent="0.2">
      <c r="O2049" s="4">
        <f t="shared" ca="1" si="188"/>
        <v>0.33286129291049138</v>
      </c>
      <c r="P2049" s="4">
        <f t="shared" ca="1" si="189"/>
        <v>-0.43202590456804441</v>
      </c>
      <c r="Q2049" s="4">
        <f t="shared" ca="1" si="190"/>
        <v>1931.4160390638071</v>
      </c>
      <c r="R2049" s="4">
        <f t="shared" ca="1" si="191"/>
        <v>7.7459950638071859</v>
      </c>
      <c r="S2049" s="4">
        <f t="shared" ca="1" si="192"/>
        <v>3.9455229050508951</v>
      </c>
    </row>
    <row r="2050" spans="15:19" x14ac:dyDescent="0.2">
      <c r="O2050" s="4">
        <f t="shared" ca="1" si="188"/>
        <v>0.39069449286907953</v>
      </c>
      <c r="P2050" s="4">
        <f t="shared" ca="1" si="189"/>
        <v>-0.27750940425055187</v>
      </c>
      <c r="Q2050" s="4">
        <f t="shared" ca="1" si="190"/>
        <v>1928.5005179682923</v>
      </c>
      <c r="R2050" s="4">
        <f t="shared" ca="1" si="191"/>
        <v>4.830473968292381</v>
      </c>
      <c r="S2050" s="4">
        <f t="shared" ca="1" si="192"/>
        <v>2.4547315779171899</v>
      </c>
    </row>
    <row r="2051" spans="15:19" x14ac:dyDescent="0.2">
      <c r="O2051" s="4">
        <f t="shared" ref="O2051:O2114" ca="1" si="193">RAND()</f>
        <v>0.345022039895169</v>
      </c>
      <c r="P2051" s="4">
        <f t="shared" ref="P2051:P2114" ca="1" si="194">NORMSINV(O2051)</f>
        <v>-0.39879524663171623</v>
      </c>
      <c r="Q2051" s="4">
        <f t="shared" ref="Q2051:Q2114" ca="1" si="195">$B$4*(1+$B$17-$B$32*P2051)</f>
        <v>1930.7890206933928</v>
      </c>
      <c r="R2051" s="4">
        <f t="shared" ref="R2051:R2114" ca="1" si="196">Q2051-$B$4</f>
        <v>7.118976693392824</v>
      </c>
      <c r="S2051" s="4">
        <f t="shared" ref="S2051:S2114" ca="1" si="197">R2051*$B$12+0.5*$B$13*R2051^2</f>
        <v>3.6243259307158668</v>
      </c>
    </row>
    <row r="2052" spans="15:19" x14ac:dyDescent="0.2">
      <c r="O2052" s="4">
        <f t="shared" ca="1" si="193"/>
        <v>0.30472412707020669</v>
      </c>
      <c r="P2052" s="4">
        <f t="shared" ca="1" si="194"/>
        <v>-0.51086119639539984</v>
      </c>
      <c r="Q2052" s="4">
        <f t="shared" ca="1" si="195"/>
        <v>1932.9035562928505</v>
      </c>
      <c r="R2052" s="4">
        <f t="shared" ca="1" si="196"/>
        <v>9.2335122928504916</v>
      </c>
      <c r="S2052" s="4">
        <f t="shared" ca="1" si="197"/>
        <v>4.7088001700005861</v>
      </c>
    </row>
    <row r="2053" spans="15:19" x14ac:dyDescent="0.2">
      <c r="O2053" s="4">
        <f t="shared" ca="1" si="193"/>
        <v>0.8964543679524466</v>
      </c>
      <c r="P2053" s="4">
        <f t="shared" ca="1" si="194"/>
        <v>1.2616041445161854</v>
      </c>
      <c r="Q2053" s="4">
        <f t="shared" ca="1" si="195"/>
        <v>1899.4594899188496</v>
      </c>
      <c r="R2053" s="4">
        <f t="shared" ca="1" si="196"/>
        <v>-24.210554081150349</v>
      </c>
      <c r="S2053" s="4">
        <f t="shared" ca="1" si="197"/>
        <v>-12.01701561117075</v>
      </c>
    </row>
    <row r="2054" spans="15:19" x14ac:dyDescent="0.2">
      <c r="O2054" s="4">
        <f t="shared" ca="1" si="193"/>
        <v>0.15693058581107111</v>
      </c>
      <c r="P2054" s="4">
        <f t="shared" ca="1" si="194"/>
        <v>-1.0071531737460289</v>
      </c>
      <c r="Q2054" s="4">
        <f t="shared" ca="1" si="195"/>
        <v>1942.267926612702</v>
      </c>
      <c r="R2054" s="4">
        <f t="shared" ca="1" si="196"/>
        <v>18.597882612702051</v>
      </c>
      <c r="S2054" s="4">
        <f t="shared" ca="1" si="197"/>
        <v>9.5552279506672928</v>
      </c>
    </row>
    <row r="2055" spans="15:19" x14ac:dyDescent="0.2">
      <c r="O2055" s="4">
        <f t="shared" ca="1" si="193"/>
        <v>0.40795891560492903</v>
      </c>
      <c r="P2055" s="4">
        <f t="shared" ca="1" si="194"/>
        <v>-0.23279855993832158</v>
      </c>
      <c r="Q2055" s="4">
        <f t="shared" ca="1" si="195"/>
        <v>1927.656883731672</v>
      </c>
      <c r="R2055" s="4">
        <f t="shared" ca="1" si="196"/>
        <v>3.9868397316720348</v>
      </c>
      <c r="S2055" s="4">
        <f t="shared" ca="1" si="197"/>
        <v>2.0246476438818015</v>
      </c>
    </row>
    <row r="2056" spans="15:19" x14ac:dyDescent="0.2">
      <c r="O2056" s="4">
        <f t="shared" ca="1" si="193"/>
        <v>0.12460815844523598</v>
      </c>
      <c r="P2056" s="4">
        <f t="shared" ca="1" si="194"/>
        <v>-1.1522549654992587</v>
      </c>
      <c r="Q2056" s="4">
        <f t="shared" ca="1" si="195"/>
        <v>1945.0058046644592</v>
      </c>
      <c r="R2056" s="4">
        <f t="shared" ca="1" si="196"/>
        <v>21.335760664459258</v>
      </c>
      <c r="S2056" s="4">
        <f t="shared" ca="1" si="197"/>
        <v>10.985674918711457</v>
      </c>
    </row>
    <row r="2057" spans="15:19" x14ac:dyDescent="0.2">
      <c r="O2057" s="4">
        <f t="shared" ca="1" si="193"/>
        <v>0.79658100846542534</v>
      </c>
      <c r="P2057" s="4">
        <f t="shared" ca="1" si="194"/>
        <v>0.82947092398935007</v>
      </c>
      <c r="Q2057" s="4">
        <f t="shared" ca="1" si="195"/>
        <v>1907.6132697283194</v>
      </c>
      <c r="R2057" s="4">
        <f t="shared" ca="1" si="196"/>
        <v>-16.056774271680524</v>
      </c>
      <c r="S2057" s="4">
        <f t="shared" ca="1" si="197"/>
        <v>-8.0231458231276918</v>
      </c>
    </row>
    <row r="2058" spans="15:19" x14ac:dyDescent="0.2">
      <c r="O2058" s="4">
        <f t="shared" ca="1" si="193"/>
        <v>0.96296849436455756</v>
      </c>
      <c r="P2058" s="4">
        <f t="shared" ca="1" si="194"/>
        <v>1.7862239095585939</v>
      </c>
      <c r="Q2058" s="4">
        <f t="shared" ca="1" si="195"/>
        <v>1889.5606118769424</v>
      </c>
      <c r="R2058" s="4">
        <f t="shared" ca="1" si="196"/>
        <v>-34.109432123057559</v>
      </c>
      <c r="S2058" s="4">
        <f t="shared" ca="1" si="197"/>
        <v>-16.792922581023305</v>
      </c>
    </row>
    <row r="2059" spans="15:19" x14ac:dyDescent="0.2">
      <c r="O2059" s="4">
        <f t="shared" ca="1" si="193"/>
        <v>0.79461803230581263</v>
      </c>
      <c r="P2059" s="4">
        <f t="shared" ca="1" si="194"/>
        <v>0.82255001177272313</v>
      </c>
      <c r="Q2059" s="4">
        <f t="shared" ca="1" si="195"/>
        <v>1907.7438581478496</v>
      </c>
      <c r="R2059" s="4">
        <f t="shared" ca="1" si="196"/>
        <v>-15.926185852150411</v>
      </c>
      <c r="S2059" s="4">
        <f t="shared" ca="1" si="197"/>
        <v>-7.9587408531040946</v>
      </c>
    </row>
    <row r="2060" spans="15:19" x14ac:dyDescent="0.2">
      <c r="O2060" s="4">
        <f t="shared" ca="1" si="193"/>
        <v>0.22130521348897014</v>
      </c>
      <c r="P2060" s="4">
        <f t="shared" ca="1" si="194"/>
        <v>-0.76779257407517798</v>
      </c>
      <c r="Q2060" s="4">
        <f t="shared" ca="1" si="195"/>
        <v>1937.7515100724527</v>
      </c>
      <c r="R2060" s="4">
        <f t="shared" ca="1" si="196"/>
        <v>14.081466072452713</v>
      </c>
      <c r="S2060" s="4">
        <f t="shared" ca="1" si="197"/>
        <v>7.2088928676216062</v>
      </c>
    </row>
    <row r="2061" spans="15:19" x14ac:dyDescent="0.2">
      <c r="O2061" s="4">
        <f t="shared" ca="1" si="193"/>
        <v>0.79035595934180958</v>
      </c>
      <c r="P2061" s="4">
        <f t="shared" ca="1" si="194"/>
        <v>0.80765696956053512</v>
      </c>
      <c r="Q2061" s="4">
        <f t="shared" ca="1" si="195"/>
        <v>1908.0248700699212</v>
      </c>
      <c r="R2061" s="4">
        <f t="shared" ca="1" si="196"/>
        <v>-15.645173930078727</v>
      </c>
      <c r="S2061" s="4">
        <f t="shared" ca="1" si="197"/>
        <v>-7.8201013547293323</v>
      </c>
    </row>
    <row r="2062" spans="15:19" x14ac:dyDescent="0.2">
      <c r="O2062" s="4">
        <f t="shared" ca="1" si="193"/>
        <v>0.66461133929234117</v>
      </c>
      <c r="P2062" s="4">
        <f t="shared" ca="1" si="194"/>
        <v>0.42508142068034471</v>
      </c>
      <c r="Q2062" s="4">
        <f t="shared" ca="1" si="195"/>
        <v>1915.2435624496768</v>
      </c>
      <c r="R2062" s="4">
        <f t="shared" ca="1" si="196"/>
        <v>-8.4264815503231603</v>
      </c>
      <c r="S2062" s="4">
        <f t="shared" ca="1" si="197"/>
        <v>-4.2366633062832637</v>
      </c>
    </row>
    <row r="2063" spans="15:19" x14ac:dyDescent="0.2">
      <c r="O2063" s="4">
        <f t="shared" ca="1" si="193"/>
        <v>0.33640431955770744</v>
      </c>
      <c r="P2063" s="4">
        <f t="shared" ca="1" si="194"/>
        <v>-0.42229646356879813</v>
      </c>
      <c r="Q2063" s="4">
        <f t="shared" ca="1" si="195"/>
        <v>1931.2324574371034</v>
      </c>
      <c r="R2063" s="4">
        <f t="shared" ca="1" si="196"/>
        <v>7.562413437103487</v>
      </c>
      <c r="S2063" s="4">
        <f t="shared" ca="1" si="197"/>
        <v>3.8514480834891085</v>
      </c>
    </row>
    <row r="2064" spans="15:19" x14ac:dyDescent="0.2">
      <c r="O2064" s="4">
        <f t="shared" ca="1" si="193"/>
        <v>0.33810485743832275</v>
      </c>
      <c r="P2064" s="4">
        <f t="shared" ca="1" si="194"/>
        <v>-0.41764086393384608</v>
      </c>
      <c r="Q2064" s="4">
        <f t="shared" ca="1" si="195"/>
        <v>1931.1446124566639</v>
      </c>
      <c r="R2064" s="4">
        <f t="shared" ca="1" si="196"/>
        <v>7.4745684566639738</v>
      </c>
      <c r="S2064" s="4">
        <f t="shared" ca="1" si="197"/>
        <v>3.8064423866996688</v>
      </c>
    </row>
    <row r="2065" spans="15:19" x14ac:dyDescent="0.2">
      <c r="O2065" s="4">
        <f t="shared" ca="1" si="193"/>
        <v>6.7004989729637865E-2</v>
      </c>
      <c r="P2065" s="4">
        <f t="shared" ca="1" si="194"/>
        <v>-1.4984746292797944</v>
      </c>
      <c r="Q2065" s="4">
        <f t="shared" ca="1" si="195"/>
        <v>1951.5385097888961</v>
      </c>
      <c r="R2065" s="4">
        <f t="shared" ca="1" si="196"/>
        <v>27.868465788896174</v>
      </c>
      <c r="S2065" s="4">
        <f t="shared" ca="1" si="197"/>
        <v>14.423441229455662</v>
      </c>
    </row>
    <row r="2066" spans="15:19" x14ac:dyDescent="0.2">
      <c r="O2066" s="4">
        <f t="shared" ca="1" si="193"/>
        <v>0.98022985881048941</v>
      </c>
      <c r="P2066" s="4">
        <f t="shared" ca="1" si="194"/>
        <v>2.0585195936152196</v>
      </c>
      <c r="Q2066" s="4">
        <f t="shared" ca="1" si="195"/>
        <v>1884.4227540465263</v>
      </c>
      <c r="R2066" s="4">
        <f t="shared" ca="1" si="196"/>
        <v>-39.247289953473683</v>
      </c>
      <c r="S2066" s="4">
        <f t="shared" ca="1" si="197"/>
        <v>-19.240333610245678</v>
      </c>
    </row>
    <row r="2067" spans="15:19" x14ac:dyDescent="0.2">
      <c r="O2067" s="4">
        <f t="shared" ca="1" si="193"/>
        <v>0.56956092009238457</v>
      </c>
      <c r="P2067" s="4">
        <f t="shared" ca="1" si="194"/>
        <v>0.17525641199233088</v>
      </c>
      <c r="Q2067" s="4">
        <f t="shared" ca="1" si="195"/>
        <v>1919.9574284867695</v>
      </c>
      <c r="R2067" s="4">
        <f t="shared" ca="1" si="196"/>
        <v>-3.712615513230503</v>
      </c>
      <c r="S2067" s="4">
        <f t="shared" ca="1" si="197"/>
        <v>-1.8737514931640999</v>
      </c>
    </row>
    <row r="2068" spans="15:19" x14ac:dyDescent="0.2">
      <c r="O2068" s="4">
        <f t="shared" ca="1" si="193"/>
        <v>0.96461835399501539</v>
      </c>
      <c r="P2068" s="4">
        <f t="shared" ca="1" si="194"/>
        <v>1.8069935043175602</v>
      </c>
      <c r="Q2068" s="4">
        <f t="shared" ca="1" si="195"/>
        <v>1889.1687172149443</v>
      </c>
      <c r="R2068" s="4">
        <f t="shared" ca="1" si="196"/>
        <v>-34.501326785055653</v>
      </c>
      <c r="S2068" s="4">
        <f t="shared" ca="1" si="197"/>
        <v>-16.980358142743377</v>
      </c>
    </row>
    <row r="2069" spans="15:19" x14ac:dyDescent="0.2">
      <c r="O2069" s="4">
        <f t="shared" ca="1" si="193"/>
        <v>0.11027810863437093</v>
      </c>
      <c r="P2069" s="4">
        <f t="shared" ca="1" si="194"/>
        <v>-1.2250504379605542</v>
      </c>
      <c r="Q2069" s="4">
        <f t="shared" ca="1" si="195"/>
        <v>1946.3793585255858</v>
      </c>
      <c r="R2069" s="4">
        <f t="shared" ca="1" si="196"/>
        <v>22.709314525585796</v>
      </c>
      <c r="S2069" s="4">
        <f t="shared" ca="1" si="197"/>
        <v>11.705608326299803</v>
      </c>
    </row>
    <row r="2070" spans="15:19" x14ac:dyDescent="0.2">
      <c r="O2070" s="4">
        <f t="shared" ca="1" si="193"/>
        <v>0.54681884870587694</v>
      </c>
      <c r="P2070" s="4">
        <f t="shared" ca="1" si="194"/>
        <v>0.11762814586147965</v>
      </c>
      <c r="Q2070" s="4">
        <f t="shared" ca="1" si="195"/>
        <v>1921.0447973131227</v>
      </c>
      <c r="R2070" s="4">
        <f t="shared" ca="1" si="196"/>
        <v>-2.6252466868772899</v>
      </c>
      <c r="S2070" s="4">
        <f t="shared" ca="1" si="197"/>
        <v>-1.3261200983342014</v>
      </c>
    </row>
    <row r="2071" spans="15:19" x14ac:dyDescent="0.2">
      <c r="O2071" s="4">
        <f t="shared" ca="1" si="193"/>
        <v>0.47394611297671507</v>
      </c>
      <c r="P2071" s="4">
        <f t="shared" ca="1" si="194"/>
        <v>-6.5353902616700363E-2</v>
      </c>
      <c r="Q2071" s="4">
        <f t="shared" ca="1" si="195"/>
        <v>1924.497425487735</v>
      </c>
      <c r="R2071" s="4">
        <f t="shared" ca="1" si="196"/>
        <v>0.82738148773501052</v>
      </c>
      <c r="S2071" s="4">
        <f t="shared" ca="1" si="197"/>
        <v>0.4191072765754647</v>
      </c>
    </row>
    <row r="2072" spans="15:19" x14ac:dyDescent="0.2">
      <c r="O2072" s="4">
        <f t="shared" ca="1" si="193"/>
        <v>0.25237973461579033</v>
      </c>
      <c r="P2072" s="4">
        <f t="shared" ca="1" si="194"/>
        <v>-0.66701982652743985</v>
      </c>
      <c r="Q2072" s="4">
        <f t="shared" ca="1" si="195"/>
        <v>1935.850062196499</v>
      </c>
      <c r="R2072" s="4">
        <f t="shared" ca="1" si="196"/>
        <v>12.180018196499077</v>
      </c>
      <c r="S2072" s="4">
        <f t="shared" ca="1" si="197"/>
        <v>6.2260343902382331</v>
      </c>
    </row>
    <row r="2073" spans="15:19" x14ac:dyDescent="0.2">
      <c r="O2073" s="4">
        <f t="shared" ca="1" si="193"/>
        <v>0.7102083002325128</v>
      </c>
      <c r="P2073" s="4">
        <f t="shared" ca="1" si="194"/>
        <v>0.55399334605680917</v>
      </c>
      <c r="Q2073" s="4">
        <f t="shared" ca="1" si="195"/>
        <v>1912.8111656692279</v>
      </c>
      <c r="R2073" s="4">
        <f t="shared" ca="1" si="196"/>
        <v>-10.858878330772086</v>
      </c>
      <c r="S2073" s="4">
        <f t="shared" ca="1" si="197"/>
        <v>-5.4488709078435296</v>
      </c>
    </row>
    <row r="2074" spans="15:19" x14ac:dyDescent="0.2">
      <c r="O2074" s="4">
        <f t="shared" ca="1" si="193"/>
        <v>0.56899614202866577</v>
      </c>
      <c r="P2074" s="4">
        <f t="shared" ca="1" si="194"/>
        <v>0.17381899479662455</v>
      </c>
      <c r="Q2074" s="4">
        <f t="shared" ca="1" si="195"/>
        <v>1919.9845506397339</v>
      </c>
      <c r="R2074" s="4">
        <f t="shared" ca="1" si="196"/>
        <v>-3.6854933602660367</v>
      </c>
      <c r="S2074" s="4">
        <f t="shared" ca="1" si="197"/>
        <v>-1.8601036731895786</v>
      </c>
    </row>
    <row r="2075" spans="15:19" x14ac:dyDescent="0.2">
      <c r="O2075" s="4">
        <f t="shared" ca="1" si="193"/>
        <v>0.48740535503134552</v>
      </c>
      <c r="P2075" s="4">
        <f t="shared" ca="1" si="194"/>
        <v>-3.1575339182424042E-2</v>
      </c>
      <c r="Q2075" s="4">
        <f t="shared" ca="1" si="195"/>
        <v>1923.8600688684326</v>
      </c>
      <c r="R2075" s="4">
        <f t="shared" ca="1" si="196"/>
        <v>0.19002486843260158</v>
      </c>
      <c r="S2075" s="4">
        <f t="shared" ca="1" si="197"/>
        <v>9.6207148722309246E-2</v>
      </c>
    </row>
    <row r="2076" spans="15:19" x14ac:dyDescent="0.2">
      <c r="O2076" s="4">
        <f t="shared" ca="1" si="193"/>
        <v>0.40037597469918662</v>
      </c>
      <c r="P2076" s="4">
        <f t="shared" ca="1" si="194"/>
        <v>-0.25237405878897368</v>
      </c>
      <c r="Q2076" s="4">
        <f t="shared" ca="1" si="195"/>
        <v>1928.0262473901621</v>
      </c>
      <c r="R2076" s="4">
        <f t="shared" ca="1" si="196"/>
        <v>4.3562033901621362</v>
      </c>
      <c r="S2076" s="4">
        <f t="shared" ca="1" si="197"/>
        <v>2.2128775771094706</v>
      </c>
    </row>
    <row r="2077" spans="15:19" x14ac:dyDescent="0.2">
      <c r="O2077" s="4">
        <f t="shared" ca="1" si="193"/>
        <v>4.6982975513898406E-2</v>
      </c>
      <c r="P2077" s="4">
        <f t="shared" ca="1" si="194"/>
        <v>-1.6748383560792528</v>
      </c>
      <c r="Q2077" s="4">
        <f t="shared" ca="1" si="195"/>
        <v>1954.8662590254562</v>
      </c>
      <c r="R2077" s="4">
        <f t="shared" ca="1" si="196"/>
        <v>31.19621502545624</v>
      </c>
      <c r="S2077" s="4">
        <f t="shared" ca="1" si="197"/>
        <v>16.187990940198837</v>
      </c>
    </row>
    <row r="2078" spans="15:19" x14ac:dyDescent="0.2">
      <c r="O2078" s="4">
        <f t="shared" ca="1" si="193"/>
        <v>0.2476257281334312</v>
      </c>
      <c r="P2078" s="4">
        <f t="shared" ca="1" si="194"/>
        <v>-0.68198022323948426</v>
      </c>
      <c r="Q2078" s="4">
        <f t="shared" ca="1" si="195"/>
        <v>1936.1323450085069</v>
      </c>
      <c r="R2078" s="4">
        <f t="shared" ca="1" si="196"/>
        <v>12.462301008506984</v>
      </c>
      <c r="S2078" s="4">
        <f t="shared" ca="1" si="197"/>
        <v>6.37176033013737</v>
      </c>
    </row>
    <row r="2079" spans="15:19" x14ac:dyDescent="0.2">
      <c r="O2079" s="4">
        <f t="shared" ca="1" si="193"/>
        <v>0.89888510465442606</v>
      </c>
      <c r="P2079" s="4">
        <f t="shared" ca="1" si="194"/>
        <v>1.275224503485852</v>
      </c>
      <c r="Q2079" s="4">
        <f t="shared" ca="1" si="195"/>
        <v>1899.2024918388843</v>
      </c>
      <c r="R2079" s="4">
        <f t="shared" ca="1" si="196"/>
        <v>-24.467552161115691</v>
      </c>
      <c r="S2079" s="4">
        <f t="shared" ca="1" si="197"/>
        <v>-12.142018047299626</v>
      </c>
    </row>
    <row r="2080" spans="15:19" x14ac:dyDescent="0.2">
      <c r="O2080" s="4">
        <f t="shared" ca="1" si="193"/>
        <v>4.1511844676525578E-2</v>
      </c>
      <c r="P2080" s="4">
        <f t="shared" ca="1" si="194"/>
        <v>-1.733405113555321</v>
      </c>
      <c r="Q2080" s="4">
        <f t="shared" ca="1" si="195"/>
        <v>1955.9713359367665</v>
      </c>
      <c r="R2080" s="4">
        <f t="shared" ca="1" si="196"/>
        <v>32.301291936766575</v>
      </c>
      <c r="S2080" s="4">
        <f t="shared" ca="1" si="197"/>
        <v>16.775955593321846</v>
      </c>
    </row>
    <row r="2081" spans="15:19" x14ac:dyDescent="0.2">
      <c r="O2081" s="4">
        <f t="shared" ca="1" si="193"/>
        <v>0.39014612361101886</v>
      </c>
      <c r="P2081" s="4">
        <f t="shared" ca="1" si="194"/>
        <v>-0.27893820644104023</v>
      </c>
      <c r="Q2081" s="4">
        <f t="shared" ca="1" si="195"/>
        <v>1928.527477567553</v>
      </c>
      <c r="R2081" s="4">
        <f t="shared" ca="1" si="196"/>
        <v>4.8574335675530165</v>
      </c>
      <c r="S2081" s="4">
        <f t="shared" ca="1" si="197"/>
        <v>2.4684851103268417</v>
      </c>
    </row>
    <row r="2082" spans="15:19" x14ac:dyDescent="0.2">
      <c r="O2082" s="4">
        <f t="shared" ca="1" si="193"/>
        <v>0.64947880566737815</v>
      </c>
      <c r="P2082" s="4">
        <f t="shared" ca="1" si="194"/>
        <v>0.3839137313570134</v>
      </c>
      <c r="Q2082" s="4">
        <f t="shared" ca="1" si="195"/>
        <v>1916.0203420585158</v>
      </c>
      <c r="R2082" s="4">
        <f t="shared" ca="1" si="196"/>
        <v>-7.6497019414841816</v>
      </c>
      <c r="S2082" s="4">
        <f t="shared" ca="1" si="197"/>
        <v>-3.8485331984433846</v>
      </c>
    </row>
    <row r="2083" spans="15:19" x14ac:dyDescent="0.2">
      <c r="O2083" s="4">
        <f t="shared" ca="1" si="193"/>
        <v>0.36150565110613087</v>
      </c>
      <c r="P2083" s="4">
        <f t="shared" ca="1" si="194"/>
        <v>-0.35443714379115338</v>
      </c>
      <c r="Q2083" s="4">
        <f t="shared" ca="1" si="195"/>
        <v>1929.9520422197479</v>
      </c>
      <c r="R2083" s="4">
        <f t="shared" ca="1" si="196"/>
        <v>6.2819982197479476</v>
      </c>
      <c r="S2083" s="4">
        <f t="shared" ca="1" si="197"/>
        <v>3.1960734074693802</v>
      </c>
    </row>
    <row r="2084" spans="15:19" x14ac:dyDescent="0.2">
      <c r="O2084" s="4">
        <f t="shared" ca="1" si="193"/>
        <v>0.73345883234040576</v>
      </c>
      <c r="P2084" s="4">
        <f t="shared" ca="1" si="194"/>
        <v>0.62330770525454737</v>
      </c>
      <c r="Q2084" s="4">
        <f t="shared" ca="1" si="195"/>
        <v>1911.5032957909439</v>
      </c>
      <c r="R2084" s="4">
        <f t="shared" ca="1" si="196"/>
        <v>-12.166748209056095</v>
      </c>
      <c r="S2084" s="4">
        <f t="shared" ca="1" si="197"/>
        <v>-6.0986687549771048</v>
      </c>
    </row>
    <row r="2085" spans="15:19" x14ac:dyDescent="0.2">
      <c r="O2085" s="4">
        <f t="shared" ca="1" si="193"/>
        <v>0.44609884223050511</v>
      </c>
      <c r="P2085" s="4">
        <f t="shared" ca="1" si="194"/>
        <v>-0.13552388057735795</v>
      </c>
      <c r="Q2085" s="4">
        <f t="shared" ca="1" si="195"/>
        <v>1925.8214397554393</v>
      </c>
      <c r="R2085" s="4">
        <f t="shared" ca="1" si="196"/>
        <v>2.1513957554393528</v>
      </c>
      <c r="S2085" s="4">
        <f t="shared" ca="1" si="197"/>
        <v>1.0909417255374518</v>
      </c>
    </row>
    <row r="2086" spans="15:19" x14ac:dyDescent="0.2">
      <c r="O2086" s="4">
        <f t="shared" ca="1" si="193"/>
        <v>0.64186226454336881</v>
      </c>
      <c r="P2086" s="4">
        <f t="shared" ca="1" si="194"/>
        <v>0.36344101084674796</v>
      </c>
      <c r="Q2086" s="4">
        <f t="shared" ca="1" si="195"/>
        <v>1916.4066350978194</v>
      </c>
      <c r="R2086" s="4">
        <f t="shared" ca="1" si="196"/>
        <v>-7.2634089021805721</v>
      </c>
      <c r="S2086" s="4">
        <f t="shared" ca="1" si="197"/>
        <v>-3.655332935223536</v>
      </c>
    </row>
    <row r="2087" spans="15:19" x14ac:dyDescent="0.2">
      <c r="O2087" s="4">
        <f t="shared" ca="1" si="193"/>
        <v>4.4825052910125729E-3</v>
      </c>
      <c r="P2087" s="4">
        <f t="shared" ca="1" si="194"/>
        <v>-2.6133855449366545</v>
      </c>
      <c r="Q2087" s="4">
        <f t="shared" ca="1" si="195"/>
        <v>1972.5753976781391</v>
      </c>
      <c r="R2087" s="4">
        <f t="shared" ca="1" si="196"/>
        <v>48.905353678139136</v>
      </c>
      <c r="S2087" s="4">
        <f t="shared" ca="1" si="197"/>
        <v>25.729970207380674</v>
      </c>
    </row>
    <row r="2088" spans="15:19" x14ac:dyDescent="0.2">
      <c r="O2088" s="4">
        <f t="shared" ca="1" si="193"/>
        <v>6.5225709753032879E-3</v>
      </c>
      <c r="P2088" s="4">
        <f t="shared" ca="1" si="194"/>
        <v>-2.4825345421009706</v>
      </c>
      <c r="Q2088" s="4">
        <f t="shared" ca="1" si="195"/>
        <v>1970.106413081978</v>
      </c>
      <c r="R2088" s="4">
        <f t="shared" ca="1" si="196"/>
        <v>46.436369081978</v>
      </c>
      <c r="S2088" s="4">
        <f t="shared" ca="1" si="197"/>
        <v>24.384323047126237</v>
      </c>
    </row>
    <row r="2089" spans="15:19" x14ac:dyDescent="0.2">
      <c r="O2089" s="4">
        <f t="shared" ca="1" si="193"/>
        <v>0.27592172553496108</v>
      </c>
      <c r="P2089" s="4">
        <f t="shared" ca="1" si="194"/>
        <v>-0.59500002979269317</v>
      </c>
      <c r="Q2089" s="4">
        <f t="shared" ca="1" si="195"/>
        <v>1934.4911443058961</v>
      </c>
      <c r="R2089" s="4">
        <f t="shared" ca="1" si="196"/>
        <v>10.821100305896152</v>
      </c>
      <c r="S2089" s="4">
        <f t="shared" ca="1" si="197"/>
        <v>5.525413230784836</v>
      </c>
    </row>
    <row r="2090" spans="15:19" x14ac:dyDescent="0.2">
      <c r="O2090" s="4">
        <f t="shared" ca="1" si="193"/>
        <v>0.1616006285993562</v>
      </c>
      <c r="P2090" s="4">
        <f t="shared" ca="1" si="194"/>
        <v>-0.9879007518727817</v>
      </c>
      <c r="Q2090" s="4">
        <f t="shared" ca="1" si="195"/>
        <v>1941.9046589875884</v>
      </c>
      <c r="R2090" s="4">
        <f t="shared" ca="1" si="196"/>
        <v>18.234614987588429</v>
      </c>
      <c r="S2090" s="4">
        <f t="shared" ca="1" si="197"/>
        <v>9.3658917124691001</v>
      </c>
    </row>
    <row r="2091" spans="15:19" x14ac:dyDescent="0.2">
      <c r="O2091" s="4">
        <f t="shared" ca="1" si="193"/>
        <v>0.33266387900050698</v>
      </c>
      <c r="P2091" s="4">
        <f t="shared" ca="1" si="194"/>
        <v>-0.43256921547237198</v>
      </c>
      <c r="Q2091" s="4">
        <f t="shared" ca="1" si="195"/>
        <v>1931.4262906188173</v>
      </c>
      <c r="R2091" s="4">
        <f t="shared" ca="1" si="196"/>
        <v>7.7562466188173858</v>
      </c>
      <c r="S2091" s="4">
        <f t="shared" ca="1" si="197"/>
        <v>3.9507770348995077</v>
      </c>
    </row>
    <row r="2092" spans="15:19" x14ac:dyDescent="0.2">
      <c r="O2092" s="4">
        <f t="shared" ca="1" si="193"/>
        <v>4.2981814936497997E-3</v>
      </c>
      <c r="P2092" s="4">
        <f t="shared" ca="1" si="194"/>
        <v>-2.6277026182853174</v>
      </c>
      <c r="Q2092" s="4">
        <f t="shared" ca="1" si="195"/>
        <v>1972.8455418328949</v>
      </c>
      <c r="R2092" s="4">
        <f t="shared" ca="1" si="196"/>
        <v>49.175497832894962</v>
      </c>
      <c r="S2092" s="4">
        <f t="shared" ca="1" si="197"/>
        <v>25.877505518030116</v>
      </c>
    </row>
    <row r="2093" spans="15:19" x14ac:dyDescent="0.2">
      <c r="O2093" s="4">
        <f t="shared" ca="1" si="193"/>
        <v>0.66149452492456895</v>
      </c>
      <c r="P2093" s="4">
        <f t="shared" ca="1" si="194"/>
        <v>0.41654540424124215</v>
      </c>
      <c r="Q2093" s="4">
        <f t="shared" ca="1" si="195"/>
        <v>1915.4046257403204</v>
      </c>
      <c r="R2093" s="4">
        <f t="shared" ca="1" si="196"/>
        <v>-8.2654182596795636</v>
      </c>
      <c r="S2093" s="4">
        <f t="shared" ca="1" si="197"/>
        <v>-4.1562258771602192</v>
      </c>
    </row>
    <row r="2094" spans="15:19" x14ac:dyDescent="0.2">
      <c r="O2094" s="4">
        <f t="shared" ca="1" si="193"/>
        <v>0.27483540164752229</v>
      </c>
      <c r="P2094" s="4">
        <f t="shared" ca="1" si="194"/>
        <v>-0.59825349283118212</v>
      </c>
      <c r="Q2094" s="4">
        <f t="shared" ca="1" si="195"/>
        <v>1934.5525328314109</v>
      </c>
      <c r="R2094" s="4">
        <f t="shared" ca="1" si="196"/>
        <v>10.88248883141091</v>
      </c>
      <c r="S2094" s="4">
        <f t="shared" ca="1" si="197"/>
        <v>5.5570310629217605</v>
      </c>
    </row>
    <row r="2095" spans="15:19" x14ac:dyDescent="0.2">
      <c r="O2095" s="4">
        <f t="shared" ca="1" si="193"/>
        <v>0.61938042302759233</v>
      </c>
      <c r="P2095" s="4">
        <f t="shared" ca="1" si="194"/>
        <v>0.30385396124656272</v>
      </c>
      <c r="Q2095" s="4">
        <f t="shared" ca="1" si="195"/>
        <v>1917.5309635661181</v>
      </c>
      <c r="R2095" s="4">
        <f t="shared" ca="1" si="196"/>
        <v>-6.1390804338818725</v>
      </c>
      <c r="S2095" s="4">
        <f t="shared" ca="1" si="197"/>
        <v>-3.0923208967532014</v>
      </c>
    </row>
    <row r="2096" spans="15:19" x14ac:dyDescent="0.2">
      <c r="O2096" s="4">
        <f t="shared" ca="1" si="193"/>
        <v>0.90664583452902592</v>
      </c>
      <c r="P2096" s="4">
        <f t="shared" ca="1" si="194"/>
        <v>1.3203795406461858</v>
      </c>
      <c r="Q2096" s="4">
        <f t="shared" ca="1" si="195"/>
        <v>1898.3504762733025</v>
      </c>
      <c r="R2096" s="4">
        <f t="shared" ca="1" si="196"/>
        <v>-25.319567726697414</v>
      </c>
      <c r="S2096" s="4">
        <f t="shared" ca="1" si="197"/>
        <v>-12.556049039243204</v>
      </c>
    </row>
    <row r="2097" spans="15:19" x14ac:dyDescent="0.2">
      <c r="O2097" s="4">
        <f t="shared" ca="1" si="193"/>
        <v>0.51686578598989863</v>
      </c>
      <c r="P2097" s="4">
        <f t="shared" ca="1" si="194"/>
        <v>4.2288857183944782E-2</v>
      </c>
      <c r="Q2097" s="4">
        <f t="shared" ca="1" si="195"/>
        <v>1922.4663496069497</v>
      </c>
      <c r="R2097" s="4">
        <f t="shared" ca="1" si="196"/>
        <v>-1.2036943930502275</v>
      </c>
      <c r="S2097" s="4">
        <f t="shared" ca="1" si="197"/>
        <v>-0.60873209729691924</v>
      </c>
    </row>
    <row r="2098" spans="15:19" x14ac:dyDescent="0.2">
      <c r="O2098" s="4">
        <f t="shared" ca="1" si="193"/>
        <v>0.11209624615085989</v>
      </c>
      <c r="P2098" s="4">
        <f t="shared" ca="1" si="194"/>
        <v>-1.2154552874442508</v>
      </c>
      <c r="Q2098" s="4">
        <f t="shared" ca="1" si="195"/>
        <v>1946.1983107818985</v>
      </c>
      <c r="R2098" s="4">
        <f t="shared" ca="1" si="196"/>
        <v>22.528266781898537</v>
      </c>
      <c r="S2098" s="4">
        <f t="shared" ca="1" si="197"/>
        <v>11.61062622218541</v>
      </c>
    </row>
    <row r="2099" spans="15:19" x14ac:dyDescent="0.2">
      <c r="O2099" s="4">
        <f t="shared" ca="1" si="193"/>
        <v>0.21811101984666736</v>
      </c>
      <c r="P2099" s="4">
        <f t="shared" ca="1" si="194"/>
        <v>-0.77858869656024365</v>
      </c>
      <c r="Q2099" s="4">
        <f t="shared" ca="1" si="195"/>
        <v>1937.9552185617742</v>
      </c>
      <c r="R2099" s="4">
        <f t="shared" ca="1" si="196"/>
        <v>14.285174561774284</v>
      </c>
      <c r="S2099" s="4">
        <f t="shared" ca="1" si="197"/>
        <v>7.3143643601270982</v>
      </c>
    </row>
    <row r="2100" spans="15:19" x14ac:dyDescent="0.2">
      <c r="O2100" s="4">
        <f t="shared" ca="1" si="193"/>
        <v>0.28204235220141571</v>
      </c>
      <c r="P2100" s="4">
        <f t="shared" ca="1" si="194"/>
        <v>-0.57678499903382596</v>
      </c>
      <c r="Q2100" s="4">
        <f t="shared" ca="1" si="195"/>
        <v>1934.1474508730016</v>
      </c>
      <c r="R2100" s="4">
        <f t="shared" ca="1" si="196"/>
        <v>10.477406873001655</v>
      </c>
      <c r="S2100" s="4">
        <f t="shared" ca="1" si="197"/>
        <v>5.3484524379472633</v>
      </c>
    </row>
    <row r="2101" spans="15:19" x14ac:dyDescent="0.2">
      <c r="O2101" s="4">
        <f t="shared" ca="1" si="193"/>
        <v>0.20218314296841466</v>
      </c>
      <c r="P2101" s="4">
        <f t="shared" ca="1" si="194"/>
        <v>-0.83384863332729242</v>
      </c>
      <c r="Q2101" s="4">
        <f t="shared" ca="1" si="195"/>
        <v>1938.9979001592094</v>
      </c>
      <c r="R2101" s="4">
        <f t="shared" ca="1" si="196"/>
        <v>15.327856159209432</v>
      </c>
      <c r="S2101" s="4">
        <f t="shared" ca="1" si="197"/>
        <v>7.8547490588027831</v>
      </c>
    </row>
    <row r="2102" spans="15:19" x14ac:dyDescent="0.2">
      <c r="O2102" s="4">
        <f t="shared" ca="1" si="193"/>
        <v>0.43752992639264765</v>
      </c>
      <c r="P2102" s="4">
        <f t="shared" ca="1" si="194"/>
        <v>-0.15723473677885733</v>
      </c>
      <c r="Q2102" s="4">
        <f t="shared" ca="1" si="195"/>
        <v>1926.2310947704514</v>
      </c>
      <c r="R2102" s="4">
        <f t="shared" ca="1" si="196"/>
        <v>2.5610507704514021</v>
      </c>
      <c r="S2102" s="4">
        <f t="shared" ca="1" si="197"/>
        <v>1.2990989445897865</v>
      </c>
    </row>
    <row r="2103" spans="15:19" x14ac:dyDescent="0.2">
      <c r="O2103" s="4">
        <f t="shared" ca="1" si="193"/>
        <v>0.28450773544061825</v>
      </c>
      <c r="P2103" s="4">
        <f t="shared" ca="1" si="194"/>
        <v>-0.56950206331768871</v>
      </c>
      <c r="Q2103" s="4">
        <f t="shared" ca="1" si="195"/>
        <v>1934.0100315509615</v>
      </c>
      <c r="R2103" s="4">
        <f t="shared" ca="1" si="196"/>
        <v>10.339987550961496</v>
      </c>
      <c r="S2103" s="4">
        <f t="shared" ca="1" si="197"/>
        <v>5.2777249232094192</v>
      </c>
    </row>
    <row r="2104" spans="15:19" x14ac:dyDescent="0.2">
      <c r="O2104" s="4">
        <f t="shared" ca="1" si="193"/>
        <v>0.25059731722551259</v>
      </c>
      <c r="P2104" s="4">
        <f t="shared" ca="1" si="194"/>
        <v>-0.67261126291490503</v>
      </c>
      <c r="Q2104" s="4">
        <f t="shared" ca="1" si="195"/>
        <v>1935.955565173258</v>
      </c>
      <c r="R2104" s="4">
        <f t="shared" ca="1" si="196"/>
        <v>12.285521173258076</v>
      </c>
      <c r="S2104" s="4">
        <f t="shared" ca="1" si="197"/>
        <v>6.2804917523531252</v>
      </c>
    </row>
    <row r="2105" spans="15:19" x14ac:dyDescent="0.2">
      <c r="O2105" s="4">
        <f t="shared" ca="1" si="193"/>
        <v>0.81373731897791202</v>
      </c>
      <c r="P2105" s="4">
        <f t="shared" ca="1" si="194"/>
        <v>0.89175295642568164</v>
      </c>
      <c r="Q2105" s="4">
        <f t="shared" ca="1" si="195"/>
        <v>1906.4380905140185</v>
      </c>
      <c r="R2105" s="4">
        <f t="shared" ca="1" si="196"/>
        <v>-17.231953485981421</v>
      </c>
      <c r="S2105" s="4">
        <f t="shared" ca="1" si="197"/>
        <v>-8.602108414131143</v>
      </c>
    </row>
    <row r="2106" spans="15:19" x14ac:dyDescent="0.2">
      <c r="O2106" s="4">
        <f t="shared" ca="1" si="193"/>
        <v>0.15063535937799566</v>
      </c>
      <c r="P2106" s="4">
        <f t="shared" ca="1" si="194"/>
        <v>-1.0337122196540434</v>
      </c>
      <c r="Q2106" s="4">
        <f t="shared" ca="1" si="195"/>
        <v>1942.7690605269604</v>
      </c>
      <c r="R2106" s="4">
        <f t="shared" ca="1" si="196"/>
        <v>19.09901652696044</v>
      </c>
      <c r="S2106" s="4">
        <f t="shared" ca="1" si="197"/>
        <v>9.8165968705918161</v>
      </c>
    </row>
    <row r="2107" spans="15:19" x14ac:dyDescent="0.2">
      <c r="O2107" s="4">
        <f t="shared" ca="1" si="193"/>
        <v>0.7560607984943698</v>
      </c>
      <c r="P2107" s="4">
        <f t="shared" ca="1" si="194"/>
        <v>0.69368718709965682</v>
      </c>
      <c r="Q2107" s="4">
        <f t="shared" ca="1" si="195"/>
        <v>1910.1753284632528</v>
      </c>
      <c r="R2107" s="4">
        <f t="shared" ca="1" si="196"/>
        <v>-13.494715536747208</v>
      </c>
      <c r="S2107" s="4">
        <f t="shared" ca="1" si="197"/>
        <v>-6.7570268872508779</v>
      </c>
    </row>
    <row r="2108" spans="15:19" x14ac:dyDescent="0.2">
      <c r="O2108" s="4">
        <f t="shared" ca="1" si="193"/>
        <v>0.94568699526975497</v>
      </c>
      <c r="P2108" s="4">
        <f t="shared" ca="1" si="194"/>
        <v>1.6043995531277326</v>
      </c>
      <c r="Q2108" s="4">
        <f t="shared" ca="1" si="195"/>
        <v>1892.991395940543</v>
      </c>
      <c r="R2108" s="4">
        <f t="shared" ca="1" si="196"/>
        <v>-30.678648059456918</v>
      </c>
      <c r="S2108" s="4">
        <f t="shared" ca="1" si="197"/>
        <v>-15.146706953488925</v>
      </c>
    </row>
    <row r="2109" spans="15:19" x14ac:dyDescent="0.2">
      <c r="O2109" s="4">
        <f t="shared" ca="1" si="193"/>
        <v>0.45866171493868224</v>
      </c>
      <c r="P2109" s="4">
        <f t="shared" ca="1" si="194"/>
        <v>-0.10380584249961329</v>
      </c>
      <c r="Q2109" s="4">
        <f t="shared" ca="1" si="195"/>
        <v>1925.2229625123359</v>
      </c>
      <c r="R2109" s="4">
        <f t="shared" ca="1" si="196"/>
        <v>1.5529185123359639</v>
      </c>
      <c r="S2109" s="4">
        <f t="shared" ca="1" si="197"/>
        <v>0.78708423182991227</v>
      </c>
    </row>
    <row r="2110" spans="15:19" x14ac:dyDescent="0.2">
      <c r="O2110" s="4">
        <f t="shared" ca="1" si="193"/>
        <v>0.94594300663792086</v>
      </c>
      <c r="P2110" s="4">
        <f t="shared" ca="1" si="194"/>
        <v>1.6067282818237429</v>
      </c>
      <c r="Q2110" s="4">
        <f t="shared" ca="1" si="195"/>
        <v>1892.9474559236191</v>
      </c>
      <c r="R2110" s="4">
        <f t="shared" ca="1" si="196"/>
        <v>-30.722588076380816</v>
      </c>
      <c r="S2110" s="4">
        <f t="shared" ca="1" si="197"/>
        <v>-15.167851559333604</v>
      </c>
    </row>
    <row r="2111" spans="15:19" x14ac:dyDescent="0.2">
      <c r="O2111" s="4">
        <f t="shared" ca="1" si="193"/>
        <v>0.40707307551440619</v>
      </c>
      <c r="P2111" s="4">
        <f t="shared" ca="1" si="194"/>
        <v>-0.23508063187892675</v>
      </c>
      <c r="Q2111" s="4">
        <f t="shared" ca="1" si="195"/>
        <v>1927.6999433976018</v>
      </c>
      <c r="R2111" s="4">
        <f t="shared" ca="1" si="196"/>
        <v>4.0298993976018664</v>
      </c>
      <c r="S2111" s="4">
        <f t="shared" ca="1" si="197"/>
        <v>2.046585388067693</v>
      </c>
    </row>
    <row r="2112" spans="15:19" x14ac:dyDescent="0.2">
      <c r="O2112" s="4">
        <f t="shared" ca="1" si="193"/>
        <v>0.92336047698850499</v>
      </c>
      <c r="P2112" s="4">
        <f t="shared" ca="1" si="194"/>
        <v>1.4280445154472992</v>
      </c>
      <c r="Q2112" s="4">
        <f t="shared" ca="1" si="195"/>
        <v>1896.3189812249698</v>
      </c>
      <c r="R2112" s="4">
        <f t="shared" ca="1" si="196"/>
        <v>-27.351062775030186</v>
      </c>
      <c r="S2112" s="4">
        <f t="shared" ca="1" si="197"/>
        <v>-13.540855272951131</v>
      </c>
    </row>
    <row r="2113" spans="15:19" x14ac:dyDescent="0.2">
      <c r="O2113" s="4">
        <f t="shared" ca="1" si="193"/>
        <v>0.49392425497097914</v>
      </c>
      <c r="P2113" s="4">
        <f t="shared" ca="1" si="194"/>
        <v>-1.5230223058354069E-2</v>
      </c>
      <c r="Q2113" s="4">
        <f t="shared" ca="1" si="195"/>
        <v>1923.5516582406324</v>
      </c>
      <c r="R2113" s="4">
        <f t="shared" ca="1" si="196"/>
        <v>-0.11838575936758389</v>
      </c>
      <c r="S2113" s="4">
        <f t="shared" ca="1" si="197"/>
        <v>-5.9922325817454554E-2</v>
      </c>
    </row>
    <row r="2114" spans="15:19" x14ac:dyDescent="0.2">
      <c r="O2114" s="4">
        <f t="shared" ca="1" si="193"/>
        <v>0.95005764788624836</v>
      </c>
      <c r="P2114" s="4">
        <f t="shared" ca="1" si="194"/>
        <v>1.6454128362206684</v>
      </c>
      <c r="Q2114" s="4">
        <f t="shared" ca="1" si="195"/>
        <v>1892.2175297721528</v>
      </c>
      <c r="R2114" s="4">
        <f t="shared" ca="1" si="196"/>
        <v>-31.452514227847132</v>
      </c>
      <c r="S2114" s="4">
        <f t="shared" ca="1" si="197"/>
        <v>-15.518873209187213</v>
      </c>
    </row>
    <row r="2115" spans="15:19" x14ac:dyDescent="0.2">
      <c r="O2115" s="4">
        <f t="shared" ref="O2115:O2178" ca="1" si="198">RAND()</f>
        <v>0.33385852348981959</v>
      </c>
      <c r="P2115" s="4">
        <f t="shared" ref="P2115:P2178" ca="1" si="199">NORMSINV(O2115)</f>
        <v>-0.42928332966296634</v>
      </c>
      <c r="Q2115" s="4">
        <f t="shared" ref="Q2115:Q2178" ca="1" si="200">$B$4*(1+$B$17-$B$32*P2115)</f>
        <v>1931.3642903186872</v>
      </c>
      <c r="R2115" s="4">
        <f t="shared" ref="R2115:R2178" ca="1" si="201">Q2115-$B$4</f>
        <v>7.6942463186871919</v>
      </c>
      <c r="S2115" s="4">
        <f t="shared" ref="S2115:S2178" ca="1" si="202">R2115*$B$12+0.5*$B$13*R2115^2</f>
        <v>3.9190019297466523</v>
      </c>
    </row>
    <row r="2116" spans="15:19" x14ac:dyDescent="0.2">
      <c r="O2116" s="4">
        <f t="shared" ca="1" si="198"/>
        <v>0.70546592394343854</v>
      </c>
      <c r="P2116" s="4">
        <f t="shared" ca="1" si="199"/>
        <v>0.5401868910874319</v>
      </c>
      <c r="Q2116" s="4">
        <f t="shared" ca="1" si="200"/>
        <v>1913.0716751334908</v>
      </c>
      <c r="R2116" s="4">
        <f t="shared" ca="1" si="201"/>
        <v>-10.59836886650919</v>
      </c>
      <c r="S2116" s="4">
        <f t="shared" ca="1" si="202"/>
        <v>-5.3192739074277506</v>
      </c>
    </row>
    <row r="2117" spans="15:19" x14ac:dyDescent="0.2">
      <c r="O2117" s="4">
        <f t="shared" ca="1" si="198"/>
        <v>0.19709482681217494</v>
      </c>
      <c r="P2117" s="4">
        <f t="shared" ca="1" si="199"/>
        <v>-0.85204403210419111</v>
      </c>
      <c r="Q2117" s="4">
        <f t="shared" ca="1" si="200"/>
        <v>1939.3412231626839</v>
      </c>
      <c r="R2117" s="4">
        <f t="shared" ca="1" si="201"/>
        <v>15.671179162683984</v>
      </c>
      <c r="S2117" s="4">
        <f t="shared" ca="1" si="202"/>
        <v>8.0328748342633904</v>
      </c>
    </row>
    <row r="2118" spans="15:19" x14ac:dyDescent="0.2">
      <c r="O2118" s="4">
        <f t="shared" ca="1" si="198"/>
        <v>0.99287238214383411</v>
      </c>
      <c r="P2118" s="4">
        <f t="shared" ca="1" si="199"/>
        <v>2.4507665917546948</v>
      </c>
      <c r="Q2118" s="4">
        <f t="shared" ca="1" si="200"/>
        <v>1877.0215742671619</v>
      </c>
      <c r="R2118" s="4">
        <f t="shared" ca="1" si="201"/>
        <v>-46.648469732838066</v>
      </c>
      <c r="S2118" s="4">
        <f t="shared" ca="1" si="202"/>
        <v>-22.728097205937203</v>
      </c>
    </row>
    <row r="2119" spans="15:19" x14ac:dyDescent="0.2">
      <c r="O2119" s="4">
        <f t="shared" ca="1" si="198"/>
        <v>0.77667979808006671</v>
      </c>
      <c r="P2119" s="4">
        <f t="shared" ca="1" si="199"/>
        <v>0.76102789863314724</v>
      </c>
      <c r="Q2119" s="4">
        <f t="shared" ca="1" si="200"/>
        <v>1908.9046986945259</v>
      </c>
      <c r="R2119" s="4">
        <f t="shared" ca="1" si="201"/>
        <v>-14.765345305474057</v>
      </c>
      <c r="S2119" s="4">
        <f t="shared" ca="1" si="202"/>
        <v>-7.3856150497652635</v>
      </c>
    </row>
    <row r="2120" spans="15:19" x14ac:dyDescent="0.2">
      <c r="O2120" s="4">
        <f t="shared" ca="1" si="198"/>
        <v>0.94070660436444253</v>
      </c>
      <c r="P2120" s="4">
        <f t="shared" ca="1" si="199"/>
        <v>1.5607328743358611</v>
      </c>
      <c r="Q2120" s="4">
        <f t="shared" ca="1" si="200"/>
        <v>1893.8153281609025</v>
      </c>
      <c r="R2120" s="4">
        <f t="shared" ca="1" si="201"/>
        <v>-29.85471583909748</v>
      </c>
      <c r="S2120" s="4">
        <f t="shared" ca="1" si="202"/>
        <v>-14.749927129156621</v>
      </c>
    </row>
    <row r="2121" spans="15:19" x14ac:dyDescent="0.2">
      <c r="O2121" s="4">
        <f t="shared" ca="1" si="198"/>
        <v>0.53943600580891182</v>
      </c>
      <c r="P2121" s="4">
        <f t="shared" ca="1" si="199"/>
        <v>9.9012949541003439E-2</v>
      </c>
      <c r="Q2121" s="4">
        <f t="shared" ca="1" si="200"/>
        <v>1921.3960413385696</v>
      </c>
      <c r="R2121" s="4">
        <f t="shared" ca="1" si="201"/>
        <v>-2.2740026614303588</v>
      </c>
      <c r="S2121" s="4">
        <f t="shared" ca="1" si="202"/>
        <v>-1.14901743002635</v>
      </c>
    </row>
    <row r="2122" spans="15:19" x14ac:dyDescent="0.2">
      <c r="O2122" s="4">
        <f t="shared" ca="1" si="198"/>
        <v>0.78800716765145185</v>
      </c>
      <c r="P2122" s="4">
        <f t="shared" ca="1" si="199"/>
        <v>0.79952567585978029</v>
      </c>
      <c r="Q2122" s="4">
        <f t="shared" ca="1" si="200"/>
        <v>1908.1782967801412</v>
      </c>
      <c r="R2122" s="4">
        <f t="shared" ca="1" si="201"/>
        <v>-15.49174721985878</v>
      </c>
      <c r="S2122" s="4">
        <f t="shared" ca="1" si="202"/>
        <v>-7.7443799167225027</v>
      </c>
    </row>
    <row r="2123" spans="15:19" x14ac:dyDescent="0.2">
      <c r="O2123" s="4">
        <f t="shared" ca="1" si="198"/>
        <v>0.65628636284757935</v>
      </c>
      <c r="P2123" s="4">
        <f t="shared" ca="1" si="199"/>
        <v>0.40234889604810314</v>
      </c>
      <c r="Q2123" s="4">
        <f t="shared" ca="1" si="200"/>
        <v>1915.6724949907543</v>
      </c>
      <c r="R2123" s="4">
        <f t="shared" ca="1" si="201"/>
        <v>-7.9975490092456312</v>
      </c>
      <c r="S2123" s="4">
        <f t="shared" ca="1" si="202"/>
        <v>-4.0224011743908461</v>
      </c>
    </row>
    <row r="2124" spans="15:19" x14ac:dyDescent="0.2">
      <c r="O2124" s="4">
        <f t="shared" ca="1" si="198"/>
        <v>0.44746133599014526</v>
      </c>
      <c r="P2124" s="4">
        <f t="shared" ca="1" si="199"/>
        <v>-0.13207790508540393</v>
      </c>
      <c r="Q2124" s="4">
        <f t="shared" ca="1" si="200"/>
        <v>1925.7564187756682</v>
      </c>
      <c r="R2124" s="4">
        <f t="shared" ca="1" si="201"/>
        <v>2.0863747756682187</v>
      </c>
      <c r="S2124" s="4">
        <f t="shared" ca="1" si="202"/>
        <v>1.0579153032234851</v>
      </c>
    </row>
    <row r="2125" spans="15:19" x14ac:dyDescent="0.2">
      <c r="O2125" s="4">
        <f t="shared" ca="1" si="198"/>
        <v>0.3568068229349306</v>
      </c>
      <c r="P2125" s="4">
        <f t="shared" ca="1" si="199"/>
        <v>-0.36700720202676773</v>
      </c>
      <c r="Q2125" s="4">
        <f t="shared" ca="1" si="200"/>
        <v>1930.1892225201204</v>
      </c>
      <c r="R2125" s="4">
        <f t="shared" ca="1" si="201"/>
        <v>6.5191785201204766</v>
      </c>
      <c r="S2125" s="4">
        <f t="shared" ca="1" si="202"/>
        <v>3.3173723369451573</v>
      </c>
    </row>
    <row r="2126" spans="15:19" x14ac:dyDescent="0.2">
      <c r="O2126" s="4">
        <f t="shared" ca="1" si="198"/>
        <v>1.3107200081298065E-2</v>
      </c>
      <c r="P2126" s="4">
        <f t="shared" ca="1" si="199"/>
        <v>-2.2230207597418339</v>
      </c>
      <c r="Q2126" s="4">
        <f t="shared" ca="1" si="200"/>
        <v>1965.2097327566387</v>
      </c>
      <c r="R2126" s="4">
        <f t="shared" ca="1" si="201"/>
        <v>41.539688756638725</v>
      </c>
      <c r="S2126" s="4">
        <f t="shared" ca="1" si="202"/>
        <v>21.730213895093794</v>
      </c>
    </row>
    <row r="2127" spans="15:19" x14ac:dyDescent="0.2">
      <c r="O2127" s="4">
        <f t="shared" ca="1" si="198"/>
        <v>0.92323486632960472</v>
      </c>
      <c r="P2127" s="4">
        <f t="shared" ca="1" si="199"/>
        <v>1.427172193621985</v>
      </c>
      <c r="Q2127" s="4">
        <f t="shared" ca="1" si="200"/>
        <v>1896.3354407789884</v>
      </c>
      <c r="R2127" s="4">
        <f t="shared" ca="1" si="201"/>
        <v>-27.334603221011548</v>
      </c>
      <c r="S2127" s="4">
        <f t="shared" ca="1" si="202"/>
        <v>-13.532889689178436</v>
      </c>
    </row>
    <row r="2128" spans="15:19" x14ac:dyDescent="0.2">
      <c r="O2128" s="4">
        <f t="shared" ca="1" si="198"/>
        <v>0.1378207874490992</v>
      </c>
      <c r="P2128" s="4">
        <f t="shared" ca="1" si="199"/>
        <v>-1.0901624863905492</v>
      </c>
      <c r="Q2128" s="4">
        <f t="shared" ca="1" si="200"/>
        <v>1943.8342020696405</v>
      </c>
      <c r="R2128" s="4">
        <f t="shared" ca="1" si="201"/>
        <v>20.164158069640507</v>
      </c>
      <c r="S2128" s="4">
        <f t="shared" ca="1" si="202"/>
        <v>10.372805928747951</v>
      </c>
    </row>
    <row r="2129" spans="15:19" x14ac:dyDescent="0.2">
      <c r="O2129" s="4">
        <f t="shared" ca="1" si="198"/>
        <v>0.67570085438837579</v>
      </c>
      <c r="P2129" s="4">
        <f t="shared" ca="1" si="199"/>
        <v>0.45571033209391359</v>
      </c>
      <c r="Q2129" s="4">
        <f t="shared" ca="1" si="200"/>
        <v>1914.6656355798898</v>
      </c>
      <c r="R2129" s="4">
        <f t="shared" ca="1" si="201"/>
        <v>-9.0044084201101668</v>
      </c>
      <c r="S2129" s="4">
        <f t="shared" ca="1" si="202"/>
        <v>-4.525114822814694</v>
      </c>
    </row>
    <row r="2130" spans="15:19" x14ac:dyDescent="0.2">
      <c r="O2130" s="4">
        <f t="shared" ca="1" si="198"/>
        <v>0.43348028604228894</v>
      </c>
      <c r="P2130" s="4">
        <f t="shared" ca="1" si="199"/>
        <v>-0.1675204322409781</v>
      </c>
      <c r="Q2130" s="4">
        <f t="shared" ca="1" si="200"/>
        <v>1926.4251721799201</v>
      </c>
      <c r="R2130" s="4">
        <f t="shared" ca="1" si="201"/>
        <v>2.7551281799201206</v>
      </c>
      <c r="S2130" s="4">
        <f t="shared" ca="1" si="202"/>
        <v>1.3977628240036495</v>
      </c>
    </row>
    <row r="2131" spans="15:19" x14ac:dyDescent="0.2">
      <c r="O2131" s="4">
        <f t="shared" ca="1" si="198"/>
        <v>0.22307307543443211</v>
      </c>
      <c r="P2131" s="4">
        <f t="shared" ca="1" si="199"/>
        <v>-0.76185566887718326</v>
      </c>
      <c r="Q2131" s="4">
        <f t="shared" ca="1" si="200"/>
        <v>1937.6394885581726</v>
      </c>
      <c r="R2131" s="4">
        <f t="shared" ca="1" si="201"/>
        <v>13.969444558172654</v>
      </c>
      <c r="S2131" s="4">
        <f t="shared" ca="1" si="202"/>
        <v>7.1509073439917925</v>
      </c>
    </row>
    <row r="2132" spans="15:19" x14ac:dyDescent="0.2">
      <c r="O2132" s="4">
        <f t="shared" ca="1" si="198"/>
        <v>0.63887663837694308</v>
      </c>
      <c r="P2132" s="4">
        <f t="shared" ca="1" si="199"/>
        <v>0.35545770763267404</v>
      </c>
      <c r="Q2132" s="4">
        <f t="shared" ca="1" si="200"/>
        <v>1916.5572694241516</v>
      </c>
      <c r="R2132" s="4">
        <f t="shared" ca="1" si="201"/>
        <v>-7.1127745758483343</v>
      </c>
      <c r="S2132" s="4">
        <f t="shared" ca="1" si="202"/>
        <v>-3.5799618912090985</v>
      </c>
    </row>
    <row r="2133" spans="15:19" x14ac:dyDescent="0.2">
      <c r="O2133" s="4">
        <f t="shared" ca="1" si="198"/>
        <v>0.69637701547946551</v>
      </c>
      <c r="P2133" s="4">
        <f t="shared" ca="1" si="199"/>
        <v>0.51400861279460852</v>
      </c>
      <c r="Q2133" s="4">
        <f t="shared" ca="1" si="200"/>
        <v>1913.5656244686759</v>
      </c>
      <c r="R2133" s="4">
        <f t="shared" ca="1" si="201"/>
        <v>-10.104419531324083</v>
      </c>
      <c r="S2133" s="4">
        <f t="shared" ca="1" si="202"/>
        <v>-5.0733946580074365</v>
      </c>
    </row>
    <row r="2134" spans="15:19" x14ac:dyDescent="0.2">
      <c r="O2134" s="4">
        <f t="shared" ca="1" si="198"/>
        <v>0.3971563693025445</v>
      </c>
      <c r="P2134" s="4">
        <f t="shared" ca="1" si="199"/>
        <v>-0.26071442828706204</v>
      </c>
      <c r="Q2134" s="4">
        <f t="shared" ca="1" si="200"/>
        <v>1928.1836190829331</v>
      </c>
      <c r="R2134" s="4">
        <f t="shared" ca="1" si="201"/>
        <v>4.51357508293313</v>
      </c>
      <c r="S2134" s="4">
        <f t="shared" ca="1" si="202"/>
        <v>2.2931088778453739</v>
      </c>
    </row>
    <row r="2135" spans="15:19" x14ac:dyDescent="0.2">
      <c r="O2135" s="4">
        <f t="shared" ca="1" si="198"/>
        <v>3.1060491775695143E-2</v>
      </c>
      <c r="P2135" s="4">
        <f t="shared" ca="1" si="199"/>
        <v>-1.8654312280340795</v>
      </c>
      <c r="Q2135" s="4">
        <f t="shared" ca="1" si="200"/>
        <v>1958.4624933285709</v>
      </c>
      <c r="R2135" s="4">
        <f t="shared" ca="1" si="201"/>
        <v>34.79244932857091</v>
      </c>
      <c r="S2135" s="4">
        <f t="shared" ca="1" si="202"/>
        <v>18.105041851452366</v>
      </c>
    </row>
    <row r="2136" spans="15:19" x14ac:dyDescent="0.2">
      <c r="O2136" s="4">
        <f t="shared" ca="1" si="198"/>
        <v>0.64348106359945179</v>
      </c>
      <c r="P2136" s="4">
        <f t="shared" ca="1" si="199"/>
        <v>0.36777920921651197</v>
      </c>
      <c r="Q2136" s="4">
        <f t="shared" ca="1" si="200"/>
        <v>1916.3247790576065</v>
      </c>
      <c r="R2136" s="4">
        <f t="shared" ca="1" si="201"/>
        <v>-7.3452649423934417</v>
      </c>
      <c r="S2136" s="4">
        <f t="shared" ca="1" si="202"/>
        <v>-3.696282487835941</v>
      </c>
    </row>
    <row r="2137" spans="15:19" x14ac:dyDescent="0.2">
      <c r="O2137" s="4">
        <f t="shared" ca="1" si="198"/>
        <v>2.0880970104057539E-2</v>
      </c>
      <c r="P2137" s="4">
        <f t="shared" ca="1" si="199"/>
        <v>-2.0358846434564466</v>
      </c>
      <c r="Q2137" s="4">
        <f t="shared" ca="1" si="200"/>
        <v>1961.678722840923</v>
      </c>
      <c r="R2137" s="4">
        <f t="shared" ca="1" si="201"/>
        <v>38.008678840923039</v>
      </c>
      <c r="S2137" s="4">
        <f t="shared" ca="1" si="202"/>
        <v>19.828442012876518</v>
      </c>
    </row>
    <row r="2138" spans="15:19" x14ac:dyDescent="0.2">
      <c r="O2138" s="4">
        <f t="shared" ca="1" si="198"/>
        <v>6.1411587196187112E-2</v>
      </c>
      <c r="P2138" s="4">
        <f t="shared" ca="1" si="199"/>
        <v>-1.5430313304070111</v>
      </c>
      <c r="Q2138" s="4">
        <f t="shared" ca="1" si="200"/>
        <v>1952.3792355483849</v>
      </c>
      <c r="R2138" s="4">
        <f t="shared" ca="1" si="201"/>
        <v>28.709191548384979</v>
      </c>
      <c r="S2138" s="4">
        <f t="shared" ca="1" si="202"/>
        <v>14.868387618181247</v>
      </c>
    </row>
    <row r="2139" spans="15:19" x14ac:dyDescent="0.2">
      <c r="O2139" s="4">
        <f t="shared" ca="1" si="198"/>
        <v>0.3844408961028799</v>
      </c>
      <c r="P2139" s="4">
        <f t="shared" ca="1" si="199"/>
        <v>-0.29383787458720356</v>
      </c>
      <c r="Q2139" s="4">
        <f t="shared" ca="1" si="200"/>
        <v>1928.8086145121968</v>
      </c>
      <c r="R2139" s="4">
        <f t="shared" ca="1" si="201"/>
        <v>5.1385705121967931</v>
      </c>
      <c r="S2139" s="4">
        <f t="shared" ca="1" si="202"/>
        <v>2.6119433500972216</v>
      </c>
    </row>
    <row r="2140" spans="15:19" x14ac:dyDescent="0.2">
      <c r="O2140" s="4">
        <f t="shared" ca="1" si="198"/>
        <v>0.51743502418187948</v>
      </c>
      <c r="P2140" s="4">
        <f t="shared" ca="1" si="199"/>
        <v>4.3717045783314021E-2</v>
      </c>
      <c r="Q2140" s="4">
        <f t="shared" ca="1" si="200"/>
        <v>1922.4394015853386</v>
      </c>
      <c r="R2140" s="4">
        <f t="shared" ca="1" si="201"/>
        <v>-1.2306424146613608</v>
      </c>
      <c r="S2140" s="4">
        <f t="shared" ca="1" si="202"/>
        <v>-0.62234674582026439</v>
      </c>
    </row>
    <row r="2141" spans="15:19" x14ac:dyDescent="0.2">
      <c r="O2141" s="4">
        <f t="shared" ca="1" si="198"/>
        <v>6.3218082647589324E-2</v>
      </c>
      <c r="P2141" s="4">
        <f t="shared" ca="1" si="199"/>
        <v>-1.5283076747508406</v>
      </c>
      <c r="Q2141" s="4">
        <f t="shared" ca="1" si="200"/>
        <v>1952.1014197256059</v>
      </c>
      <c r="R2141" s="4">
        <f t="shared" ca="1" si="201"/>
        <v>28.431375725605903</v>
      </c>
      <c r="S2141" s="4">
        <f t="shared" ca="1" si="202"/>
        <v>14.721292485222676</v>
      </c>
    </row>
    <row r="2142" spans="15:19" x14ac:dyDescent="0.2">
      <c r="O2142" s="4">
        <f t="shared" ca="1" si="198"/>
        <v>0.34583164064776262</v>
      </c>
      <c r="P2142" s="4">
        <f t="shared" ca="1" si="199"/>
        <v>-0.39659887634553737</v>
      </c>
      <c r="Q2142" s="4">
        <f t="shared" ca="1" si="200"/>
        <v>1930.7475781038329</v>
      </c>
      <c r="R2142" s="4">
        <f t="shared" ca="1" si="201"/>
        <v>7.0775341038329316</v>
      </c>
      <c r="S2142" s="4">
        <f t="shared" ca="1" si="202"/>
        <v>3.603107790776872</v>
      </c>
    </row>
    <row r="2143" spans="15:19" x14ac:dyDescent="0.2">
      <c r="O2143" s="4">
        <f t="shared" ca="1" si="198"/>
        <v>1.5527510336324712E-2</v>
      </c>
      <c r="P2143" s="4">
        <f t="shared" ca="1" si="199"/>
        <v>-2.1563669831085819</v>
      </c>
      <c r="Q2143" s="4">
        <f t="shared" ca="1" si="200"/>
        <v>1963.9520645369298</v>
      </c>
      <c r="R2143" s="4">
        <f t="shared" ca="1" si="201"/>
        <v>40.282020536929849</v>
      </c>
      <c r="S2143" s="4">
        <f t="shared" ca="1" si="202"/>
        <v>21.05168064256365</v>
      </c>
    </row>
    <row r="2144" spans="15:19" x14ac:dyDescent="0.2">
      <c r="O2144" s="4">
        <f t="shared" ca="1" si="198"/>
        <v>4.6072737862884905E-2</v>
      </c>
      <c r="P2144" s="4">
        <f t="shared" ca="1" si="199"/>
        <v>-1.6841873059017649</v>
      </c>
      <c r="Q2144" s="4">
        <f t="shared" ca="1" si="200"/>
        <v>1955.0426612891135</v>
      </c>
      <c r="R2144" s="4">
        <f t="shared" ca="1" si="201"/>
        <v>31.372617289113577</v>
      </c>
      <c r="S2144" s="4">
        <f t="shared" ca="1" si="202"/>
        <v>16.281780432417168</v>
      </c>
    </row>
    <row r="2145" spans="15:19" x14ac:dyDescent="0.2">
      <c r="O2145" s="4">
        <f t="shared" ca="1" si="198"/>
        <v>0.44645236698834945</v>
      </c>
      <c r="P2145" s="4">
        <f t="shared" ca="1" si="199"/>
        <v>-0.13462960413385025</v>
      </c>
      <c r="Q2145" s="4">
        <f t="shared" ca="1" si="200"/>
        <v>1925.8045659469403</v>
      </c>
      <c r="R2145" s="4">
        <f t="shared" ca="1" si="201"/>
        <v>2.1345219469403673</v>
      </c>
      <c r="S2145" s="4">
        <f t="shared" ca="1" si="202"/>
        <v>1.0823705992514157</v>
      </c>
    </row>
    <row r="2146" spans="15:19" x14ac:dyDescent="0.2">
      <c r="O2146" s="4">
        <f t="shared" ca="1" si="198"/>
        <v>0.7499712501820166</v>
      </c>
      <c r="P2146" s="4">
        <f t="shared" ca="1" si="199"/>
        <v>0.67439928115796011</v>
      </c>
      <c r="Q2146" s="4">
        <f t="shared" ca="1" si="200"/>
        <v>1910.5392656255995</v>
      </c>
      <c r="R2146" s="4">
        <f t="shared" ca="1" si="201"/>
        <v>-13.130778374400506</v>
      </c>
      <c r="S2146" s="4">
        <f t="shared" ca="1" si="202"/>
        <v>-6.5767428344656249</v>
      </c>
    </row>
    <row r="2147" spans="15:19" x14ac:dyDescent="0.2">
      <c r="O2147" s="4">
        <f t="shared" ca="1" si="198"/>
        <v>0.42577053861459813</v>
      </c>
      <c r="P2147" s="4">
        <f t="shared" ca="1" si="199"/>
        <v>-0.18715248597428982</v>
      </c>
      <c r="Q2147" s="4">
        <f t="shared" ca="1" si="200"/>
        <v>1926.7956029539164</v>
      </c>
      <c r="R2147" s="4">
        <f t="shared" ca="1" si="201"/>
        <v>3.1255589539164248</v>
      </c>
      <c r="S2147" s="4">
        <f t="shared" ca="1" si="202"/>
        <v>1.5861652646425066</v>
      </c>
    </row>
    <row r="2148" spans="15:19" x14ac:dyDescent="0.2">
      <c r="O2148" s="4">
        <f t="shared" ca="1" si="198"/>
        <v>0.29904802315163803</v>
      </c>
      <c r="P2148" s="4">
        <f t="shared" ca="1" si="199"/>
        <v>-0.52714046771732481</v>
      </c>
      <c r="Q2148" s="4">
        <f t="shared" ca="1" si="200"/>
        <v>1933.2107245167044</v>
      </c>
      <c r="R2148" s="4">
        <f t="shared" ca="1" si="201"/>
        <v>9.5406805167044695</v>
      </c>
      <c r="S2148" s="4">
        <f t="shared" ca="1" si="202"/>
        <v>4.8666392348446408</v>
      </c>
    </row>
    <row r="2149" spans="15:19" x14ac:dyDescent="0.2">
      <c r="O2149" s="4">
        <f t="shared" ca="1" si="198"/>
        <v>0.70771987509863621</v>
      </c>
      <c r="P2149" s="4">
        <f t="shared" ca="1" si="199"/>
        <v>0.54673580785329678</v>
      </c>
      <c r="Q2149" s="4">
        <f t="shared" ca="1" si="200"/>
        <v>1912.948105773944</v>
      </c>
      <c r="R2149" s="4">
        <f t="shared" ca="1" si="201"/>
        <v>-10.721938226055954</v>
      </c>
      <c r="S2149" s="4">
        <f t="shared" ca="1" si="202"/>
        <v>-5.3807534887688293</v>
      </c>
    </row>
    <row r="2150" spans="15:19" x14ac:dyDescent="0.2">
      <c r="O2150" s="4">
        <f t="shared" ca="1" si="198"/>
        <v>6.5648614230280788E-2</v>
      </c>
      <c r="P2150" s="4">
        <f t="shared" ca="1" si="199"/>
        <v>-1.509006082261515</v>
      </c>
      <c r="Q2150" s="4">
        <f t="shared" ca="1" si="200"/>
        <v>1951.737224316287</v>
      </c>
      <c r="R2150" s="4">
        <f t="shared" ca="1" si="201"/>
        <v>28.067180316287022</v>
      </c>
      <c r="S2150" s="4">
        <f t="shared" ca="1" si="202"/>
        <v>14.528557135840929</v>
      </c>
    </row>
    <row r="2151" spans="15:19" x14ac:dyDescent="0.2">
      <c r="O2151" s="4">
        <f t="shared" ca="1" si="198"/>
        <v>7.1834015251834304E-2</v>
      </c>
      <c r="P2151" s="4">
        <f t="shared" ca="1" si="199"/>
        <v>-1.4622670997383935</v>
      </c>
      <c r="Q2151" s="4">
        <f t="shared" ca="1" si="200"/>
        <v>1950.8553218058812</v>
      </c>
      <c r="R2151" s="4">
        <f t="shared" ca="1" si="201"/>
        <v>27.185277805881242</v>
      </c>
      <c r="S2151" s="4">
        <f t="shared" ca="1" si="202"/>
        <v>14.062294070159833</v>
      </c>
    </row>
    <row r="2152" spans="15:19" x14ac:dyDescent="0.2">
      <c r="O2152" s="4">
        <f t="shared" ca="1" si="198"/>
        <v>0.82267726638380212</v>
      </c>
      <c r="P2152" s="4">
        <f t="shared" ca="1" si="199"/>
        <v>0.92561620803026523</v>
      </c>
      <c r="Q2152" s="4">
        <f t="shared" ca="1" si="200"/>
        <v>1905.7991359414452</v>
      </c>
      <c r="R2152" s="4">
        <f t="shared" ca="1" si="201"/>
        <v>-17.870908058554733</v>
      </c>
      <c r="S2152" s="4">
        <f t="shared" ca="1" si="202"/>
        <v>-8.916423267099205</v>
      </c>
    </row>
    <row r="2153" spans="15:19" x14ac:dyDescent="0.2">
      <c r="O2153" s="4">
        <f t="shared" ca="1" si="198"/>
        <v>0.30623460775259181</v>
      </c>
      <c r="P2153" s="4">
        <f t="shared" ca="1" si="199"/>
        <v>-0.50655197070553204</v>
      </c>
      <c r="Q2153" s="4">
        <f t="shared" ca="1" si="200"/>
        <v>1932.8222469286184</v>
      </c>
      <c r="R2153" s="4">
        <f t="shared" ca="1" si="201"/>
        <v>9.1522029286184079</v>
      </c>
      <c r="S2153" s="4">
        <f t="shared" ca="1" si="202"/>
        <v>4.6670320330791384</v>
      </c>
    </row>
    <row r="2154" spans="15:19" x14ac:dyDescent="0.2">
      <c r="O2154" s="4">
        <f t="shared" ca="1" si="198"/>
        <v>0.1645188813139028</v>
      </c>
      <c r="P2154" s="4">
        <f t="shared" ca="1" si="199"/>
        <v>-0.97605388397386506</v>
      </c>
      <c r="Q2154" s="4">
        <f t="shared" ca="1" si="200"/>
        <v>1941.6811243281568</v>
      </c>
      <c r="R2154" s="4">
        <f t="shared" ca="1" si="201"/>
        <v>18.011080328156822</v>
      </c>
      <c r="S2154" s="4">
        <f t="shared" ca="1" si="202"/>
        <v>9.2494381346379644</v>
      </c>
    </row>
    <row r="2155" spans="15:19" x14ac:dyDescent="0.2">
      <c r="O2155" s="4">
        <f t="shared" ca="1" si="198"/>
        <v>0.42413571962188024</v>
      </c>
      <c r="P2155" s="4">
        <f t="shared" ca="1" si="199"/>
        <v>-0.19132440829504704</v>
      </c>
      <c r="Q2155" s="4">
        <f t="shared" ca="1" si="200"/>
        <v>1926.8743215859718</v>
      </c>
      <c r="R2155" s="4">
        <f t="shared" ca="1" si="201"/>
        <v>3.2042775859717949</v>
      </c>
      <c r="S2155" s="4">
        <f t="shared" ca="1" si="202"/>
        <v>1.6262162400859554</v>
      </c>
    </row>
    <row r="2156" spans="15:19" x14ac:dyDescent="0.2">
      <c r="O2156" s="4">
        <f t="shared" ca="1" si="198"/>
        <v>0.93258041379839529</v>
      </c>
      <c r="P2156" s="4">
        <f t="shared" ca="1" si="199"/>
        <v>1.4952884718980701</v>
      </c>
      <c r="Q2156" s="4">
        <f t="shared" ca="1" si="200"/>
        <v>1895.0501770961209</v>
      </c>
      <c r="R2156" s="4">
        <f t="shared" ca="1" si="201"/>
        <v>-28.619866903879029</v>
      </c>
      <c r="S2156" s="4">
        <f t="shared" ca="1" si="202"/>
        <v>-14.15422786295065</v>
      </c>
    </row>
    <row r="2157" spans="15:19" x14ac:dyDescent="0.2">
      <c r="O2157" s="4">
        <f t="shared" ca="1" si="198"/>
        <v>0.88334232953005276</v>
      </c>
      <c r="P2157" s="4">
        <f t="shared" ca="1" si="199"/>
        <v>1.1918620494505314</v>
      </c>
      <c r="Q2157" s="4">
        <f t="shared" ca="1" si="200"/>
        <v>1900.7754306047409</v>
      </c>
      <c r="R2157" s="4">
        <f t="shared" ca="1" si="201"/>
        <v>-22.894613395259057</v>
      </c>
      <c r="S2157" s="4">
        <f t="shared" ca="1" si="202"/>
        <v>-11.37610679339933</v>
      </c>
    </row>
    <row r="2158" spans="15:19" x14ac:dyDescent="0.2">
      <c r="O2158" s="4">
        <f t="shared" ca="1" si="198"/>
        <v>0.4699008777727085</v>
      </c>
      <c r="P2158" s="4">
        <f t="shared" ca="1" si="199"/>
        <v>-7.5519031853247792E-2</v>
      </c>
      <c r="Q2158" s="4">
        <f t="shared" ca="1" si="200"/>
        <v>1924.6892279726922</v>
      </c>
      <c r="R2158" s="4">
        <f t="shared" ca="1" si="201"/>
        <v>1.0191839726921899</v>
      </c>
      <c r="S2158" s="4">
        <f t="shared" ca="1" si="202"/>
        <v>0.51634374723456222</v>
      </c>
    </row>
    <row r="2159" spans="15:19" x14ac:dyDescent="0.2">
      <c r="O2159" s="4">
        <f t="shared" ca="1" si="198"/>
        <v>0.20493377015172809</v>
      </c>
      <c r="P2159" s="4">
        <f t="shared" ca="1" si="199"/>
        <v>-0.82412675332978036</v>
      </c>
      <c r="Q2159" s="4">
        <f t="shared" ca="1" si="200"/>
        <v>1938.8144611985642</v>
      </c>
      <c r="R2159" s="4">
        <f t="shared" ca="1" si="201"/>
        <v>15.14441719856427</v>
      </c>
      <c r="S2159" s="4">
        <f t="shared" ca="1" si="202"/>
        <v>7.7596150237224126</v>
      </c>
    </row>
    <row r="2160" spans="15:19" x14ac:dyDescent="0.2">
      <c r="O2160" s="4">
        <f t="shared" ca="1" si="198"/>
        <v>1.1417350857562236E-2</v>
      </c>
      <c r="P2160" s="4">
        <f t="shared" ca="1" si="199"/>
        <v>-2.2761889714467527</v>
      </c>
      <c r="Q2160" s="4">
        <f t="shared" ca="1" si="200"/>
        <v>1966.2129462808771</v>
      </c>
      <c r="R2160" s="4">
        <f t="shared" ca="1" si="201"/>
        <v>42.542902280877115</v>
      </c>
      <c r="S2160" s="4">
        <f t="shared" ca="1" si="202"/>
        <v>22.27238783336875</v>
      </c>
    </row>
    <row r="2161" spans="15:19" x14ac:dyDescent="0.2">
      <c r="O2161" s="4">
        <f t="shared" ca="1" si="198"/>
        <v>0.13012841053812219</v>
      </c>
      <c r="P2161" s="4">
        <f t="shared" ca="1" si="199"/>
        <v>-1.1257843238652379</v>
      </c>
      <c r="Q2161" s="4">
        <f t="shared" ca="1" si="200"/>
        <v>1944.5063388214116</v>
      </c>
      <c r="R2161" s="4">
        <f t="shared" ca="1" si="201"/>
        <v>20.836294821411684</v>
      </c>
      <c r="S2161" s="4">
        <f t="shared" ca="1" si="202"/>
        <v>10.724266113596542</v>
      </c>
    </row>
    <row r="2162" spans="15:19" x14ac:dyDescent="0.2">
      <c r="O2162" s="4">
        <f t="shared" ca="1" si="198"/>
        <v>0.16035604841566098</v>
      </c>
      <c r="P2162" s="4">
        <f t="shared" ca="1" si="199"/>
        <v>-0.99299560388978092</v>
      </c>
      <c r="Q2162" s="4">
        <f t="shared" ca="1" si="200"/>
        <v>1942.0007920769583</v>
      </c>
      <c r="R2162" s="4">
        <f t="shared" ca="1" si="201"/>
        <v>18.330748076958344</v>
      </c>
      <c r="S2162" s="4">
        <f t="shared" ca="1" si="202"/>
        <v>9.4159861297762379</v>
      </c>
    </row>
    <row r="2163" spans="15:19" x14ac:dyDescent="0.2">
      <c r="O2163" s="4">
        <f t="shared" ca="1" si="198"/>
        <v>0.34884166310943554</v>
      </c>
      <c r="P2163" s="4">
        <f t="shared" ca="1" si="199"/>
        <v>-0.38844962503959962</v>
      </c>
      <c r="Q2163" s="4">
        <f t="shared" ca="1" si="200"/>
        <v>1930.5938125574589</v>
      </c>
      <c r="R2163" s="4">
        <f t="shared" ca="1" si="201"/>
        <v>6.9237685574589705</v>
      </c>
      <c r="S2163" s="4">
        <f t="shared" ca="1" si="202"/>
        <v>3.5243937784389248</v>
      </c>
    </row>
    <row r="2164" spans="15:19" x14ac:dyDescent="0.2">
      <c r="O2164" s="4">
        <f t="shared" ca="1" si="198"/>
        <v>0.96409331314944935</v>
      </c>
      <c r="P2164" s="4">
        <f t="shared" ca="1" si="199"/>
        <v>1.8002994120849847</v>
      </c>
      <c r="Q2164" s="4">
        <f t="shared" ca="1" si="200"/>
        <v>1889.2950258426915</v>
      </c>
      <c r="R2164" s="4">
        <f t="shared" ca="1" si="201"/>
        <v>-34.375018157308432</v>
      </c>
      <c r="S2164" s="4">
        <f t="shared" ca="1" si="202"/>
        <v>-16.919960848820004</v>
      </c>
    </row>
    <row r="2165" spans="15:19" x14ac:dyDescent="0.2">
      <c r="O2165" s="4">
        <f t="shared" ca="1" si="198"/>
        <v>0.54499348370710166</v>
      </c>
      <c r="P2165" s="4">
        <f t="shared" ca="1" si="199"/>
        <v>0.11302210204666104</v>
      </c>
      <c r="Q2165" s="4">
        <f t="shared" ca="1" si="200"/>
        <v>1921.1317072410682</v>
      </c>
      <c r="R2165" s="4">
        <f t="shared" ca="1" si="201"/>
        <v>-2.5383367589317913</v>
      </c>
      <c r="S2165" s="4">
        <f t="shared" ca="1" si="202"/>
        <v>-1.2823081206326066</v>
      </c>
    </row>
    <row r="2166" spans="15:19" x14ac:dyDescent="0.2">
      <c r="O2166" s="4">
        <f t="shared" ca="1" si="198"/>
        <v>0.41549969053693958</v>
      </c>
      <c r="P2166" s="4">
        <f t="shared" ca="1" si="199"/>
        <v>-0.21342000130671285</v>
      </c>
      <c r="Q2166" s="4">
        <f t="shared" ca="1" si="200"/>
        <v>1927.2912360734931</v>
      </c>
      <c r="R2166" s="4">
        <f t="shared" ca="1" si="201"/>
        <v>3.6211920734931482</v>
      </c>
      <c r="S2166" s="4">
        <f t="shared" ca="1" si="202"/>
        <v>1.8384208086329299</v>
      </c>
    </row>
    <row r="2167" spans="15:19" x14ac:dyDescent="0.2">
      <c r="O2167" s="4">
        <f t="shared" ca="1" si="198"/>
        <v>0.23636593975583509</v>
      </c>
      <c r="P2167" s="4">
        <f t="shared" ca="1" si="199"/>
        <v>-0.71804120686412909</v>
      </c>
      <c r="Q2167" s="4">
        <f t="shared" ca="1" si="200"/>
        <v>1936.81276786475</v>
      </c>
      <c r="R2167" s="4">
        <f t="shared" ca="1" si="201"/>
        <v>13.142723864749996</v>
      </c>
      <c r="S2167" s="4">
        <f t="shared" ca="1" si="202"/>
        <v>6.7232891040852047</v>
      </c>
    </row>
    <row r="2168" spans="15:19" x14ac:dyDescent="0.2">
      <c r="O2168" s="4">
        <f t="shared" ca="1" si="198"/>
        <v>0.69831080492468822</v>
      </c>
      <c r="P2168" s="4">
        <f t="shared" ca="1" si="199"/>
        <v>0.51954837178607738</v>
      </c>
      <c r="Q2168" s="4">
        <f t="shared" ca="1" si="200"/>
        <v>1913.4610965757292</v>
      </c>
      <c r="R2168" s="4">
        <f t="shared" ca="1" si="201"/>
        <v>-10.208947424270718</v>
      </c>
      <c r="S2168" s="4">
        <f t="shared" ca="1" si="202"/>
        <v>-5.1254433656971914</v>
      </c>
    </row>
    <row r="2169" spans="15:19" x14ac:dyDescent="0.2">
      <c r="O2169" s="4">
        <f t="shared" ca="1" si="198"/>
        <v>0.10156528186545843</v>
      </c>
      <c r="P2169" s="4">
        <f t="shared" ca="1" si="199"/>
        <v>-1.2726829683203136</v>
      </c>
      <c r="Q2169" s="4">
        <f t="shared" ca="1" si="200"/>
        <v>1947.2781210966461</v>
      </c>
      <c r="R2169" s="4">
        <f t="shared" ca="1" si="201"/>
        <v>23.608077096646184</v>
      </c>
      <c r="S2169" s="4">
        <f t="shared" ca="1" si="202"/>
        <v>12.177516358374659</v>
      </c>
    </row>
    <row r="2170" spans="15:19" x14ac:dyDescent="0.2">
      <c r="O2170" s="4">
        <f t="shared" ca="1" si="198"/>
        <v>0.93163963239766379</v>
      </c>
      <c r="P2170" s="4">
        <f t="shared" ca="1" si="199"/>
        <v>1.4881143670314614</v>
      </c>
      <c r="Q2170" s="4">
        <f t="shared" ca="1" si="200"/>
        <v>1895.1855429246057</v>
      </c>
      <c r="R2170" s="4">
        <f t="shared" ca="1" si="201"/>
        <v>-28.484501075394292</v>
      </c>
      <c r="S2170" s="4">
        <f t="shared" ca="1" si="202"/>
        <v>-14.088850991682925</v>
      </c>
    </row>
    <row r="2171" spans="15:19" x14ac:dyDescent="0.2">
      <c r="O2171" s="4">
        <f t="shared" ca="1" si="198"/>
        <v>0.16375587321729645</v>
      </c>
      <c r="P2171" s="4">
        <f t="shared" ca="1" si="199"/>
        <v>-0.97913810424934833</v>
      </c>
      <c r="Q2171" s="4">
        <f t="shared" ca="1" si="200"/>
        <v>1941.7393194675619</v>
      </c>
      <c r="R2171" s="4">
        <f t="shared" ca="1" si="201"/>
        <v>18.069275467561965</v>
      </c>
      <c r="S2171" s="4">
        <f t="shared" ca="1" si="202"/>
        <v>9.279751808017572</v>
      </c>
    </row>
    <row r="2172" spans="15:19" x14ac:dyDescent="0.2">
      <c r="O2172" s="4">
        <f t="shared" ca="1" si="198"/>
        <v>0.39802566303905873</v>
      </c>
      <c r="P2172" s="4">
        <f t="shared" ca="1" si="199"/>
        <v>-0.25846076415113789</v>
      </c>
      <c r="Q2172" s="4">
        <f t="shared" ca="1" si="200"/>
        <v>1928.1410954345397</v>
      </c>
      <c r="R2172" s="4">
        <f t="shared" ca="1" si="201"/>
        <v>4.4710514345397314</v>
      </c>
      <c r="S2172" s="4">
        <f t="shared" ca="1" si="202"/>
        <v>2.2714274660119163</v>
      </c>
    </row>
    <row r="2173" spans="15:19" x14ac:dyDescent="0.2">
      <c r="O2173" s="4">
        <f t="shared" ca="1" si="198"/>
        <v>0.27335532141358121</v>
      </c>
      <c r="P2173" s="4">
        <f t="shared" ca="1" si="199"/>
        <v>-0.60269645119876003</v>
      </c>
      <c r="Q2173" s="4">
        <f t="shared" ca="1" si="200"/>
        <v>1934.6363655536156</v>
      </c>
      <c r="R2173" s="4">
        <f t="shared" ca="1" si="201"/>
        <v>10.966321553615671</v>
      </c>
      <c r="S2173" s="4">
        <f t="shared" ca="1" si="202"/>
        <v>5.6002136144497454</v>
      </c>
    </row>
    <row r="2174" spans="15:19" x14ac:dyDescent="0.2">
      <c r="O2174" s="4">
        <f t="shared" ca="1" si="198"/>
        <v>0.92771772899039107</v>
      </c>
      <c r="P2174" s="4">
        <f t="shared" ca="1" si="199"/>
        <v>1.4590020552364207</v>
      </c>
      <c r="Q2174" s="4">
        <f t="shared" ca="1" si="200"/>
        <v>1895.7348535742983</v>
      </c>
      <c r="R2174" s="4">
        <f t="shared" ca="1" si="201"/>
        <v>-27.935190425701649</v>
      </c>
      <c r="S2174" s="4">
        <f t="shared" ca="1" si="202"/>
        <v>-13.823400424321495</v>
      </c>
    </row>
    <row r="2175" spans="15:19" x14ac:dyDescent="0.2">
      <c r="O2175" s="4">
        <f t="shared" ca="1" si="198"/>
        <v>0.56981365685186303</v>
      </c>
      <c r="P2175" s="4">
        <f t="shared" ca="1" si="199"/>
        <v>0.17589976968296075</v>
      </c>
      <c r="Q2175" s="4">
        <f t="shared" ca="1" si="200"/>
        <v>1919.9452891818078</v>
      </c>
      <c r="R2175" s="4">
        <f t="shared" ca="1" si="201"/>
        <v>-3.7247548181921957</v>
      </c>
      <c r="S2175" s="4">
        <f t="shared" ca="1" si="202"/>
        <v>-1.8798597761948699</v>
      </c>
    </row>
    <row r="2176" spans="15:19" x14ac:dyDescent="0.2">
      <c r="O2176" s="4">
        <f t="shared" ca="1" si="198"/>
        <v>0.98845192120579184</v>
      </c>
      <c r="P2176" s="4">
        <f t="shared" ca="1" si="199"/>
        <v>2.2718403034206656</v>
      </c>
      <c r="Q2176" s="4">
        <f t="shared" ca="1" si="200"/>
        <v>1880.3976756356767</v>
      </c>
      <c r="R2176" s="4">
        <f t="shared" ca="1" si="201"/>
        <v>-43.272368364323256</v>
      </c>
      <c r="S2176" s="4">
        <f t="shared" ca="1" si="202"/>
        <v>-21.142660459152957</v>
      </c>
    </row>
    <row r="2177" spans="15:19" x14ac:dyDescent="0.2">
      <c r="O2177" s="4">
        <f t="shared" ca="1" si="198"/>
        <v>0.18672292682803704</v>
      </c>
      <c r="P2177" s="4">
        <f t="shared" ca="1" si="199"/>
        <v>-0.89003730807644044</v>
      </c>
      <c r="Q2177" s="4">
        <f t="shared" ca="1" si="200"/>
        <v>1940.0581058085968</v>
      </c>
      <c r="R2177" s="4">
        <f t="shared" ca="1" si="201"/>
        <v>16.388061808596831</v>
      </c>
      <c r="S2177" s="4">
        <f t="shared" ca="1" si="202"/>
        <v>8.405123406809194</v>
      </c>
    </row>
    <row r="2178" spans="15:19" x14ac:dyDescent="0.2">
      <c r="O2178" s="4">
        <f t="shared" ca="1" si="198"/>
        <v>0.73514620160645938</v>
      </c>
      <c r="P2178" s="4">
        <f t="shared" ca="1" si="199"/>
        <v>0.62845243481255653</v>
      </c>
      <c r="Q2178" s="4">
        <f t="shared" ca="1" si="200"/>
        <v>1911.4062215786346</v>
      </c>
      <c r="R2178" s="4">
        <f t="shared" ca="1" si="201"/>
        <v>-12.263822421365376</v>
      </c>
      <c r="S2178" s="4">
        <f t="shared" ca="1" si="202"/>
        <v>-6.1468432754976572</v>
      </c>
    </row>
    <row r="2179" spans="15:19" x14ac:dyDescent="0.2">
      <c r="O2179" s="4">
        <f t="shared" ref="O2179:O2242" ca="1" si="203">RAND()</f>
        <v>0.56699855674894739</v>
      </c>
      <c r="P2179" s="4">
        <f t="shared" ref="P2179:P2242" ca="1" si="204">NORMSINV(O2179)</f>
        <v>0.16873779805486683</v>
      </c>
      <c r="Q2179" s="4">
        <f t="shared" ref="Q2179:Q2242" ca="1" si="205">$B$4*(1+$B$17-$B$32*P2179)</f>
        <v>1920.0804260721998</v>
      </c>
      <c r="R2179" s="4">
        <f t="shared" ref="R2179:R2242" ca="1" si="206">Q2179-$B$4</f>
        <v>-3.589617927800191</v>
      </c>
      <c r="S2179" s="4">
        <f t="shared" ref="S2179:S2242" ca="1" si="207">R2179*$B$12+0.5*$B$13*R2179^2</f>
        <v>-1.8118545227773055</v>
      </c>
    </row>
    <row r="2180" spans="15:19" x14ac:dyDescent="0.2">
      <c r="O2180" s="4">
        <f t="shared" ca="1" si="203"/>
        <v>0.98212912756065263</v>
      </c>
      <c r="P2180" s="4">
        <f t="shared" ca="1" si="204"/>
        <v>2.0998533343425199</v>
      </c>
      <c r="Q2180" s="4">
        <f t="shared" ca="1" si="205"/>
        <v>1883.6428412682833</v>
      </c>
      <c r="R2180" s="4">
        <f t="shared" ca="1" si="206"/>
        <v>-40.02720273171667</v>
      </c>
      <c r="S2180" s="4">
        <f t="shared" ca="1" si="207"/>
        <v>-19.60996515146936</v>
      </c>
    </row>
    <row r="2181" spans="15:19" x14ac:dyDescent="0.2">
      <c r="O2181" s="4">
        <f t="shared" ca="1" si="203"/>
        <v>0.39781124400062229</v>
      </c>
      <c r="P2181" s="4">
        <f t="shared" ca="1" si="204"/>
        <v>-0.25901652807829451</v>
      </c>
      <c r="Q2181" s="4">
        <f t="shared" ca="1" si="205"/>
        <v>1928.1515819615477</v>
      </c>
      <c r="R2181" s="4">
        <f t="shared" ca="1" si="206"/>
        <v>4.4815379615477013</v>
      </c>
      <c r="S2181" s="4">
        <f t="shared" ca="1" si="207"/>
        <v>2.2767740649961024</v>
      </c>
    </row>
    <row r="2182" spans="15:19" x14ac:dyDescent="0.2">
      <c r="O2182" s="4">
        <f t="shared" ca="1" si="203"/>
        <v>9.8244823512047774E-2</v>
      </c>
      <c r="P2182" s="4">
        <f t="shared" ca="1" si="204"/>
        <v>-1.2916174814049382</v>
      </c>
      <c r="Q2182" s="4">
        <f t="shared" ca="1" si="205"/>
        <v>1947.6353902052404</v>
      </c>
      <c r="R2182" s="4">
        <f t="shared" ca="1" si="206"/>
        <v>23.965346205240394</v>
      </c>
      <c r="S2182" s="4">
        <f t="shared" ca="1" si="207"/>
        <v>12.365288238574424</v>
      </c>
    </row>
    <row r="2183" spans="15:19" x14ac:dyDescent="0.2">
      <c r="O2183" s="4">
        <f t="shared" ca="1" si="203"/>
        <v>0.90202156230854369</v>
      </c>
      <c r="P2183" s="4">
        <f t="shared" ca="1" si="204"/>
        <v>1.2931566787586739</v>
      </c>
      <c r="Q2183" s="4">
        <f t="shared" ca="1" si="205"/>
        <v>1898.8641355132559</v>
      </c>
      <c r="R2183" s="4">
        <f t="shared" ca="1" si="206"/>
        <v>-24.805908486744102</v>
      </c>
      <c r="S2183" s="4">
        <f t="shared" ca="1" si="207"/>
        <v>-12.30651068062245</v>
      </c>
    </row>
    <row r="2184" spans="15:19" x14ac:dyDescent="0.2">
      <c r="O2184" s="4">
        <f t="shared" ca="1" si="203"/>
        <v>0.15003239225901988</v>
      </c>
      <c r="P2184" s="4">
        <f t="shared" ca="1" si="204"/>
        <v>-1.0362944715944322</v>
      </c>
      <c r="Q2184" s="4">
        <f t="shared" ca="1" si="205"/>
        <v>1942.8177841907157</v>
      </c>
      <c r="R2184" s="4">
        <f t="shared" ca="1" si="206"/>
        <v>19.147740190715695</v>
      </c>
      <c r="S2184" s="4">
        <f t="shared" ca="1" si="207"/>
        <v>9.8420198489325017</v>
      </c>
    </row>
    <row r="2185" spans="15:19" x14ac:dyDescent="0.2">
      <c r="O2185" s="4">
        <f t="shared" ca="1" si="203"/>
        <v>0.8867808817581726</v>
      </c>
      <c r="P2185" s="4">
        <f t="shared" ca="1" si="204"/>
        <v>1.2095848445403232</v>
      </c>
      <c r="Q2185" s="4">
        <f t="shared" ca="1" si="205"/>
        <v>1900.4410250050178</v>
      </c>
      <c r="R2185" s="4">
        <f t="shared" ca="1" si="206"/>
        <v>-23.229018994982198</v>
      </c>
      <c r="S2185" s="4">
        <f t="shared" ca="1" si="207"/>
        <v>-11.539107547325665</v>
      </c>
    </row>
    <row r="2186" spans="15:19" x14ac:dyDescent="0.2">
      <c r="O2186" s="4">
        <f t="shared" ca="1" si="203"/>
        <v>9.6239806235638659E-2</v>
      </c>
      <c r="P2186" s="4">
        <f t="shared" ca="1" si="204"/>
        <v>-1.3032787520115596</v>
      </c>
      <c r="Q2186" s="4">
        <f t="shared" ca="1" si="205"/>
        <v>1947.8554228903211</v>
      </c>
      <c r="R2186" s="4">
        <f t="shared" ca="1" si="206"/>
        <v>24.18537889032109</v>
      </c>
      <c r="S2186" s="4">
        <f t="shared" ca="1" si="207"/>
        <v>12.480983728855648</v>
      </c>
    </row>
    <row r="2187" spans="15:19" x14ac:dyDescent="0.2">
      <c r="O2187" s="4">
        <f t="shared" ca="1" si="203"/>
        <v>0.70039743434953861</v>
      </c>
      <c r="P2187" s="4">
        <f t="shared" ca="1" si="204"/>
        <v>0.52554391806986989</v>
      </c>
      <c r="Q2187" s="4">
        <f t="shared" ca="1" si="205"/>
        <v>1913.3479685820612</v>
      </c>
      <c r="R2187" s="4">
        <f t="shared" ca="1" si="206"/>
        <v>-10.322075417938777</v>
      </c>
      <c r="S2187" s="4">
        <f t="shared" ca="1" si="207"/>
        <v>-5.1817643915811766</v>
      </c>
    </row>
    <row r="2188" spans="15:19" x14ac:dyDescent="0.2">
      <c r="O2188" s="4">
        <f t="shared" ca="1" si="203"/>
        <v>0.21102423088215105</v>
      </c>
      <c r="P2188" s="4">
        <f t="shared" ca="1" si="204"/>
        <v>-0.80287244898044741</v>
      </c>
      <c r="Q2188" s="4">
        <f t="shared" ca="1" si="205"/>
        <v>1938.4134207105021</v>
      </c>
      <c r="R2188" s="4">
        <f t="shared" ca="1" si="206"/>
        <v>14.743376710502162</v>
      </c>
      <c r="S2188" s="4">
        <f t="shared" ca="1" si="207"/>
        <v>7.5517251810664279</v>
      </c>
    </row>
    <row r="2189" spans="15:19" x14ac:dyDescent="0.2">
      <c r="O2189" s="4">
        <f t="shared" ca="1" si="203"/>
        <v>0.70688934543424164</v>
      </c>
      <c r="P2189" s="4">
        <f t="shared" ca="1" si="204"/>
        <v>0.54431996698981033</v>
      </c>
      <c r="Q2189" s="4">
        <f t="shared" ca="1" si="205"/>
        <v>1912.9936894817449</v>
      </c>
      <c r="R2189" s="4">
        <f t="shared" ca="1" si="206"/>
        <v>-10.676354518255039</v>
      </c>
      <c r="S2189" s="4">
        <f t="shared" ca="1" si="207"/>
        <v>-5.3580756302198385</v>
      </c>
    </row>
    <row r="2190" spans="15:19" x14ac:dyDescent="0.2">
      <c r="O2190" s="4">
        <f t="shared" ca="1" si="203"/>
        <v>0.99458419584661828</v>
      </c>
      <c r="P2190" s="4">
        <f t="shared" ca="1" si="204"/>
        <v>2.548084976600308</v>
      </c>
      <c r="Q2190" s="4">
        <f t="shared" ca="1" si="205"/>
        <v>1875.1853056264936</v>
      </c>
      <c r="R2190" s="4">
        <f t="shared" ca="1" si="206"/>
        <v>-48.484738373506389</v>
      </c>
      <c r="S2190" s="4">
        <f t="shared" ca="1" si="207"/>
        <v>-23.586523403289569</v>
      </c>
    </row>
    <row r="2191" spans="15:19" x14ac:dyDescent="0.2">
      <c r="O2191" s="4">
        <f t="shared" ca="1" si="203"/>
        <v>0.94071520515850815</v>
      </c>
      <c r="P2191" s="4">
        <f t="shared" ca="1" si="204"/>
        <v>1.5608057528226875</v>
      </c>
      <c r="Q2191" s="4">
        <f t="shared" ca="1" si="205"/>
        <v>1893.8139530406704</v>
      </c>
      <c r="R2191" s="4">
        <f t="shared" ca="1" si="206"/>
        <v>-29.856090959329549</v>
      </c>
      <c r="S2191" s="4">
        <f t="shared" ca="1" si="207"/>
        <v>-14.750589804221004</v>
      </c>
    </row>
    <row r="2192" spans="15:19" x14ac:dyDescent="0.2">
      <c r="O2192" s="4">
        <f t="shared" ca="1" si="203"/>
        <v>0.18029744147179094</v>
      </c>
      <c r="P2192" s="4">
        <f t="shared" ca="1" si="204"/>
        <v>-0.91423213315970353</v>
      </c>
      <c r="Q2192" s="4">
        <f t="shared" ca="1" si="205"/>
        <v>1940.5146300166109</v>
      </c>
      <c r="R2192" s="4">
        <f t="shared" ca="1" si="206"/>
        <v>16.844586016610947</v>
      </c>
      <c r="S2192" s="4">
        <f t="shared" ca="1" si="207"/>
        <v>8.6423962866251944</v>
      </c>
    </row>
    <row r="2193" spans="15:19" x14ac:dyDescent="0.2">
      <c r="O2193" s="4">
        <f t="shared" ca="1" si="203"/>
        <v>0.90833851307004465</v>
      </c>
      <c r="P2193" s="4">
        <f t="shared" ca="1" si="204"/>
        <v>1.3305929792753874</v>
      </c>
      <c r="Q2193" s="4">
        <f t="shared" ca="1" si="205"/>
        <v>1898.157762254282</v>
      </c>
      <c r="R2193" s="4">
        <f t="shared" ca="1" si="206"/>
        <v>-25.512281745717928</v>
      </c>
      <c r="S2193" s="4">
        <f t="shared" ca="1" si="207"/>
        <v>-12.649615109078553</v>
      </c>
    </row>
    <row r="2194" spans="15:19" x14ac:dyDescent="0.2">
      <c r="O2194" s="4">
        <f t="shared" ca="1" si="203"/>
        <v>0.11717778709559912</v>
      </c>
      <c r="P2194" s="4">
        <f t="shared" ca="1" si="204"/>
        <v>-1.1892137269248573</v>
      </c>
      <c r="Q2194" s="4">
        <f t="shared" ca="1" si="205"/>
        <v>1945.7031673951642</v>
      </c>
      <c r="R2194" s="4">
        <f t="shared" ca="1" si="206"/>
        <v>22.033123395164239</v>
      </c>
      <c r="S2194" s="4">
        <f t="shared" ca="1" si="207"/>
        <v>11.350998101518599</v>
      </c>
    </row>
    <row r="2195" spans="15:19" x14ac:dyDescent="0.2">
      <c r="O2195" s="4">
        <f t="shared" ca="1" si="203"/>
        <v>0.88931885413409428</v>
      </c>
      <c r="P2195" s="4">
        <f t="shared" ca="1" si="204"/>
        <v>1.2229137046795429</v>
      </c>
      <c r="Q2195" s="4">
        <f t="shared" ca="1" si="205"/>
        <v>1900.1895271207452</v>
      </c>
      <c r="R2195" s="4">
        <f t="shared" ca="1" si="206"/>
        <v>-23.480516879254765</v>
      </c>
      <c r="S2195" s="4">
        <f t="shared" ca="1" si="207"/>
        <v>-11.661636255298355</v>
      </c>
    </row>
    <row r="2196" spans="15:19" x14ac:dyDescent="0.2">
      <c r="O2196" s="4">
        <f t="shared" ca="1" si="203"/>
        <v>0.65055233724387695</v>
      </c>
      <c r="P2196" s="4">
        <f t="shared" ca="1" si="204"/>
        <v>0.38681209080781281</v>
      </c>
      <c r="Q2196" s="4">
        <f t="shared" ca="1" si="205"/>
        <v>1915.9656538659676</v>
      </c>
      <c r="R2196" s="4">
        <f t="shared" ca="1" si="206"/>
        <v>-7.7043901340323373</v>
      </c>
      <c r="S2196" s="4">
        <f t="shared" ca="1" si="207"/>
        <v>-3.8758750862186138</v>
      </c>
    </row>
    <row r="2197" spans="15:19" x14ac:dyDescent="0.2">
      <c r="O2197" s="4">
        <f t="shared" ca="1" si="203"/>
        <v>0.58689419966561895</v>
      </c>
      <c r="P2197" s="4">
        <f t="shared" ca="1" si="204"/>
        <v>0.21956288351232847</v>
      </c>
      <c r="Q2197" s="4">
        <f t="shared" ca="1" si="205"/>
        <v>1919.1214242275548</v>
      </c>
      <c r="R2197" s="4">
        <f t="shared" ca="1" si="206"/>
        <v>-4.5486197724451358</v>
      </c>
      <c r="S2197" s="4">
        <f t="shared" ca="1" si="207"/>
        <v>-2.2941336435094257</v>
      </c>
    </row>
    <row r="2198" spans="15:19" x14ac:dyDescent="0.2">
      <c r="O2198" s="4">
        <f t="shared" ca="1" si="203"/>
        <v>0.3427543866046201</v>
      </c>
      <c r="P2198" s="4">
        <f t="shared" ca="1" si="204"/>
        <v>-0.40495747011588867</v>
      </c>
      <c r="Q2198" s="4">
        <f t="shared" ca="1" si="205"/>
        <v>1930.9052936644121</v>
      </c>
      <c r="R2198" s="4">
        <f t="shared" ca="1" si="206"/>
        <v>7.2352496644120947</v>
      </c>
      <c r="S2198" s="4">
        <f t="shared" ca="1" si="207"/>
        <v>3.6838638495448555</v>
      </c>
    </row>
    <row r="2199" spans="15:19" x14ac:dyDescent="0.2">
      <c r="O2199" s="4">
        <f t="shared" ca="1" si="203"/>
        <v>0.36970976687608725</v>
      </c>
      <c r="P2199" s="4">
        <f t="shared" ca="1" si="204"/>
        <v>-0.33262213346802944</v>
      </c>
      <c r="Q2199" s="4">
        <f t="shared" ca="1" si="205"/>
        <v>1929.5404219548232</v>
      </c>
      <c r="R2199" s="4">
        <f t="shared" ca="1" si="206"/>
        <v>5.8703779548231978</v>
      </c>
      <c r="S2199" s="4">
        <f t="shared" ca="1" si="207"/>
        <v>2.9856709704341333</v>
      </c>
    </row>
    <row r="2200" spans="15:19" x14ac:dyDescent="0.2">
      <c r="O2200" s="4">
        <f t="shared" ca="1" si="203"/>
        <v>0.85992433677110458</v>
      </c>
      <c r="P2200" s="4">
        <f t="shared" ca="1" si="204"/>
        <v>1.079979460958703</v>
      </c>
      <c r="Q2200" s="4">
        <f t="shared" ca="1" si="205"/>
        <v>1902.8865064205822</v>
      </c>
      <c r="R2200" s="4">
        <f t="shared" ca="1" si="206"/>
        <v>-20.783537579417725</v>
      </c>
      <c r="S2200" s="4">
        <f t="shared" ca="1" si="207"/>
        <v>-10.344994531289679</v>
      </c>
    </row>
    <row r="2201" spans="15:19" x14ac:dyDescent="0.2">
      <c r="O2201" s="4">
        <f t="shared" ca="1" si="203"/>
        <v>0.37102615761093971</v>
      </c>
      <c r="P2201" s="4">
        <f t="shared" ca="1" si="204"/>
        <v>-0.32913676667063518</v>
      </c>
      <c r="Q2201" s="4">
        <f t="shared" ca="1" si="205"/>
        <v>1929.4746577134476</v>
      </c>
      <c r="R2201" s="4">
        <f t="shared" ca="1" si="206"/>
        <v>5.8046137134476794</v>
      </c>
      <c r="S2201" s="4">
        <f t="shared" ca="1" si="207"/>
        <v>2.9520679207771701</v>
      </c>
    </row>
    <row r="2202" spans="15:19" x14ac:dyDescent="0.2">
      <c r="O2202" s="4">
        <f t="shared" ca="1" si="203"/>
        <v>0.66674083534058171</v>
      </c>
      <c r="P2202" s="4">
        <f t="shared" ca="1" si="204"/>
        <v>0.43093129263669999</v>
      </c>
      <c r="Q2202" s="4">
        <f t="shared" ca="1" si="205"/>
        <v>1915.1331831370483</v>
      </c>
      <c r="R2202" s="4">
        <f t="shared" ca="1" si="206"/>
        <v>-8.5368608629516984</v>
      </c>
      <c r="S2202" s="4">
        <f t="shared" ca="1" si="207"/>
        <v>-4.2917761982276454</v>
      </c>
    </row>
    <row r="2203" spans="15:19" x14ac:dyDescent="0.2">
      <c r="O2203" s="4">
        <f t="shared" ca="1" si="203"/>
        <v>0.43431282823790385</v>
      </c>
      <c r="P2203" s="4">
        <f t="shared" ca="1" si="204"/>
        <v>-0.16540444345740637</v>
      </c>
      <c r="Q2203" s="4">
        <f t="shared" ca="1" si="205"/>
        <v>1926.3852462825328</v>
      </c>
      <c r="R2203" s="4">
        <f t="shared" ca="1" si="206"/>
        <v>2.7152022825328004</v>
      </c>
      <c r="S2203" s="4">
        <f t="shared" ca="1" si="207"/>
        <v>1.3774630365602982</v>
      </c>
    </row>
    <row r="2204" spans="15:19" x14ac:dyDescent="0.2">
      <c r="O2204" s="4">
        <f t="shared" ca="1" si="203"/>
        <v>0.30548998969172125</v>
      </c>
      <c r="P2204" s="4">
        <f t="shared" ca="1" si="204"/>
        <v>-0.50867509889237983</v>
      </c>
      <c r="Q2204" s="4">
        <f t="shared" ca="1" si="205"/>
        <v>1932.8623075370617</v>
      </c>
      <c r="R2204" s="4">
        <f t="shared" ca="1" si="206"/>
        <v>9.1922635370617627</v>
      </c>
      <c r="S2204" s="4">
        <f t="shared" ca="1" si="207"/>
        <v>4.6876102567650584</v>
      </c>
    </row>
    <row r="2205" spans="15:19" x14ac:dyDescent="0.2">
      <c r="O2205" s="4">
        <f t="shared" ca="1" si="203"/>
        <v>0.90750730186829964</v>
      </c>
      <c r="P2205" s="4">
        <f t="shared" ca="1" si="204"/>
        <v>1.3255602616611561</v>
      </c>
      <c r="Q2205" s="4">
        <f t="shared" ca="1" si="205"/>
        <v>1898.2527229500131</v>
      </c>
      <c r="R2205" s="4">
        <f t="shared" ca="1" si="206"/>
        <v>-25.417321049986867</v>
      </c>
      <c r="S2205" s="4">
        <f t="shared" ca="1" si="207"/>
        <v>-12.603513787945104</v>
      </c>
    </row>
    <row r="2206" spans="15:19" x14ac:dyDescent="0.2">
      <c r="O2206" s="4">
        <f t="shared" ca="1" si="203"/>
        <v>0.87846563280315926</v>
      </c>
      <c r="P2206" s="4">
        <f t="shared" ca="1" si="204"/>
        <v>1.1673507925174218</v>
      </c>
      <c r="Q2206" s="4">
        <f t="shared" ca="1" si="205"/>
        <v>1901.2379254614013</v>
      </c>
      <c r="R2206" s="4">
        <f t="shared" ca="1" si="206"/>
        <v>-22.432118538598615</v>
      </c>
      <c r="S2206" s="4">
        <f t="shared" ca="1" si="207"/>
        <v>-11.150520913887936</v>
      </c>
    </row>
    <row r="2207" spans="15:19" x14ac:dyDescent="0.2">
      <c r="O2207" s="4">
        <f t="shared" ca="1" si="203"/>
        <v>0.97559432815338765</v>
      </c>
      <c r="P2207" s="4">
        <f t="shared" ca="1" si="204"/>
        <v>1.9702358757407217</v>
      </c>
      <c r="Q2207" s="4">
        <f t="shared" ca="1" si="205"/>
        <v>1886.0885505234378</v>
      </c>
      <c r="R2207" s="4">
        <f t="shared" ca="1" si="206"/>
        <v>-37.581493476562173</v>
      </c>
      <c r="S2207" s="4">
        <f t="shared" ca="1" si="207"/>
        <v>-18.449188291423095</v>
      </c>
    </row>
    <row r="2208" spans="15:19" x14ac:dyDescent="0.2">
      <c r="O2208" s="4">
        <f t="shared" ca="1" si="203"/>
        <v>6.2634755884125481E-2</v>
      </c>
      <c r="P2208" s="4">
        <f t="shared" ca="1" si="204"/>
        <v>-1.5330257447256905</v>
      </c>
      <c r="Q2208" s="4">
        <f t="shared" ca="1" si="205"/>
        <v>1952.1904434383712</v>
      </c>
      <c r="R2208" s="4">
        <f t="shared" ca="1" si="206"/>
        <v>28.520399438371214</v>
      </c>
      <c r="S2208" s="4">
        <f t="shared" ca="1" si="207"/>
        <v>14.768421025380619</v>
      </c>
    </row>
    <row r="2209" spans="15:19" x14ac:dyDescent="0.2">
      <c r="O2209" s="4">
        <f t="shared" ca="1" si="203"/>
        <v>5.3672253773341727E-2</v>
      </c>
      <c r="P2209" s="4">
        <f t="shared" ca="1" si="204"/>
        <v>-1.610244420145754</v>
      </c>
      <c r="Q2209" s="4">
        <f t="shared" ca="1" si="205"/>
        <v>1953.647457263382</v>
      </c>
      <c r="R2209" s="4">
        <f t="shared" ca="1" si="206"/>
        <v>29.977413263382005</v>
      </c>
      <c r="S2209" s="4">
        <f t="shared" ca="1" si="207"/>
        <v>15.540671068758323</v>
      </c>
    </row>
    <row r="2210" spans="15:19" x14ac:dyDescent="0.2">
      <c r="O2210" s="4">
        <f t="shared" ca="1" si="203"/>
        <v>0.12169069691778478</v>
      </c>
      <c r="P2210" s="4">
        <f t="shared" ca="1" si="204"/>
        <v>-1.1665766097056898</v>
      </c>
      <c r="Q2210" s="4">
        <f t="shared" ca="1" si="205"/>
        <v>1945.2760350652284</v>
      </c>
      <c r="R2210" s="4">
        <f t="shared" ca="1" si="206"/>
        <v>21.605991065228409</v>
      </c>
      <c r="S2210" s="4">
        <f t="shared" ca="1" si="207"/>
        <v>11.127191893648273</v>
      </c>
    </row>
    <row r="2211" spans="15:19" x14ac:dyDescent="0.2">
      <c r="O2211" s="4">
        <f t="shared" ca="1" si="203"/>
        <v>0.22144157637088147</v>
      </c>
      <c r="P2211" s="4">
        <f t="shared" ca="1" si="204"/>
        <v>-0.76733367298696986</v>
      </c>
      <c r="Q2211" s="4">
        <f t="shared" ca="1" si="205"/>
        <v>1937.7428512185393</v>
      </c>
      <c r="R2211" s="4">
        <f t="shared" ca="1" si="206"/>
        <v>14.07280721853931</v>
      </c>
      <c r="S2211" s="4">
        <f t="shared" ca="1" si="207"/>
        <v>7.2044104340999162</v>
      </c>
    </row>
    <row r="2212" spans="15:19" x14ac:dyDescent="0.2">
      <c r="O2212" s="4">
        <f t="shared" ca="1" si="203"/>
        <v>0.86969105097129196</v>
      </c>
      <c r="P2212" s="4">
        <f t="shared" ca="1" si="204"/>
        <v>1.1249318880146724</v>
      </c>
      <c r="Q2212" s="4">
        <f t="shared" ca="1" si="205"/>
        <v>1902.0383138385153</v>
      </c>
      <c r="R2212" s="4">
        <f t="shared" ca="1" si="206"/>
        <v>-21.631730161484711</v>
      </c>
      <c r="S2212" s="4">
        <f t="shared" ca="1" si="207"/>
        <v>-10.759713073417446</v>
      </c>
    </row>
    <row r="2213" spans="15:19" x14ac:dyDescent="0.2">
      <c r="O2213" s="4">
        <f t="shared" ca="1" si="203"/>
        <v>0.71469116130658106</v>
      </c>
      <c r="P2213" s="4">
        <f t="shared" ca="1" si="204"/>
        <v>0.56714204770548282</v>
      </c>
      <c r="Q2213" s="4">
        <f t="shared" ca="1" si="205"/>
        <v>1912.5630671363424</v>
      </c>
      <c r="R2213" s="4">
        <f t="shared" ca="1" si="206"/>
        <v>-11.106976863657565</v>
      </c>
      <c r="S2213" s="4">
        <f t="shared" ca="1" si="207"/>
        <v>-5.5722424115785518</v>
      </c>
    </row>
    <row r="2214" spans="15:19" x14ac:dyDescent="0.2">
      <c r="O2214" s="4">
        <f t="shared" ca="1" si="203"/>
        <v>0.70849728117203892</v>
      </c>
      <c r="P2214" s="4">
        <f t="shared" ca="1" si="204"/>
        <v>0.54900001773390461</v>
      </c>
      <c r="Q2214" s="4">
        <f t="shared" ca="1" si="205"/>
        <v>1912.9053831413576</v>
      </c>
      <c r="R2214" s="4">
        <f t="shared" ca="1" si="206"/>
        <v>-10.764660858642401</v>
      </c>
      <c r="S2214" s="4">
        <f t="shared" ca="1" si="207"/>
        <v>-5.4020064289216627</v>
      </c>
    </row>
    <row r="2215" spans="15:19" x14ac:dyDescent="0.2">
      <c r="O2215" s="4">
        <f t="shared" ca="1" si="203"/>
        <v>0.27429529726013246</v>
      </c>
      <c r="P2215" s="4">
        <f t="shared" ca="1" si="204"/>
        <v>-0.59987342498673835</v>
      </c>
      <c r="Q2215" s="4">
        <f t="shared" ca="1" si="205"/>
        <v>1934.5830987992081</v>
      </c>
      <c r="R2215" s="4">
        <f t="shared" ca="1" si="206"/>
        <v>10.913054799208112</v>
      </c>
      <c r="S2215" s="4">
        <f t="shared" ca="1" si="207"/>
        <v>5.5727750454968694</v>
      </c>
    </row>
    <row r="2216" spans="15:19" x14ac:dyDescent="0.2">
      <c r="O2216" s="4">
        <f t="shared" ca="1" si="203"/>
        <v>0.55736595164167879</v>
      </c>
      <c r="P2216" s="4">
        <f t="shared" ca="1" si="204"/>
        <v>0.14429427774997439</v>
      </c>
      <c r="Q2216" s="4">
        <f t="shared" ca="1" si="205"/>
        <v>1920.5416428286701</v>
      </c>
      <c r="R2216" s="4">
        <f t="shared" ca="1" si="206"/>
        <v>-3.1284011713298696</v>
      </c>
      <c r="S2216" s="4">
        <f t="shared" ca="1" si="207"/>
        <v>-1.5796433720032468</v>
      </c>
    </row>
    <row r="2217" spans="15:19" x14ac:dyDescent="0.2">
      <c r="O2217" s="4">
        <f t="shared" ca="1" si="203"/>
        <v>0.49756250029249272</v>
      </c>
      <c r="P2217" s="4">
        <f t="shared" ca="1" si="204"/>
        <v>-6.1099437015006515E-3</v>
      </c>
      <c r="Q2217" s="4">
        <f t="shared" ca="1" si="205"/>
        <v>1923.3795706848875</v>
      </c>
      <c r="R2217" s="4">
        <f t="shared" ca="1" si="206"/>
        <v>-0.29047331511242191</v>
      </c>
      <c r="S2217" s="4">
        <f t="shared" ca="1" si="207"/>
        <v>-0.14700609090571756</v>
      </c>
    </row>
    <row r="2218" spans="15:19" x14ac:dyDescent="0.2">
      <c r="O2218" s="4">
        <f t="shared" ca="1" si="203"/>
        <v>0.54234218242266952</v>
      </c>
      <c r="P2218" s="4">
        <f t="shared" ca="1" si="204"/>
        <v>0.10633616949480132</v>
      </c>
      <c r="Q2218" s="4">
        <f t="shared" ca="1" si="205"/>
        <v>1921.2578619064798</v>
      </c>
      <c r="R2218" s="4">
        <f t="shared" ca="1" si="206"/>
        <v>-2.4121820935201868</v>
      </c>
      <c r="S2218" s="4">
        <f t="shared" ca="1" si="207"/>
        <v>-1.2187016206989751</v>
      </c>
    </row>
    <row r="2219" spans="15:19" x14ac:dyDescent="0.2">
      <c r="O2219" s="4">
        <f t="shared" ca="1" si="203"/>
        <v>0.96154081034848882</v>
      </c>
      <c r="P2219" s="4">
        <f t="shared" ca="1" si="204"/>
        <v>1.7688531799597129</v>
      </c>
      <c r="Q2219" s="4">
        <f t="shared" ca="1" si="205"/>
        <v>1889.8883744685488</v>
      </c>
      <c r="R2219" s="4">
        <f t="shared" ca="1" si="206"/>
        <v>-33.781669531451143</v>
      </c>
      <c r="S2219" s="4">
        <f t="shared" ca="1" si="207"/>
        <v>-16.636064117684924</v>
      </c>
    </row>
    <row r="2220" spans="15:19" x14ac:dyDescent="0.2">
      <c r="O2220" s="4">
        <f t="shared" ca="1" si="203"/>
        <v>0.39207350888707326</v>
      </c>
      <c r="P2220" s="4">
        <f t="shared" ca="1" si="204"/>
        <v>-0.27391880763071613</v>
      </c>
      <c r="Q2220" s="4">
        <f t="shared" ca="1" si="205"/>
        <v>1928.4327681799584</v>
      </c>
      <c r="R2220" s="4">
        <f t="shared" ca="1" si="206"/>
        <v>4.7627241799584681</v>
      </c>
      <c r="S2220" s="4">
        <f t="shared" ca="1" si="207"/>
        <v>2.4201714020498146</v>
      </c>
    </row>
    <row r="2221" spans="15:19" x14ac:dyDescent="0.2">
      <c r="O2221" s="4">
        <f t="shared" ca="1" si="203"/>
        <v>0.83556598138747007</v>
      </c>
      <c r="P2221" s="4">
        <f t="shared" ca="1" si="204"/>
        <v>0.97639645568011035</v>
      </c>
      <c r="Q2221" s="4">
        <f t="shared" ca="1" si="205"/>
        <v>1904.8409801266657</v>
      </c>
      <c r="R2221" s="4">
        <f t="shared" ca="1" si="206"/>
        <v>-18.829063873334235</v>
      </c>
      <c r="S2221" s="4">
        <f t="shared" ca="1" si="207"/>
        <v>-9.3871368246683264</v>
      </c>
    </row>
    <row r="2222" spans="15:19" x14ac:dyDescent="0.2">
      <c r="O2222" s="4">
        <f t="shared" ca="1" si="203"/>
        <v>7.5057341204495698E-2</v>
      </c>
      <c r="P2222" s="4">
        <f t="shared" ca="1" si="204"/>
        <v>-1.4391265094536561</v>
      </c>
      <c r="Q2222" s="4">
        <f t="shared" ca="1" si="205"/>
        <v>1950.4186896080305</v>
      </c>
      <c r="R2222" s="4">
        <f t="shared" ca="1" si="206"/>
        <v>26.748645608030529</v>
      </c>
      <c r="S2222" s="4">
        <f t="shared" ca="1" si="207"/>
        <v>13.831680384599851</v>
      </c>
    </row>
    <row r="2223" spans="15:19" x14ac:dyDescent="0.2">
      <c r="O2223" s="4">
        <f t="shared" ca="1" si="203"/>
        <v>0.74896761371813469</v>
      </c>
      <c r="P2223" s="4">
        <f t="shared" ca="1" si="204"/>
        <v>0.67124451844751842</v>
      </c>
      <c r="Q2223" s="4">
        <f t="shared" ca="1" si="205"/>
        <v>1910.5987918070412</v>
      </c>
      <c r="R2223" s="4">
        <f t="shared" ca="1" si="206"/>
        <v>-13.071252192958809</v>
      </c>
      <c r="S2223" s="4">
        <f t="shared" ca="1" si="207"/>
        <v>-6.5472450070164223</v>
      </c>
    </row>
    <row r="2224" spans="15:19" x14ac:dyDescent="0.2">
      <c r="O2224" s="4">
        <f t="shared" ca="1" si="203"/>
        <v>0.32357998202070704</v>
      </c>
      <c r="P2224" s="4">
        <f t="shared" ca="1" si="204"/>
        <v>-0.45771116710323656</v>
      </c>
      <c r="Q2224" s="4">
        <f t="shared" ca="1" si="205"/>
        <v>1931.9006858465864</v>
      </c>
      <c r="R2224" s="4">
        <f t="shared" ca="1" si="206"/>
        <v>8.2306418465864226</v>
      </c>
      <c r="S2224" s="4">
        <f t="shared" ca="1" si="207"/>
        <v>4.1940078010308248</v>
      </c>
    </row>
    <row r="2225" spans="15:19" x14ac:dyDescent="0.2">
      <c r="O2225" s="4">
        <f t="shared" ca="1" si="203"/>
        <v>3.843927181288942E-2</v>
      </c>
      <c r="P2225" s="4">
        <f t="shared" ca="1" si="204"/>
        <v>-1.76909187486102</v>
      </c>
      <c r="Q2225" s="4">
        <f t="shared" ca="1" si="205"/>
        <v>1956.6446977149819</v>
      </c>
      <c r="R2225" s="4">
        <f t="shared" ca="1" si="206"/>
        <v>32.974653714981969</v>
      </c>
      <c r="S2225" s="4">
        <f t="shared" ca="1" si="207"/>
        <v>17.134710374763227</v>
      </c>
    </row>
    <row r="2226" spans="15:19" x14ac:dyDescent="0.2">
      <c r="O2226" s="4">
        <f t="shared" ca="1" si="203"/>
        <v>0.41750046676587749</v>
      </c>
      <c r="P2226" s="4">
        <f t="shared" ca="1" si="204"/>
        <v>-0.20829205662348874</v>
      </c>
      <c r="Q2226" s="4">
        <f t="shared" ca="1" si="205"/>
        <v>1927.1944785694734</v>
      </c>
      <c r="R2226" s="4">
        <f t="shared" ca="1" si="206"/>
        <v>3.524434569473442</v>
      </c>
      <c r="S2226" s="4">
        <f t="shared" ca="1" si="207"/>
        <v>1.7891597675549227</v>
      </c>
    </row>
    <row r="2227" spans="15:19" x14ac:dyDescent="0.2">
      <c r="O2227" s="4">
        <f t="shared" ca="1" si="203"/>
        <v>0.69220366685698664</v>
      </c>
      <c r="P2227" s="4">
        <f t="shared" ca="1" si="204"/>
        <v>0.50210641737614259</v>
      </c>
      <c r="Q2227" s="4">
        <f t="shared" ca="1" si="205"/>
        <v>1913.7902030849025</v>
      </c>
      <c r="R2227" s="4">
        <f t="shared" ca="1" si="206"/>
        <v>-9.8798409150974749</v>
      </c>
      <c r="S2227" s="4">
        <f t="shared" ca="1" si="207"/>
        <v>-4.9615377047207474</v>
      </c>
    </row>
    <row r="2228" spans="15:19" x14ac:dyDescent="0.2">
      <c r="O2228" s="4">
        <f t="shared" ca="1" si="203"/>
        <v>0.81309408890799295</v>
      </c>
      <c r="P2228" s="4">
        <f t="shared" ca="1" si="204"/>
        <v>0.88935592904384642</v>
      </c>
      <c r="Q2228" s="4">
        <f t="shared" ca="1" si="205"/>
        <v>1906.4833192364133</v>
      </c>
      <c r="R2228" s="4">
        <f t="shared" ca="1" si="206"/>
        <v>-17.186724763586653</v>
      </c>
      <c r="S2228" s="4">
        <f t="shared" ca="1" si="207"/>
        <v>-8.5798468817358398</v>
      </c>
    </row>
    <row r="2229" spans="15:19" x14ac:dyDescent="0.2">
      <c r="O2229" s="4">
        <f t="shared" ca="1" si="203"/>
        <v>0.75972169503267828</v>
      </c>
      <c r="P2229" s="4">
        <f t="shared" ca="1" si="204"/>
        <v>0.70540760933401547</v>
      </c>
      <c r="Q2229" s="4">
        <f t="shared" ca="1" si="205"/>
        <v>1909.954179665536</v>
      </c>
      <c r="R2229" s="4">
        <f t="shared" ca="1" si="206"/>
        <v>-13.715864334463959</v>
      </c>
      <c r="S2229" s="4">
        <f t="shared" ca="1" si="207"/>
        <v>-6.8665250002961553</v>
      </c>
    </row>
    <row r="2230" spans="15:19" x14ac:dyDescent="0.2">
      <c r="O2230" s="4">
        <f t="shared" ca="1" si="203"/>
        <v>0.82386668825592246</v>
      </c>
      <c r="P2230" s="4">
        <f t="shared" ca="1" si="204"/>
        <v>0.93020177414978866</v>
      </c>
      <c r="Q2230" s="4">
        <f t="shared" ca="1" si="205"/>
        <v>1905.7126124004067</v>
      </c>
      <c r="R2230" s="4">
        <f t="shared" ca="1" si="206"/>
        <v>-17.957431599593292</v>
      </c>
      <c r="S2230" s="4">
        <f t="shared" ca="1" si="207"/>
        <v>-8.9589604185729996</v>
      </c>
    </row>
    <row r="2231" spans="15:19" x14ac:dyDescent="0.2">
      <c r="O2231" s="4">
        <f t="shared" ca="1" si="203"/>
        <v>0.72910414143328683</v>
      </c>
      <c r="P2231" s="4">
        <f t="shared" ca="1" si="204"/>
        <v>0.61010581157618893</v>
      </c>
      <c r="Q2231" s="4">
        <f t="shared" ca="1" si="205"/>
        <v>1911.7523979867669</v>
      </c>
      <c r="R2231" s="4">
        <f t="shared" ca="1" si="206"/>
        <v>-11.917646013233025</v>
      </c>
      <c r="S2231" s="4">
        <f t="shared" ca="1" si="207"/>
        <v>-5.9750129853598262</v>
      </c>
    </row>
    <row r="2232" spans="15:19" x14ac:dyDescent="0.2">
      <c r="O2232" s="4">
        <f t="shared" ca="1" si="203"/>
        <v>0.41103827871884246</v>
      </c>
      <c r="P2232" s="4">
        <f t="shared" ca="1" si="204"/>
        <v>-0.22487494972655883</v>
      </c>
      <c r="Q2232" s="4">
        <f t="shared" ca="1" si="205"/>
        <v>1927.5073757329953</v>
      </c>
      <c r="R2232" s="4">
        <f t="shared" ca="1" si="206"/>
        <v>3.8373317329953807</v>
      </c>
      <c r="S2232" s="4">
        <f t="shared" ca="1" si="207"/>
        <v>1.9484890506360408</v>
      </c>
    </row>
    <row r="2233" spans="15:19" x14ac:dyDescent="0.2">
      <c r="O2233" s="4">
        <f t="shared" ca="1" si="203"/>
        <v>0.25971187573213872</v>
      </c>
      <c r="P2233" s="4">
        <f t="shared" ca="1" si="204"/>
        <v>-0.6442339305785848</v>
      </c>
      <c r="Q2233" s="4">
        <f t="shared" ca="1" si="205"/>
        <v>1935.4201226095777</v>
      </c>
      <c r="R2233" s="4">
        <f t="shared" ca="1" si="206"/>
        <v>11.750078609577713</v>
      </c>
      <c r="S2233" s="4">
        <f t="shared" ca="1" si="207"/>
        <v>6.0042066300465118</v>
      </c>
    </row>
    <row r="2234" spans="15:19" x14ac:dyDescent="0.2">
      <c r="O2234" s="4">
        <f t="shared" ca="1" si="203"/>
        <v>0.14429105068452663</v>
      </c>
      <c r="P2234" s="4">
        <f t="shared" ca="1" si="204"/>
        <v>-1.0612372355517803</v>
      </c>
      <c r="Q2234" s="4">
        <f t="shared" ca="1" si="205"/>
        <v>1943.288421011694</v>
      </c>
      <c r="R2234" s="4">
        <f t="shared" ca="1" si="206"/>
        <v>19.618377011694065</v>
      </c>
      <c r="S2234" s="4">
        <f t="shared" ca="1" si="207"/>
        <v>10.08768769876178</v>
      </c>
    </row>
    <row r="2235" spans="15:19" x14ac:dyDescent="0.2">
      <c r="O2235" s="4">
        <f t="shared" ca="1" si="203"/>
        <v>0.12820515242996111</v>
      </c>
      <c r="P2235" s="4">
        <f t="shared" ca="1" si="204"/>
        <v>-1.134916502370527</v>
      </c>
      <c r="Q2235" s="4">
        <f t="shared" ca="1" si="205"/>
        <v>1944.6786508982805</v>
      </c>
      <c r="R2235" s="4">
        <f t="shared" ca="1" si="206"/>
        <v>21.008606898280505</v>
      </c>
      <c r="S2235" s="4">
        <f t="shared" ca="1" si="207"/>
        <v>10.814427299274133</v>
      </c>
    </row>
    <row r="2236" spans="15:19" x14ac:dyDescent="0.2">
      <c r="O2236" s="4">
        <f t="shared" ca="1" si="203"/>
        <v>0.106093863134612</v>
      </c>
      <c r="P2236" s="4">
        <f t="shared" ca="1" si="204"/>
        <v>-1.2475723041691744</v>
      </c>
      <c r="Q2236" s="4">
        <f t="shared" ca="1" si="205"/>
        <v>1946.8043162220561</v>
      </c>
      <c r="R2236" s="4">
        <f t="shared" ca="1" si="206"/>
        <v>23.134272222056097</v>
      </c>
      <c r="S2236" s="4">
        <f t="shared" ca="1" si="207"/>
        <v>11.92865642840454</v>
      </c>
    </row>
    <row r="2237" spans="15:19" x14ac:dyDescent="0.2">
      <c r="O2237" s="4">
        <f t="shared" ca="1" si="203"/>
        <v>4.7273570805441145E-2</v>
      </c>
      <c r="P2237" s="4">
        <f t="shared" ca="1" si="204"/>
        <v>-1.6718842880739824</v>
      </c>
      <c r="Q2237" s="4">
        <f t="shared" ca="1" si="205"/>
        <v>1954.8105196864904</v>
      </c>
      <c r="R2237" s="4">
        <f t="shared" ca="1" si="206"/>
        <v>31.14047568649039</v>
      </c>
      <c r="S2237" s="4">
        <f t="shared" ca="1" si="207"/>
        <v>16.158360735705656</v>
      </c>
    </row>
    <row r="2238" spans="15:19" x14ac:dyDescent="0.2">
      <c r="O2238" s="4">
        <f t="shared" ca="1" si="203"/>
        <v>0.46416894450842427</v>
      </c>
      <c r="P2238" s="4">
        <f t="shared" ca="1" si="204"/>
        <v>-8.9936231767933528E-2</v>
      </c>
      <c r="Q2238" s="4">
        <f t="shared" ca="1" si="205"/>
        <v>1924.9612613827367</v>
      </c>
      <c r="R2238" s="4">
        <f t="shared" ca="1" si="206"/>
        <v>1.2912173827367042</v>
      </c>
      <c r="S2238" s="4">
        <f t="shared" ca="1" si="207"/>
        <v>0.65430556953766938</v>
      </c>
    </row>
    <row r="2239" spans="15:19" x14ac:dyDescent="0.2">
      <c r="O2239" s="4">
        <f t="shared" ca="1" si="203"/>
        <v>0.26408893250286702</v>
      </c>
      <c r="P2239" s="4">
        <f t="shared" ca="1" si="204"/>
        <v>-0.63078996601748538</v>
      </c>
      <c r="Q2239" s="4">
        <f t="shared" ca="1" si="205"/>
        <v>1935.1664528577733</v>
      </c>
      <c r="R2239" s="4">
        <f t="shared" ca="1" si="206"/>
        <v>11.496408857773304</v>
      </c>
      <c r="S2239" s="4">
        <f t="shared" ca="1" si="207"/>
        <v>5.8733960579951336</v>
      </c>
    </row>
    <row r="2240" spans="15:19" x14ac:dyDescent="0.2">
      <c r="O2240" s="4">
        <f t="shared" ca="1" si="203"/>
        <v>0.44822602461873751</v>
      </c>
      <c r="P2240" s="4">
        <f t="shared" ca="1" si="204"/>
        <v>-0.13014456868552329</v>
      </c>
      <c r="Q2240" s="4">
        <f t="shared" ca="1" si="205"/>
        <v>1925.7199392861189</v>
      </c>
      <c r="R2240" s="4">
        <f t="shared" ca="1" si="206"/>
        <v>2.0498952861189537</v>
      </c>
      <c r="S2240" s="4">
        <f t="shared" ca="1" si="207"/>
        <v>1.039387606023753</v>
      </c>
    </row>
    <row r="2241" spans="15:19" x14ac:dyDescent="0.2">
      <c r="O2241" s="4">
        <f t="shared" ca="1" si="203"/>
        <v>0.57098333794534695</v>
      </c>
      <c r="P2241" s="4">
        <f t="shared" ca="1" si="204"/>
        <v>0.17887822096383776</v>
      </c>
      <c r="Q2241" s="4">
        <f t="shared" ca="1" si="205"/>
        <v>1919.8890897628232</v>
      </c>
      <c r="R2241" s="4">
        <f t="shared" ca="1" si="206"/>
        <v>-3.7809542371767293</v>
      </c>
      <c r="S2241" s="4">
        <f t="shared" ca="1" si="207"/>
        <v>-1.9081367640416738</v>
      </c>
    </row>
    <row r="2242" spans="15:19" x14ac:dyDescent="0.2">
      <c r="O2242" s="4">
        <f t="shared" ca="1" si="203"/>
        <v>0.21794820629608391</v>
      </c>
      <c r="P2242" s="4">
        <f t="shared" ca="1" si="204"/>
        <v>-0.77914142101992734</v>
      </c>
      <c r="Q2242" s="4">
        <f t="shared" ca="1" si="205"/>
        <v>1937.9656477380686</v>
      </c>
      <c r="R2242" s="4">
        <f t="shared" ca="1" si="206"/>
        <v>14.295603738068621</v>
      </c>
      <c r="S2242" s="4">
        <f t="shared" ca="1" si="207"/>
        <v>7.3197650480625125</v>
      </c>
    </row>
    <row r="2243" spans="15:19" x14ac:dyDescent="0.2">
      <c r="O2243" s="4">
        <f t="shared" ref="O2243:O2306" ca="1" si="208">RAND()</f>
        <v>0.33544228354104322</v>
      </c>
      <c r="P2243" s="4">
        <f t="shared" ref="P2243:P2306" ca="1" si="209">NORMSINV(O2243)</f>
        <v>-0.4249343035096686</v>
      </c>
      <c r="Q2243" s="4">
        <f t="shared" ref="Q2243:Q2306" ca="1" si="210">$B$4*(1+$B$17-$B$32*P2243)</f>
        <v>1931.2822299725826</v>
      </c>
      <c r="R2243" s="4">
        <f t="shared" ref="R2243:R2306" ca="1" si="211">Q2243-$B$4</f>
        <v>7.6121859725826653</v>
      </c>
      <c r="S2243" s="4">
        <f t="shared" ref="S2243:S2306" ca="1" si="212">R2243*$B$12+0.5*$B$13*R2243^2</f>
        <v>3.876950879013652</v>
      </c>
    </row>
    <row r="2244" spans="15:19" x14ac:dyDescent="0.2">
      <c r="O2244" s="4">
        <f t="shared" ca="1" si="208"/>
        <v>0.41893767527333226</v>
      </c>
      <c r="P2244" s="4">
        <f t="shared" ca="1" si="209"/>
        <v>-0.20461190858313325</v>
      </c>
      <c r="Q2244" s="4">
        <f t="shared" ca="1" si="210"/>
        <v>1927.1250390647976</v>
      </c>
      <c r="R2244" s="4">
        <f t="shared" ca="1" si="211"/>
        <v>3.4549950647976857</v>
      </c>
      <c r="S2244" s="4">
        <f t="shared" ca="1" si="212"/>
        <v>1.7538115247929038</v>
      </c>
    </row>
    <row r="2245" spans="15:19" x14ac:dyDescent="0.2">
      <c r="O2245" s="4">
        <f t="shared" ca="1" si="208"/>
        <v>0.29520672048040375</v>
      </c>
      <c r="P2245" s="4">
        <f t="shared" ca="1" si="209"/>
        <v>-0.53823699716569162</v>
      </c>
      <c r="Q2245" s="4">
        <f t="shared" ca="1" si="210"/>
        <v>1933.4201012863523</v>
      </c>
      <c r="R2245" s="4">
        <f t="shared" ca="1" si="211"/>
        <v>9.7500572863523303</v>
      </c>
      <c r="S2245" s="4">
        <f t="shared" ca="1" si="212"/>
        <v>4.9742719722437085</v>
      </c>
    </row>
    <row r="2246" spans="15:19" x14ac:dyDescent="0.2">
      <c r="O2246" s="4">
        <f t="shared" ca="1" si="208"/>
        <v>0.3096787295107889</v>
      </c>
      <c r="P2246" s="4">
        <f t="shared" ca="1" si="209"/>
        <v>-0.49676120049373174</v>
      </c>
      <c r="Q2246" s="4">
        <f t="shared" ca="1" si="210"/>
        <v>1932.6375081011456</v>
      </c>
      <c r="R2246" s="4">
        <f t="shared" ca="1" si="211"/>
        <v>8.9674641011456515</v>
      </c>
      <c r="S2246" s="4">
        <f t="shared" ca="1" si="212"/>
        <v>4.5721528031276497</v>
      </c>
    </row>
    <row r="2247" spans="15:19" x14ac:dyDescent="0.2">
      <c r="O2247" s="4">
        <f t="shared" ca="1" si="208"/>
        <v>0.24349487324875185</v>
      </c>
      <c r="P2247" s="4">
        <f t="shared" ca="1" si="209"/>
        <v>-0.69510460910977301</v>
      </c>
      <c r="Q2247" s="4">
        <f t="shared" ca="1" si="210"/>
        <v>1936.3799847349562</v>
      </c>
      <c r="R2247" s="4">
        <f t="shared" ca="1" si="211"/>
        <v>12.709940734956263</v>
      </c>
      <c r="S2247" s="4">
        <f t="shared" ca="1" si="212"/>
        <v>6.499655511155682</v>
      </c>
    </row>
    <row r="2248" spans="15:19" x14ac:dyDescent="0.2">
      <c r="O2248" s="4">
        <f t="shared" ca="1" si="208"/>
        <v>0.17890841704858407</v>
      </c>
      <c r="P2248" s="4">
        <f t="shared" ca="1" si="209"/>
        <v>-0.91953303626751726</v>
      </c>
      <c r="Q2248" s="4">
        <f t="shared" ca="1" si="210"/>
        <v>1940.614651016338</v>
      </c>
      <c r="R2248" s="4">
        <f t="shared" ca="1" si="211"/>
        <v>16.944607016338068</v>
      </c>
      <c r="S2248" s="4">
        <f t="shared" ca="1" si="212"/>
        <v>8.6944036392895008</v>
      </c>
    </row>
    <row r="2249" spans="15:19" x14ac:dyDescent="0.2">
      <c r="O2249" s="4">
        <f t="shared" ca="1" si="208"/>
        <v>0.80071260797629751</v>
      </c>
      <c r="P2249" s="4">
        <f t="shared" ca="1" si="209"/>
        <v>0.84416934128926258</v>
      </c>
      <c r="Q2249" s="4">
        <f t="shared" ca="1" si="210"/>
        <v>1907.3359301197954</v>
      </c>
      <c r="R2249" s="4">
        <f t="shared" ca="1" si="211"/>
        <v>-16.334113880204541</v>
      </c>
      <c r="S2249" s="4">
        <f t="shared" ca="1" si="212"/>
        <v>-8.1598810341743313</v>
      </c>
    </row>
    <row r="2250" spans="15:19" x14ac:dyDescent="0.2">
      <c r="O2250" s="4">
        <f t="shared" ca="1" si="208"/>
        <v>0.15830619515424582</v>
      </c>
      <c r="P2250" s="4">
        <f t="shared" ca="1" si="209"/>
        <v>-1.0014436081549043</v>
      </c>
      <c r="Q2250" s="4">
        <f t="shared" ca="1" si="210"/>
        <v>1942.1601946947974</v>
      </c>
      <c r="R2250" s="4">
        <f t="shared" ca="1" si="211"/>
        <v>18.490150694797421</v>
      </c>
      <c r="S2250" s="4">
        <f t="shared" ca="1" si="212"/>
        <v>9.499066527065585</v>
      </c>
    </row>
    <row r="2251" spans="15:19" x14ac:dyDescent="0.2">
      <c r="O2251" s="4">
        <f t="shared" ca="1" si="208"/>
        <v>0.57754197765686099</v>
      </c>
      <c r="P2251" s="4">
        <f t="shared" ca="1" si="209"/>
        <v>0.19560921807604609</v>
      </c>
      <c r="Q2251" s="4">
        <f t="shared" ca="1" si="210"/>
        <v>1919.5733980733958</v>
      </c>
      <c r="R2251" s="4">
        <f t="shared" ca="1" si="211"/>
        <v>-4.0966459266041966</v>
      </c>
      <c r="S2251" s="4">
        <f t="shared" ca="1" si="212"/>
        <v>-2.0669306518310617</v>
      </c>
    </row>
    <row r="2252" spans="15:19" x14ac:dyDescent="0.2">
      <c r="O2252" s="4">
        <f t="shared" ca="1" si="208"/>
        <v>7.1177109197999466E-2</v>
      </c>
      <c r="P2252" s="4">
        <f t="shared" ca="1" si="209"/>
        <v>-1.4670802782154906</v>
      </c>
      <c r="Q2252" s="4">
        <f t="shared" ca="1" si="210"/>
        <v>1950.9461400897385</v>
      </c>
      <c r="R2252" s="4">
        <f t="shared" ca="1" si="211"/>
        <v>27.27609608973853</v>
      </c>
      <c r="S2252" s="4">
        <f t="shared" ca="1" si="212"/>
        <v>14.110280575426572</v>
      </c>
    </row>
    <row r="2253" spans="15:19" x14ac:dyDescent="0.2">
      <c r="O2253" s="4">
        <f t="shared" ca="1" si="208"/>
        <v>0.38572064860761524</v>
      </c>
      <c r="P2253" s="4">
        <f t="shared" ca="1" si="209"/>
        <v>-0.29049013433504861</v>
      </c>
      <c r="Q2253" s="4">
        <f t="shared" ca="1" si="210"/>
        <v>1928.7454471009012</v>
      </c>
      <c r="R2253" s="4">
        <f t="shared" ca="1" si="211"/>
        <v>5.0754031009012124</v>
      </c>
      <c r="S2253" s="4">
        <f t="shared" ca="1" si="212"/>
        <v>2.5797047506760311</v>
      </c>
    </row>
    <row r="2254" spans="15:19" x14ac:dyDescent="0.2">
      <c r="O2254" s="4">
        <f t="shared" ca="1" si="208"/>
        <v>0.91682337826749383</v>
      </c>
      <c r="P2254" s="4">
        <f t="shared" ca="1" si="209"/>
        <v>1.3840170194270975</v>
      </c>
      <c r="Q2254" s="4">
        <f t="shared" ca="1" si="210"/>
        <v>1897.1497215871048</v>
      </c>
      <c r="R2254" s="4">
        <f t="shared" ca="1" si="211"/>
        <v>-26.520322412895212</v>
      </c>
      <c r="S2254" s="4">
        <f t="shared" ca="1" si="212"/>
        <v>-13.138543988237711</v>
      </c>
    </row>
    <row r="2255" spans="15:19" x14ac:dyDescent="0.2">
      <c r="O2255" s="4">
        <f t="shared" ca="1" si="208"/>
        <v>0.97594856258240958</v>
      </c>
      <c r="P2255" s="4">
        <f t="shared" ca="1" si="209"/>
        <v>1.9764584708571158</v>
      </c>
      <c r="Q2255" s="4">
        <f t="shared" ca="1" si="210"/>
        <v>1885.9711384199186</v>
      </c>
      <c r="R2255" s="4">
        <f t="shared" ca="1" si="211"/>
        <v>-37.698905580081373</v>
      </c>
      <c r="S2255" s="4">
        <f t="shared" ca="1" si="212"/>
        <v>-18.505025432577643</v>
      </c>
    </row>
    <row r="2256" spans="15:19" x14ac:dyDescent="0.2">
      <c r="O2256" s="4">
        <f t="shared" ca="1" si="208"/>
        <v>0.11820130905516102</v>
      </c>
      <c r="P2256" s="4">
        <f t="shared" ca="1" si="209"/>
        <v>-1.1840263859165503</v>
      </c>
      <c r="Q2256" s="4">
        <f t="shared" ca="1" si="210"/>
        <v>1945.6052891613945</v>
      </c>
      <c r="R2256" s="4">
        <f t="shared" ca="1" si="211"/>
        <v>21.935245161394505</v>
      </c>
      <c r="S2256" s="4">
        <f t="shared" ca="1" si="212"/>
        <v>11.299699339633964</v>
      </c>
    </row>
    <row r="2257" spans="15:19" x14ac:dyDescent="0.2">
      <c r="O2257" s="4">
        <f t="shared" ca="1" si="208"/>
        <v>0.65925202549497774</v>
      </c>
      <c r="P2257" s="4">
        <f t="shared" ca="1" si="209"/>
        <v>0.41042262936553897</v>
      </c>
      <c r="Q2257" s="4">
        <f t="shared" ca="1" si="210"/>
        <v>1915.5201543685025</v>
      </c>
      <c r="R2257" s="4">
        <f t="shared" ca="1" si="211"/>
        <v>-8.1498896314974445</v>
      </c>
      <c r="S2257" s="4">
        <f t="shared" ca="1" si="212"/>
        <v>-4.0985161355315034</v>
      </c>
    </row>
    <row r="2258" spans="15:19" x14ac:dyDescent="0.2">
      <c r="O2258" s="4">
        <f t="shared" ca="1" si="208"/>
        <v>0.89366789926452828</v>
      </c>
      <c r="P2258" s="4">
        <f t="shared" ca="1" si="209"/>
        <v>1.2462729598869275</v>
      </c>
      <c r="Q2258" s="4">
        <f t="shared" ca="1" si="210"/>
        <v>1899.7487690062867</v>
      </c>
      <c r="R2258" s="4">
        <f t="shared" ca="1" si="211"/>
        <v>-23.921274993713268</v>
      </c>
      <c r="S2258" s="4">
        <f t="shared" ca="1" si="212"/>
        <v>-11.87624754487317</v>
      </c>
    </row>
    <row r="2259" spans="15:19" x14ac:dyDescent="0.2">
      <c r="O2259" s="4">
        <f t="shared" ca="1" si="208"/>
        <v>0.54955781142907645</v>
      </c>
      <c r="P2259" s="4">
        <f t="shared" ca="1" si="209"/>
        <v>0.12454423675620373</v>
      </c>
      <c r="Q2259" s="4">
        <f t="shared" ca="1" si="210"/>
        <v>1920.9142998655323</v>
      </c>
      <c r="R2259" s="4">
        <f t="shared" ca="1" si="211"/>
        <v>-2.7557441344677045</v>
      </c>
      <c r="S2259" s="4">
        <f t="shared" ca="1" si="212"/>
        <v>-1.3918933382378851</v>
      </c>
    </row>
    <row r="2260" spans="15:19" x14ac:dyDescent="0.2">
      <c r="O2260" s="4">
        <f t="shared" ca="1" si="208"/>
        <v>0.95329012554201698</v>
      </c>
      <c r="P2260" s="4">
        <f t="shared" ca="1" si="209"/>
        <v>1.6776279704589327</v>
      </c>
      <c r="Q2260" s="4">
        <f t="shared" ca="1" si="210"/>
        <v>1891.6096729848614</v>
      </c>
      <c r="R2260" s="4">
        <f t="shared" ca="1" si="211"/>
        <v>-32.060371015138571</v>
      </c>
      <c r="S2260" s="4">
        <f t="shared" ca="1" si="212"/>
        <v>-15.810860653715404</v>
      </c>
    </row>
    <row r="2261" spans="15:19" x14ac:dyDescent="0.2">
      <c r="O2261" s="4">
        <f t="shared" ca="1" si="208"/>
        <v>0.12807421223558257</v>
      </c>
      <c r="P2261" s="4">
        <f t="shared" ca="1" si="209"/>
        <v>-1.1355416899715887</v>
      </c>
      <c r="Q2261" s="4">
        <f t="shared" ca="1" si="210"/>
        <v>1944.6904473577899</v>
      </c>
      <c r="R2261" s="4">
        <f t="shared" ca="1" si="211"/>
        <v>21.020403357789974</v>
      </c>
      <c r="S2261" s="4">
        <f t="shared" ca="1" si="212"/>
        <v>10.820600604906407</v>
      </c>
    </row>
    <row r="2262" spans="15:19" x14ac:dyDescent="0.2">
      <c r="O2262" s="4">
        <f t="shared" ca="1" si="208"/>
        <v>1.5869994686956934E-2</v>
      </c>
      <c r="P2262" s="4">
        <f t="shared" ca="1" si="209"/>
        <v>-2.1476698847747899</v>
      </c>
      <c r="Q2262" s="4">
        <f t="shared" ca="1" si="210"/>
        <v>1963.7879618449206</v>
      </c>
      <c r="R2262" s="4">
        <f t="shared" ca="1" si="211"/>
        <v>40.117917844920612</v>
      </c>
      <c r="S2262" s="4">
        <f t="shared" ca="1" si="212"/>
        <v>20.963239443689947</v>
      </c>
    </row>
    <row r="2263" spans="15:19" x14ac:dyDescent="0.2">
      <c r="O2263" s="4">
        <f t="shared" ca="1" si="208"/>
        <v>0.62021470489571973</v>
      </c>
      <c r="P2263" s="4">
        <f t="shared" ca="1" si="209"/>
        <v>0.30604472845003416</v>
      </c>
      <c r="Q2263" s="4">
        <f t="shared" ca="1" si="210"/>
        <v>1917.4896266992855</v>
      </c>
      <c r="R2263" s="4">
        <f t="shared" ca="1" si="211"/>
        <v>-6.1804173007144527</v>
      </c>
      <c r="S2263" s="4">
        <f t="shared" ca="1" si="212"/>
        <v>-3.1130387238604103</v>
      </c>
    </row>
    <row r="2264" spans="15:19" x14ac:dyDescent="0.2">
      <c r="O2264" s="4">
        <f t="shared" ca="1" si="208"/>
        <v>0.65585277324284563</v>
      </c>
      <c r="P2264" s="4">
        <f t="shared" ca="1" si="209"/>
        <v>0.40117069676074935</v>
      </c>
      <c r="Q2264" s="4">
        <f t="shared" ca="1" si="210"/>
        <v>1915.6947260461429</v>
      </c>
      <c r="R2264" s="4">
        <f t="shared" ca="1" si="211"/>
        <v>-7.9753179538570294</v>
      </c>
      <c r="S2264" s="4">
        <f t="shared" ca="1" si="212"/>
        <v>-4.0112921441155702</v>
      </c>
    </row>
    <row r="2265" spans="15:19" x14ac:dyDescent="0.2">
      <c r="O2265" s="4">
        <f t="shared" ca="1" si="208"/>
        <v>0.7926301430453313</v>
      </c>
      <c r="P2265" s="4">
        <f t="shared" ca="1" si="209"/>
        <v>0.81558118539034519</v>
      </c>
      <c r="Q2265" s="4">
        <f t="shared" ca="1" si="210"/>
        <v>1907.8753506440364</v>
      </c>
      <c r="R2265" s="4">
        <f t="shared" ca="1" si="211"/>
        <v>-15.794693355963545</v>
      </c>
      <c r="S2265" s="4">
        <f t="shared" ca="1" si="212"/>
        <v>-7.8938759727606929</v>
      </c>
    </row>
    <row r="2266" spans="15:19" x14ac:dyDescent="0.2">
      <c r="O2266" s="4">
        <f t="shared" ca="1" si="208"/>
        <v>0.67309483447034313</v>
      </c>
      <c r="P2266" s="4">
        <f t="shared" ca="1" si="209"/>
        <v>0.44847512987999516</v>
      </c>
      <c r="Q2266" s="4">
        <f t="shared" ca="1" si="210"/>
        <v>1914.8021542341542</v>
      </c>
      <c r="R2266" s="4">
        <f t="shared" ca="1" si="211"/>
        <v>-8.8678897658458027</v>
      </c>
      <c r="S2266" s="4">
        <f t="shared" ca="1" si="212"/>
        <v>-4.4570009518962319</v>
      </c>
    </row>
    <row r="2267" spans="15:19" x14ac:dyDescent="0.2">
      <c r="O2267" s="4">
        <f t="shared" ca="1" si="208"/>
        <v>4.7493337565321814E-2</v>
      </c>
      <c r="P2267" s="4">
        <f t="shared" ca="1" si="209"/>
        <v>-1.6696598832886327</v>
      </c>
      <c r="Q2267" s="4">
        <f t="shared" ca="1" si="210"/>
        <v>1954.7685481231731</v>
      </c>
      <c r="R2267" s="4">
        <f t="shared" ca="1" si="211"/>
        <v>31.098504123173143</v>
      </c>
      <c r="S2267" s="4">
        <f t="shared" ca="1" si="212"/>
        <v>16.136050945627133</v>
      </c>
    </row>
    <row r="2268" spans="15:19" x14ac:dyDescent="0.2">
      <c r="O2268" s="4">
        <f t="shared" ca="1" si="208"/>
        <v>0.66967848127053431</v>
      </c>
      <c r="P2268" s="4">
        <f t="shared" ca="1" si="209"/>
        <v>0.43902553032737995</v>
      </c>
      <c r="Q2268" s="4">
        <f t="shared" ca="1" si="210"/>
        <v>1914.9804556245122</v>
      </c>
      <c r="R2268" s="4">
        <f t="shared" ca="1" si="211"/>
        <v>-8.6895883754878014</v>
      </c>
      <c r="S2268" s="4">
        <f t="shared" ca="1" si="212"/>
        <v>-4.368017381129337</v>
      </c>
    </row>
    <row r="2269" spans="15:19" x14ac:dyDescent="0.2">
      <c r="O2269" s="4">
        <f t="shared" ca="1" si="208"/>
        <v>0.49092931724494215</v>
      </c>
      <c r="P2269" s="4">
        <f t="shared" ca="1" si="209"/>
        <v>-2.2738789236841837E-2</v>
      </c>
      <c r="Q2269" s="4">
        <f t="shared" ca="1" si="210"/>
        <v>1923.6933349097615</v>
      </c>
      <c r="R2269" s="4">
        <f t="shared" ca="1" si="211"/>
        <v>2.3290909761499279E-2</v>
      </c>
      <c r="S2269" s="4">
        <f t="shared" ca="1" si="212"/>
        <v>1.1790307474938913E-2</v>
      </c>
    </row>
    <row r="2270" spans="15:19" x14ac:dyDescent="0.2">
      <c r="O2270" s="4">
        <f t="shared" ca="1" si="208"/>
        <v>8.2148309085256832E-2</v>
      </c>
      <c r="P2270" s="4">
        <f t="shared" ca="1" si="209"/>
        <v>-1.3907652688339136</v>
      </c>
      <c r="Q2270" s="4">
        <f t="shared" ca="1" si="210"/>
        <v>1949.5061772424101</v>
      </c>
      <c r="R2270" s="4">
        <f t="shared" ca="1" si="211"/>
        <v>25.836133242410142</v>
      </c>
      <c r="S2270" s="4">
        <f t="shared" ca="1" si="212"/>
        <v>13.350224771200519</v>
      </c>
    </row>
    <row r="2271" spans="15:19" x14ac:dyDescent="0.2">
      <c r="O2271" s="4">
        <f t="shared" ca="1" si="208"/>
        <v>0.44254654617190636</v>
      </c>
      <c r="P2271" s="4">
        <f t="shared" ca="1" si="209"/>
        <v>-0.144515912051146</v>
      </c>
      <c r="Q2271" s="4">
        <f t="shared" ca="1" si="210"/>
        <v>1925.9911074440001</v>
      </c>
      <c r="R2271" s="4">
        <f t="shared" ca="1" si="211"/>
        <v>2.3210634440001741</v>
      </c>
      <c r="S2271" s="4">
        <f t="shared" ca="1" si="212"/>
        <v>1.1771380684451169</v>
      </c>
    </row>
    <row r="2272" spans="15:19" x14ac:dyDescent="0.2">
      <c r="O2272" s="4">
        <f t="shared" ca="1" si="208"/>
        <v>0.84269170553196715</v>
      </c>
      <c r="P2272" s="4">
        <f t="shared" ca="1" si="209"/>
        <v>1.005582202016073</v>
      </c>
      <c r="Q2272" s="4">
        <f t="shared" ca="1" si="210"/>
        <v>1904.290283864739</v>
      </c>
      <c r="R2272" s="4">
        <f t="shared" ca="1" si="211"/>
        <v>-19.379760135260995</v>
      </c>
      <c r="S2272" s="4">
        <f t="shared" ca="1" si="212"/>
        <v>-9.6573393370457126</v>
      </c>
    </row>
    <row r="2273" spans="15:19" x14ac:dyDescent="0.2">
      <c r="O2273" s="4">
        <f t="shared" ca="1" si="208"/>
        <v>0.56128232228271313</v>
      </c>
      <c r="P2273" s="4">
        <f t="shared" ca="1" si="209"/>
        <v>0.15422116390527246</v>
      </c>
      <c r="Q2273" s="4">
        <f t="shared" ca="1" si="210"/>
        <v>1920.354335674165</v>
      </c>
      <c r="R2273" s="4">
        <f t="shared" ca="1" si="211"/>
        <v>-3.3157083258349758</v>
      </c>
      <c r="S2273" s="4">
        <f t="shared" ca="1" si="212"/>
        <v>-1.6739687443922311</v>
      </c>
    </row>
    <row r="2274" spans="15:19" x14ac:dyDescent="0.2">
      <c r="O2274" s="4">
        <f t="shared" ca="1" si="208"/>
        <v>0.5275012629404835</v>
      </c>
      <c r="P2274" s="4">
        <f t="shared" ca="1" si="209"/>
        <v>6.8990132237124149E-2</v>
      </c>
      <c r="Q2274" s="4">
        <f t="shared" ca="1" si="210"/>
        <v>1921.9625320176647</v>
      </c>
      <c r="R2274" s="4">
        <f t="shared" ca="1" si="211"/>
        <v>-1.7075119823352907</v>
      </c>
      <c r="S2274" s="4">
        <f t="shared" ca="1" si="212"/>
        <v>-0.86317244049408548</v>
      </c>
    </row>
    <row r="2275" spans="15:19" x14ac:dyDescent="0.2">
      <c r="O2275" s="4">
        <f t="shared" ca="1" si="208"/>
        <v>0.92736951654855149</v>
      </c>
      <c r="P2275" s="4">
        <f t="shared" ca="1" si="209"/>
        <v>1.4564764075302172</v>
      </c>
      <c r="Q2275" s="4">
        <f t="shared" ca="1" si="210"/>
        <v>1895.7825091913498</v>
      </c>
      <c r="R2275" s="4">
        <f t="shared" ca="1" si="211"/>
        <v>-27.887534808650116</v>
      </c>
      <c r="S2275" s="4">
        <f t="shared" ca="1" si="212"/>
        <v>-13.800359596778165</v>
      </c>
    </row>
    <row r="2276" spans="15:19" x14ac:dyDescent="0.2">
      <c r="O2276" s="4">
        <f t="shared" ca="1" si="208"/>
        <v>0.86479032906188114</v>
      </c>
      <c r="P2276" s="4">
        <f t="shared" ca="1" si="209"/>
        <v>1.1020973718163989</v>
      </c>
      <c r="Q2276" s="4">
        <f t="shared" ca="1" si="210"/>
        <v>1902.4691708249545</v>
      </c>
      <c r="R2276" s="4">
        <f t="shared" ca="1" si="211"/>
        <v>-21.200873175045444</v>
      </c>
      <c r="S2276" s="4">
        <f t="shared" ca="1" si="212"/>
        <v>-10.549121397863111</v>
      </c>
    </row>
    <row r="2277" spans="15:19" x14ac:dyDescent="0.2">
      <c r="O2277" s="4">
        <f t="shared" ca="1" si="208"/>
        <v>0.95612372388788791</v>
      </c>
      <c r="P2277" s="4">
        <f t="shared" ca="1" si="209"/>
        <v>1.7073740405896476</v>
      </c>
      <c r="Q2277" s="4">
        <f t="shared" ca="1" si="210"/>
        <v>1891.0484041572827</v>
      </c>
      <c r="R2277" s="4">
        <f t="shared" ca="1" si="211"/>
        <v>-32.621639842717286</v>
      </c>
      <c r="S2277" s="4">
        <f t="shared" ca="1" si="212"/>
        <v>-16.080202192105499</v>
      </c>
    </row>
    <row r="2278" spans="15:19" x14ac:dyDescent="0.2">
      <c r="O2278" s="4">
        <f t="shared" ca="1" si="208"/>
        <v>0.27118384781863147</v>
      </c>
      <c r="P2278" s="4">
        <f t="shared" ca="1" si="209"/>
        <v>-0.60923649168708915</v>
      </c>
      <c r="Q2278" s="4">
        <f t="shared" ca="1" si="210"/>
        <v>1934.7597674295966</v>
      </c>
      <c r="R2278" s="4">
        <f t="shared" ca="1" si="211"/>
        <v>11.089723429596688</v>
      </c>
      <c r="S2278" s="4">
        <f t="shared" ca="1" si="212"/>
        <v>5.6637887964290394</v>
      </c>
    </row>
    <row r="2279" spans="15:19" x14ac:dyDescent="0.2">
      <c r="O2279" s="4">
        <f t="shared" ca="1" si="208"/>
        <v>1.1549206450086613E-2</v>
      </c>
      <c r="P2279" s="4">
        <f t="shared" ca="1" si="209"/>
        <v>-2.2718029783084015</v>
      </c>
      <c r="Q2279" s="4">
        <f t="shared" ca="1" si="210"/>
        <v>1966.1301884168729</v>
      </c>
      <c r="R2279" s="4">
        <f t="shared" ca="1" si="211"/>
        <v>42.460144416872936</v>
      </c>
      <c r="S2279" s="4">
        <f t="shared" ca="1" si="212"/>
        <v>22.227631394098694</v>
      </c>
    </row>
    <row r="2280" spans="15:19" x14ac:dyDescent="0.2">
      <c r="O2280" s="4">
        <f t="shared" ca="1" si="208"/>
        <v>0.48194762167260385</v>
      </c>
      <c r="P2280" s="4">
        <f t="shared" ca="1" si="209"/>
        <v>-4.5266055666924196E-2</v>
      </c>
      <c r="Q2280" s="4">
        <f t="shared" ca="1" si="210"/>
        <v>1924.1183945012372</v>
      </c>
      <c r="R2280" s="4">
        <f t="shared" ca="1" si="211"/>
        <v>0.44835050123720066</v>
      </c>
      <c r="S2280" s="4">
        <f t="shared" ca="1" si="212"/>
        <v>0.22704124358865721</v>
      </c>
    </row>
    <row r="2281" spans="15:19" x14ac:dyDescent="0.2">
      <c r="O2281" s="4">
        <f t="shared" ca="1" si="208"/>
        <v>1.0112729660509578E-2</v>
      </c>
      <c r="P2281" s="4">
        <f t="shared" ca="1" si="209"/>
        <v>-2.3221388693773299</v>
      </c>
      <c r="Q2281" s="4">
        <f t="shared" ca="1" si="210"/>
        <v>1967.0799598132703</v>
      </c>
      <c r="R2281" s="4">
        <f t="shared" ca="1" si="211"/>
        <v>43.409915813270345</v>
      </c>
      <c r="S2281" s="4">
        <f t="shared" ca="1" si="212"/>
        <v>22.741614293008514</v>
      </c>
    </row>
    <row r="2282" spans="15:19" x14ac:dyDescent="0.2">
      <c r="O2282" s="4">
        <f t="shared" ca="1" si="208"/>
        <v>0.80370592911704519</v>
      </c>
      <c r="P2282" s="4">
        <f t="shared" ca="1" si="209"/>
        <v>0.8549331780593874</v>
      </c>
      <c r="Q2282" s="4">
        <f t="shared" ca="1" si="210"/>
        <v>1907.1328308190248</v>
      </c>
      <c r="R2282" s="4">
        <f t="shared" ca="1" si="211"/>
        <v>-16.537213180975186</v>
      </c>
      <c r="S2282" s="4">
        <f t="shared" ca="1" si="212"/>
        <v>-8.2599742369805575</v>
      </c>
    </row>
    <row r="2283" spans="15:19" x14ac:dyDescent="0.2">
      <c r="O2283" s="4">
        <f t="shared" ca="1" si="208"/>
        <v>0.69813165268568456</v>
      </c>
      <c r="P2283" s="4">
        <f t="shared" ca="1" si="209"/>
        <v>0.51903448330645363</v>
      </c>
      <c r="Q2283" s="4">
        <f t="shared" ca="1" si="210"/>
        <v>1913.470792968671</v>
      </c>
      <c r="R2283" s="4">
        <f t="shared" ca="1" si="211"/>
        <v>-10.199251031328913</v>
      </c>
      <c r="S2283" s="4">
        <f t="shared" ca="1" si="212"/>
        <v>-5.1206155098795598</v>
      </c>
    </row>
    <row r="2284" spans="15:19" x14ac:dyDescent="0.2">
      <c r="O2284" s="4">
        <f t="shared" ca="1" si="208"/>
        <v>0.445095415021865</v>
      </c>
      <c r="P2284" s="4">
        <f t="shared" ca="1" si="209"/>
        <v>-0.13806274359766899</v>
      </c>
      <c r="Q2284" s="4">
        <f t="shared" ca="1" si="210"/>
        <v>1925.8693447279122</v>
      </c>
      <c r="R2284" s="4">
        <f t="shared" ca="1" si="211"/>
        <v>2.1993007279122594</v>
      </c>
      <c r="S2284" s="4">
        <f t="shared" ca="1" si="212"/>
        <v>1.1152765331940158</v>
      </c>
    </row>
    <row r="2285" spans="15:19" x14ac:dyDescent="0.2">
      <c r="O2285" s="4">
        <f t="shared" ca="1" si="208"/>
        <v>2.2638307856148732E-2</v>
      </c>
      <c r="P2285" s="4">
        <f t="shared" ca="1" si="209"/>
        <v>-2.0020754660882329</v>
      </c>
      <c r="Q2285" s="4">
        <f t="shared" ca="1" si="210"/>
        <v>1961.0407885773557</v>
      </c>
      <c r="R2285" s="4">
        <f t="shared" ca="1" si="211"/>
        <v>37.370744577355708</v>
      </c>
      <c r="S2285" s="4">
        <f t="shared" ca="1" si="212"/>
        <v>19.485938654681743</v>
      </c>
    </row>
    <row r="2286" spans="15:19" x14ac:dyDescent="0.2">
      <c r="O2286" s="4">
        <f t="shared" ca="1" si="208"/>
        <v>0.20244039873651942</v>
      </c>
      <c r="P2286" s="4">
        <f t="shared" ca="1" si="209"/>
        <v>-0.83293604877838157</v>
      </c>
      <c r="Q2286" s="4">
        <f t="shared" ca="1" si="210"/>
        <v>1938.9806809010827</v>
      </c>
      <c r="R2286" s="4">
        <f t="shared" ca="1" si="211"/>
        <v>15.310636901082717</v>
      </c>
      <c r="S2286" s="4">
        <f t="shared" ca="1" si="212"/>
        <v>7.8458177433033764</v>
      </c>
    </row>
    <row r="2287" spans="15:19" x14ac:dyDescent="0.2">
      <c r="O2287" s="4">
        <f t="shared" ca="1" si="208"/>
        <v>2.245385878581041E-2</v>
      </c>
      <c r="P2287" s="4">
        <f t="shared" ca="1" si="209"/>
        <v>-2.0055178204443109</v>
      </c>
      <c r="Q2287" s="4">
        <f t="shared" ca="1" si="210"/>
        <v>1961.1057412311034</v>
      </c>
      <c r="R2287" s="4">
        <f t="shared" ca="1" si="211"/>
        <v>37.435697231103404</v>
      </c>
      <c r="S2287" s="4">
        <f t="shared" ca="1" si="212"/>
        <v>19.520796223476779</v>
      </c>
    </row>
    <row r="2288" spans="15:19" x14ac:dyDescent="0.2">
      <c r="O2288" s="4">
        <f t="shared" ca="1" si="208"/>
        <v>0.53656514299406888</v>
      </c>
      <c r="P2288" s="4">
        <f t="shared" ca="1" si="209"/>
        <v>9.1783927674685725E-2</v>
      </c>
      <c r="Q2288" s="4">
        <f t="shared" ca="1" si="210"/>
        <v>1921.5324433778851</v>
      </c>
      <c r="R2288" s="4">
        <f t="shared" ca="1" si="211"/>
        <v>-2.13760062211486</v>
      </c>
      <c r="S2288" s="4">
        <f t="shared" ca="1" si="212"/>
        <v>-1.0802143362720689</v>
      </c>
    </row>
    <row r="2289" spans="15:19" x14ac:dyDescent="0.2">
      <c r="O2289" s="4">
        <f t="shared" ca="1" si="208"/>
        <v>0.48360538903185435</v>
      </c>
      <c r="P2289" s="4">
        <f t="shared" ca="1" si="209"/>
        <v>-4.1106769277411838E-2</v>
      </c>
      <c r="Q2289" s="4">
        <f t="shared" ca="1" si="210"/>
        <v>1924.039914292418</v>
      </c>
      <c r="R2289" s="4">
        <f t="shared" ca="1" si="211"/>
        <v>0.36987029241799974</v>
      </c>
      <c r="S2289" s="4">
        <f t="shared" ca="1" si="212"/>
        <v>0.18728765357841209</v>
      </c>
    </row>
    <row r="2290" spans="15:19" x14ac:dyDescent="0.2">
      <c r="O2290" s="4">
        <f t="shared" ca="1" si="208"/>
        <v>0.40188343284797312</v>
      </c>
      <c r="P2290" s="4">
        <f t="shared" ca="1" si="209"/>
        <v>-0.24847505826690761</v>
      </c>
      <c r="Q2290" s="4">
        <f t="shared" ca="1" si="210"/>
        <v>1927.952678429888</v>
      </c>
      <c r="R2290" s="4">
        <f t="shared" ca="1" si="211"/>
        <v>4.2826344298880485</v>
      </c>
      <c r="S2290" s="4">
        <f t="shared" ca="1" si="212"/>
        <v>2.1753775358425083</v>
      </c>
    </row>
    <row r="2291" spans="15:19" x14ac:dyDescent="0.2">
      <c r="O2291" s="4">
        <f t="shared" ca="1" si="208"/>
        <v>0.25412864697255833</v>
      </c>
      <c r="P2291" s="4">
        <f t="shared" ca="1" si="209"/>
        <v>-0.66155369165371136</v>
      </c>
      <c r="Q2291" s="4">
        <f t="shared" ca="1" si="210"/>
        <v>1935.7469234928492</v>
      </c>
      <c r="R2291" s="4">
        <f t="shared" ca="1" si="211"/>
        <v>12.07687949284923</v>
      </c>
      <c r="S2291" s="4">
        <f t="shared" ca="1" si="212"/>
        <v>6.1728061522583912</v>
      </c>
    </row>
    <row r="2292" spans="15:19" x14ac:dyDescent="0.2">
      <c r="O2292" s="4">
        <f t="shared" ca="1" si="208"/>
        <v>3.9518249598646582E-2</v>
      </c>
      <c r="P2292" s="4">
        <f t="shared" ca="1" si="209"/>
        <v>-1.7563040905605027</v>
      </c>
      <c r="Q2292" s="4">
        <f t="shared" ca="1" si="210"/>
        <v>1956.4034092130003</v>
      </c>
      <c r="R2292" s="4">
        <f t="shared" ca="1" si="211"/>
        <v>32.733365213000297</v>
      </c>
      <c r="S2292" s="4">
        <f t="shared" ca="1" si="212"/>
        <v>17.006113856208177</v>
      </c>
    </row>
    <row r="2293" spans="15:19" x14ac:dyDescent="0.2">
      <c r="O2293" s="4">
        <f t="shared" ca="1" si="208"/>
        <v>0.65351519951770876</v>
      </c>
      <c r="P2293" s="4">
        <f t="shared" ca="1" si="209"/>
        <v>0.39482830930519253</v>
      </c>
      <c r="Q2293" s="4">
        <f t="shared" ca="1" si="210"/>
        <v>1915.8143984719654</v>
      </c>
      <c r="R2293" s="4">
        <f t="shared" ca="1" si="211"/>
        <v>-7.855645528034529</v>
      </c>
      <c r="S2293" s="4">
        <f t="shared" ca="1" si="212"/>
        <v>-3.9514839947641502</v>
      </c>
    </row>
    <row r="2294" spans="15:19" x14ac:dyDescent="0.2">
      <c r="O2294" s="4">
        <f t="shared" ca="1" si="208"/>
        <v>0.8681033914265015</v>
      </c>
      <c r="P2294" s="4">
        <f t="shared" ca="1" si="209"/>
        <v>1.1174704741046646</v>
      </c>
      <c r="Q2294" s="4">
        <f t="shared" ca="1" si="210"/>
        <v>1902.1791008069767</v>
      </c>
      <c r="R2294" s="4">
        <f t="shared" ca="1" si="211"/>
        <v>-21.490943193023213</v>
      </c>
      <c r="S2294" s="4">
        <f t="shared" ca="1" si="212"/>
        <v>-10.690916693218842</v>
      </c>
    </row>
    <row r="2295" spans="15:19" x14ac:dyDescent="0.2">
      <c r="O2295" s="4">
        <f t="shared" ca="1" si="208"/>
        <v>0.3127205710151546</v>
      </c>
      <c r="P2295" s="4">
        <f t="shared" ca="1" si="209"/>
        <v>-0.4881534667260054</v>
      </c>
      <c r="Q2295" s="4">
        <f t="shared" ca="1" si="210"/>
        <v>1932.4750915997829</v>
      </c>
      <c r="R2295" s="4">
        <f t="shared" ca="1" si="211"/>
        <v>8.8050475997829381</v>
      </c>
      <c r="S2295" s="4">
        <f t="shared" ca="1" si="212"/>
        <v>4.4887609539475388</v>
      </c>
    </row>
    <row r="2296" spans="15:19" x14ac:dyDescent="0.2">
      <c r="O2296" s="4">
        <f t="shared" ca="1" si="208"/>
        <v>0.38189260480546927</v>
      </c>
      <c r="P2296" s="4">
        <f t="shared" ca="1" si="209"/>
        <v>-0.30051388144214503</v>
      </c>
      <c r="Q2296" s="4">
        <f t="shared" ca="1" si="210"/>
        <v>1928.9345818928934</v>
      </c>
      <c r="R2296" s="4">
        <f t="shared" ca="1" si="211"/>
        <v>5.2645378928934861</v>
      </c>
      <c r="S2296" s="4">
        <f t="shared" ca="1" si="212"/>
        <v>2.6762427168544667</v>
      </c>
    </row>
    <row r="2297" spans="15:19" x14ac:dyDescent="0.2">
      <c r="O2297" s="4">
        <f t="shared" ca="1" si="208"/>
        <v>0.20595070494241263</v>
      </c>
      <c r="P2297" s="4">
        <f t="shared" ca="1" si="209"/>
        <v>-0.8205521550867021</v>
      </c>
      <c r="Q2297" s="4">
        <f t="shared" ca="1" si="210"/>
        <v>1938.7470132783465</v>
      </c>
      <c r="R2297" s="4">
        <f t="shared" ca="1" si="211"/>
        <v>15.076969278346496</v>
      </c>
      <c r="S2297" s="4">
        <f t="shared" ca="1" si="212"/>
        <v>7.72464246830131</v>
      </c>
    </row>
    <row r="2298" spans="15:19" x14ac:dyDescent="0.2">
      <c r="O2298" s="4">
        <f t="shared" ca="1" si="208"/>
        <v>0.10516032046581847</v>
      </c>
      <c r="P2298" s="4">
        <f t="shared" ca="1" si="209"/>
        <v>-1.2526842476706312</v>
      </c>
      <c r="Q2298" s="4">
        <f t="shared" ca="1" si="210"/>
        <v>1946.9007718050325</v>
      </c>
      <c r="R2298" s="4">
        <f t="shared" ca="1" si="211"/>
        <v>23.230727805032529</v>
      </c>
      <c r="S2298" s="4">
        <f t="shared" ca="1" si="212"/>
        <v>11.979303669253966</v>
      </c>
    </row>
    <row r="2299" spans="15:19" x14ac:dyDescent="0.2">
      <c r="O2299" s="4">
        <f t="shared" ca="1" si="208"/>
        <v>0.13002541204941609</v>
      </c>
      <c r="P2299" s="4">
        <f t="shared" ca="1" si="209"/>
        <v>-1.1262710112516656</v>
      </c>
      <c r="Q2299" s="4">
        <f t="shared" ca="1" si="210"/>
        <v>1944.51552196586</v>
      </c>
      <c r="R2299" s="4">
        <f t="shared" ca="1" si="211"/>
        <v>20.845477965860027</v>
      </c>
      <c r="S2299" s="4">
        <f t="shared" ca="1" si="212"/>
        <v>10.72907052504617</v>
      </c>
    </row>
    <row r="2300" spans="15:19" x14ac:dyDescent="0.2">
      <c r="O2300" s="4">
        <f t="shared" ca="1" si="208"/>
        <v>0.89642302327089873</v>
      </c>
      <c r="P2300" s="4">
        <f t="shared" ca="1" si="209"/>
        <v>1.2614300330298369</v>
      </c>
      <c r="Q2300" s="4">
        <f t="shared" ca="1" si="210"/>
        <v>1899.4627751713008</v>
      </c>
      <c r="R2300" s="4">
        <f t="shared" ca="1" si="211"/>
        <v>-24.207268828699171</v>
      </c>
      <c r="S2300" s="4">
        <f t="shared" ca="1" si="212"/>
        <v>-12.015417334574561</v>
      </c>
    </row>
    <row r="2301" spans="15:19" x14ac:dyDescent="0.2">
      <c r="O2301" s="4">
        <f t="shared" ca="1" si="208"/>
        <v>0.10676813424120679</v>
      </c>
      <c r="P2301" s="4">
        <f t="shared" ca="1" si="209"/>
        <v>-1.2439002741034735</v>
      </c>
      <c r="Q2301" s="4">
        <f t="shared" ca="1" si="210"/>
        <v>1946.7350298927777</v>
      </c>
      <c r="R2301" s="4">
        <f t="shared" ca="1" si="211"/>
        <v>23.064985892777713</v>
      </c>
      <c r="S2301" s="4">
        <f t="shared" ca="1" si="212"/>
        <v>11.892279990637666</v>
      </c>
    </row>
    <row r="2302" spans="15:19" x14ac:dyDescent="0.2">
      <c r="O2302" s="4">
        <f t="shared" ca="1" si="208"/>
        <v>0.45836274939963684</v>
      </c>
      <c r="P2302" s="4">
        <f t="shared" ca="1" si="209"/>
        <v>-0.10455931601920024</v>
      </c>
      <c r="Q2302" s="4">
        <f t="shared" ca="1" si="210"/>
        <v>1925.237179556708</v>
      </c>
      <c r="R2302" s="4">
        <f t="shared" ca="1" si="211"/>
        <v>1.5671355567080809</v>
      </c>
      <c r="S2302" s="4">
        <f t="shared" ca="1" si="212"/>
        <v>0.79429909570088197</v>
      </c>
    </row>
    <row r="2303" spans="15:19" x14ac:dyDescent="0.2">
      <c r="O2303" s="4">
        <f t="shared" ca="1" si="208"/>
        <v>1.1022651200280897E-3</v>
      </c>
      <c r="P2303" s="4">
        <f t="shared" ca="1" si="209"/>
        <v>-3.0611983184280742</v>
      </c>
      <c r="Q2303" s="4">
        <f t="shared" ca="1" si="210"/>
        <v>1981.0250298227486</v>
      </c>
      <c r="R2303" s="4">
        <f t="shared" ca="1" si="211"/>
        <v>57.354985822748631</v>
      </c>
      <c r="S2303" s="4">
        <f t="shared" ca="1" si="212"/>
        <v>30.372748254999109</v>
      </c>
    </row>
    <row r="2304" spans="15:19" x14ac:dyDescent="0.2">
      <c r="O2304" s="4">
        <f t="shared" ca="1" si="208"/>
        <v>6.6055934080485934E-2</v>
      </c>
      <c r="P2304" s="4">
        <f t="shared" ca="1" si="209"/>
        <v>-1.5058259176309317</v>
      </c>
      <c r="Q2304" s="4">
        <f t="shared" ca="1" si="210"/>
        <v>1951.6772188343571</v>
      </c>
      <c r="R2304" s="4">
        <f t="shared" ca="1" si="211"/>
        <v>28.007174834357102</v>
      </c>
      <c r="S2304" s="4">
        <f t="shared" ca="1" si="212"/>
        <v>14.496812079348585</v>
      </c>
    </row>
    <row r="2305" spans="15:19" x14ac:dyDescent="0.2">
      <c r="O2305" s="4">
        <f t="shared" ca="1" si="208"/>
        <v>0.41686841274888087</v>
      </c>
      <c r="P2305" s="4">
        <f t="shared" ca="1" si="209"/>
        <v>-0.2099113987716604</v>
      </c>
      <c r="Q2305" s="4">
        <f t="shared" ca="1" si="210"/>
        <v>1927.2250334046148</v>
      </c>
      <c r="R2305" s="4">
        <f t="shared" ca="1" si="211"/>
        <v>3.5549894046148438</v>
      </c>
      <c r="S2305" s="4">
        <f t="shared" ca="1" si="212"/>
        <v>1.8047149777868801</v>
      </c>
    </row>
    <row r="2306" spans="15:19" x14ac:dyDescent="0.2">
      <c r="O2306" s="4">
        <f t="shared" ca="1" si="208"/>
        <v>0.63267490390954184</v>
      </c>
      <c r="P2306" s="4">
        <f t="shared" ca="1" si="209"/>
        <v>0.33894628961087481</v>
      </c>
      <c r="Q2306" s="4">
        <f t="shared" ca="1" si="210"/>
        <v>1916.8688179478399</v>
      </c>
      <c r="R2306" s="4">
        <f t="shared" ca="1" si="211"/>
        <v>-6.8012260521600183</v>
      </c>
      <c r="S2306" s="4">
        <f t="shared" ca="1" si="212"/>
        <v>-3.4240175757616003</v>
      </c>
    </row>
    <row r="2307" spans="15:19" x14ac:dyDescent="0.2">
      <c r="O2307" s="4">
        <f t="shared" ref="O2307:O2370" ca="1" si="213">RAND()</f>
        <v>0.16153024265486915</v>
      </c>
      <c r="P2307" s="4">
        <f t="shared" ref="P2307:P2370" ca="1" si="214">NORMSINV(O2307)</f>
        <v>-0.98818820162450582</v>
      </c>
      <c r="Q2307" s="4">
        <f t="shared" ref="Q2307:Q2370" ca="1" si="215">$B$4*(1+$B$17-$B$32*P2307)</f>
        <v>1941.9100827825448</v>
      </c>
      <c r="R2307" s="4">
        <f t="shared" ref="R2307:R2370" ca="1" si="216">Q2307-$B$4</f>
        <v>18.240038782544843</v>
      </c>
      <c r="S2307" s="4">
        <f t="shared" ref="S2307:S2370" ca="1" si="217">R2307*$B$12+0.5*$B$13*R2307^2</f>
        <v>9.368717821531158</v>
      </c>
    </row>
    <row r="2308" spans="15:19" x14ac:dyDescent="0.2">
      <c r="O2308" s="4">
        <f t="shared" ca="1" si="213"/>
        <v>0.27000505147504783</v>
      </c>
      <c r="P2308" s="4">
        <f t="shared" ca="1" si="214"/>
        <v>-0.61279771347286305</v>
      </c>
      <c r="Q2308" s="4">
        <f t="shared" ca="1" si="215"/>
        <v>1934.8269629538345</v>
      </c>
      <c r="R2308" s="4">
        <f t="shared" ca="1" si="216"/>
        <v>11.15691895383452</v>
      </c>
      <c r="S2308" s="4">
        <f t="shared" ca="1" si="217"/>
        <v>5.6984123464984142</v>
      </c>
    </row>
    <row r="2309" spans="15:19" x14ac:dyDescent="0.2">
      <c r="O2309" s="4">
        <f t="shared" ca="1" si="213"/>
        <v>0.43807464128647833</v>
      </c>
      <c r="P2309" s="4">
        <f t="shared" ca="1" si="214"/>
        <v>-0.1558525058461373</v>
      </c>
      <c r="Q2309" s="4">
        <f t="shared" ca="1" si="215"/>
        <v>1926.2050139089577</v>
      </c>
      <c r="R2309" s="4">
        <f t="shared" ca="1" si="216"/>
        <v>2.5349699089576916</v>
      </c>
      <c r="S2309" s="4">
        <f t="shared" ca="1" si="217"/>
        <v>1.2858424540373321</v>
      </c>
    </row>
    <row r="2310" spans="15:19" x14ac:dyDescent="0.2">
      <c r="O2310" s="4">
        <f t="shared" ca="1" si="213"/>
        <v>0.41122530099182164</v>
      </c>
      <c r="P2310" s="4">
        <f t="shared" ca="1" si="214"/>
        <v>-0.22439417606446785</v>
      </c>
      <c r="Q2310" s="4">
        <f t="shared" ca="1" si="215"/>
        <v>1927.4983041726691</v>
      </c>
      <c r="R2310" s="4">
        <f t="shared" ca="1" si="216"/>
        <v>3.828260172669161</v>
      </c>
      <c r="S2310" s="4">
        <f t="shared" ca="1" si="217"/>
        <v>1.9438686308060336</v>
      </c>
    </row>
    <row r="2311" spans="15:19" x14ac:dyDescent="0.2">
      <c r="O2311" s="4">
        <f t="shared" ca="1" si="213"/>
        <v>0.53040316665603682</v>
      </c>
      <c r="P2311" s="4">
        <f t="shared" ca="1" si="214"/>
        <v>7.628335670006603E-2</v>
      </c>
      <c r="Q2311" s="4">
        <f t="shared" ca="1" si="215"/>
        <v>1921.8249185606403</v>
      </c>
      <c r="R2311" s="4">
        <f t="shared" ca="1" si="216"/>
        <v>-1.8451254393596628</v>
      </c>
      <c r="S2311" s="4">
        <f t="shared" ca="1" si="217"/>
        <v>-0.93263470798492398</v>
      </c>
    </row>
    <row r="2312" spans="15:19" x14ac:dyDescent="0.2">
      <c r="O2312" s="4">
        <f t="shared" ca="1" si="213"/>
        <v>0.21503232391745264</v>
      </c>
      <c r="P2312" s="4">
        <f t="shared" ca="1" si="214"/>
        <v>-0.78908103120394413</v>
      </c>
      <c r="Q2312" s="4">
        <f t="shared" ca="1" si="215"/>
        <v>1938.1531949780924</v>
      </c>
      <c r="R2312" s="4">
        <f t="shared" ca="1" si="216"/>
        <v>14.483150978092453</v>
      </c>
      <c r="S2312" s="4">
        <f t="shared" ca="1" si="217"/>
        <v>7.4169004036468271</v>
      </c>
    </row>
    <row r="2313" spans="15:19" x14ac:dyDescent="0.2">
      <c r="O2313" s="4">
        <f t="shared" ca="1" si="213"/>
        <v>9.7739209667540461E-2</v>
      </c>
      <c r="P2313" s="4">
        <f t="shared" ca="1" si="214"/>
        <v>-1.2945415721350637</v>
      </c>
      <c r="Q2313" s="4">
        <f t="shared" ca="1" si="215"/>
        <v>1947.690563912847</v>
      </c>
      <c r="R2313" s="4">
        <f t="shared" ca="1" si="216"/>
        <v>24.020519912847021</v>
      </c>
      <c r="S2313" s="4">
        <f t="shared" ca="1" si="217"/>
        <v>12.394295449230903</v>
      </c>
    </row>
    <row r="2314" spans="15:19" x14ac:dyDescent="0.2">
      <c r="O2314" s="4">
        <f t="shared" ca="1" si="213"/>
        <v>0.57954700459956743</v>
      </c>
      <c r="P2314" s="4">
        <f t="shared" ca="1" si="214"/>
        <v>0.20073474405761668</v>
      </c>
      <c r="Q2314" s="4">
        <f t="shared" ca="1" si="215"/>
        <v>1919.4766862070633</v>
      </c>
      <c r="R2314" s="4">
        <f t="shared" ca="1" si="216"/>
        <v>-4.1933577929366948</v>
      </c>
      <c r="S2314" s="4">
        <f t="shared" ca="1" si="217"/>
        <v>-2.1155607814662316</v>
      </c>
    </row>
    <row r="2315" spans="15:19" x14ac:dyDescent="0.2">
      <c r="O2315" s="4">
        <f t="shared" ca="1" si="213"/>
        <v>0.16807777493287601</v>
      </c>
      <c r="P2315" s="4">
        <f t="shared" ca="1" si="214"/>
        <v>-0.96178910913084004</v>
      </c>
      <c r="Q2315" s="4">
        <f t="shared" ca="1" si="215"/>
        <v>1941.4119669767272</v>
      </c>
      <c r="R2315" s="4">
        <f t="shared" ca="1" si="216"/>
        <v>17.74192297672721</v>
      </c>
      <c r="S2315" s="4">
        <f t="shared" ca="1" si="217"/>
        <v>9.1092707450457535</v>
      </c>
    </row>
    <row r="2316" spans="15:19" x14ac:dyDescent="0.2">
      <c r="O2316" s="4">
        <f t="shared" ca="1" si="213"/>
        <v>0.26099943046553586</v>
      </c>
      <c r="P2316" s="4">
        <f t="shared" ca="1" si="214"/>
        <v>-0.64026726159123726</v>
      </c>
      <c r="Q2316" s="4">
        <f t="shared" ca="1" si="215"/>
        <v>1935.345276835257</v>
      </c>
      <c r="R2316" s="4">
        <f t="shared" ca="1" si="216"/>
        <v>11.67523283525702</v>
      </c>
      <c r="S2316" s="4">
        <f t="shared" ca="1" si="217"/>
        <v>5.965605257377085</v>
      </c>
    </row>
    <row r="2317" spans="15:19" x14ac:dyDescent="0.2">
      <c r="O2317" s="4">
        <f t="shared" ca="1" si="213"/>
        <v>7.1579593198716207E-3</v>
      </c>
      <c r="P2317" s="4">
        <f t="shared" ca="1" si="214"/>
        <v>-2.4492370740295746</v>
      </c>
      <c r="Q2317" s="4">
        <f t="shared" ca="1" si="215"/>
        <v>1969.4781340930674</v>
      </c>
      <c r="R2317" s="4">
        <f t="shared" ca="1" si="216"/>
        <v>45.808090093067449</v>
      </c>
      <c r="S2317" s="4">
        <f t="shared" ca="1" si="217"/>
        <v>24.04269026800543</v>
      </c>
    </row>
    <row r="2318" spans="15:19" x14ac:dyDescent="0.2">
      <c r="O2318" s="4">
        <f t="shared" ca="1" si="213"/>
        <v>0.11807651163895228</v>
      </c>
      <c r="P2318" s="4">
        <f t="shared" ca="1" si="214"/>
        <v>-1.1846571696086781</v>
      </c>
      <c r="Q2318" s="4">
        <f t="shared" ca="1" si="215"/>
        <v>1945.6171912117084</v>
      </c>
      <c r="R2318" s="4">
        <f t="shared" ca="1" si="216"/>
        <v>21.947147211708398</v>
      </c>
      <c r="S2318" s="4">
        <f t="shared" ca="1" si="217"/>
        <v>11.305936882448112</v>
      </c>
    </row>
    <row r="2319" spans="15:19" x14ac:dyDescent="0.2">
      <c r="O2319" s="4">
        <f t="shared" ca="1" si="213"/>
        <v>0.80286972748779417</v>
      </c>
      <c r="P2319" s="4">
        <f t="shared" ca="1" si="214"/>
        <v>0.85191630760589798</v>
      </c>
      <c r="Q2319" s="4">
        <f t="shared" ca="1" si="215"/>
        <v>1907.189755156759</v>
      </c>
      <c r="R2319" s="4">
        <f t="shared" ca="1" si="216"/>
        <v>-16.480288843240942</v>
      </c>
      <c r="S2319" s="4">
        <f t="shared" ca="1" si="217"/>
        <v>-8.2319236660313013</v>
      </c>
    </row>
    <row r="2320" spans="15:19" x14ac:dyDescent="0.2">
      <c r="O2320" s="4">
        <f t="shared" ca="1" si="213"/>
        <v>0.8891006812464054</v>
      </c>
      <c r="P2320" s="4">
        <f t="shared" ca="1" si="214"/>
        <v>1.2217593697688951</v>
      </c>
      <c r="Q2320" s="4">
        <f t="shared" ca="1" si="215"/>
        <v>1900.2113078870475</v>
      </c>
      <c r="R2320" s="4">
        <f t="shared" ca="1" si="216"/>
        <v>-23.458736112952465</v>
      </c>
      <c r="S2320" s="4">
        <f t="shared" ca="1" si="217"/>
        <v>-11.651026794600327</v>
      </c>
    </row>
    <row r="2321" spans="15:19" x14ac:dyDescent="0.2">
      <c r="O2321" s="4">
        <f t="shared" ca="1" si="213"/>
        <v>0.1106021067440125</v>
      </c>
      <c r="P2321" s="4">
        <f t="shared" ca="1" si="214"/>
        <v>-1.223332296559041</v>
      </c>
      <c r="Q2321" s="4">
        <f t="shared" ca="1" si="215"/>
        <v>1946.3469394797821</v>
      </c>
      <c r="R2321" s="4">
        <f t="shared" ca="1" si="216"/>
        <v>22.676895479782161</v>
      </c>
      <c r="S2321" s="4">
        <f t="shared" ca="1" si="217"/>
        <v>11.688598535223569</v>
      </c>
    </row>
    <row r="2322" spans="15:19" x14ac:dyDescent="0.2">
      <c r="O2322" s="4">
        <f t="shared" ca="1" si="213"/>
        <v>0.33384352819452223</v>
      </c>
      <c r="P2322" s="4">
        <f t="shared" ca="1" si="214"/>
        <v>-0.42932454564002076</v>
      </c>
      <c r="Q2322" s="4">
        <f t="shared" ca="1" si="215"/>
        <v>1931.3650680094215</v>
      </c>
      <c r="R2322" s="4">
        <f t="shared" ca="1" si="216"/>
        <v>7.6950240094215587</v>
      </c>
      <c r="S2322" s="4">
        <f t="shared" ca="1" si="217"/>
        <v>3.9194004762561239</v>
      </c>
    </row>
    <row r="2323" spans="15:19" x14ac:dyDescent="0.2">
      <c r="O2323" s="4">
        <f t="shared" ca="1" si="213"/>
        <v>0.77695449178958165</v>
      </c>
      <c r="P2323" s="4">
        <f t="shared" ca="1" si="214"/>
        <v>0.76194803989620719</v>
      </c>
      <c r="Q2323" s="4">
        <f t="shared" ca="1" si="215"/>
        <v>1908.887336851242</v>
      </c>
      <c r="R2323" s="4">
        <f t="shared" ca="1" si="216"/>
        <v>-14.782707148757936</v>
      </c>
      <c r="S2323" s="4">
        <f t="shared" ca="1" si="217"/>
        <v>-7.3941949548567631</v>
      </c>
    </row>
    <row r="2324" spans="15:19" x14ac:dyDescent="0.2">
      <c r="O2324" s="4">
        <f t="shared" ca="1" si="213"/>
        <v>0.18894228310148264</v>
      </c>
      <c r="P2324" s="4">
        <f t="shared" ca="1" si="214"/>
        <v>-0.88180074964051658</v>
      </c>
      <c r="Q2324" s="4">
        <f t="shared" ca="1" si="215"/>
        <v>1939.9026928926621</v>
      </c>
      <c r="R2324" s="4">
        <f t="shared" ca="1" si="216"/>
        <v>16.232648892662155</v>
      </c>
      <c r="S2324" s="4">
        <f t="shared" ca="1" si="217"/>
        <v>8.3243881558895865</v>
      </c>
    </row>
    <row r="2325" spans="15:19" x14ac:dyDescent="0.2">
      <c r="O2325" s="4">
        <f t="shared" ca="1" si="213"/>
        <v>0.54338245343804048</v>
      </c>
      <c r="P2325" s="4">
        <f t="shared" ca="1" si="214"/>
        <v>0.1089588950964647</v>
      </c>
      <c r="Q2325" s="4">
        <f t="shared" ca="1" si="215"/>
        <v>1921.208374558503</v>
      </c>
      <c r="R2325" s="4">
        <f t="shared" ca="1" si="216"/>
        <v>-2.4616694414969515</v>
      </c>
      <c r="S2325" s="4">
        <f t="shared" ca="1" si="217"/>
        <v>-1.2436544183192093</v>
      </c>
    </row>
    <row r="2326" spans="15:19" x14ac:dyDescent="0.2">
      <c r="O2326" s="4">
        <f t="shared" ca="1" si="213"/>
        <v>0.78856007460455368</v>
      </c>
      <c r="P2326" s="4">
        <f t="shared" ca="1" si="214"/>
        <v>0.80143501547226836</v>
      </c>
      <c r="Q2326" s="4">
        <f t="shared" ca="1" si="215"/>
        <v>1908.1422700780913</v>
      </c>
      <c r="R2326" s="4">
        <f t="shared" ca="1" si="216"/>
        <v>-15.527773921908647</v>
      </c>
      <c r="S2326" s="4">
        <f t="shared" ca="1" si="217"/>
        <v>-7.7621620736806989</v>
      </c>
    </row>
    <row r="2327" spans="15:19" x14ac:dyDescent="0.2">
      <c r="O2327" s="4">
        <f t="shared" ca="1" si="213"/>
        <v>0.89991270612211705</v>
      </c>
      <c r="P2327" s="4">
        <f t="shared" ca="1" si="214"/>
        <v>1.2810543182514431</v>
      </c>
      <c r="Q2327" s="4">
        <f t="shared" ca="1" si="215"/>
        <v>1899.0924909788007</v>
      </c>
      <c r="R2327" s="4">
        <f t="shared" ca="1" si="216"/>
        <v>-24.577553021199265</v>
      </c>
      <c r="S2327" s="4">
        <f t="shared" ca="1" si="217"/>
        <v>-12.195505420121425</v>
      </c>
    </row>
    <row r="2328" spans="15:19" x14ac:dyDescent="0.2">
      <c r="O2328" s="4">
        <f t="shared" ca="1" si="213"/>
        <v>0.63834601243340405</v>
      </c>
      <c r="P2328" s="4">
        <f t="shared" ca="1" si="214"/>
        <v>0.35404124273691423</v>
      </c>
      <c r="Q2328" s="4">
        <f t="shared" ca="1" si="215"/>
        <v>1916.5839962350501</v>
      </c>
      <c r="R2328" s="4">
        <f t="shared" ca="1" si="216"/>
        <v>-7.0860477649498534</v>
      </c>
      <c r="S2328" s="4">
        <f t="shared" ca="1" si="217"/>
        <v>-3.5665869961366732</v>
      </c>
    </row>
    <row r="2329" spans="15:19" x14ac:dyDescent="0.2">
      <c r="O2329" s="4">
        <f t="shared" ca="1" si="213"/>
        <v>0.52065774722144276</v>
      </c>
      <c r="P2329" s="4">
        <f t="shared" ca="1" si="214"/>
        <v>5.180445523378456E-2</v>
      </c>
      <c r="Q2329" s="4">
        <f t="shared" ca="1" si="215"/>
        <v>1922.2868029126241</v>
      </c>
      <c r="R2329" s="4">
        <f t="shared" ca="1" si="216"/>
        <v>-1.3832410873758363</v>
      </c>
      <c r="S2329" s="4">
        <f t="shared" ca="1" si="217"/>
        <v>-0.6994313188381911</v>
      </c>
    </row>
    <row r="2330" spans="15:19" x14ac:dyDescent="0.2">
      <c r="O2330" s="4">
        <f t="shared" ca="1" si="213"/>
        <v>0.32708323407086914</v>
      </c>
      <c r="P2330" s="4">
        <f t="shared" ca="1" si="214"/>
        <v>-0.44798161085144983</v>
      </c>
      <c r="Q2330" s="4">
        <f t="shared" ca="1" si="215"/>
        <v>1931.7171020452201</v>
      </c>
      <c r="R2330" s="4">
        <f t="shared" ca="1" si="216"/>
        <v>8.047058045220183</v>
      </c>
      <c r="S2330" s="4">
        <f t="shared" ca="1" si="217"/>
        <v>4.0998594286608592</v>
      </c>
    </row>
    <row r="2331" spans="15:19" x14ac:dyDescent="0.2">
      <c r="O2331" s="4">
        <f t="shared" ca="1" si="213"/>
        <v>0.3029220271335249</v>
      </c>
      <c r="P2331" s="4">
        <f t="shared" ca="1" si="214"/>
        <v>-0.51601482608349081</v>
      </c>
      <c r="Q2331" s="4">
        <f t="shared" ca="1" si="215"/>
        <v>1933.000798438791</v>
      </c>
      <c r="R2331" s="4">
        <f t="shared" ca="1" si="216"/>
        <v>9.3307544387910184</v>
      </c>
      <c r="S2331" s="4">
        <f t="shared" ca="1" si="217"/>
        <v>4.7587599499794759</v>
      </c>
    </row>
    <row r="2332" spans="15:19" x14ac:dyDescent="0.2">
      <c r="O2332" s="4">
        <f t="shared" ca="1" si="213"/>
        <v>0.62116374186156786</v>
      </c>
      <c r="P2332" s="4">
        <f t="shared" ca="1" si="214"/>
        <v>0.30853862240443214</v>
      </c>
      <c r="Q2332" s="4">
        <f t="shared" ca="1" si="215"/>
        <v>1917.4425702333476</v>
      </c>
      <c r="R2332" s="4">
        <f t="shared" ca="1" si="216"/>
        <v>-6.2274737666523379</v>
      </c>
      <c r="S2332" s="4">
        <f t="shared" ca="1" si="217"/>
        <v>-3.136621491710998</v>
      </c>
    </row>
    <row r="2333" spans="15:19" x14ac:dyDescent="0.2">
      <c r="O2333" s="4">
        <f t="shared" ca="1" si="213"/>
        <v>0.94381625745302444</v>
      </c>
      <c r="P2333" s="4">
        <f t="shared" ca="1" si="214"/>
        <v>1.5876412491437113</v>
      </c>
      <c r="Q2333" s="4">
        <f t="shared" ca="1" si="215"/>
        <v>1893.3076028743662</v>
      </c>
      <c r="R2333" s="4">
        <f t="shared" ca="1" si="216"/>
        <v>-30.362441125633723</v>
      </c>
      <c r="S2333" s="4">
        <f t="shared" ca="1" si="217"/>
        <v>-14.994497000107982</v>
      </c>
    </row>
    <row r="2334" spans="15:19" x14ac:dyDescent="0.2">
      <c r="O2334" s="4">
        <f t="shared" ca="1" si="213"/>
        <v>0.2907316048448042</v>
      </c>
      <c r="P2334" s="4">
        <f t="shared" ca="1" si="214"/>
        <v>-0.55124868564869789</v>
      </c>
      <c r="Q2334" s="4">
        <f t="shared" ca="1" si="215"/>
        <v>1933.6656145628147</v>
      </c>
      <c r="R2334" s="4">
        <f t="shared" ca="1" si="216"/>
        <v>9.9955705628146916</v>
      </c>
      <c r="S2334" s="4">
        <f t="shared" ca="1" si="217"/>
        <v>5.1005265933738873</v>
      </c>
    </row>
    <row r="2335" spans="15:19" x14ac:dyDescent="0.2">
      <c r="O2335" s="4">
        <f t="shared" ca="1" si="213"/>
        <v>0.73441167846307576</v>
      </c>
      <c r="P2335" s="4">
        <f t="shared" ca="1" si="214"/>
        <v>0.62621086286027916</v>
      </c>
      <c r="Q2335" s="4">
        <f t="shared" ca="1" si="215"/>
        <v>1911.4485170635865</v>
      </c>
      <c r="R2335" s="4">
        <f t="shared" ca="1" si="216"/>
        <v>-12.221526936413511</v>
      </c>
      <c r="S2335" s="4">
        <f t="shared" ca="1" si="217"/>
        <v>-6.1258544556544781</v>
      </c>
    </row>
    <row r="2336" spans="15:19" x14ac:dyDescent="0.2">
      <c r="O2336" s="4">
        <f t="shared" ca="1" si="213"/>
        <v>0.17997519467722256</v>
      </c>
      <c r="P2336" s="4">
        <f t="shared" ca="1" si="214"/>
        <v>-0.91545962440701267</v>
      </c>
      <c r="Q2336" s="4">
        <f t="shared" ca="1" si="215"/>
        <v>1940.5377911458024</v>
      </c>
      <c r="R2336" s="4">
        <f t="shared" ca="1" si="216"/>
        <v>16.867747145802468</v>
      </c>
      <c r="S2336" s="4">
        <f t="shared" ca="1" si="217"/>
        <v>8.6544385231269665</v>
      </c>
    </row>
    <row r="2337" spans="15:19" x14ac:dyDescent="0.2">
      <c r="O2337" s="4">
        <f t="shared" ca="1" si="213"/>
        <v>0.27867910899400195</v>
      </c>
      <c r="P2337" s="4">
        <f t="shared" ca="1" si="214"/>
        <v>-0.58676995489550177</v>
      </c>
      <c r="Q2337" s="4">
        <f t="shared" ca="1" si="215"/>
        <v>1934.3358537257243</v>
      </c>
      <c r="R2337" s="4">
        <f t="shared" ca="1" si="216"/>
        <v>10.66580972572433</v>
      </c>
      <c r="S2337" s="4">
        <f t="shared" ca="1" si="217"/>
        <v>5.4454453441657531</v>
      </c>
    </row>
    <row r="2338" spans="15:19" x14ac:dyDescent="0.2">
      <c r="O2338" s="4">
        <f t="shared" ca="1" si="213"/>
        <v>0.14742665153227608</v>
      </c>
      <c r="P2338" s="4">
        <f t="shared" ca="1" si="214"/>
        <v>-1.0475341222854697</v>
      </c>
      <c r="Q2338" s="4">
        <f t="shared" ca="1" si="215"/>
        <v>1943.0298614680846</v>
      </c>
      <c r="R2338" s="4">
        <f t="shared" ca="1" si="216"/>
        <v>19.359817468084657</v>
      </c>
      <c r="S2338" s="4">
        <f t="shared" ca="1" si="217"/>
        <v>9.952699806591351</v>
      </c>
    </row>
    <row r="2339" spans="15:19" x14ac:dyDescent="0.2">
      <c r="O2339" s="4">
        <f t="shared" ca="1" si="213"/>
        <v>0.96596401656718434</v>
      </c>
      <c r="P2339" s="4">
        <f t="shared" ca="1" si="214"/>
        <v>1.8245301212566889</v>
      </c>
      <c r="Q2339" s="4">
        <f t="shared" ca="1" si="215"/>
        <v>1888.8378245495983</v>
      </c>
      <c r="R2339" s="4">
        <f t="shared" ca="1" si="216"/>
        <v>-34.832219450401681</v>
      </c>
      <c r="S2339" s="4">
        <f t="shared" ca="1" si="217"/>
        <v>-17.138520284331737</v>
      </c>
    </row>
    <row r="2340" spans="15:19" x14ac:dyDescent="0.2">
      <c r="O2340" s="4">
        <f t="shared" ca="1" si="213"/>
        <v>0.30212361293598422</v>
      </c>
      <c r="P2340" s="4">
        <f t="shared" ca="1" si="214"/>
        <v>-0.51830250439109171</v>
      </c>
      <c r="Q2340" s="4">
        <f t="shared" ca="1" si="215"/>
        <v>1933.0439638894184</v>
      </c>
      <c r="R2340" s="4">
        <f t="shared" ca="1" si="216"/>
        <v>9.3739198894184028</v>
      </c>
      <c r="S2340" s="4">
        <f t="shared" ca="1" si="217"/>
        <v>4.7809393898294825</v>
      </c>
    </row>
    <row r="2341" spans="15:19" x14ac:dyDescent="0.2">
      <c r="O2341" s="4">
        <f t="shared" ca="1" si="213"/>
        <v>0.87996523195444798</v>
      </c>
      <c r="P2341" s="4">
        <f t="shared" ca="1" si="214"/>
        <v>1.1748130047635883</v>
      </c>
      <c r="Q2341" s="4">
        <f t="shared" ca="1" si="215"/>
        <v>1901.0971234293972</v>
      </c>
      <c r="R2341" s="4">
        <f t="shared" ca="1" si="216"/>
        <v>-22.572920570602719</v>
      </c>
      <c r="S2341" s="4">
        <f t="shared" ca="1" si="217"/>
        <v>-11.219216764971824</v>
      </c>
    </row>
    <row r="2342" spans="15:19" x14ac:dyDescent="0.2">
      <c r="O2342" s="4">
        <f t="shared" ca="1" si="213"/>
        <v>0.7550187619287746</v>
      </c>
      <c r="P2342" s="4">
        <f t="shared" ca="1" si="214"/>
        <v>0.69036850721942888</v>
      </c>
      <c r="Q2342" s="4">
        <f t="shared" ca="1" si="215"/>
        <v>1910.2379475439345</v>
      </c>
      <c r="R2342" s="4">
        <f t="shared" ca="1" si="216"/>
        <v>-13.432096456065437</v>
      </c>
      <c r="S2342" s="4">
        <f t="shared" ca="1" si="217"/>
        <v>-6.7260148677960876</v>
      </c>
    </row>
    <row r="2343" spans="15:19" x14ac:dyDescent="0.2">
      <c r="O2343" s="4">
        <f t="shared" ca="1" si="213"/>
        <v>0.64095450299892853</v>
      </c>
      <c r="P2343" s="4">
        <f t="shared" ca="1" si="214"/>
        <v>0.36101130769282291</v>
      </c>
      <c r="Q2343" s="4">
        <f t="shared" ca="1" si="215"/>
        <v>1916.4524803686261</v>
      </c>
      <c r="R2343" s="4">
        <f t="shared" ca="1" si="216"/>
        <v>-7.2175636313738778</v>
      </c>
      <c r="S2343" s="4">
        <f t="shared" ca="1" si="217"/>
        <v>-3.6323958568806467</v>
      </c>
    </row>
    <row r="2344" spans="15:19" x14ac:dyDescent="0.2">
      <c r="O2344" s="4">
        <f t="shared" ca="1" si="213"/>
        <v>0.59104904217925269</v>
      </c>
      <c r="P2344" s="4">
        <f t="shared" ca="1" si="214"/>
        <v>0.23024433132869437</v>
      </c>
      <c r="Q2344" s="4">
        <f t="shared" ca="1" si="215"/>
        <v>1918.9198794968934</v>
      </c>
      <c r="R2344" s="4">
        <f t="shared" ca="1" si="216"/>
        <v>-4.7501645031065891</v>
      </c>
      <c r="S2344" s="4">
        <f t="shared" ca="1" si="217"/>
        <v>-2.3953946633087151</v>
      </c>
    </row>
    <row r="2345" spans="15:19" x14ac:dyDescent="0.2">
      <c r="O2345" s="4">
        <f t="shared" ca="1" si="213"/>
        <v>0.41946567055060413</v>
      </c>
      <c r="P2345" s="4">
        <f t="shared" ca="1" si="214"/>
        <v>-0.20326061051121486</v>
      </c>
      <c r="Q2345" s="4">
        <f t="shared" ca="1" si="215"/>
        <v>1927.0995418652954</v>
      </c>
      <c r="R2345" s="4">
        <f t="shared" ca="1" si="216"/>
        <v>3.4294978652953887</v>
      </c>
      <c r="S2345" s="4">
        <f t="shared" ca="1" si="217"/>
        <v>1.7408331376477115</v>
      </c>
    </row>
    <row r="2346" spans="15:19" x14ac:dyDescent="0.2">
      <c r="O2346" s="4">
        <f t="shared" ca="1" si="213"/>
        <v>0.71655787272954907</v>
      </c>
      <c r="P2346" s="4">
        <f t="shared" ca="1" si="214"/>
        <v>0.57264622512241337</v>
      </c>
      <c r="Q2346" s="4">
        <f t="shared" ca="1" si="215"/>
        <v>1912.4592106204395</v>
      </c>
      <c r="R2346" s="4">
        <f t="shared" ca="1" si="216"/>
        <v>-11.210833379560427</v>
      </c>
      <c r="S2346" s="4">
        <f t="shared" ca="1" si="217"/>
        <v>-5.6238720717825945</v>
      </c>
    </row>
    <row r="2347" spans="15:19" x14ac:dyDescent="0.2">
      <c r="O2347" s="4">
        <f t="shared" ca="1" si="213"/>
        <v>0.52559902630035571</v>
      </c>
      <c r="P2347" s="4">
        <f t="shared" ca="1" si="214"/>
        <v>6.4211340774611575E-2</v>
      </c>
      <c r="Q2347" s="4">
        <f t="shared" ca="1" si="215"/>
        <v>1922.0527014642378</v>
      </c>
      <c r="R2347" s="4">
        <f t="shared" ca="1" si="216"/>
        <v>-1.6173425357621909</v>
      </c>
      <c r="S2347" s="4">
        <f t="shared" ca="1" si="217"/>
        <v>-0.81764982291024912</v>
      </c>
    </row>
    <row r="2348" spans="15:19" x14ac:dyDescent="0.2">
      <c r="O2348" s="4">
        <f t="shared" ca="1" si="213"/>
        <v>0.39232675672780948</v>
      </c>
      <c r="P2348" s="4">
        <f t="shared" ca="1" si="214"/>
        <v>-0.27325980157703661</v>
      </c>
      <c r="Q2348" s="4">
        <f t="shared" ca="1" si="215"/>
        <v>1928.4203336111739</v>
      </c>
      <c r="R2348" s="4">
        <f t="shared" ca="1" si="216"/>
        <v>4.7502896111739119</v>
      </c>
      <c r="S2348" s="4">
        <f t="shared" ca="1" si="217"/>
        <v>2.413828749225615</v>
      </c>
    </row>
    <row r="2349" spans="15:19" x14ac:dyDescent="0.2">
      <c r="O2349" s="4">
        <f t="shared" ca="1" si="213"/>
        <v>0.53843189399323066</v>
      </c>
      <c r="P2349" s="4">
        <f t="shared" ca="1" si="214"/>
        <v>9.6483960681303327E-2</v>
      </c>
      <c r="Q2349" s="4">
        <f t="shared" ca="1" si="215"/>
        <v>1921.4437599987491</v>
      </c>
      <c r="R2349" s="4">
        <f t="shared" ca="1" si="216"/>
        <v>-2.2262840012508605</v>
      </c>
      <c r="S2349" s="4">
        <f t="shared" ca="1" si="217"/>
        <v>-1.1249491940033229</v>
      </c>
    </row>
    <row r="2350" spans="15:19" x14ac:dyDescent="0.2">
      <c r="O2350" s="4">
        <f t="shared" ca="1" si="213"/>
        <v>0.92041976934165304</v>
      </c>
      <c r="P2350" s="4">
        <f t="shared" ca="1" si="214"/>
        <v>1.4079007489001327</v>
      </c>
      <c r="Q2350" s="4">
        <f t="shared" ca="1" si="215"/>
        <v>1896.6990673399846</v>
      </c>
      <c r="R2350" s="4">
        <f t="shared" ca="1" si="216"/>
        <v>-26.970976660015367</v>
      </c>
      <c r="S2350" s="4">
        <f t="shared" ca="1" si="217"/>
        <v>-13.356856738472329</v>
      </c>
    </row>
    <row r="2351" spans="15:19" x14ac:dyDescent="0.2">
      <c r="O2351" s="4">
        <f t="shared" ca="1" si="213"/>
        <v>0.93820657091685034</v>
      </c>
      <c r="P2351" s="4">
        <f t="shared" ca="1" si="214"/>
        <v>1.5398912739603903</v>
      </c>
      <c r="Q2351" s="4">
        <f t="shared" ca="1" si="215"/>
        <v>1894.2085814732291</v>
      </c>
      <c r="R2351" s="4">
        <f t="shared" ca="1" si="216"/>
        <v>-29.461462526770902</v>
      </c>
      <c r="S2351" s="4">
        <f t="shared" ca="1" si="217"/>
        <v>-14.560353862789031</v>
      </c>
    </row>
    <row r="2352" spans="15:19" x14ac:dyDescent="0.2">
      <c r="O2352" s="4">
        <f t="shared" ca="1" si="213"/>
        <v>0.5242584881001211</v>
      </c>
      <c r="P2352" s="4">
        <f t="shared" ca="1" si="214"/>
        <v>6.084453299039734E-2</v>
      </c>
      <c r="Q2352" s="4">
        <f t="shared" ca="1" si="215"/>
        <v>1922.116228654533</v>
      </c>
      <c r="R2352" s="4">
        <f t="shared" ca="1" si="216"/>
        <v>-1.553815345467001</v>
      </c>
      <c r="S2352" s="4">
        <f t="shared" ca="1" si="217"/>
        <v>-0.78557374296917581</v>
      </c>
    </row>
    <row r="2353" spans="15:19" x14ac:dyDescent="0.2">
      <c r="O2353" s="4">
        <f t="shared" ca="1" si="213"/>
        <v>8.8550344027774841E-2</v>
      </c>
      <c r="P2353" s="4">
        <f t="shared" ca="1" si="214"/>
        <v>-1.3497359760263234</v>
      </c>
      <c r="Q2353" s="4">
        <f t="shared" ca="1" si="215"/>
        <v>1948.7320089919724</v>
      </c>
      <c r="R2353" s="4">
        <f t="shared" ca="1" si="216"/>
        <v>25.061964991972445</v>
      </c>
      <c r="S2353" s="4">
        <f t="shared" ca="1" si="217"/>
        <v>12.942293189668852</v>
      </c>
    </row>
    <row r="2354" spans="15:19" x14ac:dyDescent="0.2">
      <c r="O2354" s="4">
        <f t="shared" ca="1" si="213"/>
        <v>0.20364340366995215</v>
      </c>
      <c r="P2354" s="4">
        <f t="shared" ca="1" si="214"/>
        <v>-0.8286777005865803</v>
      </c>
      <c r="Q2354" s="4">
        <f t="shared" ca="1" si="215"/>
        <v>1938.900331527652</v>
      </c>
      <c r="R2354" s="4">
        <f t="shared" ca="1" si="216"/>
        <v>15.230287527652081</v>
      </c>
      <c r="S2354" s="4">
        <f t="shared" ca="1" si="217"/>
        <v>7.8041451783164657</v>
      </c>
    </row>
    <row r="2355" spans="15:19" x14ac:dyDescent="0.2">
      <c r="O2355" s="4">
        <f t="shared" ca="1" si="213"/>
        <v>0.6833719907605702</v>
      </c>
      <c r="P2355" s="4">
        <f t="shared" ca="1" si="214"/>
        <v>0.4771490084800431</v>
      </c>
      <c r="Q2355" s="4">
        <f t="shared" ca="1" si="215"/>
        <v>1914.2611162364201</v>
      </c>
      <c r="R2355" s="4">
        <f t="shared" ca="1" si="216"/>
        <v>-9.408927763579868</v>
      </c>
      <c r="S2355" s="4">
        <f t="shared" ca="1" si="217"/>
        <v>-4.7268544009561175</v>
      </c>
    </row>
    <row r="2356" spans="15:19" x14ac:dyDescent="0.2">
      <c r="O2356" s="4">
        <f t="shared" ca="1" si="213"/>
        <v>5.7685279902675135E-2</v>
      </c>
      <c r="P2356" s="4">
        <f t="shared" ca="1" si="214"/>
        <v>-1.5745058082393086</v>
      </c>
      <c r="Q2356" s="4">
        <f t="shared" ca="1" si="215"/>
        <v>1952.9731171332112</v>
      </c>
      <c r="R2356" s="4">
        <f t="shared" ca="1" si="216"/>
        <v>29.303073133211228</v>
      </c>
      <c r="S2356" s="4">
        <f t="shared" ca="1" si="217"/>
        <v>15.183040811613147</v>
      </c>
    </row>
    <row r="2357" spans="15:19" x14ac:dyDescent="0.2">
      <c r="O2357" s="4">
        <f t="shared" ca="1" si="213"/>
        <v>3.7907898609551238E-2</v>
      </c>
      <c r="P2357" s="4">
        <f t="shared" ca="1" si="214"/>
        <v>-1.7754973833760113</v>
      </c>
      <c r="Q2357" s="4">
        <f t="shared" ca="1" si="215"/>
        <v>1956.7655611513437</v>
      </c>
      <c r="R2357" s="4">
        <f t="shared" ca="1" si="216"/>
        <v>33.095517151343756</v>
      </c>
      <c r="S2357" s="4">
        <f t="shared" ca="1" si="217"/>
        <v>17.199143268327362</v>
      </c>
    </row>
    <row r="2358" spans="15:19" x14ac:dyDescent="0.2">
      <c r="O2358" s="4">
        <f t="shared" ca="1" si="213"/>
        <v>5.1860732968136869E-2</v>
      </c>
      <c r="P2358" s="4">
        <f t="shared" ca="1" si="214"/>
        <v>-1.6270736059967175</v>
      </c>
      <c r="Q2358" s="4">
        <f t="shared" ca="1" si="215"/>
        <v>1953.9650016438723</v>
      </c>
      <c r="R2358" s="4">
        <f t="shared" ca="1" si="216"/>
        <v>30.294957643872294</v>
      </c>
      <c r="S2358" s="4">
        <f t="shared" ca="1" si="217"/>
        <v>15.709206104542467</v>
      </c>
    </row>
    <row r="2359" spans="15:19" x14ac:dyDescent="0.2">
      <c r="O2359" s="4">
        <f t="shared" ca="1" si="213"/>
        <v>0.65043194207093191</v>
      </c>
      <c r="P2359" s="4">
        <f t="shared" ca="1" si="214"/>
        <v>0.38648688218591964</v>
      </c>
      <c r="Q2359" s="4">
        <f t="shared" ca="1" si="215"/>
        <v>1915.9717901206436</v>
      </c>
      <c r="R2359" s="4">
        <f t="shared" ca="1" si="216"/>
        <v>-7.6982538793563435</v>
      </c>
      <c r="S2359" s="4">
        <f t="shared" ca="1" si="217"/>
        <v>-3.8728073279607949</v>
      </c>
    </row>
    <row r="2360" spans="15:19" x14ac:dyDescent="0.2">
      <c r="O2360" s="4">
        <f t="shared" ca="1" si="213"/>
        <v>0.30062701325904606</v>
      </c>
      <c r="P2360" s="4">
        <f t="shared" ca="1" si="214"/>
        <v>-0.52259800876501283</v>
      </c>
      <c r="Q2360" s="4">
        <f t="shared" ca="1" si="215"/>
        <v>1933.1250143506463</v>
      </c>
      <c r="R2360" s="4">
        <f t="shared" ca="1" si="216"/>
        <v>9.4549703506463629</v>
      </c>
      <c r="S2360" s="4">
        <f t="shared" ca="1" si="217"/>
        <v>4.8225891515564099</v>
      </c>
    </row>
    <row r="2361" spans="15:19" x14ac:dyDescent="0.2">
      <c r="O2361" s="4">
        <f t="shared" ca="1" si="213"/>
        <v>0.29590296063691413</v>
      </c>
      <c r="P2361" s="4">
        <f t="shared" ca="1" si="214"/>
        <v>-0.53622085576355449</v>
      </c>
      <c r="Q2361" s="4">
        <f t="shared" ca="1" si="215"/>
        <v>1933.3820593764112</v>
      </c>
      <c r="R2361" s="4">
        <f t="shared" ca="1" si="216"/>
        <v>9.7120153764112729</v>
      </c>
      <c r="S2361" s="4">
        <f t="shared" ca="1" si="217"/>
        <v>4.9547134011745637</v>
      </c>
    </row>
    <row r="2362" spans="15:19" x14ac:dyDescent="0.2">
      <c r="O2362" s="4">
        <f t="shared" ca="1" si="213"/>
        <v>0.41406981516622066</v>
      </c>
      <c r="P2362" s="4">
        <f t="shared" ca="1" si="214"/>
        <v>-0.21708817356622898</v>
      </c>
      <c r="Q2362" s="4">
        <f t="shared" ca="1" si="215"/>
        <v>1927.3604496110936</v>
      </c>
      <c r="R2362" s="4">
        <f t="shared" ca="1" si="216"/>
        <v>3.6904056110936381</v>
      </c>
      <c r="S2362" s="4">
        <f t="shared" ca="1" si="217"/>
        <v>1.8736633813861285</v>
      </c>
    </row>
    <row r="2363" spans="15:19" x14ac:dyDescent="0.2">
      <c r="O2363" s="4">
        <f t="shared" ca="1" si="213"/>
        <v>0.9184969149428025</v>
      </c>
      <c r="P2363" s="4">
        <f t="shared" ca="1" si="214"/>
        <v>1.3950320660390121</v>
      </c>
      <c r="Q2363" s="4">
        <f t="shared" ca="1" si="215"/>
        <v>1896.9418822903363</v>
      </c>
      <c r="R2363" s="4">
        <f t="shared" ca="1" si="216"/>
        <v>-26.728161709663709</v>
      </c>
      <c r="S2363" s="4">
        <f t="shared" ca="1" si="217"/>
        <v>-13.239249189008124</v>
      </c>
    </row>
    <row r="2364" spans="15:19" x14ac:dyDescent="0.2">
      <c r="O2364" s="4">
        <f t="shared" ca="1" si="213"/>
        <v>0.72419719191211296</v>
      </c>
      <c r="P2364" s="4">
        <f t="shared" ca="1" si="214"/>
        <v>0.59535587166862092</v>
      </c>
      <c r="Q2364" s="4">
        <f t="shared" ca="1" si="215"/>
        <v>1912.030709758453</v>
      </c>
      <c r="R2364" s="4">
        <f t="shared" ca="1" si="216"/>
        <v>-11.639334241546976</v>
      </c>
      <c r="S2364" s="4">
        <f t="shared" ca="1" si="217"/>
        <v>-5.8367976616100394</v>
      </c>
    </row>
    <row r="2365" spans="15:19" x14ac:dyDescent="0.2">
      <c r="O2365" s="4">
        <f t="shared" ca="1" si="213"/>
        <v>0.19216682185560263</v>
      </c>
      <c r="P2365" s="4">
        <f t="shared" ca="1" si="214"/>
        <v>-0.8699391778557094</v>
      </c>
      <c r="Q2365" s="4">
        <f t="shared" ca="1" si="215"/>
        <v>1939.6788807904368</v>
      </c>
      <c r="R2365" s="4">
        <f t="shared" ca="1" si="216"/>
        <v>16.008836790436817</v>
      </c>
      <c r="S2365" s="4">
        <f t="shared" ca="1" si="217"/>
        <v>8.2081548518707947</v>
      </c>
    </row>
    <row r="2366" spans="15:19" x14ac:dyDescent="0.2">
      <c r="O2366" s="4">
        <f t="shared" ca="1" si="213"/>
        <v>0.99133218931109501</v>
      </c>
      <c r="P2366" s="4">
        <f t="shared" ca="1" si="214"/>
        <v>2.3795110899315803</v>
      </c>
      <c r="Q2366" s="4">
        <f t="shared" ca="1" si="215"/>
        <v>1878.3660709281005</v>
      </c>
      <c r="R2366" s="4">
        <f t="shared" ca="1" si="216"/>
        <v>-45.303973071899463</v>
      </c>
      <c r="S2366" s="4">
        <f t="shared" ca="1" si="217"/>
        <v>-22.097825694505094</v>
      </c>
    </row>
    <row r="2367" spans="15:19" x14ac:dyDescent="0.2">
      <c r="O2367" s="4">
        <f t="shared" ca="1" si="213"/>
        <v>0.81400478711080715</v>
      </c>
      <c r="P2367" s="4">
        <f t="shared" ca="1" si="214"/>
        <v>0.89275119855001328</v>
      </c>
      <c r="Q2367" s="4">
        <f t="shared" ca="1" si="215"/>
        <v>1906.4192550112343</v>
      </c>
      <c r="R2367" s="4">
        <f t="shared" ca="1" si="216"/>
        <v>-17.250788988765635</v>
      </c>
      <c r="S2367" s="4">
        <f t="shared" ca="1" si="217"/>
        <v>-8.6113787387550822</v>
      </c>
    </row>
    <row r="2368" spans="15:19" x14ac:dyDescent="0.2">
      <c r="O2368" s="4">
        <f t="shared" ca="1" si="213"/>
        <v>0.46669970209975631</v>
      </c>
      <c r="P2368" s="4">
        <f t="shared" ca="1" si="214"/>
        <v>-8.3568636410181404E-2</v>
      </c>
      <c r="Q2368" s="4">
        <f t="shared" ca="1" si="215"/>
        <v>1924.841113317287</v>
      </c>
      <c r="R2368" s="4">
        <f t="shared" ca="1" si="216"/>
        <v>1.1710693172869924</v>
      </c>
      <c r="S2368" s="4">
        <f t="shared" ca="1" si="217"/>
        <v>0.5933650150220926</v>
      </c>
    </row>
    <row r="2369" spans="15:19" x14ac:dyDescent="0.2">
      <c r="O2369" s="4">
        <f t="shared" ca="1" si="213"/>
        <v>0.63828262557679039</v>
      </c>
      <c r="P2369" s="4">
        <f t="shared" ca="1" si="214"/>
        <v>0.3538720839696754</v>
      </c>
      <c r="Q2369" s="4">
        <f t="shared" ca="1" si="215"/>
        <v>1916.5871880362708</v>
      </c>
      <c r="R2369" s="4">
        <f t="shared" ca="1" si="216"/>
        <v>-7.0828559637291164</v>
      </c>
      <c r="S2369" s="4">
        <f t="shared" ca="1" si="217"/>
        <v>-3.5649896845259885</v>
      </c>
    </row>
    <row r="2370" spans="15:19" x14ac:dyDescent="0.2">
      <c r="O2370" s="4">
        <f t="shared" ca="1" si="213"/>
        <v>0.45980462268163103</v>
      </c>
      <c r="P2370" s="4">
        <f t="shared" ca="1" si="214"/>
        <v>-0.10092594722617147</v>
      </c>
      <c r="Q2370" s="4">
        <f t="shared" ca="1" si="215"/>
        <v>1925.1686227142864</v>
      </c>
      <c r="R2370" s="4">
        <f t="shared" ca="1" si="216"/>
        <v>1.4985787142863956</v>
      </c>
      <c r="S2370" s="4">
        <f t="shared" ca="1" si="217"/>
        <v>0.75950939450376354</v>
      </c>
    </row>
    <row r="2371" spans="15:19" x14ac:dyDescent="0.2">
      <c r="O2371" s="4">
        <f t="shared" ref="O2371:O2434" ca="1" si="218">RAND()</f>
        <v>1.0184484755858092E-2</v>
      </c>
      <c r="P2371" s="4">
        <f t="shared" ref="P2371:P2434" ca="1" si="219">NORMSINV(O2371)</f>
        <v>-2.319481012211817</v>
      </c>
      <c r="Q2371" s="4">
        <f t="shared" ref="Q2371:Q2434" ca="1" si="220">$B$4*(1+$B$17-$B$32*P2371)</f>
        <v>1967.0298095793539</v>
      </c>
      <c r="R2371" s="4">
        <f t="shared" ref="R2371:R2434" ca="1" si="221">Q2371-$B$4</f>
        <v>43.359765579353962</v>
      </c>
      <c r="S2371" s="4">
        <f t="shared" ref="S2371:S2434" ca="1" si="222">R2371*$B$12+0.5*$B$13*R2371^2</f>
        <v>22.714456383579893</v>
      </c>
    </row>
    <row r="2372" spans="15:19" x14ac:dyDescent="0.2">
      <c r="O2372" s="4">
        <f t="shared" ca="1" si="218"/>
        <v>4.9155686264924836E-2</v>
      </c>
      <c r="P2372" s="4">
        <f t="shared" ca="1" si="219"/>
        <v>-1.6530957776931832</v>
      </c>
      <c r="Q2372" s="4">
        <f t="shared" ca="1" si="220"/>
        <v>1954.4560054549622</v>
      </c>
      <c r="R2372" s="4">
        <f t="shared" ca="1" si="221"/>
        <v>30.785961454962262</v>
      </c>
      <c r="S2372" s="4">
        <f t="shared" ca="1" si="222"/>
        <v>15.969965441571938</v>
      </c>
    </row>
    <row r="2373" spans="15:19" x14ac:dyDescent="0.2">
      <c r="O2373" s="4">
        <f t="shared" ca="1" si="218"/>
        <v>0.4320212126135754</v>
      </c>
      <c r="P2373" s="4">
        <f t="shared" ca="1" si="219"/>
        <v>-0.1712306283018796</v>
      </c>
      <c r="Q2373" s="4">
        <f t="shared" ca="1" si="220"/>
        <v>1926.495178650827</v>
      </c>
      <c r="R2373" s="4">
        <f t="shared" ca="1" si="221"/>
        <v>2.8251346508270672</v>
      </c>
      <c r="S2373" s="4">
        <f t="shared" ca="1" si="222"/>
        <v>1.4333598087114117</v>
      </c>
    </row>
    <row r="2374" spans="15:19" x14ac:dyDescent="0.2">
      <c r="O2374" s="4">
        <f t="shared" ca="1" si="218"/>
        <v>0.50116554247474998</v>
      </c>
      <c r="P2374" s="4">
        <f t="shared" ca="1" si="219"/>
        <v>2.9215858787656275E-3</v>
      </c>
      <c r="Q2374" s="4">
        <f t="shared" ca="1" si="220"/>
        <v>1923.2091577195283</v>
      </c>
      <c r="R2374" s="4">
        <f t="shared" ca="1" si="221"/>
        <v>-0.46088628047164093</v>
      </c>
      <c r="S2374" s="4">
        <f t="shared" ca="1" si="222"/>
        <v>-0.23321868142906593</v>
      </c>
    </row>
    <row r="2375" spans="15:19" x14ac:dyDescent="0.2">
      <c r="O2375" s="4">
        <f t="shared" ca="1" si="218"/>
        <v>0.11630192882955293</v>
      </c>
      <c r="P2375" s="4">
        <f t="shared" ca="1" si="219"/>
        <v>-1.1936782346192703</v>
      </c>
      <c r="Q2375" s="4">
        <f t="shared" ca="1" si="220"/>
        <v>1945.7874067245398</v>
      </c>
      <c r="R2375" s="4">
        <f t="shared" ca="1" si="221"/>
        <v>22.117362724539817</v>
      </c>
      <c r="S2375" s="4">
        <f t="shared" ca="1" si="222"/>
        <v>11.395154850017958</v>
      </c>
    </row>
    <row r="2376" spans="15:19" x14ac:dyDescent="0.2">
      <c r="O2376" s="4">
        <f t="shared" ca="1" si="218"/>
        <v>0.59914219284008863</v>
      </c>
      <c r="P2376" s="4">
        <f t="shared" ca="1" si="219"/>
        <v>0.25112739752229496</v>
      </c>
      <c r="Q2376" s="4">
        <f t="shared" ca="1" si="220"/>
        <v>1918.5258437796633</v>
      </c>
      <c r="R2376" s="4">
        <f t="shared" ca="1" si="221"/>
        <v>-5.1442002203366428</v>
      </c>
      <c r="S2376" s="4">
        <f t="shared" ca="1" si="222"/>
        <v>-2.5932723486486751</v>
      </c>
    </row>
    <row r="2377" spans="15:19" x14ac:dyDescent="0.2">
      <c r="O2377" s="4">
        <f t="shared" ca="1" si="218"/>
        <v>0.65130889725375218</v>
      </c>
      <c r="P2377" s="4">
        <f t="shared" ca="1" si="219"/>
        <v>0.38885663117260466</v>
      </c>
      <c r="Q2377" s="4">
        <f t="shared" ca="1" si="220"/>
        <v>1915.9270761053276</v>
      </c>
      <c r="R2377" s="4">
        <f t="shared" ca="1" si="221"/>
        <v>-7.742967894672347</v>
      </c>
      <c r="S2377" s="4">
        <f t="shared" ca="1" si="222"/>
        <v>-3.8951609440032122</v>
      </c>
    </row>
    <row r="2378" spans="15:19" x14ac:dyDescent="0.2">
      <c r="O2378" s="4">
        <f t="shared" ca="1" si="218"/>
        <v>0.23245273270996381</v>
      </c>
      <c r="P2378" s="4">
        <f t="shared" ca="1" si="219"/>
        <v>-0.73079322005948111</v>
      </c>
      <c r="Q2378" s="4">
        <f t="shared" ca="1" si="220"/>
        <v>1937.0533814134967</v>
      </c>
      <c r="R2378" s="4">
        <f t="shared" ca="1" si="221"/>
        <v>13.383337413496747</v>
      </c>
      <c r="S2378" s="4">
        <f t="shared" ca="1" si="222"/>
        <v>6.8476881706866015</v>
      </c>
    </row>
    <row r="2379" spans="15:19" x14ac:dyDescent="0.2">
      <c r="O2379" s="4">
        <f t="shared" ca="1" si="218"/>
        <v>0.15671609694227562</v>
      </c>
      <c r="P2379" s="4">
        <f t="shared" ca="1" si="219"/>
        <v>-1.0080463867105491</v>
      </c>
      <c r="Q2379" s="4">
        <f t="shared" ca="1" si="220"/>
        <v>1942.2847803547654</v>
      </c>
      <c r="R2379" s="4">
        <f t="shared" ca="1" si="221"/>
        <v>18.614736354765455</v>
      </c>
      <c r="S2379" s="4">
        <f t="shared" ca="1" si="222"/>
        <v>9.5640147823528334</v>
      </c>
    </row>
    <row r="2380" spans="15:19" x14ac:dyDescent="0.2">
      <c r="O2380" s="4">
        <f t="shared" ca="1" si="218"/>
        <v>0.17300165655845157</v>
      </c>
      <c r="P2380" s="4">
        <f t="shared" ca="1" si="219"/>
        <v>-0.94236985911499627</v>
      </c>
      <c r="Q2380" s="4">
        <f t="shared" ca="1" si="220"/>
        <v>1941.0455515261835</v>
      </c>
      <c r="R2380" s="4">
        <f t="shared" ca="1" si="221"/>
        <v>17.375507526183583</v>
      </c>
      <c r="S2380" s="4">
        <f t="shared" ca="1" si="222"/>
        <v>8.9185496635772896</v>
      </c>
    </row>
    <row r="2381" spans="15:19" x14ac:dyDescent="0.2">
      <c r="O2381" s="4">
        <f t="shared" ca="1" si="218"/>
        <v>0.44961057757231104</v>
      </c>
      <c r="P2381" s="4">
        <f t="shared" ca="1" si="219"/>
        <v>-0.12664528259413974</v>
      </c>
      <c r="Q2381" s="4">
        <f t="shared" ca="1" si="220"/>
        <v>1925.6539124061565</v>
      </c>
      <c r="R2381" s="4">
        <f t="shared" ca="1" si="221"/>
        <v>1.9838684061564891</v>
      </c>
      <c r="S2381" s="4">
        <f t="shared" ca="1" si="222"/>
        <v>1.0058557351320845</v>
      </c>
    </row>
    <row r="2382" spans="15:19" x14ac:dyDescent="0.2">
      <c r="O2382" s="4">
        <f t="shared" ca="1" si="218"/>
        <v>0.56870316243566632</v>
      </c>
      <c r="P2382" s="4">
        <f t="shared" ca="1" si="219"/>
        <v>0.1730734737898664</v>
      </c>
      <c r="Q2382" s="4">
        <f t="shared" ca="1" si="220"/>
        <v>1919.9986176307536</v>
      </c>
      <c r="R2382" s="4">
        <f t="shared" ca="1" si="221"/>
        <v>-3.6714263692463192</v>
      </c>
      <c r="S2382" s="4">
        <f t="shared" ca="1" si="222"/>
        <v>-1.8530249520322759</v>
      </c>
    </row>
    <row r="2383" spans="15:19" x14ac:dyDescent="0.2">
      <c r="O2383" s="4">
        <f t="shared" ca="1" si="218"/>
        <v>0.81140318019888946</v>
      </c>
      <c r="P2383" s="4">
        <f t="shared" ca="1" si="219"/>
        <v>0.88307890729734539</v>
      </c>
      <c r="Q2383" s="4">
        <f t="shared" ca="1" si="220"/>
        <v>1906.6017582981401</v>
      </c>
      <c r="R2383" s="4">
        <f t="shared" ca="1" si="221"/>
        <v>-17.06828570185985</v>
      </c>
      <c r="S2383" s="4">
        <f t="shared" ca="1" si="222"/>
        <v>-8.5215434018868841</v>
      </c>
    </row>
    <row r="2384" spans="15:19" x14ac:dyDescent="0.2">
      <c r="O2384" s="4">
        <f t="shared" ca="1" si="218"/>
        <v>0.20572275135238849</v>
      </c>
      <c r="P2384" s="4">
        <f t="shared" ca="1" si="219"/>
        <v>-0.82135251535844189</v>
      </c>
      <c r="Q2384" s="4">
        <f t="shared" ca="1" si="220"/>
        <v>1938.762115013446</v>
      </c>
      <c r="R2384" s="4">
        <f t="shared" ca="1" si="221"/>
        <v>15.092071013446002</v>
      </c>
      <c r="S2384" s="4">
        <f t="shared" ca="1" si="222"/>
        <v>7.7324725772441871</v>
      </c>
    </row>
    <row r="2385" spans="15:19" x14ac:dyDescent="0.2">
      <c r="O2385" s="4">
        <f t="shared" ca="1" si="218"/>
        <v>0.46408255939517762</v>
      </c>
      <c r="P2385" s="4">
        <f t="shared" ca="1" si="219"/>
        <v>-9.0153646761787956E-2</v>
      </c>
      <c r="Q2385" s="4">
        <f t="shared" ca="1" si="220"/>
        <v>1924.9653637148488</v>
      </c>
      <c r="R2385" s="4">
        <f t="shared" ca="1" si="221"/>
        <v>1.2953197148488016</v>
      </c>
      <c r="S2385" s="4">
        <f t="shared" ca="1" si="222"/>
        <v>0.65638652957882826</v>
      </c>
    </row>
    <row r="2386" spans="15:19" x14ac:dyDescent="0.2">
      <c r="O2386" s="4">
        <f t="shared" ca="1" si="218"/>
        <v>0.35211595543145713</v>
      </c>
      <c r="P2386" s="4">
        <f t="shared" ca="1" si="219"/>
        <v>-0.37961407555287274</v>
      </c>
      <c r="Q2386" s="4">
        <f t="shared" ca="1" si="220"/>
        <v>1930.4270974761173</v>
      </c>
      <c r="R2386" s="4">
        <f t="shared" ca="1" si="221"/>
        <v>6.7570534761173349</v>
      </c>
      <c r="S2386" s="4">
        <f t="shared" ca="1" si="222"/>
        <v>3.4390725280765597</v>
      </c>
    </row>
    <row r="2387" spans="15:19" x14ac:dyDescent="0.2">
      <c r="O2387" s="4">
        <f t="shared" ca="1" si="218"/>
        <v>1.1621027959781371E-2</v>
      </c>
      <c r="P2387" s="4">
        <f t="shared" ca="1" si="219"/>
        <v>-2.2694321997475093</v>
      </c>
      <c r="Q2387" s="4">
        <f t="shared" ca="1" si="220"/>
        <v>1966.0854549748597</v>
      </c>
      <c r="R2387" s="4">
        <f t="shared" ca="1" si="221"/>
        <v>42.415410974859697</v>
      </c>
      <c r="S2387" s="4">
        <f t="shared" ca="1" si="222"/>
        <v>22.203441337032849</v>
      </c>
    </row>
    <row r="2388" spans="15:19" x14ac:dyDescent="0.2">
      <c r="O2388" s="4">
        <f t="shared" ca="1" si="218"/>
        <v>0.57980927056962239</v>
      </c>
      <c r="P2388" s="4">
        <f t="shared" ca="1" si="219"/>
        <v>0.20140557174020551</v>
      </c>
      <c r="Q2388" s="4">
        <f t="shared" ca="1" si="220"/>
        <v>1919.4640285798453</v>
      </c>
      <c r="R2388" s="4">
        <f t="shared" ca="1" si="221"/>
        <v>-4.2060154201546993</v>
      </c>
      <c r="S2388" s="4">
        <f t="shared" ca="1" si="222"/>
        <v>-2.1219249183174917</v>
      </c>
    </row>
    <row r="2389" spans="15:19" x14ac:dyDescent="0.2">
      <c r="O2389" s="4">
        <f t="shared" ca="1" si="218"/>
        <v>0.52923994458047741</v>
      </c>
      <c r="P2389" s="4">
        <f t="shared" ca="1" si="219"/>
        <v>7.3359417309737981E-2</v>
      </c>
      <c r="Q2389" s="4">
        <f t="shared" ca="1" si="220"/>
        <v>1921.8800894126657</v>
      </c>
      <c r="R2389" s="4">
        <f t="shared" ca="1" si="221"/>
        <v>-1.7899545873342504</v>
      </c>
      <c r="S2389" s="4">
        <f t="shared" ca="1" si="222"/>
        <v>-0.90478832021777045</v>
      </c>
    </row>
    <row r="2390" spans="15:19" x14ac:dyDescent="0.2">
      <c r="O2390" s="4">
        <f t="shared" ca="1" si="218"/>
        <v>0.66110213325607559</v>
      </c>
      <c r="P2390" s="4">
        <f t="shared" ca="1" si="219"/>
        <v>0.41547292222769983</v>
      </c>
      <c r="Q2390" s="4">
        <f t="shared" ca="1" si="220"/>
        <v>1915.4248620511908</v>
      </c>
      <c r="R2390" s="4">
        <f t="shared" ca="1" si="221"/>
        <v>-8.2451819488092042</v>
      </c>
      <c r="S2390" s="4">
        <f t="shared" ca="1" si="222"/>
        <v>-4.1461180657650125</v>
      </c>
    </row>
    <row r="2391" spans="15:19" x14ac:dyDescent="0.2">
      <c r="O2391" s="4">
        <f t="shared" ca="1" si="218"/>
        <v>0.89031638064365781</v>
      </c>
      <c r="P2391" s="4">
        <f t="shared" ca="1" si="219"/>
        <v>1.2282124168234152</v>
      </c>
      <c r="Q2391" s="4">
        <f t="shared" ca="1" si="220"/>
        <v>1900.0895474615968</v>
      </c>
      <c r="R2391" s="4">
        <f t="shared" ca="1" si="221"/>
        <v>-23.580496538403168</v>
      </c>
      <c r="S2391" s="4">
        <f t="shared" ca="1" si="222"/>
        <v>-11.71033161869271</v>
      </c>
    </row>
    <row r="2392" spans="15:19" x14ac:dyDescent="0.2">
      <c r="O2392" s="4">
        <f t="shared" ca="1" si="218"/>
        <v>0.58511143479627181</v>
      </c>
      <c r="P2392" s="4">
        <f t="shared" ca="1" si="219"/>
        <v>0.21498741515742795</v>
      </c>
      <c r="Q2392" s="4">
        <f t="shared" ca="1" si="220"/>
        <v>1919.2077572371891</v>
      </c>
      <c r="R2392" s="4">
        <f t="shared" ca="1" si="221"/>
        <v>-4.4622867628108907</v>
      </c>
      <c r="S2392" s="4">
        <f t="shared" ca="1" si="222"/>
        <v>-2.2507477033053318</v>
      </c>
    </row>
    <row r="2393" spans="15:19" x14ac:dyDescent="0.2">
      <c r="O2393" s="4">
        <f t="shared" ca="1" si="218"/>
        <v>8.316815502856012E-3</v>
      </c>
      <c r="P2393" s="4">
        <f t="shared" ca="1" si="219"/>
        <v>-2.3947074493776905</v>
      </c>
      <c r="Q2393" s="4">
        <f t="shared" ca="1" si="220"/>
        <v>1968.4492325150718</v>
      </c>
      <c r="R2393" s="4">
        <f t="shared" ca="1" si="221"/>
        <v>44.779188515071837</v>
      </c>
      <c r="S2393" s="4">
        <f t="shared" ca="1" si="222"/>
        <v>23.483909163698971</v>
      </c>
    </row>
    <row r="2394" spans="15:19" x14ac:dyDescent="0.2">
      <c r="O2394" s="4">
        <f t="shared" ca="1" si="218"/>
        <v>0.30034947801487633</v>
      </c>
      <c r="P2394" s="4">
        <f t="shared" ca="1" si="219"/>
        <v>-0.52339564234844871</v>
      </c>
      <c r="Q2394" s="4">
        <f t="shared" ca="1" si="220"/>
        <v>1933.1400646367595</v>
      </c>
      <c r="R2394" s="4">
        <f t="shared" ca="1" si="221"/>
        <v>9.4700206367595001</v>
      </c>
      <c r="S2394" s="4">
        <f t="shared" ca="1" si="222"/>
        <v>4.8303236979176569</v>
      </c>
    </row>
    <row r="2395" spans="15:19" x14ac:dyDescent="0.2">
      <c r="O2395" s="4">
        <f t="shared" ca="1" si="218"/>
        <v>0.65939281971648822</v>
      </c>
      <c r="P2395" s="4">
        <f t="shared" ca="1" si="219"/>
        <v>0.41080659003329945</v>
      </c>
      <c r="Q2395" s="4">
        <f t="shared" ca="1" si="220"/>
        <v>1915.5129095407697</v>
      </c>
      <c r="R2395" s="4">
        <f t="shared" ca="1" si="221"/>
        <v>-8.1571344592302921</v>
      </c>
      <c r="S2395" s="4">
        <f t="shared" ca="1" si="222"/>
        <v>-4.1021354464906246</v>
      </c>
    </row>
    <row r="2396" spans="15:19" x14ac:dyDescent="0.2">
      <c r="O2396" s="4">
        <f t="shared" ca="1" si="218"/>
        <v>0.72706019107324138</v>
      </c>
      <c r="P2396" s="4">
        <f t="shared" ca="1" si="219"/>
        <v>0.6039458896099158</v>
      </c>
      <c r="Q2396" s="4">
        <f t="shared" ca="1" si="220"/>
        <v>1911.8686275312007</v>
      </c>
      <c r="R2396" s="4">
        <f t="shared" ca="1" si="221"/>
        <v>-11.801416468799289</v>
      </c>
      <c r="S2396" s="4">
        <f t="shared" ca="1" si="222"/>
        <v>-5.9172986826768916</v>
      </c>
    </row>
    <row r="2397" spans="15:19" x14ac:dyDescent="0.2">
      <c r="O2397" s="4">
        <f t="shared" ca="1" si="218"/>
        <v>0.76897255293769262</v>
      </c>
      <c r="P2397" s="4">
        <f t="shared" ca="1" si="219"/>
        <v>0.73546738826902958</v>
      </c>
      <c r="Q2397" s="4">
        <f t="shared" ca="1" si="220"/>
        <v>1909.3869915695627</v>
      </c>
      <c r="R2397" s="4">
        <f t="shared" ca="1" si="221"/>
        <v>-14.283052430437237</v>
      </c>
      <c r="S2397" s="4">
        <f t="shared" ca="1" si="222"/>
        <v>-7.1471766452001289</v>
      </c>
    </row>
    <row r="2398" spans="15:19" x14ac:dyDescent="0.2">
      <c r="O2398" s="4">
        <f t="shared" ca="1" si="218"/>
        <v>0.15201641010652489</v>
      </c>
      <c r="P2398" s="4">
        <f t="shared" ca="1" si="219"/>
        <v>-1.0278235842909691</v>
      </c>
      <c r="Q2398" s="4">
        <f t="shared" ca="1" si="220"/>
        <v>1942.6579498003416</v>
      </c>
      <c r="R2398" s="4">
        <f t="shared" ca="1" si="221"/>
        <v>18.98790580034165</v>
      </c>
      <c r="S2398" s="4">
        <f t="shared" ca="1" si="222"/>
        <v>9.7586288701992459</v>
      </c>
    </row>
    <row r="2399" spans="15:19" x14ac:dyDescent="0.2">
      <c r="O2399" s="4">
        <f t="shared" ca="1" si="218"/>
        <v>0.56228308093184576</v>
      </c>
      <c r="P2399" s="4">
        <f t="shared" ca="1" si="219"/>
        <v>0.15676020333739499</v>
      </c>
      <c r="Q2399" s="4">
        <f t="shared" ca="1" si="220"/>
        <v>1920.3064273730354</v>
      </c>
      <c r="R2399" s="4">
        <f t="shared" ca="1" si="221"/>
        <v>-3.3636166269645855</v>
      </c>
      <c r="S2399" s="4">
        <f t="shared" ca="1" si="222"/>
        <v>-1.6980901355191731</v>
      </c>
    </row>
    <row r="2400" spans="15:19" x14ac:dyDescent="0.2">
      <c r="O2400" s="4">
        <f t="shared" ca="1" si="218"/>
        <v>0.92892565104726965</v>
      </c>
      <c r="P2400" s="4">
        <f t="shared" ca="1" si="219"/>
        <v>1.4678362877371809</v>
      </c>
      <c r="Q2400" s="4">
        <f t="shared" ca="1" si="220"/>
        <v>1895.5681633427325</v>
      </c>
      <c r="R2400" s="4">
        <f t="shared" ca="1" si="221"/>
        <v>-28.101880657267429</v>
      </c>
      <c r="S2400" s="4">
        <f t="shared" ca="1" si="222"/>
        <v>-13.903978286860678</v>
      </c>
    </row>
    <row r="2401" spans="15:19" x14ac:dyDescent="0.2">
      <c r="O2401" s="4">
        <f t="shared" ca="1" si="218"/>
        <v>0.91059809544646253</v>
      </c>
      <c r="P2401" s="4">
        <f t="shared" ca="1" si="219"/>
        <v>1.3444472320792691</v>
      </c>
      <c r="Q2401" s="4">
        <f t="shared" ca="1" si="220"/>
        <v>1897.8963509083783</v>
      </c>
      <c r="R2401" s="4">
        <f t="shared" ca="1" si="221"/>
        <v>-25.773693091621681</v>
      </c>
      <c r="S2401" s="4">
        <f t="shared" ca="1" si="222"/>
        <v>-12.776486623350122</v>
      </c>
    </row>
    <row r="2402" spans="15:19" x14ac:dyDescent="0.2">
      <c r="O2402" s="4">
        <f t="shared" ca="1" si="218"/>
        <v>0.27208943621526582</v>
      </c>
      <c r="P2402" s="4">
        <f t="shared" ca="1" si="219"/>
        <v>-0.60650588985327458</v>
      </c>
      <c r="Q2402" s="4">
        <f t="shared" ca="1" si="220"/>
        <v>1934.7082446004258</v>
      </c>
      <c r="R2402" s="4">
        <f t="shared" ca="1" si="221"/>
        <v>11.038200600425853</v>
      </c>
      <c r="S2402" s="4">
        <f t="shared" ca="1" si="222"/>
        <v>5.6372433387651038</v>
      </c>
    </row>
    <row r="2403" spans="15:19" x14ac:dyDescent="0.2">
      <c r="O2403" s="4">
        <f t="shared" ca="1" si="218"/>
        <v>0.81760026047456924</v>
      </c>
      <c r="P2403" s="4">
        <f t="shared" ca="1" si="219"/>
        <v>0.90625768108742943</v>
      </c>
      <c r="Q2403" s="4">
        <f t="shared" ca="1" si="220"/>
        <v>1906.1644056282678</v>
      </c>
      <c r="R2403" s="4">
        <f t="shared" ca="1" si="221"/>
        <v>-17.505638371732175</v>
      </c>
      <c r="S2403" s="4">
        <f t="shared" ca="1" si="222"/>
        <v>-8.7367803142555296</v>
      </c>
    </row>
    <row r="2404" spans="15:19" x14ac:dyDescent="0.2">
      <c r="O2404" s="4">
        <f t="shared" ca="1" si="218"/>
        <v>0.92995634765380497</v>
      </c>
      <c r="P2404" s="4">
        <f t="shared" ca="1" si="219"/>
        <v>1.4754659923859623</v>
      </c>
      <c r="Q2404" s="4">
        <f t="shared" ca="1" si="220"/>
        <v>1895.4242009515942</v>
      </c>
      <c r="R2404" s="4">
        <f t="shared" ca="1" si="221"/>
        <v>-28.245843048405732</v>
      </c>
      <c r="S2404" s="4">
        <f t="shared" ca="1" si="222"/>
        <v>-13.973551332909787</v>
      </c>
    </row>
    <row r="2405" spans="15:19" x14ac:dyDescent="0.2">
      <c r="O2405" s="4">
        <f t="shared" ca="1" si="218"/>
        <v>0.75679987505493262</v>
      </c>
      <c r="P2405" s="4">
        <f t="shared" ca="1" si="219"/>
        <v>0.69604563693823707</v>
      </c>
      <c r="Q2405" s="4">
        <f t="shared" ca="1" si="220"/>
        <v>1910.1308276478512</v>
      </c>
      <c r="R2405" s="4">
        <f t="shared" ca="1" si="221"/>
        <v>-13.539216352148742</v>
      </c>
      <c r="S2405" s="4">
        <f t="shared" ca="1" si="222"/>
        <v>-6.7790639185785286</v>
      </c>
    </row>
    <row r="2406" spans="15:19" x14ac:dyDescent="0.2">
      <c r="O2406" s="4">
        <f t="shared" ca="1" si="218"/>
        <v>0.59688478219747076</v>
      </c>
      <c r="P2406" s="4">
        <f t="shared" ca="1" si="219"/>
        <v>0.24529188381621334</v>
      </c>
      <c r="Q2406" s="4">
        <f t="shared" ca="1" si="220"/>
        <v>1918.6359521711831</v>
      </c>
      <c r="R2406" s="4">
        <f t="shared" ca="1" si="221"/>
        <v>-5.0340918288168268</v>
      </c>
      <c r="S2406" s="4">
        <f t="shared" ca="1" si="222"/>
        <v>-2.5379906110963431</v>
      </c>
    </row>
    <row r="2407" spans="15:19" x14ac:dyDescent="0.2">
      <c r="O2407" s="4">
        <f t="shared" ca="1" si="218"/>
        <v>0.40984923466350975</v>
      </c>
      <c r="P2407" s="4">
        <f t="shared" ca="1" si="219"/>
        <v>-0.2279328176973851</v>
      </c>
      <c r="Q2407" s="4">
        <f t="shared" ca="1" si="220"/>
        <v>1927.5650736394191</v>
      </c>
      <c r="R2407" s="4">
        <f t="shared" ca="1" si="221"/>
        <v>3.8950296394191355</v>
      </c>
      <c r="S2407" s="4">
        <f t="shared" ca="1" si="222"/>
        <v>1.9778779063103253</v>
      </c>
    </row>
    <row r="2408" spans="15:19" x14ac:dyDescent="0.2">
      <c r="O2408" s="4">
        <f t="shared" ca="1" si="218"/>
        <v>0.25561936574019561</v>
      </c>
      <c r="P2408" s="4">
        <f t="shared" ca="1" si="219"/>
        <v>-0.65691008768838055</v>
      </c>
      <c r="Q2408" s="4">
        <f t="shared" ca="1" si="220"/>
        <v>1935.6593048547597</v>
      </c>
      <c r="R2408" s="4">
        <f t="shared" ca="1" si="221"/>
        <v>11.989260854759777</v>
      </c>
      <c r="S2408" s="4">
        <f t="shared" ca="1" si="222"/>
        <v>6.1275943759953</v>
      </c>
    </row>
    <row r="2409" spans="15:19" x14ac:dyDescent="0.2">
      <c r="O2409" s="4">
        <f t="shared" ca="1" si="218"/>
        <v>0.7710005003590148</v>
      </c>
      <c r="P2409" s="4">
        <f t="shared" ca="1" si="219"/>
        <v>0.74214580625009829</v>
      </c>
      <c r="Q2409" s="4">
        <f t="shared" ca="1" si="220"/>
        <v>1909.2609786941191</v>
      </c>
      <c r="R2409" s="4">
        <f t="shared" ca="1" si="221"/>
        <v>-14.409065305880858</v>
      </c>
      <c r="S2409" s="4">
        <f t="shared" ca="1" si="222"/>
        <v>-7.2094938072057619</v>
      </c>
    </row>
    <row r="2410" spans="15:19" x14ac:dyDescent="0.2">
      <c r="O2410" s="4">
        <f t="shared" ca="1" si="218"/>
        <v>0.78403339267029037</v>
      </c>
      <c r="P2410" s="4">
        <f t="shared" ca="1" si="219"/>
        <v>0.78588781346253789</v>
      </c>
      <c r="Q2410" s="4">
        <f t="shared" ca="1" si="220"/>
        <v>1908.4356251265324</v>
      </c>
      <c r="R2410" s="4">
        <f t="shared" ca="1" si="221"/>
        <v>-15.234418873467575</v>
      </c>
      <c r="S2410" s="4">
        <f t="shared" ca="1" si="222"/>
        <v>-7.617336367019754</v>
      </c>
    </row>
    <row r="2411" spans="15:19" x14ac:dyDescent="0.2">
      <c r="O2411" s="4">
        <f t="shared" ca="1" si="218"/>
        <v>2.381450951747055E-2</v>
      </c>
      <c r="P2411" s="4">
        <f t="shared" ca="1" si="219"/>
        <v>-1.9806635318608581</v>
      </c>
      <c r="Q2411" s="4">
        <f t="shared" ca="1" si="220"/>
        <v>1960.6367738228962</v>
      </c>
      <c r="R2411" s="4">
        <f t="shared" ca="1" si="221"/>
        <v>36.966729822896241</v>
      </c>
      <c r="S2411" s="4">
        <f t="shared" ca="1" si="222"/>
        <v>19.269196740959384</v>
      </c>
    </row>
    <row r="2412" spans="15:19" x14ac:dyDescent="0.2">
      <c r="O2412" s="4">
        <f t="shared" ca="1" si="218"/>
        <v>0.30107885541446566</v>
      </c>
      <c r="P2412" s="4">
        <f t="shared" ca="1" si="219"/>
        <v>-0.52130012946359972</v>
      </c>
      <c r="Q2412" s="4">
        <f t="shared" ca="1" si="220"/>
        <v>1933.1005250923795</v>
      </c>
      <c r="R2412" s="4">
        <f t="shared" ca="1" si="221"/>
        <v>9.430481092379523</v>
      </c>
      <c r="S2412" s="4">
        <f t="shared" ca="1" si="222"/>
        <v>4.8100041834214746</v>
      </c>
    </row>
    <row r="2413" spans="15:19" x14ac:dyDescent="0.2">
      <c r="O2413" s="4">
        <f t="shared" ca="1" si="218"/>
        <v>0.54290428753357967</v>
      </c>
      <c r="P2413" s="4">
        <f t="shared" ca="1" si="219"/>
        <v>0.10775325384263591</v>
      </c>
      <c r="Q2413" s="4">
        <f t="shared" ca="1" si="220"/>
        <v>1921.2311234073438</v>
      </c>
      <c r="R2413" s="4">
        <f t="shared" ca="1" si="221"/>
        <v>-2.4389205926561317</v>
      </c>
      <c r="S2413" s="4">
        <f t="shared" ca="1" si="222"/>
        <v>-1.2321841094228805</v>
      </c>
    </row>
    <row r="2414" spans="15:19" x14ac:dyDescent="0.2">
      <c r="O2414" s="4">
        <f t="shared" ca="1" si="218"/>
        <v>0.35372740990120355</v>
      </c>
      <c r="P2414" s="4">
        <f t="shared" ca="1" si="219"/>
        <v>-0.37527652911169895</v>
      </c>
      <c r="Q2414" s="4">
        <f t="shared" ca="1" si="220"/>
        <v>1930.3452537369308</v>
      </c>
      <c r="R2414" s="4">
        <f t="shared" ca="1" si="221"/>
        <v>6.6752097369308103</v>
      </c>
      <c r="S2414" s="4">
        <f t="shared" ca="1" si="222"/>
        <v>3.3971949154602115</v>
      </c>
    </row>
    <row r="2415" spans="15:19" x14ac:dyDescent="0.2">
      <c r="O2415" s="4">
        <f t="shared" ca="1" si="218"/>
        <v>6.6206734780586807E-2</v>
      </c>
      <c r="P2415" s="4">
        <f t="shared" ca="1" si="219"/>
        <v>-1.5046523894688066</v>
      </c>
      <c r="Q2415" s="4">
        <f t="shared" ca="1" si="220"/>
        <v>1951.6550759168961</v>
      </c>
      <c r="R2415" s="4">
        <f t="shared" ca="1" si="221"/>
        <v>27.985031916896105</v>
      </c>
      <c r="S2415" s="4">
        <f t="shared" ca="1" si="222"/>
        <v>14.48509842067314</v>
      </c>
    </row>
    <row r="2416" spans="15:19" x14ac:dyDescent="0.2">
      <c r="O2416" s="4">
        <f t="shared" ca="1" si="218"/>
        <v>0.32754396673114528</v>
      </c>
      <c r="P2416" s="4">
        <f t="shared" ca="1" si="219"/>
        <v>-0.44670519079345788</v>
      </c>
      <c r="Q2416" s="4">
        <f t="shared" ca="1" si="220"/>
        <v>1931.6930176943702</v>
      </c>
      <c r="R2416" s="4">
        <f t="shared" ca="1" si="221"/>
        <v>8.0229736943701937</v>
      </c>
      <c r="S2416" s="4">
        <f t="shared" ca="1" si="222"/>
        <v>4.0875101437967727</v>
      </c>
    </row>
    <row r="2417" spans="15:19" x14ac:dyDescent="0.2">
      <c r="O2417" s="4">
        <f t="shared" ca="1" si="218"/>
        <v>0.81488229463066919</v>
      </c>
      <c r="P2417" s="4">
        <f t="shared" ca="1" si="219"/>
        <v>0.89603249057447587</v>
      </c>
      <c r="Q2417" s="4">
        <f t="shared" ca="1" si="220"/>
        <v>1906.3573413897234</v>
      </c>
      <c r="R2417" s="4">
        <f t="shared" ca="1" si="221"/>
        <v>-17.312702610276574</v>
      </c>
      <c r="S2417" s="4">
        <f t="shared" ca="1" si="222"/>
        <v>-8.6418489122309783</v>
      </c>
    </row>
    <row r="2418" spans="15:19" x14ac:dyDescent="0.2">
      <c r="O2418" s="4">
        <f t="shared" ca="1" si="218"/>
        <v>1.6390286760640027E-2</v>
      </c>
      <c r="P2418" s="4">
        <f t="shared" ca="1" si="219"/>
        <v>-2.1347605586012088</v>
      </c>
      <c r="Q2418" s="4">
        <f t="shared" ca="1" si="220"/>
        <v>1963.5443800092548</v>
      </c>
      <c r="R2418" s="4">
        <f t="shared" ca="1" si="221"/>
        <v>39.874336009254876</v>
      </c>
      <c r="S2418" s="4">
        <f t="shared" ca="1" si="222"/>
        <v>20.832004327141693</v>
      </c>
    </row>
    <row r="2419" spans="15:19" x14ac:dyDescent="0.2">
      <c r="O2419" s="4">
        <f t="shared" ca="1" si="218"/>
        <v>0.15577299627168451</v>
      </c>
      <c r="P2419" s="4">
        <f t="shared" ca="1" si="219"/>
        <v>-1.011983395774027</v>
      </c>
      <c r="Q2419" s="4">
        <f t="shared" ca="1" si="220"/>
        <v>1942.3590664857236</v>
      </c>
      <c r="R2419" s="4">
        <f t="shared" ca="1" si="221"/>
        <v>18.689022485723626</v>
      </c>
      <c r="S2419" s="4">
        <f t="shared" ca="1" si="222"/>
        <v>9.60274720013369</v>
      </c>
    </row>
    <row r="2420" spans="15:19" x14ac:dyDescent="0.2">
      <c r="O2420" s="4">
        <f t="shared" ca="1" si="218"/>
        <v>0.31419099506340931</v>
      </c>
      <c r="P2420" s="4">
        <f t="shared" ca="1" si="219"/>
        <v>-0.48400546572427161</v>
      </c>
      <c r="Q2420" s="4">
        <f t="shared" ca="1" si="220"/>
        <v>1932.3968243312397</v>
      </c>
      <c r="R2420" s="4">
        <f t="shared" ca="1" si="221"/>
        <v>8.7267803312397518</v>
      </c>
      <c r="S2420" s="4">
        <f t="shared" ca="1" si="222"/>
        <v>4.4485827285092441</v>
      </c>
    </row>
    <row r="2421" spans="15:19" x14ac:dyDescent="0.2">
      <c r="O2421" s="4">
        <f t="shared" ca="1" si="218"/>
        <v>0.38853737498913665</v>
      </c>
      <c r="P2421" s="4">
        <f t="shared" ca="1" si="219"/>
        <v>-0.28313317716816799</v>
      </c>
      <c r="Q2421" s="4">
        <f t="shared" ca="1" si="220"/>
        <v>1928.6066310924184</v>
      </c>
      <c r="R2421" s="4">
        <f t="shared" ca="1" si="221"/>
        <v>4.9365870924184492</v>
      </c>
      <c r="S2421" s="4">
        <f t="shared" ca="1" si="222"/>
        <v>2.5088689727029081</v>
      </c>
    </row>
    <row r="2422" spans="15:19" x14ac:dyDescent="0.2">
      <c r="O2422" s="4">
        <f t="shared" ca="1" si="218"/>
        <v>0.63314448716014682</v>
      </c>
      <c r="P2422" s="4">
        <f t="shared" ca="1" si="219"/>
        <v>0.34019321735441982</v>
      </c>
      <c r="Q2422" s="4">
        <f t="shared" ca="1" si="220"/>
        <v>1916.8452900777847</v>
      </c>
      <c r="R2422" s="4">
        <f t="shared" ca="1" si="221"/>
        <v>-6.8247539222152227</v>
      </c>
      <c r="S2422" s="4">
        <f t="shared" ca="1" si="222"/>
        <v>-3.4357971115972217</v>
      </c>
    </row>
    <row r="2423" spans="15:19" x14ac:dyDescent="0.2">
      <c r="O2423" s="4">
        <f t="shared" ca="1" si="218"/>
        <v>0.28137152682744027</v>
      </c>
      <c r="P2423" s="4">
        <f t="shared" ca="1" si="219"/>
        <v>-0.57877195977415896</v>
      </c>
      <c r="Q2423" s="4">
        <f t="shared" ca="1" si="220"/>
        <v>1934.1849421826194</v>
      </c>
      <c r="R2423" s="4">
        <f t="shared" ca="1" si="221"/>
        <v>10.51489818261939</v>
      </c>
      <c r="S2423" s="4">
        <f t="shared" ca="1" si="222"/>
        <v>5.3677512813886841</v>
      </c>
    </row>
    <row r="2424" spans="15:19" x14ac:dyDescent="0.2">
      <c r="O2424" s="4">
        <f t="shared" ca="1" si="218"/>
        <v>0.1339603724568379</v>
      </c>
      <c r="P2424" s="4">
        <f t="shared" ca="1" si="219"/>
        <v>-1.1078635604941884</v>
      </c>
      <c r="Q2424" s="4">
        <f t="shared" ca="1" si="220"/>
        <v>1944.1681978232098</v>
      </c>
      <c r="R2424" s="4">
        <f t="shared" ca="1" si="221"/>
        <v>20.498153823209805</v>
      </c>
      <c r="S2424" s="4">
        <f t="shared" ca="1" si="222"/>
        <v>10.547406273896476</v>
      </c>
    </row>
    <row r="2425" spans="15:19" x14ac:dyDescent="0.2">
      <c r="O2425" s="4">
        <f t="shared" ca="1" si="218"/>
        <v>0.68770103115806458</v>
      </c>
      <c r="P2425" s="4">
        <f t="shared" ca="1" si="219"/>
        <v>0.48934433560999402</v>
      </c>
      <c r="Q2425" s="4">
        <f t="shared" ca="1" si="220"/>
        <v>1914.0310066142049</v>
      </c>
      <c r="R2425" s="4">
        <f t="shared" ca="1" si="221"/>
        <v>-9.6390373857950635</v>
      </c>
      <c r="S2425" s="4">
        <f t="shared" ca="1" si="222"/>
        <v>-4.8415539123325022</v>
      </c>
    </row>
    <row r="2426" spans="15:19" x14ac:dyDescent="0.2">
      <c r="O2426" s="4">
        <f t="shared" ca="1" si="218"/>
        <v>0.19672440267643398</v>
      </c>
      <c r="P2426" s="4">
        <f t="shared" ca="1" si="219"/>
        <v>-0.85337964552354129</v>
      </c>
      <c r="Q2426" s="4">
        <f t="shared" ca="1" si="220"/>
        <v>1939.3664244136285</v>
      </c>
      <c r="R2426" s="4">
        <f t="shared" ca="1" si="221"/>
        <v>15.696380413628503</v>
      </c>
      <c r="S2426" s="4">
        <f t="shared" ca="1" si="222"/>
        <v>8.0459537432667805</v>
      </c>
    </row>
    <row r="2427" spans="15:19" x14ac:dyDescent="0.2">
      <c r="O2427" s="4">
        <f t="shared" ca="1" si="218"/>
        <v>0.91163812855473125</v>
      </c>
      <c r="P2427" s="4">
        <f t="shared" ca="1" si="219"/>
        <v>1.3509116280852251</v>
      </c>
      <c r="Q2427" s="4">
        <f t="shared" ca="1" si="220"/>
        <v>1897.7743763432904</v>
      </c>
      <c r="R2427" s="4">
        <f t="shared" ca="1" si="221"/>
        <v>-25.89566765670952</v>
      </c>
      <c r="S2427" s="4">
        <f t="shared" ca="1" si="222"/>
        <v>-12.835665851085384</v>
      </c>
    </row>
    <row r="2428" spans="15:19" x14ac:dyDescent="0.2">
      <c r="O2428" s="4">
        <f t="shared" ca="1" si="218"/>
        <v>0.87132534961800368</v>
      </c>
      <c r="P2428" s="4">
        <f t="shared" ca="1" si="219"/>
        <v>1.1326784735153381</v>
      </c>
      <c r="Q2428" s="4">
        <f t="shared" ca="1" si="220"/>
        <v>1901.8921460609704</v>
      </c>
      <c r="R2428" s="4">
        <f t="shared" ca="1" si="221"/>
        <v>-21.777897939029572</v>
      </c>
      <c r="S2428" s="4">
        <f t="shared" ca="1" si="222"/>
        <v>-10.831121743699352</v>
      </c>
    </row>
    <row r="2429" spans="15:19" x14ac:dyDescent="0.2">
      <c r="O2429" s="4">
        <f t="shared" ca="1" si="218"/>
        <v>0.92847428482309546</v>
      </c>
      <c r="P2429" s="4">
        <f t="shared" ca="1" si="219"/>
        <v>1.4645218027233822</v>
      </c>
      <c r="Q2429" s="4">
        <f t="shared" ca="1" si="220"/>
        <v>1895.6307032718576</v>
      </c>
      <c r="R2429" s="4">
        <f t="shared" ca="1" si="221"/>
        <v>-28.039340728142406</v>
      </c>
      <c r="S2429" s="4">
        <f t="shared" ca="1" si="222"/>
        <v>-13.873749209899767</v>
      </c>
    </row>
    <row r="2430" spans="15:19" x14ac:dyDescent="0.2">
      <c r="O2430" s="4">
        <f t="shared" ca="1" si="218"/>
        <v>9.4190746027812522E-2</v>
      </c>
      <c r="P2430" s="4">
        <f t="shared" ca="1" si="219"/>
        <v>-1.3153821780859389</v>
      </c>
      <c r="Q2430" s="4">
        <f t="shared" ca="1" si="220"/>
        <v>1948.0837984617021</v>
      </c>
      <c r="R2430" s="4">
        <f t="shared" ca="1" si="221"/>
        <v>24.413754461702183</v>
      </c>
      <c r="S2430" s="4">
        <f t="shared" ca="1" si="222"/>
        <v>12.601107682255323</v>
      </c>
    </row>
    <row r="2431" spans="15:19" x14ac:dyDescent="0.2">
      <c r="O2431" s="4">
        <f t="shared" ca="1" si="218"/>
        <v>0.56677570960427681</v>
      </c>
      <c r="P2431" s="4">
        <f t="shared" ca="1" si="219"/>
        <v>0.16817122099817905</v>
      </c>
      <c r="Q2431" s="4">
        <f t="shared" ca="1" si="220"/>
        <v>1920.0911166285975</v>
      </c>
      <c r="R2431" s="4">
        <f t="shared" ca="1" si="221"/>
        <v>-3.5789273714024148</v>
      </c>
      <c r="S2431" s="4">
        <f t="shared" ca="1" si="222"/>
        <v>-1.8064740544662163</v>
      </c>
    </row>
    <row r="2432" spans="15:19" x14ac:dyDescent="0.2">
      <c r="O2432" s="4">
        <f t="shared" ca="1" si="218"/>
        <v>0.2811419003075617</v>
      </c>
      <c r="P2432" s="4">
        <f t="shared" ca="1" si="219"/>
        <v>-0.57945263020053528</v>
      </c>
      <c r="Q2432" s="4">
        <f t="shared" ca="1" si="220"/>
        <v>1934.1977855293371</v>
      </c>
      <c r="R2432" s="4">
        <f t="shared" ca="1" si="221"/>
        <v>10.527741529337163</v>
      </c>
      <c r="S2432" s="4">
        <f t="shared" ca="1" si="222"/>
        <v>5.3743627229778843</v>
      </c>
    </row>
    <row r="2433" spans="15:19" x14ac:dyDescent="0.2">
      <c r="O2433" s="4">
        <f t="shared" ca="1" si="218"/>
        <v>0.56988809767072279</v>
      </c>
      <c r="P2433" s="4">
        <f t="shared" ca="1" si="219"/>
        <v>0.17608927744850275</v>
      </c>
      <c r="Q2433" s="4">
        <f t="shared" ca="1" si="220"/>
        <v>1919.9417134220212</v>
      </c>
      <c r="R2433" s="4">
        <f t="shared" ca="1" si="221"/>
        <v>-3.7283305779787952</v>
      </c>
      <c r="S2433" s="4">
        <f t="shared" ca="1" si="222"/>
        <v>-1.8816590122478594</v>
      </c>
    </row>
    <row r="2434" spans="15:19" x14ac:dyDescent="0.2">
      <c r="O2434" s="4">
        <f t="shared" ca="1" si="218"/>
        <v>0.16040120933590751</v>
      </c>
      <c r="P2434" s="4">
        <f t="shared" ca="1" si="219"/>
        <v>-0.99281028116261605</v>
      </c>
      <c r="Q2434" s="4">
        <f t="shared" ca="1" si="220"/>
        <v>1941.9972952832859</v>
      </c>
      <c r="R2434" s="4">
        <f t="shared" ca="1" si="221"/>
        <v>18.327251283285932</v>
      </c>
      <c r="S2434" s="4">
        <f t="shared" ca="1" si="222"/>
        <v>9.4141638382124633</v>
      </c>
    </row>
    <row r="2435" spans="15:19" x14ac:dyDescent="0.2">
      <c r="O2435" s="4">
        <f t="shared" ref="O2435:O2498" ca="1" si="223">RAND()</f>
        <v>0.32511630349695619</v>
      </c>
      <c r="P2435" s="4">
        <f t="shared" ref="P2435:P2498" ca="1" si="224">NORMSINV(O2435)</f>
        <v>-0.45343907189561855</v>
      </c>
      <c r="Q2435" s="4">
        <f t="shared" ref="Q2435:Q2498" ca="1" si="225">$B$4*(1+$B$17-$B$32*P2435)</f>
        <v>1931.8200770852291</v>
      </c>
      <c r="R2435" s="4">
        <f t="shared" ref="R2435:R2498" ca="1" si="226">Q2435-$B$4</f>
        <v>8.1500330852290972</v>
      </c>
      <c r="S2435" s="4">
        <f t="shared" ref="S2435:S2498" ca="1" si="227">R2435*$B$12+0.5*$B$13*R2435^2</f>
        <v>4.1526653517211054</v>
      </c>
    </row>
    <row r="2436" spans="15:19" x14ac:dyDescent="0.2">
      <c r="O2436" s="4">
        <f t="shared" ca="1" si="223"/>
        <v>0.11563037514778551</v>
      </c>
      <c r="P2436" s="4">
        <f t="shared" ca="1" si="224"/>
        <v>-1.1971175245820262</v>
      </c>
      <c r="Q2436" s="4">
        <f t="shared" ca="1" si="225"/>
        <v>1945.8523015572557</v>
      </c>
      <c r="R2436" s="4">
        <f t="shared" ca="1" si="226"/>
        <v>22.182257557255753</v>
      </c>
      <c r="S2436" s="4">
        <f t="shared" ca="1" si="227"/>
        <v>11.429175499282948</v>
      </c>
    </row>
    <row r="2437" spans="15:19" x14ac:dyDescent="0.2">
      <c r="O2437" s="4">
        <f t="shared" ca="1" si="223"/>
        <v>0.58566848254636461</v>
      </c>
      <c r="P2437" s="4">
        <f t="shared" ca="1" si="224"/>
        <v>0.21641659104531469</v>
      </c>
      <c r="Q2437" s="4">
        <f t="shared" ca="1" si="225"/>
        <v>1919.1807905867554</v>
      </c>
      <c r="R2437" s="4">
        <f t="shared" ca="1" si="226"/>
        <v>-4.4892534132445689</v>
      </c>
      <c r="S2437" s="4">
        <f t="shared" ca="1" si="227"/>
        <v>-2.2643002222067485</v>
      </c>
    </row>
    <row r="2438" spans="15:19" x14ac:dyDescent="0.2">
      <c r="O2438" s="4">
        <f t="shared" ca="1" si="223"/>
        <v>0.16791127708896536</v>
      </c>
      <c r="P2438" s="4">
        <f t="shared" ca="1" si="224"/>
        <v>-0.96245209847808211</v>
      </c>
      <c r="Q2438" s="4">
        <f t="shared" ca="1" si="225"/>
        <v>1941.4244767049699</v>
      </c>
      <c r="R2438" s="4">
        <f t="shared" ca="1" si="226"/>
        <v>17.754432704969986</v>
      </c>
      <c r="S2438" s="4">
        <f t="shared" ca="1" si="227"/>
        <v>9.1157840510071395</v>
      </c>
    </row>
    <row r="2439" spans="15:19" x14ac:dyDescent="0.2">
      <c r="O2439" s="4">
        <f t="shared" ca="1" si="223"/>
        <v>5.5564778050173014E-2</v>
      </c>
      <c r="P2439" s="4">
        <f t="shared" ca="1" si="224"/>
        <v>-1.5931365739205376</v>
      </c>
      <c r="Q2439" s="4">
        <f t="shared" ca="1" si="225"/>
        <v>1953.3246549318128</v>
      </c>
      <c r="R2439" s="4">
        <f t="shared" ca="1" si="226"/>
        <v>29.65461093181284</v>
      </c>
      <c r="S2439" s="4">
        <f t="shared" ca="1" si="227"/>
        <v>15.369429546075233</v>
      </c>
    </row>
    <row r="2440" spans="15:19" x14ac:dyDescent="0.2">
      <c r="O2440" s="4">
        <f t="shared" ca="1" si="223"/>
        <v>0.9817554145536197</v>
      </c>
      <c r="P2440" s="4">
        <f t="shared" ca="1" si="224"/>
        <v>2.0914340684324531</v>
      </c>
      <c r="Q2440" s="4">
        <f t="shared" ca="1" si="225"/>
        <v>1883.80170163154</v>
      </c>
      <c r="R2440" s="4">
        <f t="shared" ca="1" si="226"/>
        <v>-39.868342368459935</v>
      </c>
      <c r="S2440" s="4">
        <f t="shared" ca="1" si="227"/>
        <v>-19.53471509796994</v>
      </c>
    </row>
    <row r="2441" spans="15:19" x14ac:dyDescent="0.2">
      <c r="O2441" s="4">
        <f t="shared" ca="1" si="223"/>
        <v>0.37521757409841305</v>
      </c>
      <c r="P2441" s="4">
        <f t="shared" ca="1" si="224"/>
        <v>-0.31806563782244895</v>
      </c>
      <c r="Q2441" s="4">
        <f t="shared" ca="1" si="225"/>
        <v>1929.2657602193822</v>
      </c>
      <c r="R2441" s="4">
        <f t="shared" ca="1" si="226"/>
        <v>5.5957162193822114</v>
      </c>
      <c r="S2441" s="4">
        <f t="shared" ca="1" si="227"/>
        <v>2.8453525276446459</v>
      </c>
    </row>
    <row r="2442" spans="15:19" x14ac:dyDescent="0.2">
      <c r="O2442" s="4">
        <f t="shared" ca="1" si="223"/>
        <v>0.60173936789519966</v>
      </c>
      <c r="P2442" s="4">
        <f t="shared" ca="1" si="224"/>
        <v>0.25785182718744482</v>
      </c>
      <c r="Q2442" s="4">
        <f t="shared" ca="1" si="225"/>
        <v>1918.398962724865</v>
      </c>
      <c r="R2442" s="4">
        <f t="shared" ca="1" si="226"/>
        <v>-5.2710812751349749</v>
      </c>
      <c r="S2442" s="4">
        <f t="shared" ca="1" si="227"/>
        <v>-2.6569628386194086</v>
      </c>
    </row>
    <row r="2443" spans="15:19" x14ac:dyDescent="0.2">
      <c r="O2443" s="4">
        <f t="shared" ca="1" si="223"/>
        <v>0.96472087855160027</v>
      </c>
      <c r="P2443" s="4">
        <f t="shared" ca="1" si="224"/>
        <v>1.8083101508543844</v>
      </c>
      <c r="Q2443" s="4">
        <f t="shared" ca="1" si="225"/>
        <v>1889.1438738438767</v>
      </c>
      <c r="R2443" s="4">
        <f t="shared" ca="1" si="226"/>
        <v>-34.526170156123271</v>
      </c>
      <c r="S2443" s="4">
        <f t="shared" ca="1" si="227"/>
        <v>-16.992236027384557</v>
      </c>
    </row>
    <row r="2444" spans="15:19" x14ac:dyDescent="0.2">
      <c r="O2444" s="4">
        <f t="shared" ca="1" si="223"/>
        <v>0.51574580047276519</v>
      </c>
      <c r="P2444" s="4">
        <f t="shared" ca="1" si="224"/>
        <v>3.9479121641283782E-2</v>
      </c>
      <c r="Q2444" s="4">
        <f t="shared" ca="1" si="225"/>
        <v>1922.5193655840822</v>
      </c>
      <c r="R2444" s="4">
        <f t="shared" ca="1" si="226"/>
        <v>-1.1506784159178096</v>
      </c>
      <c r="S2444" s="4">
        <f t="shared" ca="1" si="227"/>
        <v>-0.58194570051234396</v>
      </c>
    </row>
    <row r="2445" spans="15:19" x14ac:dyDescent="0.2">
      <c r="O2445" s="4">
        <f t="shared" ca="1" si="223"/>
        <v>0.94518001036836796</v>
      </c>
      <c r="P2445" s="4">
        <f t="shared" ca="1" si="224"/>
        <v>1.5998134269087871</v>
      </c>
      <c r="Q2445" s="4">
        <f t="shared" ca="1" si="225"/>
        <v>1893.0779300499134</v>
      </c>
      <c r="R2445" s="4">
        <f t="shared" ca="1" si="226"/>
        <v>-30.592113950086514</v>
      </c>
      <c r="S2445" s="4">
        <f t="shared" ca="1" si="227"/>
        <v>-15.105060825171906</v>
      </c>
    </row>
    <row r="2446" spans="15:19" x14ac:dyDescent="0.2">
      <c r="O2446" s="4">
        <f t="shared" ca="1" si="223"/>
        <v>0.16821222731268037</v>
      </c>
      <c r="P2446" s="4">
        <f t="shared" ca="1" si="224"/>
        <v>-0.9612540322268226</v>
      </c>
      <c r="Q2446" s="4">
        <f t="shared" ca="1" si="225"/>
        <v>1941.4018707863645</v>
      </c>
      <c r="R2446" s="4">
        <f t="shared" ca="1" si="226"/>
        <v>17.731826786364536</v>
      </c>
      <c r="S2446" s="4">
        <f t="shared" ca="1" si="227"/>
        <v>9.1040141628594533</v>
      </c>
    </row>
    <row r="2447" spans="15:19" x14ac:dyDescent="0.2">
      <c r="O2447" s="4">
        <f t="shared" ca="1" si="223"/>
        <v>0.22505313303037056</v>
      </c>
      <c r="P2447" s="4">
        <f t="shared" ca="1" si="224"/>
        <v>-0.75523787644863838</v>
      </c>
      <c r="Q2447" s="4">
        <f t="shared" ca="1" si="225"/>
        <v>1937.5146196063679</v>
      </c>
      <c r="R2447" s="4">
        <f t="shared" ca="1" si="226"/>
        <v>13.844575606367926</v>
      </c>
      <c r="S2447" s="4">
        <f t="shared" ca="1" si="227"/>
        <v>7.0862836623100796</v>
      </c>
    </row>
    <row r="2448" spans="15:19" x14ac:dyDescent="0.2">
      <c r="O2448" s="4">
        <f t="shared" ca="1" si="223"/>
        <v>0.68207451850386147</v>
      </c>
      <c r="P2448" s="4">
        <f t="shared" ca="1" si="224"/>
        <v>0.47350776422341112</v>
      </c>
      <c r="Q2448" s="4">
        <f t="shared" ca="1" si="225"/>
        <v>1914.3298216783783</v>
      </c>
      <c r="R2448" s="4">
        <f t="shared" ca="1" si="226"/>
        <v>-9.3402223216216953</v>
      </c>
      <c r="S2448" s="4">
        <f t="shared" ca="1" si="227"/>
        <v>-4.6925994070856776</v>
      </c>
    </row>
    <row r="2449" spans="15:19" x14ac:dyDescent="0.2">
      <c r="O2449" s="4">
        <f t="shared" ca="1" si="223"/>
        <v>0.54290614925941072</v>
      </c>
      <c r="P2449" s="4">
        <f t="shared" ca="1" si="224"/>
        <v>0.1077579476689339</v>
      </c>
      <c r="Q2449" s="4">
        <f t="shared" ca="1" si="225"/>
        <v>1921.231034841077</v>
      </c>
      <c r="R2449" s="4">
        <f t="shared" ca="1" si="226"/>
        <v>-2.4390091589229996</v>
      </c>
      <c r="S2449" s="4">
        <f t="shared" ca="1" si="227"/>
        <v>-1.2322287666726088</v>
      </c>
    </row>
    <row r="2450" spans="15:19" x14ac:dyDescent="0.2">
      <c r="O2450" s="4">
        <f t="shared" ca="1" si="223"/>
        <v>0.40045827747078455</v>
      </c>
      <c r="P2450" s="4">
        <f t="shared" ca="1" si="224"/>
        <v>-0.25216108634572043</v>
      </c>
      <c r="Q2450" s="4">
        <f t="shared" ca="1" si="225"/>
        <v>1928.022228883078</v>
      </c>
      <c r="R2450" s="4">
        <f t="shared" ca="1" si="226"/>
        <v>4.3521848830780527</v>
      </c>
      <c r="S2450" s="4">
        <f t="shared" ca="1" si="227"/>
        <v>2.2108291241890488</v>
      </c>
    </row>
    <row r="2451" spans="15:19" x14ac:dyDescent="0.2">
      <c r="O2451" s="4">
        <f t="shared" ca="1" si="223"/>
        <v>0.46053513199495832</v>
      </c>
      <c r="P2451" s="4">
        <f t="shared" ca="1" si="224"/>
        <v>-9.9085652098438559E-2</v>
      </c>
      <c r="Q2451" s="4">
        <f t="shared" ca="1" si="225"/>
        <v>1925.1338987899424</v>
      </c>
      <c r="R2451" s="4">
        <f t="shared" ca="1" si="226"/>
        <v>1.4638547899423884</v>
      </c>
      <c r="S2451" s="4">
        <f t="shared" ca="1" si="227"/>
        <v>0.74188992976423773</v>
      </c>
    </row>
    <row r="2452" spans="15:19" x14ac:dyDescent="0.2">
      <c r="O2452" s="4">
        <f t="shared" ca="1" si="223"/>
        <v>0.26476945934957097</v>
      </c>
      <c r="P2452" s="4">
        <f t="shared" ca="1" si="224"/>
        <v>-0.62871001745924582</v>
      </c>
      <c r="Q2452" s="4">
        <f t="shared" ca="1" si="225"/>
        <v>1935.1272069915601</v>
      </c>
      <c r="R2452" s="4">
        <f t="shared" ca="1" si="226"/>
        <v>11.457162991560153</v>
      </c>
      <c r="S2452" s="4">
        <f t="shared" ca="1" si="227"/>
        <v>5.8531627147940437</v>
      </c>
    </row>
    <row r="2453" spans="15:19" x14ac:dyDescent="0.2">
      <c r="O2453" s="4">
        <f t="shared" ca="1" si="223"/>
        <v>0.81913708298134802</v>
      </c>
      <c r="P2453" s="4">
        <f t="shared" ca="1" si="224"/>
        <v>0.91208146619615316</v>
      </c>
      <c r="Q2453" s="4">
        <f t="shared" ca="1" si="225"/>
        <v>1906.0545185397993</v>
      </c>
      <c r="R2453" s="4">
        <f t="shared" ca="1" si="226"/>
        <v>-17.615525460200615</v>
      </c>
      <c r="S2453" s="4">
        <f t="shared" ca="1" si="227"/>
        <v>-8.7908352070928029</v>
      </c>
    </row>
    <row r="2454" spans="15:19" x14ac:dyDescent="0.2">
      <c r="O2454" s="4">
        <f t="shared" ca="1" si="223"/>
        <v>0.43901600956753706</v>
      </c>
      <c r="P2454" s="4">
        <f t="shared" ca="1" si="224"/>
        <v>-0.15346445486555618</v>
      </c>
      <c r="Q2454" s="4">
        <f t="shared" ca="1" si="225"/>
        <v>1926.1599545593303</v>
      </c>
      <c r="R2454" s="4">
        <f t="shared" ca="1" si="226"/>
        <v>2.489910559330383</v>
      </c>
      <c r="S2454" s="4">
        <f t="shared" ca="1" si="227"/>
        <v>1.2629408021667148</v>
      </c>
    </row>
    <row r="2455" spans="15:19" x14ac:dyDescent="0.2">
      <c r="O2455" s="4">
        <f t="shared" ca="1" si="223"/>
        <v>0.35131311856400804</v>
      </c>
      <c r="P2455" s="4">
        <f t="shared" ca="1" si="224"/>
        <v>-0.38177773212102534</v>
      </c>
      <c r="Q2455" s="4">
        <f t="shared" ca="1" si="225"/>
        <v>1930.4679228012765</v>
      </c>
      <c r="R2455" s="4">
        <f t="shared" ca="1" si="226"/>
        <v>6.7978788012765108</v>
      </c>
      <c r="S2455" s="4">
        <f t="shared" ca="1" si="227"/>
        <v>3.4599639733595007</v>
      </c>
    </row>
    <row r="2456" spans="15:19" x14ac:dyDescent="0.2">
      <c r="O2456" s="4">
        <f t="shared" ca="1" si="223"/>
        <v>7.0669709945260784E-2</v>
      </c>
      <c r="P2456" s="4">
        <f t="shared" ca="1" si="224"/>
        <v>-1.4708214132368664</v>
      </c>
      <c r="Q2456" s="4">
        <f t="shared" ca="1" si="225"/>
        <v>1951.0167303377286</v>
      </c>
      <c r="R2456" s="4">
        <f t="shared" ca="1" si="226"/>
        <v>27.34668633772867</v>
      </c>
      <c r="S2456" s="4">
        <f t="shared" ca="1" si="227"/>
        <v>14.147583642460324</v>
      </c>
    </row>
    <row r="2457" spans="15:19" x14ac:dyDescent="0.2">
      <c r="O2457" s="4">
        <f t="shared" ca="1" si="223"/>
        <v>0.79760828747504198</v>
      </c>
      <c r="P2457" s="4">
        <f t="shared" ca="1" si="224"/>
        <v>0.83310870414950855</v>
      </c>
      <c r="Q2457" s="4">
        <f t="shared" ca="1" si="225"/>
        <v>1907.5446296492601</v>
      </c>
      <c r="R2457" s="4">
        <f t="shared" ca="1" si="226"/>
        <v>-16.125414350739902</v>
      </c>
      <c r="S2457" s="4">
        <f t="shared" ca="1" si="227"/>
        <v>-8.0569928924474876</v>
      </c>
    </row>
    <row r="2458" spans="15:19" x14ac:dyDescent="0.2">
      <c r="O2458" s="4">
        <f t="shared" ca="1" si="223"/>
        <v>0.61311326526787469</v>
      </c>
      <c r="P2458" s="4">
        <f t="shared" ca="1" si="224"/>
        <v>0.28744257024454362</v>
      </c>
      <c r="Q2458" s="4">
        <f t="shared" ca="1" si="225"/>
        <v>1917.840624712823</v>
      </c>
      <c r="R2458" s="4">
        <f t="shared" ca="1" si="226"/>
        <v>-5.829419287176961</v>
      </c>
      <c r="S2458" s="4">
        <f t="shared" ca="1" si="227"/>
        <v>-2.9370760627471175</v>
      </c>
    </row>
    <row r="2459" spans="15:19" x14ac:dyDescent="0.2">
      <c r="O2459" s="4">
        <f t="shared" ca="1" si="223"/>
        <v>0.68777362439043011</v>
      </c>
      <c r="P2459" s="4">
        <f t="shared" ca="1" si="224"/>
        <v>0.48954945441859993</v>
      </c>
      <c r="Q2459" s="4">
        <f t="shared" ca="1" si="225"/>
        <v>1914.027136294774</v>
      </c>
      <c r="R2459" s="4">
        <f t="shared" ca="1" si="226"/>
        <v>-9.64290770522598</v>
      </c>
      <c r="S2459" s="4">
        <f t="shared" ca="1" si="227"/>
        <v>-4.8434827274660091</v>
      </c>
    </row>
    <row r="2460" spans="15:19" x14ac:dyDescent="0.2">
      <c r="O2460" s="4">
        <f t="shared" ca="1" si="223"/>
        <v>0.71789361644073735</v>
      </c>
      <c r="P2460" s="4">
        <f t="shared" ca="1" si="224"/>
        <v>0.57659545956640035</v>
      </c>
      <c r="Q2460" s="4">
        <f t="shared" ca="1" si="225"/>
        <v>1912.3846938127915</v>
      </c>
      <c r="R2460" s="4">
        <f t="shared" ca="1" si="226"/>
        <v>-11.285350187208451</v>
      </c>
      <c r="S2460" s="4">
        <f t="shared" ca="1" si="227"/>
        <v>-5.6609108217330357</v>
      </c>
    </row>
    <row r="2461" spans="15:19" x14ac:dyDescent="0.2">
      <c r="O2461" s="4">
        <f t="shared" ca="1" si="223"/>
        <v>0.90298028650918616</v>
      </c>
      <c r="P2461" s="4">
        <f t="shared" ca="1" si="224"/>
        <v>1.2987217793656818</v>
      </c>
      <c r="Q2461" s="4">
        <f t="shared" ca="1" si="225"/>
        <v>1898.7591294576887</v>
      </c>
      <c r="R2461" s="4">
        <f t="shared" ca="1" si="226"/>
        <v>-24.910914542311275</v>
      </c>
      <c r="S2461" s="4">
        <f t="shared" ca="1" si="227"/>
        <v>-12.357540642112321</v>
      </c>
    </row>
    <row r="2462" spans="15:19" x14ac:dyDescent="0.2">
      <c r="O2462" s="4">
        <f t="shared" ca="1" si="223"/>
        <v>0.77148006084981657</v>
      </c>
      <c r="P2462" s="4">
        <f t="shared" ca="1" si="224"/>
        <v>0.74372993041848612</v>
      </c>
      <c r="Q2462" s="4">
        <f t="shared" ca="1" si="225"/>
        <v>1909.231088375471</v>
      </c>
      <c r="R2462" s="4">
        <f t="shared" ca="1" si="226"/>
        <v>-14.438955624528944</v>
      </c>
      <c r="S2462" s="4">
        <f t="shared" ca="1" si="227"/>
        <v>-7.2242735730355863</v>
      </c>
    </row>
    <row r="2463" spans="15:19" x14ac:dyDescent="0.2">
      <c r="O2463" s="4">
        <f t="shared" ca="1" si="223"/>
        <v>0.93542406772420272</v>
      </c>
      <c r="P2463" s="4">
        <f t="shared" ca="1" si="224"/>
        <v>1.5174549293310338</v>
      </c>
      <c r="Q2463" s="4">
        <f t="shared" ca="1" si="225"/>
        <v>1894.6319254911089</v>
      </c>
      <c r="R2463" s="4">
        <f t="shared" ca="1" si="226"/>
        <v>-29.038118508891102</v>
      </c>
      <c r="S2463" s="4">
        <f t="shared" ca="1" si="227"/>
        <v>-14.356134225935605</v>
      </c>
    </row>
    <row r="2464" spans="15:19" x14ac:dyDescent="0.2">
      <c r="O2464" s="4">
        <f t="shared" ca="1" si="223"/>
        <v>0.21269560207399019</v>
      </c>
      <c r="P2464" s="4">
        <f t="shared" ca="1" si="224"/>
        <v>-0.79710301729121813</v>
      </c>
      <c r="Q2464" s="4">
        <f t="shared" ca="1" si="225"/>
        <v>1938.3045591988541</v>
      </c>
      <c r="R2464" s="4">
        <f t="shared" ca="1" si="226"/>
        <v>14.63451519885416</v>
      </c>
      <c r="S2464" s="4">
        <f t="shared" ca="1" si="227"/>
        <v>7.4953165606487104</v>
      </c>
    </row>
    <row r="2465" spans="15:19" x14ac:dyDescent="0.2">
      <c r="O2465" s="4">
        <f t="shared" ca="1" si="223"/>
        <v>0.5269174856302814</v>
      </c>
      <c r="P2465" s="4">
        <f t="shared" ca="1" si="224"/>
        <v>6.7523406643837602E-2</v>
      </c>
      <c r="Q2465" s="4">
        <f t="shared" ca="1" si="225"/>
        <v>1921.9902071811571</v>
      </c>
      <c r="R2465" s="4">
        <f t="shared" ca="1" si="226"/>
        <v>-1.6798368188428867</v>
      </c>
      <c r="S2465" s="4">
        <f t="shared" ca="1" si="227"/>
        <v>-0.84920116253899147</v>
      </c>
    </row>
    <row r="2466" spans="15:19" x14ac:dyDescent="0.2">
      <c r="O2466" s="4">
        <f t="shared" ca="1" si="223"/>
        <v>0.80007495700563847</v>
      </c>
      <c r="P2466" s="4">
        <f t="shared" ca="1" si="224"/>
        <v>0.84188900375014986</v>
      </c>
      <c r="Q2466" s="4">
        <f t="shared" ca="1" si="225"/>
        <v>1907.3789570598731</v>
      </c>
      <c r="R2466" s="4">
        <f t="shared" ca="1" si="226"/>
        <v>-16.291086940126888</v>
      </c>
      <c r="S2466" s="4">
        <f t="shared" ca="1" si="227"/>
        <v>-8.1386718042009161</v>
      </c>
    </row>
    <row r="2467" spans="15:19" x14ac:dyDescent="0.2">
      <c r="O2467" s="4">
        <f t="shared" ca="1" si="223"/>
        <v>0.72770277858389121</v>
      </c>
      <c r="P2467" s="4">
        <f t="shared" ca="1" si="224"/>
        <v>0.60587999753305377</v>
      </c>
      <c r="Q2467" s="4">
        <f t="shared" ca="1" si="225"/>
        <v>1911.8321334840321</v>
      </c>
      <c r="R2467" s="4">
        <f t="shared" ca="1" si="226"/>
        <v>-11.837910515967906</v>
      </c>
      <c r="S2467" s="4">
        <f t="shared" ca="1" si="227"/>
        <v>-5.93542115034011</v>
      </c>
    </row>
    <row r="2468" spans="15:19" x14ac:dyDescent="0.2">
      <c r="O2468" s="4">
        <f t="shared" ca="1" si="223"/>
        <v>0.27516411527594475</v>
      </c>
      <c r="P2468" s="4">
        <f t="shared" ca="1" si="224"/>
        <v>-0.59726835204530393</v>
      </c>
      <c r="Q2468" s="4">
        <f t="shared" ca="1" si="225"/>
        <v>1934.5339445334791</v>
      </c>
      <c r="R2468" s="4">
        <f t="shared" ca="1" si="226"/>
        <v>10.863900533479182</v>
      </c>
      <c r="S2468" s="4">
        <f t="shared" ca="1" si="227"/>
        <v>5.5474569355107617</v>
      </c>
    </row>
    <row r="2469" spans="15:19" x14ac:dyDescent="0.2">
      <c r="O2469" s="4">
        <f t="shared" ca="1" si="223"/>
        <v>0.45321684005548268</v>
      </c>
      <c r="P2469" s="4">
        <f t="shared" ca="1" si="224"/>
        <v>-0.11753806684388987</v>
      </c>
      <c r="Q2469" s="4">
        <f t="shared" ca="1" si="225"/>
        <v>1925.4820713433137</v>
      </c>
      <c r="R2469" s="4">
        <f t="shared" ca="1" si="226"/>
        <v>1.8120273433137299</v>
      </c>
      <c r="S2469" s="4">
        <f t="shared" ca="1" si="227"/>
        <v>0.9186025784594799</v>
      </c>
    </row>
    <row r="2470" spans="15:19" x14ac:dyDescent="0.2">
      <c r="O2470" s="4">
        <f t="shared" ca="1" si="223"/>
        <v>0.2511857950569073</v>
      </c>
      <c r="P2470" s="4">
        <f t="shared" ca="1" si="224"/>
        <v>-0.67076289257436161</v>
      </c>
      <c r="Q2470" s="4">
        <f t="shared" ca="1" si="225"/>
        <v>1935.9206888803765</v>
      </c>
      <c r="R2470" s="4">
        <f t="shared" ca="1" si="226"/>
        <v>12.250644880376512</v>
      </c>
      <c r="S2470" s="4">
        <f t="shared" ca="1" si="227"/>
        <v>6.2624886897289302</v>
      </c>
    </row>
    <row r="2471" spans="15:19" x14ac:dyDescent="0.2">
      <c r="O2471" s="4">
        <f t="shared" ca="1" si="223"/>
        <v>0.7870890728936758</v>
      </c>
      <c r="P2471" s="4">
        <f t="shared" ca="1" si="224"/>
        <v>0.79636166316268386</v>
      </c>
      <c r="Q2471" s="4">
        <f t="shared" ca="1" si="225"/>
        <v>1908.2379974965431</v>
      </c>
      <c r="R2471" s="4">
        <f t="shared" ca="1" si="226"/>
        <v>-15.432046503456831</v>
      </c>
      <c r="S2471" s="4">
        <f t="shared" ca="1" si="227"/>
        <v>-7.7149103493837483</v>
      </c>
    </row>
    <row r="2472" spans="15:19" x14ac:dyDescent="0.2">
      <c r="O2472" s="4">
        <f t="shared" ca="1" si="223"/>
        <v>0.33405377355557331</v>
      </c>
      <c r="P2472" s="4">
        <f t="shared" ca="1" si="224"/>
        <v>-0.42874673305477479</v>
      </c>
      <c r="Q2472" s="4">
        <f t="shared" ca="1" si="225"/>
        <v>1931.3541654535254</v>
      </c>
      <c r="R2472" s="4">
        <f t="shared" ca="1" si="226"/>
        <v>7.6841214535254494</v>
      </c>
      <c r="S2472" s="4">
        <f t="shared" ca="1" si="227"/>
        <v>3.913813241563624</v>
      </c>
    </row>
    <row r="2473" spans="15:19" x14ac:dyDescent="0.2">
      <c r="O2473" s="4">
        <f t="shared" ca="1" si="223"/>
        <v>7.1476614358079171E-2</v>
      </c>
      <c r="P2473" s="4">
        <f t="shared" ca="1" si="224"/>
        <v>-1.4648815816542582</v>
      </c>
      <c r="Q2473" s="4">
        <f t="shared" ca="1" si="225"/>
        <v>1950.9046536064584</v>
      </c>
      <c r="R2473" s="4">
        <f t="shared" ca="1" si="226"/>
        <v>27.234609606458434</v>
      </c>
      <c r="S2473" s="4">
        <f t="shared" ca="1" si="227"/>
        <v>14.088359141488414</v>
      </c>
    </row>
    <row r="2474" spans="15:19" x14ac:dyDescent="0.2">
      <c r="O2474" s="4">
        <f t="shared" ca="1" si="223"/>
        <v>0.27523847975097726</v>
      </c>
      <c r="P2474" s="4">
        <f t="shared" ca="1" si="224"/>
        <v>-0.59704556528261565</v>
      </c>
      <c r="Q2474" s="4">
        <f t="shared" ca="1" si="225"/>
        <v>1934.5297408432255</v>
      </c>
      <c r="R2474" s="4">
        <f t="shared" ca="1" si="226"/>
        <v>10.859696843225493</v>
      </c>
      <c r="S2474" s="4">
        <f t="shared" ca="1" si="227"/>
        <v>5.5452918130632032</v>
      </c>
    </row>
    <row r="2475" spans="15:19" x14ac:dyDescent="0.2">
      <c r="O2475" s="4">
        <f t="shared" ca="1" si="223"/>
        <v>0.53550094330007958</v>
      </c>
      <c r="P2475" s="4">
        <f t="shared" ca="1" si="224"/>
        <v>8.9105440881167688E-2</v>
      </c>
      <c r="Q2475" s="4">
        <f t="shared" ca="1" si="225"/>
        <v>1921.5829828654773</v>
      </c>
      <c r="R2475" s="4">
        <f t="shared" ca="1" si="226"/>
        <v>-2.087061134522628</v>
      </c>
      <c r="S2475" s="4">
        <f t="shared" ca="1" si="227"/>
        <v>-1.054717666885775</v>
      </c>
    </row>
    <row r="2476" spans="15:19" x14ac:dyDescent="0.2">
      <c r="O2476" s="4">
        <f t="shared" ca="1" si="223"/>
        <v>0.6138699498343505</v>
      </c>
      <c r="P2476" s="4">
        <f t="shared" ca="1" si="224"/>
        <v>0.28941985815567262</v>
      </c>
      <c r="Q2476" s="4">
        <f t="shared" ca="1" si="225"/>
        <v>1917.803315916643</v>
      </c>
      <c r="R2476" s="4">
        <f t="shared" ca="1" si="226"/>
        <v>-5.8667280833569748</v>
      </c>
      <c r="S2476" s="4">
        <f t="shared" ca="1" si="227"/>
        <v>-2.9557845083460124</v>
      </c>
    </row>
    <row r="2477" spans="15:19" x14ac:dyDescent="0.2">
      <c r="O2477" s="4">
        <f t="shared" ca="1" si="223"/>
        <v>0.43037521915255195</v>
      </c>
      <c r="P2477" s="4">
        <f t="shared" ca="1" si="224"/>
        <v>-0.17541896679593821</v>
      </c>
      <c r="Q2477" s="4">
        <f t="shared" ca="1" si="225"/>
        <v>1926.5742070342649</v>
      </c>
      <c r="R2477" s="4">
        <f t="shared" ca="1" si="226"/>
        <v>2.9041630342649114</v>
      </c>
      <c r="S2477" s="4">
        <f t="shared" ca="1" si="227"/>
        <v>1.4735490621206753</v>
      </c>
    </row>
    <row r="2478" spans="15:19" x14ac:dyDescent="0.2">
      <c r="O2478" s="4">
        <f t="shared" ca="1" si="223"/>
        <v>0.3599665046282543</v>
      </c>
      <c r="P2478" s="4">
        <f t="shared" ca="1" si="224"/>
        <v>-0.35854832633488248</v>
      </c>
      <c r="Q2478" s="4">
        <f t="shared" ca="1" si="225"/>
        <v>1930.0296147729</v>
      </c>
      <c r="R2478" s="4">
        <f t="shared" ca="1" si="226"/>
        <v>6.3595707729000424</v>
      </c>
      <c r="S2478" s="4">
        <f t="shared" ca="1" si="227"/>
        <v>3.2357405815607532</v>
      </c>
    </row>
    <row r="2479" spans="15:19" x14ac:dyDescent="0.2">
      <c r="O2479" s="4">
        <f t="shared" ca="1" si="223"/>
        <v>0.74719104240239675</v>
      </c>
      <c r="P2479" s="4">
        <f t="shared" ca="1" si="224"/>
        <v>0.66567647211461178</v>
      </c>
      <c r="Q2479" s="4">
        <f t="shared" ca="1" si="225"/>
        <v>1910.703853444543</v>
      </c>
      <c r="R2479" s="4">
        <f t="shared" ca="1" si="226"/>
        <v>-12.966190555456933</v>
      </c>
      <c r="S2479" s="4">
        <f t="shared" ca="1" si="227"/>
        <v>-6.4951753297168766</v>
      </c>
    </row>
    <row r="2480" spans="15:19" x14ac:dyDescent="0.2">
      <c r="O2480" s="4">
        <f t="shared" ca="1" si="223"/>
        <v>1.017937781462408E-2</v>
      </c>
      <c r="P2480" s="4">
        <f t="shared" ca="1" si="224"/>
        <v>-2.3196696359088511</v>
      </c>
      <c r="Q2480" s="4">
        <f t="shared" ca="1" si="225"/>
        <v>1967.0333686579422</v>
      </c>
      <c r="R2480" s="4">
        <f t="shared" ca="1" si="226"/>
        <v>43.363324657942258</v>
      </c>
      <c r="S2480" s="4">
        <f t="shared" ca="1" si="227"/>
        <v>22.716383667686429</v>
      </c>
    </row>
    <row r="2481" spans="15:19" x14ac:dyDescent="0.2">
      <c r="O2481" s="4">
        <f t="shared" ca="1" si="223"/>
        <v>0.80723238041803169</v>
      </c>
      <c r="P2481" s="4">
        <f t="shared" ca="1" si="224"/>
        <v>0.8677426367889427</v>
      </c>
      <c r="Q2481" s="4">
        <f t="shared" ca="1" si="225"/>
        <v>1906.8911333493606</v>
      </c>
      <c r="R2481" s="4">
        <f t="shared" ca="1" si="226"/>
        <v>-16.778910650639318</v>
      </c>
      <c r="S2481" s="4">
        <f t="shared" ca="1" si="227"/>
        <v>-8.3790459700020925</v>
      </c>
    </row>
    <row r="2482" spans="15:19" x14ac:dyDescent="0.2">
      <c r="O2482" s="4">
        <f t="shared" ca="1" si="223"/>
        <v>0.13710928819580182</v>
      </c>
      <c r="P2482" s="4">
        <f t="shared" ca="1" si="224"/>
        <v>-1.0933991732379358</v>
      </c>
      <c r="Q2482" s="4">
        <f t="shared" ca="1" si="225"/>
        <v>1943.8952740507152</v>
      </c>
      <c r="R2482" s="4">
        <f t="shared" ca="1" si="226"/>
        <v>20.225230050715254</v>
      </c>
      <c r="S2482" s="4">
        <f t="shared" ca="1" si="227"/>
        <v>10.404725265116998</v>
      </c>
    </row>
    <row r="2483" spans="15:19" x14ac:dyDescent="0.2">
      <c r="O2483" s="4">
        <f t="shared" ca="1" si="223"/>
        <v>0.78058932789750113</v>
      </c>
      <c r="P2483" s="4">
        <f t="shared" ca="1" si="224"/>
        <v>0.77418508994110502</v>
      </c>
      <c r="Q2483" s="4">
        <f t="shared" ca="1" si="225"/>
        <v>1908.656439973048</v>
      </c>
      <c r="R2483" s="4">
        <f t="shared" ca="1" si="226"/>
        <v>-15.013604026951953</v>
      </c>
      <c r="S2483" s="4">
        <f t="shared" ca="1" si="227"/>
        <v>-7.508276630727778</v>
      </c>
    </row>
    <row r="2484" spans="15:19" x14ac:dyDescent="0.2">
      <c r="O2484" s="4">
        <f t="shared" ca="1" si="223"/>
        <v>0.21491891154830178</v>
      </c>
      <c r="P2484" s="4">
        <f t="shared" ca="1" si="224"/>
        <v>-0.78946920245127117</v>
      </c>
      <c r="Q2484" s="4">
        <f t="shared" ca="1" si="225"/>
        <v>1938.1605192538686</v>
      </c>
      <c r="R2484" s="4">
        <f t="shared" ca="1" si="226"/>
        <v>14.490475253868681</v>
      </c>
      <c r="S2484" s="4">
        <f t="shared" ca="1" si="227"/>
        <v>7.4206944082830963</v>
      </c>
    </row>
    <row r="2485" spans="15:19" x14ac:dyDescent="0.2">
      <c r="O2485" s="4">
        <f t="shared" ca="1" si="223"/>
        <v>0.83588044513408921</v>
      </c>
      <c r="P2485" s="4">
        <f t="shared" ca="1" si="224"/>
        <v>0.97766687560016685</v>
      </c>
      <c r="Q2485" s="4">
        <f t="shared" ca="1" si="225"/>
        <v>1904.8170089904474</v>
      </c>
      <c r="R2485" s="4">
        <f t="shared" ca="1" si="226"/>
        <v>-18.853035009552514</v>
      </c>
      <c r="S2485" s="4">
        <f t="shared" ca="1" si="227"/>
        <v>-9.3989035500174243</v>
      </c>
    </row>
    <row r="2486" spans="15:19" x14ac:dyDescent="0.2">
      <c r="O2486" s="4">
        <f t="shared" ca="1" si="223"/>
        <v>0.92340401407351336</v>
      </c>
      <c r="P2486" s="4">
        <f t="shared" ca="1" si="224"/>
        <v>1.4283471189205055</v>
      </c>
      <c r="Q2486" s="4">
        <f t="shared" ca="1" si="225"/>
        <v>1896.3132714994201</v>
      </c>
      <c r="R2486" s="4">
        <f t="shared" ca="1" si="226"/>
        <v>-27.356772500579837</v>
      </c>
      <c r="S2486" s="4">
        <f t="shared" ca="1" si="227"/>
        <v>-13.54361843706976</v>
      </c>
    </row>
    <row r="2487" spans="15:19" x14ac:dyDescent="0.2">
      <c r="O2487" s="4">
        <f t="shared" ca="1" si="223"/>
        <v>0.22667663311891539</v>
      </c>
      <c r="P2487" s="4">
        <f t="shared" ca="1" si="224"/>
        <v>-0.74983636136534437</v>
      </c>
      <c r="Q2487" s="4">
        <f t="shared" ca="1" si="225"/>
        <v>1937.41270019232</v>
      </c>
      <c r="R2487" s="4">
        <f t="shared" ca="1" si="226"/>
        <v>13.742656192320055</v>
      </c>
      <c r="S2487" s="4">
        <f t="shared" ca="1" si="227"/>
        <v>7.0335465104662491</v>
      </c>
    </row>
    <row r="2488" spans="15:19" x14ac:dyDescent="0.2">
      <c r="O2488" s="4">
        <f t="shared" ca="1" si="223"/>
        <v>0.64919852169231285</v>
      </c>
      <c r="P2488" s="4">
        <f t="shared" ca="1" si="224"/>
        <v>0.38315754214013814</v>
      </c>
      <c r="Q2488" s="4">
        <f t="shared" ca="1" si="225"/>
        <v>1916.0346103444881</v>
      </c>
      <c r="R2488" s="4">
        <f t="shared" ca="1" si="226"/>
        <v>-7.6354336555118607</v>
      </c>
      <c r="S2488" s="4">
        <f t="shared" ca="1" si="227"/>
        <v>-3.84139923114844</v>
      </c>
    </row>
    <row r="2489" spans="15:19" x14ac:dyDescent="0.2">
      <c r="O2489" s="4">
        <f t="shared" ca="1" si="223"/>
        <v>3.8475629230250163E-2</v>
      </c>
      <c r="P2489" s="4">
        <f t="shared" ca="1" si="224"/>
        <v>-1.7686562443323299</v>
      </c>
      <c r="Q2489" s="4">
        <f t="shared" ca="1" si="225"/>
        <v>1956.636477945613</v>
      </c>
      <c r="R2489" s="4">
        <f t="shared" ca="1" si="226"/>
        <v>32.966433945613062</v>
      </c>
      <c r="S2489" s="4">
        <f t="shared" ca="1" si="227"/>
        <v>17.130328807118328</v>
      </c>
    </row>
    <row r="2490" spans="15:19" x14ac:dyDescent="0.2">
      <c r="O2490" s="4">
        <f t="shared" ca="1" si="223"/>
        <v>0.72283008127336024</v>
      </c>
      <c r="P2490" s="4">
        <f t="shared" ca="1" si="224"/>
        <v>0.59126953676613647</v>
      </c>
      <c r="Q2490" s="4">
        <f t="shared" ca="1" si="225"/>
        <v>1912.1078134696234</v>
      </c>
      <c r="R2490" s="4">
        <f t="shared" ca="1" si="226"/>
        <v>-11.56223053037661</v>
      </c>
      <c r="S2490" s="4">
        <f t="shared" ca="1" si="227"/>
        <v>-5.798495224818593</v>
      </c>
    </row>
    <row r="2491" spans="15:19" x14ac:dyDescent="0.2">
      <c r="O2491" s="4">
        <f t="shared" ca="1" si="223"/>
        <v>0.68792650791554943</v>
      </c>
      <c r="P2491" s="4">
        <f t="shared" ca="1" si="224"/>
        <v>0.48998150817222808</v>
      </c>
      <c r="Q2491" s="4">
        <f t="shared" ca="1" si="225"/>
        <v>1914.0189840143994</v>
      </c>
      <c r="R2491" s="4">
        <f t="shared" ca="1" si="226"/>
        <v>-9.6510599856005683</v>
      </c>
      <c r="S2491" s="4">
        <f t="shared" ca="1" si="227"/>
        <v>-4.8475454637914366</v>
      </c>
    </row>
    <row r="2492" spans="15:19" x14ac:dyDescent="0.2">
      <c r="O2492" s="4">
        <f t="shared" ca="1" si="223"/>
        <v>0.90574787428861592</v>
      </c>
      <c r="P2492" s="4">
        <f t="shared" ca="1" si="224"/>
        <v>1.3150168147567991</v>
      </c>
      <c r="Q2492" s="4">
        <f t="shared" ca="1" si="225"/>
        <v>1898.4516637867905</v>
      </c>
      <c r="R2492" s="4">
        <f t="shared" ca="1" si="226"/>
        <v>-25.218380213209457</v>
      </c>
      <c r="S2492" s="4">
        <f t="shared" ca="1" si="227"/>
        <v>-12.506908603181211</v>
      </c>
    </row>
    <row r="2493" spans="15:19" x14ac:dyDescent="0.2">
      <c r="O2493" s="4">
        <f t="shared" ca="1" si="223"/>
        <v>0.12250984805706722</v>
      </c>
      <c r="P2493" s="4">
        <f t="shared" ca="1" si="224"/>
        <v>-1.162531354629579</v>
      </c>
      <c r="Q2493" s="4">
        <f t="shared" ca="1" si="225"/>
        <v>1945.19970647581</v>
      </c>
      <c r="R2493" s="4">
        <f t="shared" ca="1" si="226"/>
        <v>21.529662475810028</v>
      </c>
      <c r="S2493" s="4">
        <f t="shared" ca="1" si="227"/>
        <v>11.087213345308298</v>
      </c>
    </row>
    <row r="2494" spans="15:19" x14ac:dyDescent="0.2">
      <c r="O2494" s="4">
        <f t="shared" ca="1" si="223"/>
        <v>0.89129107917487871</v>
      </c>
      <c r="P2494" s="4">
        <f t="shared" ca="1" si="224"/>
        <v>1.2334233932584584</v>
      </c>
      <c r="Q2494" s="4">
        <f t="shared" ca="1" si="225"/>
        <v>1899.9912232587228</v>
      </c>
      <c r="R2494" s="4">
        <f t="shared" ca="1" si="226"/>
        <v>-23.67882074127715</v>
      </c>
      <c r="S2494" s="4">
        <f t="shared" ca="1" si="227"/>
        <v>-11.758212750567326</v>
      </c>
    </row>
    <row r="2495" spans="15:19" x14ac:dyDescent="0.2">
      <c r="O2495" s="4">
        <f t="shared" ca="1" si="223"/>
        <v>0.46345506053567109</v>
      </c>
      <c r="P2495" s="4">
        <f t="shared" ca="1" si="224"/>
        <v>-9.1733071290033094E-2</v>
      </c>
      <c r="Q2495" s="4">
        <f t="shared" ca="1" si="225"/>
        <v>1924.9951653575299</v>
      </c>
      <c r="R2495" s="4">
        <f t="shared" ca="1" si="226"/>
        <v>1.3251213575299516</v>
      </c>
      <c r="S2495" s="4">
        <f t="shared" ca="1" si="227"/>
        <v>0.67150420244791675</v>
      </c>
    </row>
    <row r="2496" spans="15:19" x14ac:dyDescent="0.2">
      <c r="O2496" s="4">
        <f t="shared" ca="1" si="223"/>
        <v>0.76854916640871562</v>
      </c>
      <c r="P2496" s="4">
        <f t="shared" ca="1" si="224"/>
        <v>0.73407723499780131</v>
      </c>
      <c r="Q2496" s="4">
        <f t="shared" ca="1" si="225"/>
        <v>1909.4132219150592</v>
      </c>
      <c r="R2496" s="4">
        <f t="shared" ca="1" si="226"/>
        <v>-14.256822084940723</v>
      </c>
      <c r="S2496" s="4">
        <f t="shared" ca="1" si="227"/>
        <v>-7.1342033237921356</v>
      </c>
    </row>
    <row r="2497" spans="15:19" x14ac:dyDescent="0.2">
      <c r="O2497" s="4">
        <f t="shared" ca="1" si="223"/>
        <v>0.22741493459636053</v>
      </c>
      <c r="P2497" s="4">
        <f t="shared" ca="1" si="224"/>
        <v>-0.74738720062571329</v>
      </c>
      <c r="Q2497" s="4">
        <f t="shared" ca="1" si="225"/>
        <v>1937.3664877827196</v>
      </c>
      <c r="R2497" s="4">
        <f t="shared" ca="1" si="226"/>
        <v>13.696443782719598</v>
      </c>
      <c r="S2497" s="4">
        <f t="shared" ca="1" si="227"/>
        <v>7.009637161340887</v>
      </c>
    </row>
    <row r="2498" spans="15:19" x14ac:dyDescent="0.2">
      <c r="O2498" s="4">
        <f t="shared" ca="1" si="223"/>
        <v>1.4291798706963066E-2</v>
      </c>
      <c r="P2498" s="4">
        <f t="shared" ca="1" si="224"/>
        <v>-2.1891822338150226</v>
      </c>
      <c r="Q2498" s="4">
        <f t="shared" ca="1" si="225"/>
        <v>1964.5712447247583</v>
      </c>
      <c r="R2498" s="4">
        <f t="shared" ca="1" si="226"/>
        <v>40.901200724758382</v>
      </c>
      <c r="S2498" s="4">
        <f t="shared" ca="1" si="227"/>
        <v>21.385577884397673</v>
      </c>
    </row>
    <row r="2499" spans="15:19" x14ac:dyDescent="0.2">
      <c r="O2499" s="4">
        <f t="shared" ref="O2499:O2562" ca="1" si="228">RAND()</f>
        <v>0.64039973806296779</v>
      </c>
      <c r="P2499" s="4">
        <f t="shared" ref="P2499:P2562" ca="1" si="229">NORMSINV(O2499)</f>
        <v>0.35952748028289233</v>
      </c>
      <c r="Q2499" s="4">
        <f t="shared" ref="Q2499:Q2562" ca="1" si="230">$B$4*(1+$B$17-$B$32*P2499)</f>
        <v>1916.4804782206797</v>
      </c>
      <c r="R2499" s="4">
        <f t="shared" ref="R2499:R2562" ca="1" si="231">Q2499-$B$4</f>
        <v>-7.189565779320219</v>
      </c>
      <c r="S2499" s="4">
        <f t="shared" ref="S2499:S2562" ca="1" si="232">R2499*$B$12+0.5*$B$13*R2499^2</f>
        <v>-3.61838726891011</v>
      </c>
    </row>
    <row r="2500" spans="15:19" x14ac:dyDescent="0.2">
      <c r="O2500" s="4">
        <f t="shared" ca="1" si="228"/>
        <v>0.19935924812485428</v>
      </c>
      <c r="P2500" s="4">
        <f t="shared" ca="1" si="229"/>
        <v>-0.84391215351694993</v>
      </c>
      <c r="Q2500" s="4">
        <f t="shared" ca="1" si="230"/>
        <v>1939.1877854164329</v>
      </c>
      <c r="R2500" s="4">
        <f t="shared" ca="1" si="231"/>
        <v>15.517741416432955</v>
      </c>
      <c r="S2500" s="4">
        <f t="shared" ca="1" si="232"/>
        <v>7.9532550909427346</v>
      </c>
    </row>
    <row r="2501" spans="15:19" x14ac:dyDescent="0.2">
      <c r="O2501" s="4">
        <f t="shared" ca="1" si="228"/>
        <v>0.25294861808638769</v>
      </c>
      <c r="P2501" s="4">
        <f t="shared" ca="1" si="229"/>
        <v>-0.66523963073915815</v>
      </c>
      <c r="Q2501" s="4">
        <f t="shared" ca="1" si="230"/>
        <v>1935.8164722668528</v>
      </c>
      <c r="R2501" s="4">
        <f t="shared" ca="1" si="231"/>
        <v>12.146428266852809</v>
      </c>
      <c r="S2501" s="4">
        <f t="shared" ca="1" si="232"/>
        <v>6.2086982129596509</v>
      </c>
    </row>
    <row r="2502" spans="15:19" x14ac:dyDescent="0.2">
      <c r="O2502" s="4">
        <f t="shared" ca="1" si="228"/>
        <v>0.76925870954675024</v>
      </c>
      <c r="P2502" s="4">
        <f t="shared" ca="1" si="229"/>
        <v>0.73640776432355204</v>
      </c>
      <c r="Q2502" s="4">
        <f t="shared" ca="1" si="230"/>
        <v>1909.3692479226443</v>
      </c>
      <c r="R2502" s="4">
        <f t="shared" ca="1" si="231"/>
        <v>-14.300796077355699</v>
      </c>
      <c r="S2502" s="4">
        <f t="shared" ca="1" si="232"/>
        <v>-7.155952194999367</v>
      </c>
    </row>
    <row r="2503" spans="15:19" x14ac:dyDescent="0.2">
      <c r="O2503" s="4">
        <f t="shared" ca="1" si="228"/>
        <v>8.9867518300834504E-2</v>
      </c>
      <c r="P2503" s="4">
        <f t="shared" ca="1" si="229"/>
        <v>-1.3415713013767445</v>
      </c>
      <c r="Q2503" s="4">
        <f t="shared" ca="1" si="230"/>
        <v>1948.5779524275929</v>
      </c>
      <c r="R2503" s="4">
        <f t="shared" ca="1" si="231"/>
        <v>24.907908427592929</v>
      </c>
      <c r="S2503" s="4">
        <f t="shared" ca="1" si="232"/>
        <v>12.861174552780083</v>
      </c>
    </row>
    <row r="2504" spans="15:19" x14ac:dyDescent="0.2">
      <c r="O2504" s="4">
        <f t="shared" ca="1" si="228"/>
        <v>0.5276983276968964</v>
      </c>
      <c r="P2504" s="4">
        <f t="shared" ca="1" si="229"/>
        <v>6.9485285759662216E-2</v>
      </c>
      <c r="Q2504" s="4">
        <f t="shared" ca="1" si="230"/>
        <v>1921.9531891284751</v>
      </c>
      <c r="R2504" s="4">
        <f t="shared" ca="1" si="231"/>
        <v>-1.7168548715249017</v>
      </c>
      <c r="S2504" s="4">
        <f t="shared" ca="1" si="232"/>
        <v>-0.86788887895342626</v>
      </c>
    </row>
    <row r="2505" spans="15:19" x14ac:dyDescent="0.2">
      <c r="O2505" s="4">
        <f t="shared" ca="1" si="228"/>
        <v>0.47857918451907855</v>
      </c>
      <c r="P2505" s="4">
        <f t="shared" ca="1" si="229"/>
        <v>-5.3719848223682524E-2</v>
      </c>
      <c r="Q2505" s="4">
        <f t="shared" ca="1" si="230"/>
        <v>1924.2779063364499</v>
      </c>
      <c r="R2505" s="4">
        <f t="shared" ca="1" si="231"/>
        <v>0.60786233644989807</v>
      </c>
      <c r="S2505" s="4">
        <f t="shared" ca="1" si="232"/>
        <v>0.3078562793680954</v>
      </c>
    </row>
    <row r="2506" spans="15:19" x14ac:dyDescent="0.2">
      <c r="O2506" s="4">
        <f t="shared" ca="1" si="228"/>
        <v>0.86919913364014545</v>
      </c>
      <c r="P2506" s="4">
        <f t="shared" ca="1" si="229"/>
        <v>1.1226133743122451</v>
      </c>
      <c r="Q2506" s="4">
        <f t="shared" ca="1" si="230"/>
        <v>1902.0820611120798</v>
      </c>
      <c r="R2506" s="4">
        <f t="shared" ca="1" si="231"/>
        <v>-21.587982887920134</v>
      </c>
      <c r="S2506" s="4">
        <f t="shared" ca="1" si="232"/>
        <v>-10.738337438983159</v>
      </c>
    </row>
    <row r="2507" spans="15:19" x14ac:dyDescent="0.2">
      <c r="O2507" s="4">
        <f t="shared" ca="1" si="228"/>
        <v>0.33676584730975734</v>
      </c>
      <c r="P2507" s="4">
        <f t="shared" ca="1" si="229"/>
        <v>-0.42130593817699452</v>
      </c>
      <c r="Q2507" s="4">
        <f t="shared" ca="1" si="230"/>
        <v>1931.213767538811</v>
      </c>
      <c r="R2507" s="4">
        <f t="shared" ca="1" si="231"/>
        <v>7.5437235388110366</v>
      </c>
      <c r="S2507" s="4">
        <f t="shared" ca="1" si="232"/>
        <v>3.8418721451724185</v>
      </c>
    </row>
    <row r="2508" spans="15:19" x14ac:dyDescent="0.2">
      <c r="O2508" s="4">
        <f t="shared" ca="1" si="228"/>
        <v>7.8779002839533208E-2</v>
      </c>
      <c r="P2508" s="4">
        <f t="shared" ca="1" si="229"/>
        <v>-1.4133324205256868</v>
      </c>
      <c r="Q2508" s="4">
        <f t="shared" ca="1" si="230"/>
        <v>1949.9319894157888</v>
      </c>
      <c r="R2508" s="4">
        <f t="shared" ca="1" si="231"/>
        <v>26.261945415788887</v>
      </c>
      <c r="S2508" s="4">
        <f t="shared" ca="1" si="232"/>
        <v>13.574805486271812</v>
      </c>
    </row>
    <row r="2509" spans="15:19" x14ac:dyDescent="0.2">
      <c r="O2509" s="4">
        <f t="shared" ca="1" si="228"/>
        <v>0.69042195612710278</v>
      </c>
      <c r="P2509" s="4">
        <f t="shared" ca="1" si="229"/>
        <v>0.49704674516444414</v>
      </c>
      <c r="Q2509" s="4">
        <f t="shared" ca="1" si="230"/>
        <v>1913.8856723780802</v>
      </c>
      <c r="R2509" s="4">
        <f t="shared" ca="1" si="231"/>
        <v>-9.7843716219197177</v>
      </c>
      <c r="S2509" s="4">
        <f t="shared" ca="1" si="232"/>
        <v>-4.9139744160489283</v>
      </c>
    </row>
    <row r="2510" spans="15:19" x14ac:dyDescent="0.2">
      <c r="O2510" s="4">
        <f t="shared" ca="1" si="228"/>
        <v>8.1512432437495508E-2</v>
      </c>
      <c r="P2510" s="4">
        <f t="shared" ca="1" si="229"/>
        <v>-1.3949700713546105</v>
      </c>
      <c r="Q2510" s="4">
        <f t="shared" ca="1" si="230"/>
        <v>1949.5855162801593</v>
      </c>
      <c r="R2510" s="4">
        <f t="shared" ca="1" si="231"/>
        <v>25.915472280159292</v>
      </c>
      <c r="S2510" s="4">
        <f t="shared" ca="1" si="232"/>
        <v>13.392058363954749</v>
      </c>
    </row>
    <row r="2511" spans="15:19" x14ac:dyDescent="0.2">
      <c r="O2511" s="4">
        <f t="shared" ca="1" si="228"/>
        <v>0.91194290933261835</v>
      </c>
      <c r="P2511" s="4">
        <f t="shared" ca="1" si="229"/>
        <v>1.3528167467098946</v>
      </c>
      <c r="Q2511" s="4">
        <f t="shared" ca="1" si="230"/>
        <v>1897.7384292856736</v>
      </c>
      <c r="R2511" s="4">
        <f t="shared" ca="1" si="231"/>
        <v>-25.931614714326315</v>
      </c>
      <c r="S2511" s="4">
        <f t="shared" ca="1" si="232"/>
        <v>-12.853104218188504</v>
      </c>
    </row>
    <row r="2512" spans="15:19" x14ac:dyDescent="0.2">
      <c r="O2512" s="4">
        <f t="shared" ca="1" si="228"/>
        <v>3.7893996242055916E-2</v>
      </c>
      <c r="P2512" s="4">
        <f t="shared" ca="1" si="229"/>
        <v>-1.775665951979448</v>
      </c>
      <c r="Q2512" s="4">
        <f t="shared" ca="1" si="230"/>
        <v>1956.7687418169578</v>
      </c>
      <c r="R2512" s="4">
        <f t="shared" ca="1" si="231"/>
        <v>33.098697816957838</v>
      </c>
      <c r="S2512" s="4">
        <f t="shared" ca="1" si="232"/>
        <v>17.200839057447435</v>
      </c>
    </row>
    <row r="2513" spans="15:19" x14ac:dyDescent="0.2">
      <c r="O2513" s="4">
        <f t="shared" ca="1" si="228"/>
        <v>0.10861402813260757</v>
      </c>
      <c r="P2513" s="4">
        <f t="shared" ca="1" si="229"/>
        <v>-1.2339325041573415</v>
      </c>
      <c r="Q2513" s="4">
        <f t="shared" ca="1" si="230"/>
        <v>1946.5469513154512</v>
      </c>
      <c r="R2513" s="4">
        <f t="shared" ca="1" si="231"/>
        <v>22.876907315451263</v>
      </c>
      <c r="S2513" s="4">
        <f t="shared" ca="1" si="232"/>
        <v>11.793555415258218</v>
      </c>
    </row>
    <row r="2514" spans="15:19" x14ac:dyDescent="0.2">
      <c r="O2514" s="4">
        <f t="shared" ca="1" si="228"/>
        <v>0.65227738855778705</v>
      </c>
      <c r="P2514" s="4">
        <f t="shared" ca="1" si="229"/>
        <v>0.39147627386356731</v>
      </c>
      <c r="Q2514" s="4">
        <f t="shared" ca="1" si="230"/>
        <v>1915.8776469277802</v>
      </c>
      <c r="R2514" s="4">
        <f t="shared" ca="1" si="231"/>
        <v>-7.7923970722197282</v>
      </c>
      <c r="S2514" s="4">
        <f t="shared" ca="1" si="232"/>
        <v>-3.9198698892458794</v>
      </c>
    </row>
    <row r="2515" spans="15:19" x14ac:dyDescent="0.2">
      <c r="O2515" s="4">
        <f t="shared" ca="1" si="228"/>
        <v>0.7519796385096712</v>
      </c>
      <c r="P2515" s="4">
        <f t="shared" ca="1" si="229"/>
        <v>0.68073257086839845</v>
      </c>
      <c r="Q2515" s="4">
        <f t="shared" ca="1" si="230"/>
        <v>1910.4197648621416</v>
      </c>
      <c r="R2515" s="4">
        <f t="shared" ca="1" si="231"/>
        <v>-13.250279137858342</v>
      </c>
      <c r="S2515" s="4">
        <f t="shared" ca="1" si="232"/>
        <v>-6.6359519826876205</v>
      </c>
    </row>
    <row r="2516" spans="15:19" x14ac:dyDescent="0.2">
      <c r="O2516" s="4">
        <f t="shared" ca="1" si="228"/>
        <v>2.0308443777659835E-2</v>
      </c>
      <c r="P2516" s="4">
        <f t="shared" ca="1" si="229"/>
        <v>-2.0474197631450193</v>
      </c>
      <c r="Q2516" s="4">
        <f t="shared" ca="1" si="230"/>
        <v>1961.8963752257637</v>
      </c>
      <c r="R2516" s="4">
        <f t="shared" ca="1" si="231"/>
        <v>38.226331225763715</v>
      </c>
      <c r="S2516" s="4">
        <f t="shared" ca="1" si="232"/>
        <v>19.945374172433382</v>
      </c>
    </row>
    <row r="2517" spans="15:19" x14ac:dyDescent="0.2">
      <c r="O2517" s="4">
        <f t="shared" ca="1" si="228"/>
        <v>0.74844582324595221</v>
      </c>
      <c r="P2517" s="4">
        <f t="shared" ca="1" si="229"/>
        <v>0.66960699537827695</v>
      </c>
      <c r="Q2517" s="4">
        <f t="shared" ca="1" si="230"/>
        <v>1910.6296896920112</v>
      </c>
      <c r="R2517" s="4">
        <f t="shared" ca="1" si="231"/>
        <v>-13.040354307988764</v>
      </c>
      <c r="S2517" s="4">
        <f t="shared" ca="1" si="232"/>
        <v>-6.5319326157731048</v>
      </c>
    </row>
    <row r="2518" spans="15:19" x14ac:dyDescent="0.2">
      <c r="O2518" s="4">
        <f t="shared" ca="1" si="228"/>
        <v>0.60607930383299302</v>
      </c>
      <c r="P2518" s="4">
        <f t="shared" ca="1" si="229"/>
        <v>0.26911473417187803</v>
      </c>
      <c r="Q2518" s="4">
        <f t="shared" ca="1" si="230"/>
        <v>1918.1864466321338</v>
      </c>
      <c r="R2518" s="4">
        <f t="shared" ca="1" si="231"/>
        <v>-5.4835973678661958</v>
      </c>
      <c r="S2518" s="4">
        <f t="shared" ca="1" si="232"/>
        <v>-2.7636101924071483</v>
      </c>
    </row>
    <row r="2519" spans="15:19" x14ac:dyDescent="0.2">
      <c r="O2519" s="4">
        <f t="shared" ca="1" si="228"/>
        <v>0.58020084179452647</v>
      </c>
      <c r="P2519" s="4">
        <f t="shared" ca="1" si="229"/>
        <v>0.20240730707073715</v>
      </c>
      <c r="Q2519" s="4">
        <f t="shared" ca="1" si="230"/>
        <v>1919.4451271649007</v>
      </c>
      <c r="R2519" s="4">
        <f t="shared" ca="1" si="231"/>
        <v>-4.2249168350992932</v>
      </c>
      <c r="S2519" s="4">
        <f t="shared" ca="1" si="232"/>
        <v>-2.1314281305530312</v>
      </c>
    </row>
    <row r="2520" spans="15:19" x14ac:dyDescent="0.2">
      <c r="O2520" s="4">
        <f t="shared" ca="1" si="228"/>
        <v>0.1214384244574529</v>
      </c>
      <c r="P2520" s="4">
        <f t="shared" ca="1" si="229"/>
        <v>-1.1678262709712595</v>
      </c>
      <c r="Q2520" s="4">
        <f t="shared" ca="1" si="230"/>
        <v>1945.2996145132131</v>
      </c>
      <c r="R2520" s="4">
        <f t="shared" ca="1" si="231"/>
        <v>21.629570513213139</v>
      </c>
      <c r="S2520" s="4">
        <f t="shared" ca="1" si="232"/>
        <v>11.13954303631507</v>
      </c>
    </row>
    <row r="2521" spans="15:19" x14ac:dyDescent="0.2">
      <c r="O2521" s="4">
        <f t="shared" ca="1" si="228"/>
        <v>0.4362452569722195</v>
      </c>
      <c r="P2521" s="4">
        <f t="shared" ca="1" si="229"/>
        <v>-0.16049582020140096</v>
      </c>
      <c r="Q2521" s="4">
        <f t="shared" ca="1" si="230"/>
        <v>1926.2926270824898</v>
      </c>
      <c r="R2521" s="4">
        <f t="shared" ca="1" si="231"/>
        <v>2.6225830824898821</v>
      </c>
      <c r="S2521" s="4">
        <f t="shared" ca="1" si="232"/>
        <v>1.3303770428442738</v>
      </c>
    </row>
    <row r="2522" spans="15:19" x14ac:dyDescent="0.2">
      <c r="O2522" s="4">
        <f t="shared" ca="1" si="228"/>
        <v>0.56207737117065959</v>
      </c>
      <c r="P2522" s="4">
        <f t="shared" ca="1" si="229"/>
        <v>0.15623821210355726</v>
      </c>
      <c r="Q2522" s="4">
        <f t="shared" ca="1" si="230"/>
        <v>1920.3162766541855</v>
      </c>
      <c r="R2522" s="4">
        <f t="shared" ca="1" si="231"/>
        <v>-3.3537673458145036</v>
      </c>
      <c r="S2522" s="4">
        <f t="shared" ca="1" si="232"/>
        <v>-1.6931312651994552</v>
      </c>
    </row>
    <row r="2523" spans="15:19" x14ac:dyDescent="0.2">
      <c r="O2523" s="4">
        <f t="shared" ca="1" si="228"/>
        <v>0.71887795367277363</v>
      </c>
      <c r="P2523" s="4">
        <f t="shared" ca="1" si="229"/>
        <v>0.57951149497007348</v>
      </c>
      <c r="Q2523" s="4">
        <f t="shared" ca="1" si="230"/>
        <v>1912.3296720984943</v>
      </c>
      <c r="R2523" s="4">
        <f t="shared" ca="1" si="231"/>
        <v>-11.340371901505705</v>
      </c>
      <c r="S2523" s="4">
        <f t="shared" ca="1" si="232"/>
        <v>-5.6882565895145358</v>
      </c>
    </row>
    <row r="2524" spans="15:19" x14ac:dyDescent="0.2">
      <c r="O2524" s="4">
        <f t="shared" ca="1" si="228"/>
        <v>0.47161017466227806</v>
      </c>
      <c r="P2524" s="4">
        <f t="shared" ca="1" si="229"/>
        <v>-7.1222908552890027E-2</v>
      </c>
      <c r="Q2524" s="4">
        <f t="shared" ca="1" si="230"/>
        <v>1924.6081658331448</v>
      </c>
      <c r="R2524" s="4">
        <f t="shared" ca="1" si="231"/>
        <v>0.93812183314480535</v>
      </c>
      <c r="S2524" s="4">
        <f t="shared" ca="1" si="232"/>
        <v>0.47524471121377154</v>
      </c>
    </row>
    <row r="2525" spans="15:19" x14ac:dyDescent="0.2">
      <c r="O2525" s="4">
        <f t="shared" ca="1" si="228"/>
        <v>0.74051494849382071</v>
      </c>
      <c r="P2525" s="4">
        <f t="shared" ca="1" si="229"/>
        <v>0.64493377503087035</v>
      </c>
      <c r="Q2525" s="4">
        <f t="shared" ca="1" si="230"/>
        <v>1911.0952405831415</v>
      </c>
      <c r="R2525" s="4">
        <f t="shared" ca="1" si="231"/>
        <v>-12.574803416858458</v>
      </c>
      <c r="S2525" s="4">
        <f t="shared" ca="1" si="232"/>
        <v>-6.3011205601025075</v>
      </c>
    </row>
    <row r="2526" spans="15:19" x14ac:dyDescent="0.2">
      <c r="O2526" s="4">
        <f t="shared" ca="1" si="228"/>
        <v>0.84813872027014159</v>
      </c>
      <c r="P2526" s="4">
        <f t="shared" ca="1" si="229"/>
        <v>1.0284832638279102</v>
      </c>
      <c r="Q2526" s="4">
        <f t="shared" ca="1" si="230"/>
        <v>1903.8581712509733</v>
      </c>
      <c r="R2526" s="4">
        <f t="shared" ca="1" si="231"/>
        <v>-19.811872749026634</v>
      </c>
      <c r="S2526" s="4">
        <f t="shared" ca="1" si="232"/>
        <v>-9.8691851763227305</v>
      </c>
    </row>
    <row r="2527" spans="15:19" x14ac:dyDescent="0.2">
      <c r="O2527" s="4">
        <f t="shared" ca="1" si="228"/>
        <v>8.6161878591607399E-3</v>
      </c>
      <c r="P2527" s="4">
        <f t="shared" ca="1" si="229"/>
        <v>-2.3817118478442145</v>
      </c>
      <c r="Q2527" s="4">
        <f t="shared" ca="1" si="230"/>
        <v>1968.2040227779764</v>
      </c>
      <c r="R2527" s="4">
        <f t="shared" ca="1" si="231"/>
        <v>44.533978777976472</v>
      </c>
      <c r="S2527" s="4">
        <f t="shared" ca="1" si="232"/>
        <v>23.350866590383532</v>
      </c>
    </row>
    <row r="2528" spans="15:19" x14ac:dyDescent="0.2">
      <c r="O2528" s="4">
        <f t="shared" ca="1" si="228"/>
        <v>0.34538973219205682</v>
      </c>
      <c r="P2528" s="4">
        <f t="shared" ca="1" si="229"/>
        <v>-0.39779749437461115</v>
      </c>
      <c r="Q2528" s="4">
        <f t="shared" ca="1" si="230"/>
        <v>1930.7701944337527</v>
      </c>
      <c r="R2528" s="4">
        <f t="shared" ca="1" si="231"/>
        <v>7.1001504337527876</v>
      </c>
      <c r="S2528" s="4">
        <f t="shared" ca="1" si="232"/>
        <v>3.6146869241108908</v>
      </c>
    </row>
    <row r="2529" spans="15:19" x14ac:dyDescent="0.2">
      <c r="O2529" s="4">
        <f t="shared" ca="1" si="228"/>
        <v>1.3637486108634134E-3</v>
      </c>
      <c r="P2529" s="4">
        <f t="shared" ca="1" si="229"/>
        <v>-2.9968893171392885</v>
      </c>
      <c r="Q2529" s="4">
        <f t="shared" ca="1" si="230"/>
        <v>1979.8116043989028</v>
      </c>
      <c r="R2529" s="4">
        <f t="shared" ca="1" si="231"/>
        <v>56.141560398902811</v>
      </c>
      <c r="S2529" s="4">
        <f t="shared" ca="1" si="232"/>
        <v>29.702439011276841</v>
      </c>
    </row>
    <row r="2530" spans="15:19" x14ac:dyDescent="0.2">
      <c r="O2530" s="4">
        <f t="shared" ca="1" si="228"/>
        <v>0.25579622807435232</v>
      </c>
      <c r="P2530" s="4">
        <f t="shared" ca="1" si="229"/>
        <v>-0.65636010047993154</v>
      </c>
      <c r="Q2530" s="4">
        <f t="shared" ca="1" si="230"/>
        <v>1935.64892732676</v>
      </c>
      <c r="R2530" s="4">
        <f t="shared" ca="1" si="231"/>
        <v>11.978883326760069</v>
      </c>
      <c r="S2530" s="4">
        <f t="shared" ca="1" si="232"/>
        <v>6.1222399193108705</v>
      </c>
    </row>
    <row r="2531" spans="15:19" x14ac:dyDescent="0.2">
      <c r="O2531" s="4">
        <f t="shared" ca="1" si="228"/>
        <v>0.70274201531094393</v>
      </c>
      <c r="P2531" s="4">
        <f t="shared" ca="1" si="229"/>
        <v>0.53230326771657621</v>
      </c>
      <c r="Q2531" s="4">
        <f t="shared" ca="1" si="230"/>
        <v>1913.2204286335998</v>
      </c>
      <c r="R2531" s="4">
        <f t="shared" ca="1" si="231"/>
        <v>-10.449615366400167</v>
      </c>
      <c r="S2531" s="4">
        <f t="shared" ca="1" si="232"/>
        <v>-5.2452479466484094</v>
      </c>
    </row>
    <row r="2532" spans="15:19" x14ac:dyDescent="0.2">
      <c r="O2532" s="4">
        <f t="shared" ca="1" si="228"/>
        <v>0.78821528932974882</v>
      </c>
      <c r="P2532" s="4">
        <f t="shared" ca="1" si="229"/>
        <v>0.80024403477948014</v>
      </c>
      <c r="Q2532" s="4">
        <f t="shared" ca="1" si="230"/>
        <v>1908.1647423016211</v>
      </c>
      <c r="R2532" s="4">
        <f t="shared" ca="1" si="231"/>
        <v>-15.505301698378844</v>
      </c>
      <c r="S2532" s="4">
        <f t="shared" ca="1" si="232"/>
        <v>-7.751070296853749</v>
      </c>
    </row>
    <row r="2533" spans="15:19" x14ac:dyDescent="0.2">
      <c r="O2533" s="4">
        <f t="shared" ca="1" si="228"/>
        <v>0.79269020122128053</v>
      </c>
      <c r="P2533" s="4">
        <f t="shared" ca="1" si="229"/>
        <v>0.81579114689153742</v>
      </c>
      <c r="Q2533" s="4">
        <f t="shared" ca="1" si="230"/>
        <v>1907.8713889494295</v>
      </c>
      <c r="R2533" s="4">
        <f t="shared" ca="1" si="231"/>
        <v>-15.79865505057046</v>
      </c>
      <c r="S2533" s="4">
        <f t="shared" ca="1" si="232"/>
        <v>-7.895830471289039</v>
      </c>
    </row>
    <row r="2534" spans="15:19" x14ac:dyDescent="0.2">
      <c r="O2534" s="4">
        <f t="shared" ca="1" si="228"/>
        <v>0.85284708555356525</v>
      </c>
      <c r="P2534" s="4">
        <f t="shared" ca="1" si="229"/>
        <v>1.0487225579350332</v>
      </c>
      <c r="Q2534" s="4">
        <f t="shared" ca="1" si="230"/>
        <v>1903.4762826578044</v>
      </c>
      <c r="R2534" s="4">
        <f t="shared" ca="1" si="231"/>
        <v>-20.193761342195558</v>
      </c>
      <c r="S2534" s="4">
        <f t="shared" ca="1" si="232"/>
        <v>-10.056281843141845</v>
      </c>
    </row>
    <row r="2535" spans="15:19" x14ac:dyDescent="0.2">
      <c r="O2535" s="4">
        <f t="shared" ca="1" si="228"/>
        <v>0.91642269186843983</v>
      </c>
      <c r="P2535" s="4">
        <f t="shared" ca="1" si="229"/>
        <v>1.3814045220670819</v>
      </c>
      <c r="Q2535" s="4">
        <f t="shared" ca="1" si="230"/>
        <v>1897.1990159417494</v>
      </c>
      <c r="R2535" s="4">
        <f t="shared" ca="1" si="231"/>
        <v>-26.471028058250567</v>
      </c>
      <c r="S2535" s="4">
        <f t="shared" ca="1" si="232"/>
        <v>-13.114654038902986</v>
      </c>
    </row>
    <row r="2536" spans="15:19" x14ac:dyDescent="0.2">
      <c r="O2536" s="4">
        <f t="shared" ca="1" si="228"/>
        <v>0.62257454038669902</v>
      </c>
      <c r="P2536" s="4">
        <f t="shared" ca="1" si="229"/>
        <v>0.31224949541429031</v>
      </c>
      <c r="Q2536" s="4">
        <f t="shared" ca="1" si="230"/>
        <v>1917.3725509893136</v>
      </c>
      <c r="R2536" s="4">
        <f t="shared" ca="1" si="231"/>
        <v>-6.2974930106863667</v>
      </c>
      <c r="S2536" s="4">
        <f t="shared" ca="1" si="232"/>
        <v>-3.1717089237596565</v>
      </c>
    </row>
    <row r="2537" spans="15:19" x14ac:dyDescent="0.2">
      <c r="O2537" s="4">
        <f t="shared" ca="1" si="228"/>
        <v>0.1866506657718493</v>
      </c>
      <c r="P2537" s="4">
        <f t="shared" ca="1" si="229"/>
        <v>-0.89030650061642269</v>
      </c>
      <c r="Q2537" s="4">
        <f t="shared" ca="1" si="230"/>
        <v>1940.0631851142209</v>
      </c>
      <c r="R2537" s="4">
        <f t="shared" ca="1" si="231"/>
        <v>16.393141114220953</v>
      </c>
      <c r="S2537" s="4">
        <f t="shared" ca="1" si="232"/>
        <v>8.407762380433514</v>
      </c>
    </row>
    <row r="2538" spans="15:19" x14ac:dyDescent="0.2">
      <c r="O2538" s="4">
        <f t="shared" ca="1" si="228"/>
        <v>0.16234236830410731</v>
      </c>
      <c r="P2538" s="4">
        <f t="shared" ca="1" si="229"/>
        <v>-0.98487650254111214</v>
      </c>
      <c r="Q2538" s="4">
        <f t="shared" ca="1" si="230"/>
        <v>1941.8475954202256</v>
      </c>
      <c r="R2538" s="4">
        <f t="shared" ca="1" si="231"/>
        <v>18.177551420225655</v>
      </c>
      <c r="S2538" s="4">
        <f t="shared" ca="1" si="232"/>
        <v>9.3361597639990013</v>
      </c>
    </row>
    <row r="2539" spans="15:19" x14ac:dyDescent="0.2">
      <c r="O2539" s="4">
        <f t="shared" ca="1" si="228"/>
        <v>0.63284495002043384</v>
      </c>
      <c r="P2539" s="4">
        <f t="shared" ca="1" si="229"/>
        <v>0.3393977677774046</v>
      </c>
      <c r="Q2539" s="4">
        <f t="shared" ca="1" si="230"/>
        <v>1916.8602991545981</v>
      </c>
      <c r="R2539" s="4">
        <f t="shared" ca="1" si="231"/>
        <v>-6.8097448454018377</v>
      </c>
      <c r="S2539" s="4">
        <f t="shared" ca="1" si="232"/>
        <v>-3.4282826730526388</v>
      </c>
    </row>
    <row r="2540" spans="15:19" x14ac:dyDescent="0.2">
      <c r="O2540" s="4">
        <f t="shared" ca="1" si="228"/>
        <v>0.56374103343429582</v>
      </c>
      <c r="P2540" s="4">
        <f t="shared" ca="1" si="229"/>
        <v>0.16046100998089938</v>
      </c>
      <c r="Q2540" s="4">
        <f t="shared" ca="1" si="230"/>
        <v>1920.2365980679619</v>
      </c>
      <c r="R2540" s="4">
        <f t="shared" ca="1" si="231"/>
        <v>-3.433445932038012</v>
      </c>
      <c r="S2540" s="4">
        <f t="shared" ca="1" si="232"/>
        <v>-1.7332452047607865</v>
      </c>
    </row>
    <row r="2541" spans="15:19" x14ac:dyDescent="0.2">
      <c r="O2541" s="4">
        <f t="shared" ca="1" si="228"/>
        <v>5.3995667610608811E-2</v>
      </c>
      <c r="P2541" s="4">
        <f t="shared" ca="1" si="229"/>
        <v>-1.60728740816662</v>
      </c>
      <c r="Q2541" s="4">
        <f t="shared" ca="1" si="230"/>
        <v>1953.5916623755409</v>
      </c>
      <c r="R2541" s="4">
        <f t="shared" ca="1" si="231"/>
        <v>29.921618375540902</v>
      </c>
      <c r="S2541" s="4">
        <f t="shared" ca="1" si="232"/>
        <v>15.511066700351877</v>
      </c>
    </row>
    <row r="2542" spans="15:19" x14ac:dyDescent="0.2">
      <c r="O2542" s="4">
        <f t="shared" ca="1" si="228"/>
        <v>4.4186442706999784E-2</v>
      </c>
      <c r="P2542" s="4">
        <f t="shared" ca="1" si="229"/>
        <v>-1.7040439034822017</v>
      </c>
      <c r="Q2542" s="4">
        <f t="shared" ca="1" si="230"/>
        <v>1955.4173289072123</v>
      </c>
      <c r="R2542" s="4">
        <f t="shared" ca="1" si="231"/>
        <v>31.747284907212361</v>
      </c>
      <c r="S2542" s="4">
        <f t="shared" ca="1" si="232"/>
        <v>16.481067623898923</v>
      </c>
    </row>
    <row r="2543" spans="15:19" x14ac:dyDescent="0.2">
      <c r="O2543" s="4">
        <f t="shared" ca="1" si="228"/>
        <v>0.98320411970352539</v>
      </c>
      <c r="P2543" s="4">
        <f t="shared" ca="1" si="229"/>
        <v>2.1249383121151952</v>
      </c>
      <c r="Q2543" s="4">
        <f t="shared" ca="1" si="230"/>
        <v>1883.1695210615321</v>
      </c>
      <c r="R2543" s="4">
        <f t="shared" ca="1" si="231"/>
        <v>-40.500522938467839</v>
      </c>
      <c r="S2543" s="4">
        <f t="shared" ca="1" si="232"/>
        <v>-19.834048869983341</v>
      </c>
    </row>
    <row r="2544" spans="15:19" x14ac:dyDescent="0.2">
      <c r="O2544" s="4">
        <f t="shared" ca="1" si="228"/>
        <v>0.27548462348971159</v>
      </c>
      <c r="P2544" s="4">
        <f t="shared" ca="1" si="229"/>
        <v>-0.59630836035068613</v>
      </c>
      <c r="Q2544" s="4">
        <f t="shared" ca="1" si="230"/>
        <v>1934.5158307654904</v>
      </c>
      <c r="R2544" s="4">
        <f t="shared" ca="1" si="231"/>
        <v>10.845786765490402</v>
      </c>
      <c r="S2544" s="4">
        <f t="shared" ca="1" si="232"/>
        <v>5.5381274911043681</v>
      </c>
    </row>
    <row r="2545" spans="15:19" x14ac:dyDescent="0.2">
      <c r="O2545" s="4">
        <f t="shared" ca="1" si="228"/>
        <v>0.25582026438006344</v>
      </c>
      <c r="P2545" s="4">
        <f t="shared" ca="1" si="229"/>
        <v>-0.65628537032246248</v>
      </c>
      <c r="Q2545" s="4">
        <f t="shared" ca="1" si="230"/>
        <v>1935.6475172679629</v>
      </c>
      <c r="R2545" s="4">
        <f t="shared" ca="1" si="231"/>
        <v>11.977473267962978</v>
      </c>
      <c r="S2545" s="4">
        <f t="shared" ca="1" si="232"/>
        <v>6.1215123829903089</v>
      </c>
    </row>
    <row r="2546" spans="15:19" x14ac:dyDescent="0.2">
      <c r="O2546" s="4">
        <f t="shared" ca="1" si="228"/>
        <v>0.20321382448234304</v>
      </c>
      <c r="P2546" s="4">
        <f t="shared" ca="1" si="229"/>
        <v>-0.83019657928590984</v>
      </c>
      <c r="Q2546" s="4">
        <f t="shared" ca="1" si="230"/>
        <v>1938.9289907509733</v>
      </c>
      <c r="R2546" s="4">
        <f t="shared" ca="1" si="231"/>
        <v>15.258946750973337</v>
      </c>
      <c r="S2546" s="4">
        <f t="shared" ca="1" si="232"/>
        <v>7.8190084540594107</v>
      </c>
    </row>
    <row r="2547" spans="15:19" x14ac:dyDescent="0.2">
      <c r="O2547" s="4">
        <f t="shared" ca="1" si="228"/>
        <v>0.64340767364684015</v>
      </c>
      <c r="P2547" s="4">
        <f t="shared" ca="1" si="229"/>
        <v>0.36758238320279529</v>
      </c>
      <c r="Q2547" s="4">
        <f t="shared" ca="1" si="230"/>
        <v>1916.3284929030144</v>
      </c>
      <c r="R2547" s="4">
        <f t="shared" ca="1" si="231"/>
        <v>-7.3415510969855404</v>
      </c>
      <c r="S2547" s="4">
        <f t="shared" ca="1" si="232"/>
        <v>-3.6944247063272559</v>
      </c>
    </row>
    <row r="2548" spans="15:19" x14ac:dyDescent="0.2">
      <c r="O2548" s="4">
        <f t="shared" ca="1" si="228"/>
        <v>0.73378265439967405</v>
      </c>
      <c r="P2548" s="4">
        <f t="shared" ca="1" si="229"/>
        <v>0.62429374473550614</v>
      </c>
      <c r="Q2548" s="4">
        <f t="shared" ca="1" si="230"/>
        <v>1911.4846905358297</v>
      </c>
      <c r="R2548" s="4">
        <f t="shared" ca="1" si="231"/>
        <v>-12.185353464170248</v>
      </c>
      <c r="S2548" s="4">
        <f t="shared" ca="1" si="232"/>
        <v>-6.1079024836228841</v>
      </c>
    </row>
    <row r="2549" spans="15:19" x14ac:dyDescent="0.2">
      <c r="O2549" s="4">
        <f t="shared" ca="1" si="228"/>
        <v>0.47270786932764186</v>
      </c>
      <c r="P2549" s="4">
        <f t="shared" ca="1" si="229"/>
        <v>-6.8464675853912207E-2</v>
      </c>
      <c r="Q2549" s="4">
        <f t="shared" ca="1" si="230"/>
        <v>1924.5561216462543</v>
      </c>
      <c r="R2549" s="4">
        <f t="shared" ca="1" si="231"/>
        <v>0.88607764625430718</v>
      </c>
      <c r="S2549" s="4">
        <f t="shared" ca="1" si="232"/>
        <v>0.44886078730538831</v>
      </c>
    </row>
    <row r="2550" spans="15:19" x14ac:dyDescent="0.2">
      <c r="O2550" s="4">
        <f t="shared" ca="1" si="228"/>
        <v>0.44020174545061841</v>
      </c>
      <c r="P2550" s="4">
        <f t="shared" ca="1" si="229"/>
        <v>-0.15045773851793384</v>
      </c>
      <c r="Q2550" s="4">
        <f t="shared" ca="1" si="230"/>
        <v>1926.1032218160847</v>
      </c>
      <c r="R2550" s="4">
        <f t="shared" ca="1" si="231"/>
        <v>2.433177816084708</v>
      </c>
      <c r="S2550" s="4">
        <f t="shared" ca="1" si="232"/>
        <v>1.2341084372834572</v>
      </c>
    </row>
    <row r="2551" spans="15:19" x14ac:dyDescent="0.2">
      <c r="O2551" s="4">
        <f t="shared" ca="1" si="228"/>
        <v>0.90196289246829797</v>
      </c>
      <c r="P2551" s="4">
        <f t="shared" ca="1" si="229"/>
        <v>1.2928174169579165</v>
      </c>
      <c r="Q2551" s="4">
        <f t="shared" ca="1" si="230"/>
        <v>1898.8705369327483</v>
      </c>
      <c r="R2551" s="4">
        <f t="shared" ca="1" si="231"/>
        <v>-24.799507067251625</v>
      </c>
      <c r="S2551" s="4">
        <f t="shared" ca="1" si="232"/>
        <v>-12.303399482201492</v>
      </c>
    </row>
    <row r="2552" spans="15:19" x14ac:dyDescent="0.2">
      <c r="O2552" s="4">
        <f t="shared" ca="1" si="228"/>
        <v>0.10737164738983718</v>
      </c>
      <c r="P2552" s="4">
        <f t="shared" ca="1" si="229"/>
        <v>-1.2406277526355718</v>
      </c>
      <c r="Q2552" s="4">
        <f t="shared" ca="1" si="230"/>
        <v>1946.673281760018</v>
      </c>
      <c r="R2552" s="4">
        <f t="shared" ca="1" si="231"/>
        <v>23.00323776001801</v>
      </c>
      <c r="S2552" s="4">
        <f t="shared" ca="1" si="232"/>
        <v>11.859864520992636</v>
      </c>
    </row>
    <row r="2553" spans="15:19" x14ac:dyDescent="0.2">
      <c r="O2553" s="4">
        <f t="shared" ca="1" si="228"/>
        <v>0.56972631614899727</v>
      </c>
      <c r="P2553" s="4">
        <f t="shared" ca="1" si="229"/>
        <v>0.17567743008210257</v>
      </c>
      <c r="Q2553" s="4">
        <f t="shared" ca="1" si="230"/>
        <v>1919.9494844347116</v>
      </c>
      <c r="R2553" s="4">
        <f t="shared" ca="1" si="231"/>
        <v>-3.7205595652883403</v>
      </c>
      <c r="S2553" s="4">
        <f t="shared" ca="1" si="232"/>
        <v>-1.8777488128806494</v>
      </c>
    </row>
    <row r="2554" spans="15:19" x14ac:dyDescent="0.2">
      <c r="O2554" s="4">
        <f t="shared" ca="1" si="228"/>
        <v>0.46448493426635373</v>
      </c>
      <c r="P2554" s="4">
        <f t="shared" ca="1" si="229"/>
        <v>-8.9140981440928677E-2</v>
      </c>
      <c r="Q2554" s="4">
        <f t="shared" ca="1" si="230"/>
        <v>1924.9462560655063</v>
      </c>
      <c r="R2554" s="4">
        <f t="shared" ca="1" si="231"/>
        <v>1.2762120655063427</v>
      </c>
      <c r="S2554" s="4">
        <f t="shared" ca="1" si="232"/>
        <v>0.64669404860008073</v>
      </c>
    </row>
    <row r="2555" spans="15:19" x14ac:dyDescent="0.2">
      <c r="O2555" s="4">
        <f t="shared" ca="1" si="228"/>
        <v>0.1075147278138785</v>
      </c>
      <c r="P2555" s="4">
        <f t="shared" ca="1" si="229"/>
        <v>-1.2398538515868136</v>
      </c>
      <c r="Q2555" s="4">
        <f t="shared" ca="1" si="230"/>
        <v>1946.6586792753069</v>
      </c>
      <c r="R2555" s="4">
        <f t="shared" ca="1" si="231"/>
        <v>22.988635275306933</v>
      </c>
      <c r="S2555" s="4">
        <f t="shared" ca="1" si="232"/>
        <v>11.852199214291741</v>
      </c>
    </row>
    <row r="2556" spans="15:19" x14ac:dyDescent="0.2">
      <c r="O2556" s="4">
        <f t="shared" ca="1" si="228"/>
        <v>8.0441664976732441E-2</v>
      </c>
      <c r="P2556" s="4">
        <f t="shared" ca="1" si="229"/>
        <v>-1.4021068898617877</v>
      </c>
      <c r="Q2556" s="4">
        <f t="shared" ca="1" si="230"/>
        <v>1949.7201785645739</v>
      </c>
      <c r="R2556" s="4">
        <f t="shared" ca="1" si="231"/>
        <v>26.050134564573909</v>
      </c>
      <c r="S2556" s="4">
        <f t="shared" ca="1" si="232"/>
        <v>13.463074323340885</v>
      </c>
    </row>
    <row r="2557" spans="15:19" x14ac:dyDescent="0.2">
      <c r="O2557" s="4">
        <f t="shared" ca="1" si="228"/>
        <v>0.55983649178386929</v>
      </c>
      <c r="P2557" s="4">
        <f t="shared" ca="1" si="229"/>
        <v>0.15055467678544995</v>
      </c>
      <c r="Q2557" s="4">
        <f t="shared" ca="1" si="230"/>
        <v>1920.423517415418</v>
      </c>
      <c r="R2557" s="4">
        <f t="shared" ca="1" si="231"/>
        <v>-3.2465265845819431</v>
      </c>
      <c r="S2557" s="4">
        <f t="shared" ca="1" si="232"/>
        <v>-1.6391330734118112</v>
      </c>
    </row>
    <row r="2558" spans="15:19" x14ac:dyDescent="0.2">
      <c r="O2558" s="4">
        <f t="shared" ca="1" si="228"/>
        <v>0.91338301772678099</v>
      </c>
      <c r="P2558" s="4">
        <f t="shared" ca="1" si="229"/>
        <v>1.3618856849316612</v>
      </c>
      <c r="Q2558" s="4">
        <f t="shared" ca="1" si="230"/>
        <v>1897.5673104689442</v>
      </c>
      <c r="R2558" s="4">
        <f t="shared" ca="1" si="231"/>
        <v>-26.102733531055719</v>
      </c>
      <c r="S2558" s="4">
        <f t="shared" ca="1" si="232"/>
        <v>-12.93610167208664</v>
      </c>
    </row>
    <row r="2559" spans="15:19" x14ac:dyDescent="0.2">
      <c r="O2559" s="4">
        <f t="shared" ca="1" si="228"/>
        <v>0.71025830101616338</v>
      </c>
      <c r="P2559" s="4">
        <f t="shared" ca="1" si="229"/>
        <v>0.55413947245746498</v>
      </c>
      <c r="Q2559" s="4">
        <f t="shared" ca="1" si="230"/>
        <v>1912.8084084581672</v>
      </c>
      <c r="R2559" s="4">
        <f t="shared" ca="1" si="231"/>
        <v>-10.861635541832811</v>
      </c>
      <c r="S2559" s="4">
        <f t="shared" ca="1" si="232"/>
        <v>-5.4502422565105713</v>
      </c>
    </row>
    <row r="2560" spans="15:19" x14ac:dyDescent="0.2">
      <c r="O2560" s="4">
        <f t="shared" ca="1" si="228"/>
        <v>0.96443021798168349</v>
      </c>
      <c r="P2560" s="4">
        <f t="shared" ca="1" si="229"/>
        <v>1.8045855302099187</v>
      </c>
      <c r="Q2560" s="4">
        <f t="shared" ca="1" si="230"/>
        <v>1889.214152487513</v>
      </c>
      <c r="R2560" s="4">
        <f t="shared" ca="1" si="231"/>
        <v>-34.455891512486915</v>
      </c>
      <c r="S2560" s="4">
        <f t="shared" ca="1" si="232"/>
        <v>-16.958633747258965</v>
      </c>
    </row>
    <row r="2561" spans="15:19" x14ac:dyDescent="0.2">
      <c r="O2561" s="4">
        <f t="shared" ca="1" si="228"/>
        <v>0.3370434510925745</v>
      </c>
      <c r="P2561" s="4">
        <f t="shared" ca="1" si="229"/>
        <v>-0.42054563089766828</v>
      </c>
      <c r="Q2561" s="4">
        <f t="shared" ca="1" si="230"/>
        <v>1931.1994215504708</v>
      </c>
      <c r="R2561" s="4">
        <f t="shared" ca="1" si="231"/>
        <v>7.5293775504708265</v>
      </c>
      <c r="S2561" s="4">
        <f t="shared" ca="1" si="232"/>
        <v>3.8345220413050156</v>
      </c>
    </row>
    <row r="2562" spans="15:19" x14ac:dyDescent="0.2">
      <c r="O2562" s="4">
        <f t="shared" ca="1" si="228"/>
        <v>0.80389471486366204</v>
      </c>
      <c r="P2562" s="4">
        <f t="shared" ca="1" si="229"/>
        <v>0.85561536132036253</v>
      </c>
      <c r="Q2562" s="4">
        <f t="shared" ca="1" si="230"/>
        <v>1907.119958927128</v>
      </c>
      <c r="R2562" s="4">
        <f t="shared" ca="1" si="231"/>
        <v>-16.55008507287198</v>
      </c>
      <c r="S2562" s="4">
        <f t="shared" ca="1" si="232"/>
        <v>-8.2663167455313111</v>
      </c>
    </row>
    <row r="2563" spans="15:19" x14ac:dyDescent="0.2">
      <c r="O2563" s="4">
        <f t="shared" ref="O2563:O2626" ca="1" si="233">RAND()</f>
        <v>0.85583977769638775</v>
      </c>
      <c r="P2563" s="4">
        <f t="shared" ref="P2563:P2626" ca="1" si="234">NORMSINV(O2563)</f>
        <v>1.0618133134437135</v>
      </c>
      <c r="Q2563" s="4">
        <f t="shared" ref="Q2563:Q2626" ca="1" si="235">$B$4*(1+$B$17-$B$32*P2563)</f>
        <v>1903.2292774916029</v>
      </c>
      <c r="R2563" s="4">
        <f t="shared" ref="R2563:R2626" ca="1" si="236">Q2563-$B$4</f>
        <v>-20.440766508397019</v>
      </c>
      <c r="S2563" s="4">
        <f t="shared" ref="S2563:S2626" ca="1" si="237">R2563*$B$12+0.5*$B$13*R2563^2</f>
        <v>-10.177232548960641</v>
      </c>
    </row>
    <row r="2564" spans="15:19" x14ac:dyDescent="0.2">
      <c r="O2564" s="4">
        <f t="shared" ca="1" si="233"/>
        <v>0.84582375011628452</v>
      </c>
      <c r="P2564" s="4">
        <f t="shared" ca="1" si="234"/>
        <v>1.0186850763836175</v>
      </c>
      <c r="Q2564" s="4">
        <f t="shared" ca="1" si="235"/>
        <v>1904.0430500317698</v>
      </c>
      <c r="R2564" s="4">
        <f t="shared" ca="1" si="236"/>
        <v>-19.626993968230181</v>
      </c>
      <c r="S2564" s="4">
        <f t="shared" ca="1" si="237"/>
        <v>-9.7785658350715856</v>
      </c>
    </row>
    <row r="2565" spans="15:19" x14ac:dyDescent="0.2">
      <c r="O2565" s="4">
        <f t="shared" ca="1" si="233"/>
        <v>0.4146308143322941</v>
      </c>
      <c r="P2565" s="4">
        <f t="shared" ca="1" si="234"/>
        <v>-0.21564865259318933</v>
      </c>
      <c r="Q2565" s="4">
        <f t="shared" ca="1" si="235"/>
        <v>1927.3332877626453</v>
      </c>
      <c r="R2565" s="4">
        <f t="shared" ca="1" si="236"/>
        <v>3.6632437626453793</v>
      </c>
      <c r="S2565" s="4">
        <f t="shared" ca="1" si="237"/>
        <v>1.859832480171923</v>
      </c>
    </row>
    <row r="2566" spans="15:19" x14ac:dyDescent="0.2">
      <c r="O2566" s="4">
        <f t="shared" ca="1" si="233"/>
        <v>0.78210045269662276</v>
      </c>
      <c r="P2566" s="4">
        <f t="shared" ca="1" si="234"/>
        <v>0.77930665627080276</v>
      </c>
      <c r="Q2566" s="4">
        <f t="shared" ca="1" si="235"/>
        <v>1908.5598028200861</v>
      </c>
      <c r="R2566" s="4">
        <f t="shared" ca="1" si="236"/>
        <v>-15.110241179913828</v>
      </c>
      <c r="S2566" s="4">
        <f t="shared" ca="1" si="237"/>
        <v>-7.5560102919537488</v>
      </c>
    </row>
    <row r="2567" spans="15:19" x14ac:dyDescent="0.2">
      <c r="O2567" s="4">
        <f t="shared" ca="1" si="233"/>
        <v>0.65379185474927271</v>
      </c>
      <c r="P2567" s="4">
        <f t="shared" ca="1" si="234"/>
        <v>0.39557810699289275</v>
      </c>
      <c r="Q2567" s="4">
        <f t="shared" ca="1" si="235"/>
        <v>1915.8002507856577</v>
      </c>
      <c r="R2567" s="4">
        <f t="shared" ca="1" si="236"/>
        <v>-7.8697932143422804</v>
      </c>
      <c r="S2567" s="4">
        <f t="shared" ca="1" si="237"/>
        <v>-3.9585551279673696</v>
      </c>
    </row>
    <row r="2568" spans="15:19" x14ac:dyDescent="0.2">
      <c r="O2568" s="4">
        <f t="shared" ca="1" si="233"/>
        <v>0.31247602704868893</v>
      </c>
      <c r="P2568" s="4">
        <f t="shared" ca="1" si="234"/>
        <v>-0.48884412778847453</v>
      </c>
      <c r="Q2568" s="4">
        <f t="shared" ca="1" si="235"/>
        <v>1932.4881234565321</v>
      </c>
      <c r="R2568" s="4">
        <f t="shared" ca="1" si="236"/>
        <v>8.8180794565321321</v>
      </c>
      <c r="S2568" s="4">
        <f t="shared" ca="1" si="237"/>
        <v>4.4954512958396897</v>
      </c>
    </row>
    <row r="2569" spans="15:19" x14ac:dyDescent="0.2">
      <c r="O2569" s="4">
        <f t="shared" ca="1" si="233"/>
        <v>0.17564324961399413</v>
      </c>
      <c r="P2569" s="4">
        <f t="shared" ca="1" si="234"/>
        <v>-0.93209680468669132</v>
      </c>
      <c r="Q2569" s="4">
        <f t="shared" ca="1" si="235"/>
        <v>1940.8517126362296</v>
      </c>
      <c r="R2569" s="4">
        <f t="shared" ca="1" si="236"/>
        <v>17.181668636229688</v>
      </c>
      <c r="S2569" s="4">
        <f t="shared" ca="1" si="237"/>
        <v>8.8176997555991843</v>
      </c>
    </row>
    <row r="2570" spans="15:19" x14ac:dyDescent="0.2">
      <c r="O2570" s="4">
        <f t="shared" ca="1" si="233"/>
        <v>0.12522331780129015</v>
      </c>
      <c r="P2570" s="4">
        <f t="shared" ca="1" si="234"/>
        <v>-1.1492652181725409</v>
      </c>
      <c r="Q2570" s="4">
        <f t="shared" ca="1" si="235"/>
        <v>1944.9493921040953</v>
      </c>
      <c r="R2570" s="4">
        <f t="shared" ca="1" si="236"/>
        <v>21.279348104095334</v>
      </c>
      <c r="S2570" s="4">
        <f t="shared" ca="1" si="237"/>
        <v>10.956139722528889</v>
      </c>
    </row>
    <row r="2571" spans="15:19" x14ac:dyDescent="0.2">
      <c r="O2571" s="4">
        <f t="shared" ca="1" si="233"/>
        <v>9.8230526898979043E-2</v>
      </c>
      <c r="P2571" s="4">
        <f t="shared" ca="1" si="234"/>
        <v>-1.2917000106199463</v>
      </c>
      <c r="Q2571" s="4">
        <f t="shared" ca="1" si="235"/>
        <v>1947.6369474218927</v>
      </c>
      <c r="R2571" s="4">
        <f t="shared" ca="1" si="236"/>
        <v>23.966903421892766</v>
      </c>
      <c r="S2571" s="4">
        <f t="shared" ca="1" si="237"/>
        <v>12.366106900908919</v>
      </c>
    </row>
    <row r="2572" spans="15:19" x14ac:dyDescent="0.2">
      <c r="O2572" s="4">
        <f t="shared" ca="1" si="233"/>
        <v>0.39338119638681779</v>
      </c>
      <c r="P2572" s="4">
        <f t="shared" ca="1" si="234"/>
        <v>-0.27051719164308319</v>
      </c>
      <c r="Q2572" s="4">
        <f t="shared" ca="1" si="235"/>
        <v>1928.3685842051052</v>
      </c>
      <c r="R2572" s="4">
        <f t="shared" ca="1" si="236"/>
        <v>4.6985402051052461</v>
      </c>
      <c r="S2572" s="4">
        <f t="shared" ca="1" si="237"/>
        <v>2.3874336478119869</v>
      </c>
    </row>
    <row r="2573" spans="15:19" x14ac:dyDescent="0.2">
      <c r="O2573" s="4">
        <f t="shared" ca="1" si="233"/>
        <v>0.9978781735725607</v>
      </c>
      <c r="P2573" s="4">
        <f t="shared" ca="1" si="234"/>
        <v>2.8594582412030909</v>
      </c>
      <c r="Q2573" s="4">
        <f t="shared" ca="1" si="235"/>
        <v>1869.3101057632855</v>
      </c>
      <c r="R2573" s="4">
        <f t="shared" ca="1" si="236"/>
        <v>-54.35993823671447</v>
      </c>
      <c r="S2573" s="4">
        <f t="shared" ca="1" si="237"/>
        <v>-26.314642449408748</v>
      </c>
    </row>
    <row r="2574" spans="15:19" x14ac:dyDescent="0.2">
      <c r="O2574" s="4">
        <f t="shared" ca="1" si="233"/>
        <v>0.58746206026983017</v>
      </c>
      <c r="P2574" s="4">
        <f t="shared" ca="1" si="234"/>
        <v>0.22102125969108297</v>
      </c>
      <c r="Q2574" s="4">
        <f t="shared" ca="1" si="235"/>
        <v>1919.0939066064229</v>
      </c>
      <c r="R2574" s="4">
        <f t="shared" ca="1" si="236"/>
        <v>-4.576137393577028</v>
      </c>
      <c r="S2574" s="4">
        <f t="shared" ca="1" si="237"/>
        <v>-2.3079611211913655</v>
      </c>
    </row>
    <row r="2575" spans="15:19" x14ac:dyDescent="0.2">
      <c r="O2575" s="4">
        <f t="shared" ca="1" si="233"/>
        <v>0.16339010047027314</v>
      </c>
      <c r="P2575" s="4">
        <f t="shared" ca="1" si="234"/>
        <v>-0.98061993295090299</v>
      </c>
      <c r="Q2575" s="4">
        <f t="shared" ca="1" si="235"/>
        <v>1941.767279606644</v>
      </c>
      <c r="R2575" s="4">
        <f t="shared" ca="1" si="236"/>
        <v>18.097235606644062</v>
      </c>
      <c r="S2575" s="4">
        <f t="shared" ca="1" si="237"/>
        <v>9.2943171411069976</v>
      </c>
    </row>
    <row r="2576" spans="15:19" x14ac:dyDescent="0.2">
      <c r="O2576" s="4">
        <f t="shared" ca="1" si="233"/>
        <v>0.77976157683307823</v>
      </c>
      <c r="P2576" s="4">
        <f t="shared" ca="1" si="234"/>
        <v>0.77138823525104072</v>
      </c>
      <c r="Q2576" s="4">
        <f t="shared" ca="1" si="235"/>
        <v>1908.7092129056036</v>
      </c>
      <c r="R2576" s="4">
        <f t="shared" ca="1" si="236"/>
        <v>-14.960831094396326</v>
      </c>
      <c r="S2576" s="4">
        <f t="shared" ca="1" si="237"/>
        <v>-7.4822063732753072</v>
      </c>
    </row>
    <row r="2577" spans="15:19" x14ac:dyDescent="0.2">
      <c r="O2577" s="4">
        <f t="shared" ca="1" si="233"/>
        <v>0.38672728690581881</v>
      </c>
      <c r="P2577" s="4">
        <f t="shared" ca="1" si="234"/>
        <v>-0.28785912870223324</v>
      </c>
      <c r="Q2577" s="4">
        <f t="shared" ca="1" si="235"/>
        <v>1928.695803519736</v>
      </c>
      <c r="R2577" s="4">
        <f t="shared" ca="1" si="236"/>
        <v>5.0257595197360843</v>
      </c>
      <c r="S2577" s="4">
        <f t="shared" ca="1" si="237"/>
        <v>2.5543705555624978</v>
      </c>
    </row>
    <row r="2578" spans="15:19" x14ac:dyDescent="0.2">
      <c r="O2578" s="4">
        <f t="shared" ca="1" si="233"/>
        <v>0.86735762845756714</v>
      </c>
      <c r="P2578" s="4">
        <f t="shared" ca="1" si="234"/>
        <v>1.1139870481531708</v>
      </c>
      <c r="Q2578" s="4">
        <f t="shared" ca="1" si="235"/>
        <v>1902.2448284271686</v>
      </c>
      <c r="R2578" s="4">
        <f t="shared" ca="1" si="236"/>
        <v>-21.425215572831348</v>
      </c>
      <c r="S2578" s="4">
        <f t="shared" ca="1" si="237"/>
        <v>-10.65879297958451</v>
      </c>
    </row>
    <row r="2579" spans="15:19" x14ac:dyDescent="0.2">
      <c r="O2579" s="4">
        <f t="shared" ca="1" si="233"/>
        <v>0.47633838420904429</v>
      </c>
      <c r="P2579" s="4">
        <f t="shared" ca="1" si="234"/>
        <v>-5.93456918120406E-2</v>
      </c>
      <c r="Q2579" s="4">
        <f t="shared" ca="1" si="235"/>
        <v>1924.3840585313819</v>
      </c>
      <c r="R2579" s="4">
        <f t="shared" ca="1" si="236"/>
        <v>0.71401453138196302</v>
      </c>
      <c r="S2579" s="4">
        <f t="shared" ca="1" si="237"/>
        <v>0.36164868020047997</v>
      </c>
    </row>
    <row r="2580" spans="15:19" x14ac:dyDescent="0.2">
      <c r="O2580" s="4">
        <f t="shared" ca="1" si="233"/>
        <v>0.91036377349927877</v>
      </c>
      <c r="P2580" s="4">
        <f t="shared" ca="1" si="234"/>
        <v>1.3429985202323591</v>
      </c>
      <c r="Q2580" s="4">
        <f t="shared" ca="1" si="235"/>
        <v>1897.9236861764068</v>
      </c>
      <c r="R2580" s="4">
        <f t="shared" ca="1" si="236"/>
        <v>-25.746357823593144</v>
      </c>
      <c r="S2580" s="4">
        <f t="shared" ca="1" si="237"/>
        <v>-12.763222524380353</v>
      </c>
    </row>
    <row r="2581" spans="15:19" x14ac:dyDescent="0.2">
      <c r="O2581" s="4">
        <f t="shared" ca="1" si="233"/>
        <v>0.92527065807332387</v>
      </c>
      <c r="P2581" s="4">
        <f t="shared" ca="1" si="234"/>
        <v>1.4414461373112797</v>
      </c>
      <c r="Q2581" s="4">
        <f t="shared" ca="1" si="235"/>
        <v>1896.0661104236103</v>
      </c>
      <c r="R2581" s="4">
        <f t="shared" ca="1" si="236"/>
        <v>-27.603933576389636</v>
      </c>
      <c r="S2581" s="4">
        <f t="shared" ca="1" si="237"/>
        <v>-13.663204106264333</v>
      </c>
    </row>
    <row r="2582" spans="15:19" x14ac:dyDescent="0.2">
      <c r="O2582" s="4">
        <f t="shared" ca="1" si="233"/>
        <v>0.36727263675766586</v>
      </c>
      <c r="P2582" s="4">
        <f t="shared" ca="1" si="234"/>
        <v>-0.33908556353751412</v>
      </c>
      <c r="Q2582" s="4">
        <f t="shared" ca="1" si="235"/>
        <v>1929.662378293973</v>
      </c>
      <c r="R2582" s="4">
        <f t="shared" ca="1" si="236"/>
        <v>5.9923342939730446</v>
      </c>
      <c r="S2582" s="4">
        <f t="shared" ca="1" si="237"/>
        <v>3.0479953843277521</v>
      </c>
    </row>
    <row r="2583" spans="15:19" x14ac:dyDescent="0.2">
      <c r="O2583" s="4">
        <f t="shared" ca="1" si="233"/>
        <v>3.9390330709257348E-2</v>
      </c>
      <c r="P2583" s="4">
        <f t="shared" ca="1" si="234"/>
        <v>-1.7578051932313992</v>
      </c>
      <c r="Q2583" s="4">
        <f t="shared" ca="1" si="235"/>
        <v>1956.4317330262791</v>
      </c>
      <c r="R2583" s="4">
        <f t="shared" ca="1" si="236"/>
        <v>32.7616890262791</v>
      </c>
      <c r="S2583" s="4">
        <f t="shared" ca="1" si="237"/>
        <v>17.02120678970013</v>
      </c>
    </row>
    <row r="2584" spans="15:19" x14ac:dyDescent="0.2">
      <c r="O2584" s="4">
        <f t="shared" ca="1" si="233"/>
        <v>0.493917342759844</v>
      </c>
      <c r="P2584" s="4">
        <f t="shared" ca="1" si="234"/>
        <v>-1.5247551414136341E-2</v>
      </c>
      <c r="Q2584" s="4">
        <f t="shared" ca="1" si="235"/>
        <v>1923.5519852036864</v>
      </c>
      <c r="R2584" s="4">
        <f t="shared" ca="1" si="236"/>
        <v>-0.1180587963135622</v>
      </c>
      <c r="S2584" s="4">
        <f t="shared" ca="1" si="237"/>
        <v>-5.9756845386902367E-2</v>
      </c>
    </row>
    <row r="2585" spans="15:19" x14ac:dyDescent="0.2">
      <c r="O2585" s="4">
        <f t="shared" ca="1" si="233"/>
        <v>0.62396750154009317</v>
      </c>
      <c r="P2585" s="4">
        <f t="shared" ca="1" si="234"/>
        <v>0.3159176734653707</v>
      </c>
      <c r="Q2585" s="4">
        <f t="shared" ca="1" si="235"/>
        <v>1917.3033373424341</v>
      </c>
      <c r="R2585" s="4">
        <f t="shared" ca="1" si="236"/>
        <v>-6.3667066575658282</v>
      </c>
      <c r="S2585" s="4">
        <f t="shared" ca="1" si="237"/>
        <v>-3.2063887391467132</v>
      </c>
    </row>
    <row r="2586" spans="15:19" x14ac:dyDescent="0.2">
      <c r="O2586" s="4">
        <f t="shared" ca="1" si="233"/>
        <v>0.93923773404699795</v>
      </c>
      <c r="P2586" s="4">
        <f t="shared" ca="1" si="234"/>
        <v>1.5484061897268604</v>
      </c>
      <c r="Q2586" s="4">
        <f t="shared" ca="1" si="235"/>
        <v>1894.0479163242474</v>
      </c>
      <c r="R2586" s="4">
        <f t="shared" ca="1" si="236"/>
        <v>-29.622127675752608</v>
      </c>
      <c r="S2586" s="4">
        <f t="shared" ca="1" si="237"/>
        <v>-14.637819959520565</v>
      </c>
    </row>
    <row r="2587" spans="15:19" x14ac:dyDescent="0.2">
      <c r="O2587" s="4">
        <f t="shared" ca="1" si="233"/>
        <v>0.92364044515456012</v>
      </c>
      <c r="P2587" s="4">
        <f t="shared" ca="1" si="234"/>
        <v>1.4299927158877366</v>
      </c>
      <c r="Q2587" s="4">
        <f t="shared" ca="1" si="235"/>
        <v>1896.2822212707208</v>
      </c>
      <c r="R2587" s="4">
        <f t="shared" ca="1" si="236"/>
        <v>-27.387822729279151</v>
      </c>
      <c r="S2587" s="4">
        <f t="shared" ca="1" si="237"/>
        <v>-13.558644417593092</v>
      </c>
    </row>
    <row r="2588" spans="15:19" x14ac:dyDescent="0.2">
      <c r="O2588" s="4">
        <f t="shared" ca="1" si="233"/>
        <v>0.27755954503111802</v>
      </c>
      <c r="P2588" s="4">
        <f t="shared" ca="1" si="234"/>
        <v>-0.5901067405732533</v>
      </c>
      <c r="Q2588" s="4">
        <f t="shared" ca="1" si="235"/>
        <v>1934.3988144387531</v>
      </c>
      <c r="R2588" s="4">
        <f t="shared" ca="1" si="236"/>
        <v>10.728770438753145</v>
      </c>
      <c r="S2588" s="4">
        <f t="shared" ca="1" si="237"/>
        <v>5.4778650033784757</v>
      </c>
    </row>
    <row r="2589" spans="15:19" x14ac:dyDescent="0.2">
      <c r="O2589" s="4">
        <f t="shared" ca="1" si="233"/>
        <v>0.90887278030899632</v>
      </c>
      <c r="P2589" s="4">
        <f t="shared" ca="1" si="234"/>
        <v>1.3338456721817828</v>
      </c>
      <c r="Q2589" s="4">
        <f t="shared" ca="1" si="235"/>
        <v>1898.0963882601368</v>
      </c>
      <c r="R2589" s="4">
        <f t="shared" ca="1" si="236"/>
        <v>-25.57365573986317</v>
      </c>
      <c r="S2589" s="4">
        <f t="shared" ca="1" si="237"/>
        <v>-12.679406922373129</v>
      </c>
    </row>
    <row r="2590" spans="15:19" x14ac:dyDescent="0.2">
      <c r="O2590" s="4">
        <f t="shared" ca="1" si="233"/>
        <v>0.10951625074870808</v>
      </c>
      <c r="P2590" s="4">
        <f t="shared" ca="1" si="234"/>
        <v>-1.2291048379525429</v>
      </c>
      <c r="Q2590" s="4">
        <f t="shared" ca="1" si="235"/>
        <v>1946.4558596674185</v>
      </c>
      <c r="R2590" s="4">
        <f t="shared" ca="1" si="236"/>
        <v>22.785815667418547</v>
      </c>
      <c r="S2590" s="4">
        <f t="shared" ca="1" si="237"/>
        <v>11.745750729321154</v>
      </c>
    </row>
    <row r="2591" spans="15:19" x14ac:dyDescent="0.2">
      <c r="O2591" s="4">
        <f t="shared" ca="1" si="233"/>
        <v>0.45988615565888991</v>
      </c>
      <c r="P2591" s="4">
        <f t="shared" ca="1" si="234"/>
        <v>-0.10072053295701611</v>
      </c>
      <c r="Q2591" s="4">
        <f t="shared" ca="1" si="235"/>
        <v>1925.1647468199071</v>
      </c>
      <c r="R2591" s="4">
        <f t="shared" ca="1" si="236"/>
        <v>1.494702819907161</v>
      </c>
      <c r="S2591" s="4">
        <f t="shared" ca="1" si="237"/>
        <v>0.75754265613311267</v>
      </c>
    </row>
    <row r="2592" spans="15:19" x14ac:dyDescent="0.2">
      <c r="O2592" s="4">
        <f t="shared" ca="1" si="233"/>
        <v>0.86257298086979073</v>
      </c>
      <c r="P2592" s="4">
        <f t="shared" ca="1" si="234"/>
        <v>1.0919523673174849</v>
      </c>
      <c r="Q2592" s="4">
        <f t="shared" ca="1" si="235"/>
        <v>1902.660593582847</v>
      </c>
      <c r="R2592" s="4">
        <f t="shared" ca="1" si="236"/>
        <v>-21.009450417152948</v>
      </c>
      <c r="S2592" s="4">
        <f t="shared" ca="1" si="237"/>
        <v>-10.455510448932465</v>
      </c>
    </row>
    <row r="2593" spans="15:19" x14ac:dyDescent="0.2">
      <c r="O2593" s="4">
        <f t="shared" ca="1" si="233"/>
        <v>5.426770924926827E-2</v>
      </c>
      <c r="P2593" s="4">
        <f t="shared" ca="1" si="234"/>
        <v>-1.6048109361826366</v>
      </c>
      <c r="Q2593" s="4">
        <f t="shared" ca="1" si="235"/>
        <v>1953.5449346390405</v>
      </c>
      <c r="R2593" s="4">
        <f t="shared" ca="1" si="236"/>
        <v>29.874890639040586</v>
      </c>
      <c r="S2593" s="4">
        <f t="shared" ca="1" si="237"/>
        <v>15.486275247718831</v>
      </c>
    </row>
    <row r="2594" spans="15:19" x14ac:dyDescent="0.2">
      <c r="O2594" s="4">
        <f t="shared" ca="1" si="233"/>
        <v>0.19205024469359977</v>
      </c>
      <c r="P2594" s="4">
        <f t="shared" ca="1" si="234"/>
        <v>-0.87036587505786822</v>
      </c>
      <c r="Q2594" s="4">
        <f t="shared" ca="1" si="235"/>
        <v>1939.6869319998007</v>
      </c>
      <c r="R2594" s="4">
        <f t="shared" ca="1" si="236"/>
        <v>16.016887999800701</v>
      </c>
      <c r="S2594" s="4">
        <f t="shared" ca="1" si="237"/>
        <v>8.2123354140080256</v>
      </c>
    </row>
    <row r="2595" spans="15:19" x14ac:dyDescent="0.2">
      <c r="O2595" s="4">
        <f t="shared" ca="1" si="233"/>
        <v>0.11413555984826673</v>
      </c>
      <c r="P2595" s="4">
        <f t="shared" ca="1" si="234"/>
        <v>-1.204824344845232</v>
      </c>
      <c r="Q2595" s="4">
        <f t="shared" ca="1" si="235"/>
        <v>1945.9977190175953</v>
      </c>
      <c r="R2595" s="4">
        <f t="shared" ca="1" si="236"/>
        <v>22.327675017595311</v>
      </c>
      <c r="S2595" s="4">
        <f t="shared" ca="1" si="237"/>
        <v>11.505422006313584</v>
      </c>
    </row>
    <row r="2596" spans="15:19" x14ac:dyDescent="0.2">
      <c r="O2596" s="4">
        <f t="shared" ca="1" si="233"/>
        <v>0.92186202730588407</v>
      </c>
      <c r="P2596" s="4">
        <f t="shared" ca="1" si="234"/>
        <v>1.4177083015838312</v>
      </c>
      <c r="Q2596" s="4">
        <f t="shared" ca="1" si="235"/>
        <v>1896.5140118495617</v>
      </c>
      <c r="R2596" s="4">
        <f t="shared" ca="1" si="236"/>
        <v>-27.15603215043825</v>
      </c>
      <c r="S2596" s="4">
        <f t="shared" ca="1" si="237"/>
        <v>-13.446456231360534</v>
      </c>
    </row>
    <row r="2597" spans="15:19" x14ac:dyDescent="0.2">
      <c r="O2597" s="4">
        <f t="shared" ca="1" si="233"/>
        <v>0.377992026329657</v>
      </c>
      <c r="P2597" s="4">
        <f t="shared" ca="1" si="234"/>
        <v>-0.31075872120955872</v>
      </c>
      <c r="Q2597" s="4">
        <f t="shared" ca="1" si="235"/>
        <v>1929.1278884096776</v>
      </c>
      <c r="R2597" s="4">
        <f t="shared" ca="1" si="236"/>
        <v>5.4578444096775911</v>
      </c>
      <c r="S2597" s="4">
        <f t="shared" ca="1" si="237"/>
        <v>2.7749401040486874</v>
      </c>
    </row>
    <row r="2598" spans="15:19" x14ac:dyDescent="0.2">
      <c r="O2598" s="4">
        <f t="shared" ca="1" si="233"/>
        <v>0.89353364834791849</v>
      </c>
      <c r="P2598" s="4">
        <f t="shared" ca="1" si="234"/>
        <v>1.245541683407579</v>
      </c>
      <c r="Q2598" s="4">
        <f t="shared" ca="1" si="235"/>
        <v>1899.7625672219972</v>
      </c>
      <c r="R2598" s="4">
        <f t="shared" ca="1" si="236"/>
        <v>-23.907476778002774</v>
      </c>
      <c r="S2598" s="4">
        <f t="shared" ca="1" si="237"/>
        <v>-11.869531398847604</v>
      </c>
    </row>
    <row r="2599" spans="15:19" x14ac:dyDescent="0.2">
      <c r="O2599" s="4">
        <f t="shared" ca="1" si="233"/>
        <v>0.27570703058743651</v>
      </c>
      <c r="P2599" s="4">
        <f t="shared" ca="1" si="234"/>
        <v>-0.59564252568796028</v>
      </c>
      <c r="Q2599" s="4">
        <f t="shared" ca="1" si="235"/>
        <v>1934.5032673499243</v>
      </c>
      <c r="R2599" s="4">
        <f t="shared" ca="1" si="236"/>
        <v>10.83322334992431</v>
      </c>
      <c r="S2599" s="4">
        <f t="shared" ca="1" si="237"/>
        <v>5.5316568967307083</v>
      </c>
    </row>
    <row r="2600" spans="15:19" x14ac:dyDescent="0.2">
      <c r="O2600" s="4">
        <f t="shared" ca="1" si="233"/>
        <v>0.94791316357939426</v>
      </c>
      <c r="P2600" s="4">
        <f t="shared" ca="1" si="234"/>
        <v>1.6249478424983346</v>
      </c>
      <c r="Q2600" s="4">
        <f t="shared" ca="1" si="235"/>
        <v>1892.6036770172329</v>
      </c>
      <c r="R2600" s="4">
        <f t="shared" ca="1" si="236"/>
        <v>-31.066366982767022</v>
      </c>
      <c r="S2600" s="4">
        <f t="shared" ca="1" si="237"/>
        <v>-15.33322895061867</v>
      </c>
    </row>
    <row r="2601" spans="15:19" x14ac:dyDescent="0.2">
      <c r="O2601" s="4">
        <f t="shared" ca="1" si="233"/>
        <v>0.43440129768793523</v>
      </c>
      <c r="P2601" s="4">
        <f t="shared" ca="1" si="234"/>
        <v>-0.16517963324198387</v>
      </c>
      <c r="Q2601" s="4">
        <f t="shared" ca="1" si="235"/>
        <v>1926.3810044124139</v>
      </c>
      <c r="R2601" s="4">
        <f t="shared" ca="1" si="236"/>
        <v>2.7109604124138968</v>
      </c>
      <c r="S2601" s="4">
        <f t="shared" ca="1" si="237"/>
        <v>1.3753063908135184</v>
      </c>
    </row>
    <row r="2602" spans="15:19" x14ac:dyDescent="0.2">
      <c r="O2602" s="4">
        <f t="shared" ca="1" si="233"/>
        <v>0.74843683193935906</v>
      </c>
      <c r="P2602" s="4">
        <f t="shared" ca="1" si="234"/>
        <v>0.66957879391031649</v>
      </c>
      <c r="Q2602" s="4">
        <f t="shared" ca="1" si="235"/>
        <v>1910.6302218162477</v>
      </c>
      <c r="R2602" s="4">
        <f t="shared" ca="1" si="236"/>
        <v>-13.039822183752221</v>
      </c>
      <c r="S2602" s="4">
        <f t="shared" ca="1" si="237"/>
        <v>-6.5316688985360285</v>
      </c>
    </row>
    <row r="2603" spans="15:19" x14ac:dyDescent="0.2">
      <c r="O2603" s="4">
        <f t="shared" ca="1" si="233"/>
        <v>0.7446518492795533</v>
      </c>
      <c r="P2603" s="4">
        <f t="shared" ca="1" si="234"/>
        <v>0.65775386883157794</v>
      </c>
      <c r="Q2603" s="4">
        <f t="shared" ca="1" si="235"/>
        <v>1910.8533424438124</v>
      </c>
      <c r="R2603" s="4">
        <f t="shared" ca="1" si="236"/>
        <v>-12.816701556187581</v>
      </c>
      <c r="S2603" s="4">
        <f t="shared" ca="1" si="237"/>
        <v>-6.4210714841771939</v>
      </c>
    </row>
    <row r="2604" spans="15:19" x14ac:dyDescent="0.2">
      <c r="O2604" s="4">
        <f t="shared" ca="1" si="233"/>
        <v>0.10141522358781574</v>
      </c>
      <c r="P2604" s="4">
        <f t="shared" ca="1" si="234"/>
        <v>-1.2735288348402261</v>
      </c>
      <c r="Q2604" s="4">
        <f t="shared" ca="1" si="235"/>
        <v>1947.2940814741962</v>
      </c>
      <c r="R2604" s="4">
        <f t="shared" ca="1" si="236"/>
        <v>23.624037474196257</v>
      </c>
      <c r="S2604" s="4">
        <f t="shared" ca="1" si="237"/>
        <v>12.185902523855269</v>
      </c>
    </row>
    <row r="2605" spans="15:19" x14ac:dyDescent="0.2">
      <c r="O2605" s="4">
        <f t="shared" ca="1" si="233"/>
        <v>0.28323220533582028</v>
      </c>
      <c r="P2605" s="4">
        <f t="shared" ca="1" si="234"/>
        <v>-0.57326628354303311</v>
      </c>
      <c r="Q2605" s="4">
        <f t="shared" ca="1" si="235"/>
        <v>1934.0810573860833</v>
      </c>
      <c r="R2605" s="4">
        <f t="shared" ca="1" si="236"/>
        <v>10.411013386083368</v>
      </c>
      <c r="S2605" s="4">
        <f t="shared" ca="1" si="237"/>
        <v>5.3142788585369578</v>
      </c>
    </row>
    <row r="2606" spans="15:19" x14ac:dyDescent="0.2">
      <c r="O2606" s="4">
        <f t="shared" ca="1" si="233"/>
        <v>0.42194085219762112</v>
      </c>
      <c r="P2606" s="4">
        <f t="shared" ca="1" si="234"/>
        <v>-0.19693078249754828</v>
      </c>
      <c r="Q2606" s="4">
        <f t="shared" ca="1" si="235"/>
        <v>1926.9801064194567</v>
      </c>
      <c r="R2606" s="4">
        <f t="shared" ca="1" si="236"/>
        <v>3.310062419456699</v>
      </c>
      <c r="S2606" s="4">
        <f t="shared" ca="1" si="237"/>
        <v>1.6800460778308839</v>
      </c>
    </row>
    <row r="2607" spans="15:19" x14ac:dyDescent="0.2">
      <c r="O2607" s="4">
        <f t="shared" ca="1" si="233"/>
        <v>7.6644070102832473E-2</v>
      </c>
      <c r="P2607" s="4">
        <f t="shared" ca="1" si="234"/>
        <v>-1.428012918538168</v>
      </c>
      <c r="Q2607" s="4">
        <f t="shared" ca="1" si="235"/>
        <v>1950.2089909111635</v>
      </c>
      <c r="R2607" s="4">
        <f t="shared" ca="1" si="236"/>
        <v>26.538946911163521</v>
      </c>
      <c r="S2607" s="4">
        <f t="shared" ca="1" si="237"/>
        <v>13.720980120859936</v>
      </c>
    </row>
    <row r="2608" spans="15:19" x14ac:dyDescent="0.2">
      <c r="O2608" s="4">
        <f t="shared" ca="1" si="233"/>
        <v>0.21807607432191245</v>
      </c>
      <c r="P2608" s="4">
        <f t="shared" ca="1" si="234"/>
        <v>-0.77870731065278165</v>
      </c>
      <c r="Q2608" s="4">
        <f t="shared" ca="1" si="235"/>
        <v>1937.9574566521289</v>
      </c>
      <c r="R2608" s="4">
        <f t="shared" ca="1" si="236"/>
        <v>14.287412652128978</v>
      </c>
      <c r="S2608" s="4">
        <f t="shared" ca="1" si="237"/>
        <v>7.3155233346623412</v>
      </c>
    </row>
    <row r="2609" spans="15:19" x14ac:dyDescent="0.2">
      <c r="O2609" s="4">
        <f t="shared" ca="1" si="233"/>
        <v>0.18425653123601426</v>
      </c>
      <c r="P2609" s="4">
        <f t="shared" ca="1" si="234"/>
        <v>-0.8992621135594373</v>
      </c>
      <c r="Q2609" s="4">
        <f t="shared" ca="1" si="235"/>
        <v>1940.2321656334855</v>
      </c>
      <c r="R2609" s="4">
        <f t="shared" ca="1" si="236"/>
        <v>16.562121633485503</v>
      </c>
      <c r="S2609" s="4">
        <f t="shared" ca="1" si="237"/>
        <v>8.4955688604840347</v>
      </c>
    </row>
    <row r="2610" spans="15:19" x14ac:dyDescent="0.2">
      <c r="O2610" s="4">
        <f t="shared" ca="1" si="233"/>
        <v>2.0442063527107313E-2</v>
      </c>
      <c r="P2610" s="4">
        <f t="shared" ca="1" si="234"/>
        <v>-2.0447032091800916</v>
      </c>
      <c r="Q2610" s="4">
        <f t="shared" ca="1" si="235"/>
        <v>1961.8451174612171</v>
      </c>
      <c r="R2610" s="4">
        <f t="shared" ca="1" si="236"/>
        <v>38.175073461217153</v>
      </c>
      <c r="S2610" s="4">
        <f t="shared" ca="1" si="237"/>
        <v>19.917832839614078</v>
      </c>
    </row>
    <row r="2611" spans="15:19" x14ac:dyDescent="0.2">
      <c r="O2611" s="4">
        <f t="shared" ca="1" si="233"/>
        <v>0.85462994393356451</v>
      </c>
      <c r="P2611" s="4">
        <f t="shared" ca="1" si="234"/>
        <v>1.0564994058866812</v>
      </c>
      <c r="Q2611" s="4">
        <f t="shared" ca="1" si="235"/>
        <v>1903.3295438680113</v>
      </c>
      <c r="R2611" s="4">
        <f t="shared" ca="1" si="236"/>
        <v>-20.34050013198862</v>
      </c>
      <c r="S2611" s="4">
        <f t="shared" ca="1" si="237"/>
        <v>-10.128141229047714</v>
      </c>
    </row>
    <row r="2612" spans="15:19" x14ac:dyDescent="0.2">
      <c r="O2612" s="4">
        <f t="shared" ca="1" si="233"/>
        <v>1.1558235887029977E-2</v>
      </c>
      <c r="P2612" s="4">
        <f t="shared" ca="1" si="234"/>
        <v>-2.271504220402266</v>
      </c>
      <c r="Q2612" s="4">
        <f t="shared" ca="1" si="235"/>
        <v>1966.1245512520657</v>
      </c>
      <c r="R2612" s="4">
        <f t="shared" ca="1" si="236"/>
        <v>42.454507252065696</v>
      </c>
      <c r="S2612" s="4">
        <f t="shared" ca="1" si="237"/>
        <v>22.22458295102134</v>
      </c>
    </row>
    <row r="2613" spans="15:19" x14ac:dyDescent="0.2">
      <c r="O2613" s="4">
        <f t="shared" ca="1" si="233"/>
        <v>0.12059420266207199</v>
      </c>
      <c r="P2613" s="4">
        <f t="shared" ca="1" si="234"/>
        <v>-1.1720215473104658</v>
      </c>
      <c r="Q2613" s="4">
        <f t="shared" ca="1" si="235"/>
        <v>1945.3787738045726</v>
      </c>
      <c r="R2613" s="4">
        <f t="shared" ca="1" si="236"/>
        <v>21.708729804572613</v>
      </c>
      <c r="S2613" s="4">
        <f t="shared" ca="1" si="237"/>
        <v>11.181010748507568</v>
      </c>
    </row>
    <row r="2614" spans="15:19" x14ac:dyDescent="0.2">
      <c r="O2614" s="4">
        <f t="shared" ca="1" si="233"/>
        <v>0.22126224744028511</v>
      </c>
      <c r="P2614" s="4">
        <f t="shared" ca="1" si="234"/>
        <v>-0.76793720093060391</v>
      </c>
      <c r="Q2614" s="4">
        <f t="shared" ca="1" si="235"/>
        <v>1937.7542389890866</v>
      </c>
      <c r="R2614" s="4">
        <f t="shared" ca="1" si="236"/>
        <v>14.084194989086654</v>
      </c>
      <c r="S2614" s="4">
        <f t="shared" ca="1" si="237"/>
        <v>7.2103055600005757</v>
      </c>
    </row>
    <row r="2615" spans="15:19" x14ac:dyDescent="0.2">
      <c r="O2615" s="4">
        <f t="shared" ca="1" si="233"/>
        <v>0.27382739382496524</v>
      </c>
      <c r="P2615" s="4">
        <f t="shared" ca="1" si="234"/>
        <v>-0.60127807878174055</v>
      </c>
      <c r="Q2615" s="4">
        <f t="shared" ca="1" si="235"/>
        <v>1934.6096027503252</v>
      </c>
      <c r="R2615" s="4">
        <f t="shared" ca="1" si="236"/>
        <v>10.939558750325205</v>
      </c>
      <c r="S2615" s="4">
        <f t="shared" ca="1" si="237"/>
        <v>5.5864273717549651</v>
      </c>
    </row>
    <row r="2616" spans="15:19" x14ac:dyDescent="0.2">
      <c r="O2616" s="4">
        <f t="shared" ca="1" si="233"/>
        <v>0.71433123374586494</v>
      </c>
      <c r="P2616" s="4">
        <f t="shared" ca="1" si="234"/>
        <v>0.56608274498502487</v>
      </c>
      <c r="Q2616" s="4">
        <f t="shared" ca="1" si="235"/>
        <v>1912.5830547714604</v>
      </c>
      <c r="R2616" s="4">
        <f t="shared" ca="1" si="236"/>
        <v>-11.086989228539551</v>
      </c>
      <c r="S2616" s="4">
        <f t="shared" ca="1" si="237"/>
        <v>-5.5623050528063915</v>
      </c>
    </row>
    <row r="2617" spans="15:19" x14ac:dyDescent="0.2">
      <c r="O2617" s="4">
        <f t="shared" ca="1" si="233"/>
        <v>0.82511220377597028</v>
      </c>
      <c r="P2617" s="4">
        <f t="shared" ca="1" si="234"/>
        <v>0.93502465714463212</v>
      </c>
      <c r="Q2617" s="4">
        <f t="shared" ca="1" si="235"/>
        <v>1905.6216110051914</v>
      </c>
      <c r="R2617" s="4">
        <f t="shared" ca="1" si="236"/>
        <v>-18.048432994808536</v>
      </c>
      <c r="S2617" s="4">
        <f t="shared" ca="1" si="237"/>
        <v>-9.0036924197040928</v>
      </c>
    </row>
    <row r="2618" spans="15:19" x14ac:dyDescent="0.2">
      <c r="O2618" s="4">
        <f t="shared" ca="1" si="233"/>
        <v>0.59905595800019684</v>
      </c>
      <c r="P2618" s="4">
        <f t="shared" ca="1" si="234"/>
        <v>0.25090432045902333</v>
      </c>
      <c r="Q2618" s="4">
        <f t="shared" ca="1" si="235"/>
        <v>1918.5300529475032</v>
      </c>
      <c r="R2618" s="4">
        <f t="shared" ca="1" si="236"/>
        <v>-5.1399910524967254</v>
      </c>
      <c r="S2618" s="4">
        <f t="shared" ca="1" si="237"/>
        <v>-2.59115924782642</v>
      </c>
    </row>
    <row r="2619" spans="15:19" x14ac:dyDescent="0.2">
      <c r="O2619" s="4">
        <f t="shared" ca="1" si="233"/>
        <v>0.50881083909729707</v>
      </c>
      <c r="P2619" s="4">
        <f t="shared" ca="1" si="234"/>
        <v>2.2087294148883961E-2</v>
      </c>
      <c r="Q2619" s="4">
        <f t="shared" ca="1" si="235"/>
        <v>1922.8475262649122</v>
      </c>
      <c r="R2619" s="4">
        <f t="shared" ca="1" si="236"/>
        <v>-0.8225177350877857</v>
      </c>
      <c r="S2619" s="4">
        <f t="shared" ca="1" si="237"/>
        <v>-0.41609113723343949</v>
      </c>
    </row>
    <row r="2620" spans="15:19" x14ac:dyDescent="0.2">
      <c r="O2620" s="4">
        <f t="shared" ca="1" si="233"/>
        <v>0.15412491224206559</v>
      </c>
      <c r="P2620" s="4">
        <f t="shared" ca="1" si="234"/>
        <v>-1.0189013041992534</v>
      </c>
      <c r="Q2620" s="4">
        <f t="shared" ca="1" si="235"/>
        <v>1942.4895982277003</v>
      </c>
      <c r="R2620" s="4">
        <f t="shared" ca="1" si="236"/>
        <v>18.819554227700337</v>
      </c>
      <c r="S2620" s="4">
        <f t="shared" ca="1" si="237"/>
        <v>9.6708166817636876</v>
      </c>
    </row>
    <row r="2621" spans="15:19" x14ac:dyDescent="0.2">
      <c r="O2621" s="4">
        <f t="shared" ca="1" si="233"/>
        <v>0.27928334119539777</v>
      </c>
      <c r="P2621" s="4">
        <f t="shared" ca="1" si="234"/>
        <v>-0.5849717943072229</v>
      </c>
      <c r="Q2621" s="4">
        <f t="shared" ca="1" si="235"/>
        <v>1934.3019248241669</v>
      </c>
      <c r="R2621" s="4">
        <f t="shared" ca="1" si="236"/>
        <v>10.631880824166956</v>
      </c>
      <c r="S2621" s="4">
        <f t="shared" ca="1" si="237"/>
        <v>5.4279760506948636</v>
      </c>
    </row>
    <row r="2622" spans="15:19" x14ac:dyDescent="0.2">
      <c r="O2622" s="4">
        <f t="shared" ca="1" si="233"/>
        <v>0.52473135663416193</v>
      </c>
      <c r="P2622" s="4">
        <f t="shared" ca="1" si="234"/>
        <v>6.2032077875972168E-2</v>
      </c>
      <c r="Q2622" s="4">
        <f t="shared" ca="1" si="235"/>
        <v>1922.0938212601211</v>
      </c>
      <c r="R2622" s="4">
        <f t="shared" ca="1" si="236"/>
        <v>-1.5762227398788582</v>
      </c>
      <c r="S2622" s="4">
        <f t="shared" ca="1" si="237"/>
        <v>-0.79688803529240559</v>
      </c>
    </row>
    <row r="2623" spans="15:19" x14ac:dyDescent="0.2">
      <c r="O2623" s="4">
        <f t="shared" ca="1" si="233"/>
        <v>0.85014716057342143</v>
      </c>
      <c r="P2623" s="4">
        <f t="shared" ca="1" si="234"/>
        <v>1.0370647564110547</v>
      </c>
      <c r="Q2623" s="4">
        <f t="shared" ca="1" si="235"/>
        <v>1903.6962498859041</v>
      </c>
      <c r="R2623" s="4">
        <f t="shared" ca="1" si="236"/>
        <v>-19.973794114095881</v>
      </c>
      <c r="S2623" s="4">
        <f t="shared" ca="1" si="237"/>
        <v>-9.9485289565208461</v>
      </c>
    </row>
    <row r="2624" spans="15:19" x14ac:dyDescent="0.2">
      <c r="O2624" s="4">
        <f t="shared" ca="1" si="233"/>
        <v>0.91304693403836701</v>
      </c>
      <c r="P2624" s="4">
        <f t="shared" ca="1" si="234"/>
        <v>1.3597592174000384</v>
      </c>
      <c r="Q2624" s="4">
        <f t="shared" ca="1" si="235"/>
        <v>1897.6074340863872</v>
      </c>
      <c r="R2624" s="4">
        <f t="shared" ca="1" si="236"/>
        <v>-26.062609913612732</v>
      </c>
      <c r="S2624" s="4">
        <f t="shared" ca="1" si="237"/>
        <v>-12.91664272517338</v>
      </c>
    </row>
    <row r="2625" spans="15:19" x14ac:dyDescent="0.2">
      <c r="O2625" s="4">
        <f t="shared" ca="1" si="233"/>
        <v>0.35677715885595673</v>
      </c>
      <c r="P2625" s="4">
        <f t="shared" ca="1" si="234"/>
        <v>-0.36708674020411475</v>
      </c>
      <c r="Q2625" s="4">
        <f t="shared" ca="1" si="235"/>
        <v>1930.1907232998653</v>
      </c>
      <c r="R2625" s="4">
        <f t="shared" ca="1" si="236"/>
        <v>6.5206792998653782</v>
      </c>
      <c r="S2625" s="4">
        <f t="shared" ca="1" si="237"/>
        <v>3.3181400126782448</v>
      </c>
    </row>
    <row r="2626" spans="15:19" x14ac:dyDescent="0.2">
      <c r="O2626" s="4">
        <f t="shared" ca="1" si="233"/>
        <v>0.60859397459903464</v>
      </c>
      <c r="P2626" s="4">
        <f t="shared" ca="1" si="234"/>
        <v>0.27565631601274504</v>
      </c>
      <c r="Q2626" s="4">
        <f t="shared" ca="1" si="235"/>
        <v>1918.0630156728778</v>
      </c>
      <c r="R2626" s="4">
        <f t="shared" ca="1" si="236"/>
        <v>-5.6070283271221797</v>
      </c>
      <c r="S2626" s="4">
        <f t="shared" ca="1" si="237"/>
        <v>-2.8255349050988698</v>
      </c>
    </row>
    <row r="2627" spans="15:19" x14ac:dyDescent="0.2">
      <c r="O2627" s="4">
        <f t="shared" ref="O2627:O2690" ca="1" si="238">RAND()</f>
        <v>0.17629156094387455</v>
      </c>
      <c r="P2627" s="4">
        <f t="shared" ref="P2627:P2690" ca="1" si="239">NORMSINV(O2627)</f>
        <v>-0.92959055047252181</v>
      </c>
      <c r="Q2627" s="4">
        <f t="shared" ref="Q2627:Q2690" ca="1" si="240">$B$4*(1+$B$17-$B$32*P2627)</f>
        <v>1940.80442294861</v>
      </c>
      <c r="R2627" s="4">
        <f t="shared" ref="R2627:R2690" ca="1" si="241">Q2627-$B$4</f>
        <v>17.134378948609992</v>
      </c>
      <c r="S2627" s="4">
        <f t="shared" ref="S2627:S2690" ca="1" si="242">R2627*$B$12+0.5*$B$13*R2627^2</f>
        <v>8.7931006625544459</v>
      </c>
    </row>
    <row r="2628" spans="15:19" x14ac:dyDescent="0.2">
      <c r="O2628" s="4">
        <f t="shared" ca="1" si="238"/>
        <v>0.90945042435542456</v>
      </c>
      <c r="P2628" s="4">
        <f t="shared" ca="1" si="239"/>
        <v>1.3373784004209019</v>
      </c>
      <c r="Q2628" s="4">
        <f t="shared" ca="1" si="240"/>
        <v>1898.0297303712723</v>
      </c>
      <c r="R2628" s="4">
        <f t="shared" ca="1" si="241"/>
        <v>-25.640313628727654</v>
      </c>
      <c r="S2628" s="4">
        <f t="shared" ca="1" si="242"/>
        <v>-12.711760139563262</v>
      </c>
    </row>
    <row r="2629" spans="15:19" x14ac:dyDescent="0.2">
      <c r="O2629" s="4">
        <f t="shared" ca="1" si="238"/>
        <v>0.12270012954570586</v>
      </c>
      <c r="P2629" s="4">
        <f t="shared" ca="1" si="239"/>
        <v>-1.1615943969840592</v>
      </c>
      <c r="Q2629" s="4">
        <f t="shared" ca="1" si="240"/>
        <v>1945.1820273297285</v>
      </c>
      <c r="R2629" s="4">
        <f t="shared" ca="1" si="241"/>
        <v>21.511983329728537</v>
      </c>
      <c r="S2629" s="4">
        <f t="shared" ca="1" si="242"/>
        <v>11.077954233325366</v>
      </c>
    </row>
    <row r="2630" spans="15:19" x14ac:dyDescent="0.2">
      <c r="O2630" s="4">
        <f t="shared" ca="1" si="238"/>
        <v>0.74439966082613296</v>
      </c>
      <c r="P2630" s="4">
        <f t="shared" ca="1" si="239"/>
        <v>0.65696926626726615</v>
      </c>
      <c r="Q2630" s="4">
        <f t="shared" ca="1" si="240"/>
        <v>1910.8681468519057</v>
      </c>
      <c r="R2630" s="4">
        <f t="shared" ca="1" si="241"/>
        <v>-12.801897148094213</v>
      </c>
      <c r="S2630" s="4">
        <f t="shared" ca="1" si="242"/>
        <v>-6.413731736201</v>
      </c>
    </row>
    <row r="2631" spans="15:19" x14ac:dyDescent="0.2">
      <c r="O2631" s="4">
        <f t="shared" ca="1" si="238"/>
        <v>0.3693065330080153</v>
      </c>
      <c r="P2631" s="4">
        <f t="shared" ca="1" si="239"/>
        <v>-0.33369057020352488</v>
      </c>
      <c r="Q2631" s="4">
        <f t="shared" ca="1" si="240"/>
        <v>1929.5605819366708</v>
      </c>
      <c r="R2631" s="4">
        <f t="shared" ca="1" si="241"/>
        <v>5.890537936670853</v>
      </c>
      <c r="S2631" s="4">
        <f t="shared" ca="1" si="242"/>
        <v>2.9959726667632527</v>
      </c>
    </row>
    <row r="2632" spans="15:19" x14ac:dyDescent="0.2">
      <c r="O2632" s="4">
        <f t="shared" ca="1" si="238"/>
        <v>0.14373058226804303</v>
      </c>
      <c r="P2632" s="4">
        <f t="shared" ca="1" si="239"/>
        <v>-1.0637076352323418</v>
      </c>
      <c r="Q2632" s="4">
        <f t="shared" ca="1" si="240"/>
        <v>1943.3350341718954</v>
      </c>
      <c r="R2632" s="4">
        <f t="shared" ca="1" si="241"/>
        <v>19.664990171895397</v>
      </c>
      <c r="S2632" s="4">
        <f t="shared" ca="1" si="242"/>
        <v>10.112029130396269</v>
      </c>
    </row>
    <row r="2633" spans="15:19" x14ac:dyDescent="0.2">
      <c r="O2633" s="4">
        <f t="shared" ca="1" si="238"/>
        <v>0.94958643765961037</v>
      </c>
      <c r="P2633" s="4">
        <f t="shared" ca="1" si="239"/>
        <v>1.6408568946874302</v>
      </c>
      <c r="Q2633" s="4">
        <f t="shared" ca="1" si="240"/>
        <v>1892.3034943366024</v>
      </c>
      <c r="R2633" s="4">
        <f t="shared" ca="1" si="241"/>
        <v>-31.366549663397564</v>
      </c>
      <c r="S2633" s="4">
        <f t="shared" ca="1" si="242"/>
        <v>-15.477555365362671</v>
      </c>
    </row>
    <row r="2634" spans="15:19" x14ac:dyDescent="0.2">
      <c r="O2634" s="4">
        <f t="shared" ca="1" si="238"/>
        <v>0.95794074048518985</v>
      </c>
      <c r="P2634" s="4">
        <f t="shared" ca="1" si="239"/>
        <v>1.7272737064320283</v>
      </c>
      <c r="Q2634" s="4">
        <f t="shared" ca="1" si="240"/>
        <v>1890.6729238982944</v>
      </c>
      <c r="R2634" s="4">
        <f t="shared" ca="1" si="241"/>
        <v>-32.997120101705605</v>
      </c>
      <c r="S2634" s="4">
        <f t="shared" ca="1" si="242"/>
        <v>-16.260244381943227</v>
      </c>
    </row>
    <row r="2635" spans="15:19" x14ac:dyDescent="0.2">
      <c r="O2635" s="4">
        <f t="shared" ca="1" si="238"/>
        <v>0.34468607296705345</v>
      </c>
      <c r="P2635" s="4">
        <f t="shared" ca="1" si="239"/>
        <v>-0.39970725764903631</v>
      </c>
      <c r="Q2635" s="4">
        <f t="shared" ca="1" si="240"/>
        <v>1930.8062291297401</v>
      </c>
      <c r="R2635" s="4">
        <f t="shared" ca="1" si="241"/>
        <v>7.1361851297401699</v>
      </c>
      <c r="S2635" s="4">
        <f t="shared" ca="1" si="242"/>
        <v>3.6331368675128539</v>
      </c>
    </row>
    <row r="2636" spans="15:19" x14ac:dyDescent="0.2">
      <c r="O2636" s="4">
        <f t="shared" ca="1" si="238"/>
        <v>2.1784624151904297E-2</v>
      </c>
      <c r="P2636" s="4">
        <f t="shared" ca="1" si="239"/>
        <v>-2.018211410313131</v>
      </c>
      <c r="Q2636" s="4">
        <f t="shared" ca="1" si="240"/>
        <v>1961.3452524092902</v>
      </c>
      <c r="R2636" s="4">
        <f t="shared" ca="1" si="241"/>
        <v>37.675208409290235</v>
      </c>
      <c r="S2636" s="4">
        <f t="shared" ca="1" si="242"/>
        <v>19.649362263140763</v>
      </c>
    </row>
    <row r="2637" spans="15:19" x14ac:dyDescent="0.2">
      <c r="O2637" s="4">
        <f t="shared" ca="1" si="238"/>
        <v>0.11628478598558467</v>
      </c>
      <c r="P2637" s="4">
        <f t="shared" ca="1" si="239"/>
        <v>-1.1937658542894338</v>
      </c>
      <c r="Q2637" s="4">
        <f t="shared" ca="1" si="240"/>
        <v>1945.7890599913183</v>
      </c>
      <c r="R2637" s="4">
        <f t="shared" ca="1" si="241"/>
        <v>22.119015991318292</v>
      </c>
      <c r="S2637" s="4">
        <f t="shared" ca="1" si="242"/>
        <v>11.396021520673488</v>
      </c>
    </row>
    <row r="2638" spans="15:19" x14ac:dyDescent="0.2">
      <c r="O2638" s="4">
        <f t="shared" ca="1" si="238"/>
        <v>0.91887394000742839</v>
      </c>
      <c r="P2638" s="4">
        <f t="shared" ca="1" si="239"/>
        <v>1.3975370942339878</v>
      </c>
      <c r="Q2638" s="4">
        <f t="shared" ca="1" si="240"/>
        <v>1896.8946157360699</v>
      </c>
      <c r="R2638" s="4">
        <f t="shared" ca="1" si="241"/>
        <v>-26.775428263930053</v>
      </c>
      <c r="S2638" s="4">
        <f t="shared" ca="1" si="242"/>
        <v>-13.26214653203418</v>
      </c>
    </row>
    <row r="2639" spans="15:19" x14ac:dyDescent="0.2">
      <c r="O2639" s="4">
        <f t="shared" ca="1" si="238"/>
        <v>0.32346230998399772</v>
      </c>
      <c r="P2639" s="4">
        <f t="shared" ca="1" si="239"/>
        <v>-0.45803872495131059</v>
      </c>
      <c r="Q2639" s="4">
        <f t="shared" ca="1" si="240"/>
        <v>1931.9068664280396</v>
      </c>
      <c r="R2639" s="4">
        <f t="shared" ca="1" si="241"/>
        <v>8.2368224280396589</v>
      </c>
      <c r="S2639" s="4">
        <f t="shared" ca="1" si="242"/>
        <v>4.1971779027975966</v>
      </c>
    </row>
    <row r="2640" spans="15:19" x14ac:dyDescent="0.2">
      <c r="O2640" s="4">
        <f t="shared" ca="1" si="238"/>
        <v>0.12078817214846493</v>
      </c>
      <c r="P2640" s="4">
        <f t="shared" ca="1" si="239"/>
        <v>-1.1710558110089297</v>
      </c>
      <c r="Q2640" s="4">
        <f t="shared" ca="1" si="240"/>
        <v>1945.3605516434827</v>
      </c>
      <c r="R2640" s="4">
        <f t="shared" ca="1" si="241"/>
        <v>21.690507643482761</v>
      </c>
      <c r="S2640" s="4">
        <f t="shared" ca="1" si="242"/>
        <v>11.171464590380246</v>
      </c>
    </row>
    <row r="2641" spans="15:19" x14ac:dyDescent="0.2">
      <c r="O2641" s="4">
        <f t="shared" ca="1" si="238"/>
        <v>0.83759828050378704</v>
      </c>
      <c r="P2641" s="4">
        <f t="shared" ca="1" si="239"/>
        <v>0.98463490274138843</v>
      </c>
      <c r="Q2641" s="4">
        <f t="shared" ca="1" si="240"/>
        <v>1904.6855315748792</v>
      </c>
      <c r="R2641" s="4">
        <f t="shared" ca="1" si="241"/>
        <v>-18.984512425120784</v>
      </c>
      <c r="S2641" s="4">
        <f t="shared" ca="1" si="242"/>
        <v>-9.4634336245440505</v>
      </c>
    </row>
    <row r="2642" spans="15:19" x14ac:dyDescent="0.2">
      <c r="O2642" s="4">
        <f t="shared" ca="1" si="238"/>
        <v>0.7424617802400465</v>
      </c>
      <c r="P2642" s="4">
        <f t="shared" ca="1" si="239"/>
        <v>0.65095360025351656</v>
      </c>
      <c r="Q2642" s="4">
        <f t="shared" ca="1" si="240"/>
        <v>1910.9816544781502</v>
      </c>
      <c r="R2642" s="4">
        <f t="shared" ca="1" si="241"/>
        <v>-12.688389521849786</v>
      </c>
      <c r="S2642" s="4">
        <f t="shared" ca="1" si="242"/>
        <v>-6.357450854459719</v>
      </c>
    </row>
    <row r="2643" spans="15:19" x14ac:dyDescent="0.2">
      <c r="O2643" s="4">
        <f t="shared" ca="1" si="238"/>
        <v>0.50161632840896708</v>
      </c>
      <c r="P2643" s="4">
        <f t="shared" ca="1" si="239"/>
        <v>4.0515455753469239E-3</v>
      </c>
      <c r="Q2643" s="4">
        <f t="shared" ca="1" si="240"/>
        <v>1923.1878368811344</v>
      </c>
      <c r="R2643" s="4">
        <f t="shared" ca="1" si="241"/>
        <v>-0.48220711886551726</v>
      </c>
      <c r="S2643" s="4">
        <f t="shared" ca="1" si="242"/>
        <v>-0.24400331349810631</v>
      </c>
    </row>
    <row r="2644" spans="15:19" x14ac:dyDescent="0.2">
      <c r="O2644" s="4">
        <f t="shared" ca="1" si="238"/>
        <v>0.69100175762011895</v>
      </c>
      <c r="P2644" s="4">
        <f t="shared" ca="1" si="239"/>
        <v>0.49869185318837744</v>
      </c>
      <c r="Q2644" s="4">
        <f t="shared" ca="1" si="240"/>
        <v>1913.8546313750915</v>
      </c>
      <c r="R2644" s="4">
        <f t="shared" ca="1" si="241"/>
        <v>-9.8154126249085039</v>
      </c>
      <c r="S2644" s="4">
        <f t="shared" ca="1" si="242"/>
        <v>-4.9294400161255325</v>
      </c>
    </row>
    <row r="2645" spans="15:19" x14ac:dyDescent="0.2">
      <c r="O2645" s="4">
        <f t="shared" ca="1" si="238"/>
        <v>0.56859666314079271</v>
      </c>
      <c r="P2645" s="4">
        <f t="shared" ca="1" si="239"/>
        <v>0.1728024976766587</v>
      </c>
      <c r="Q2645" s="4">
        <f t="shared" ca="1" si="240"/>
        <v>1920.003730590035</v>
      </c>
      <c r="R2645" s="4">
        <f t="shared" ca="1" si="241"/>
        <v>-3.6663134099649142</v>
      </c>
      <c r="S2645" s="4">
        <f t="shared" ca="1" si="242"/>
        <v>-1.8504519942090933</v>
      </c>
    </row>
    <row r="2646" spans="15:19" x14ac:dyDescent="0.2">
      <c r="O2646" s="4">
        <f t="shared" ca="1" si="238"/>
        <v>0.63579580053760065</v>
      </c>
      <c r="P2646" s="4">
        <f t="shared" ca="1" si="239"/>
        <v>0.34724349250653708</v>
      </c>
      <c r="Q2646" s="4">
        <f t="shared" ca="1" si="240"/>
        <v>1916.7122607515125</v>
      </c>
      <c r="R2646" s="4">
        <f t="shared" ca="1" si="241"/>
        <v>-6.9577832484874307</v>
      </c>
      <c r="S2646" s="4">
        <f t="shared" ca="1" si="242"/>
        <v>-3.5023915056166843</v>
      </c>
    </row>
    <row r="2647" spans="15:19" x14ac:dyDescent="0.2">
      <c r="O2647" s="4">
        <f t="shared" ca="1" si="238"/>
        <v>0.66500011105628865</v>
      </c>
      <c r="P2647" s="4">
        <f t="shared" ca="1" si="239"/>
        <v>0.42614831267816572</v>
      </c>
      <c r="Q2647" s="4">
        <f t="shared" ca="1" si="240"/>
        <v>1915.2234316149768</v>
      </c>
      <c r="R2647" s="4">
        <f t="shared" ca="1" si="241"/>
        <v>-8.4466123850231725</v>
      </c>
      <c r="S2647" s="4">
        <f t="shared" ca="1" si="242"/>
        <v>-4.246715463001955</v>
      </c>
    </row>
    <row r="2648" spans="15:19" x14ac:dyDescent="0.2">
      <c r="O2648" s="4">
        <f t="shared" ca="1" si="238"/>
        <v>0.37092843578173751</v>
      </c>
      <c r="P2648" s="4">
        <f t="shared" ca="1" si="239"/>
        <v>-0.3293953638532664</v>
      </c>
      <c r="Q2648" s="4">
        <f t="shared" ca="1" si="240"/>
        <v>1929.4795370987538</v>
      </c>
      <c r="R2648" s="4">
        <f t="shared" ca="1" si="241"/>
        <v>5.8094930987538191</v>
      </c>
      <c r="S2648" s="4">
        <f t="shared" ca="1" si="242"/>
        <v>2.9545609819040215</v>
      </c>
    </row>
    <row r="2649" spans="15:19" x14ac:dyDescent="0.2">
      <c r="O2649" s="4">
        <f t="shared" ca="1" si="238"/>
        <v>0.30297406872305754</v>
      </c>
      <c r="P2649" s="4">
        <f t="shared" ca="1" si="239"/>
        <v>-0.51586580632023604</v>
      </c>
      <c r="Q2649" s="4">
        <f t="shared" ca="1" si="240"/>
        <v>1932.9979866338217</v>
      </c>
      <c r="R2649" s="4">
        <f t="shared" ca="1" si="241"/>
        <v>9.327942633821749</v>
      </c>
      <c r="S2649" s="4">
        <f t="shared" ca="1" si="242"/>
        <v>4.7573152300315869</v>
      </c>
    </row>
    <row r="2650" spans="15:19" x14ac:dyDescent="0.2">
      <c r="O2650" s="4">
        <f t="shared" ca="1" si="238"/>
        <v>0.56555125798102002</v>
      </c>
      <c r="P2650" s="4">
        <f t="shared" ca="1" si="239"/>
        <v>0.16505907562593641</v>
      </c>
      <c r="Q2650" s="4">
        <f t="shared" ca="1" si="240"/>
        <v>1920.1498386774817</v>
      </c>
      <c r="R2650" s="4">
        <f t="shared" ca="1" si="241"/>
        <v>-3.5202053225182226</v>
      </c>
      <c r="S2650" s="4">
        <f t="shared" ca="1" si="242"/>
        <v>-1.7769180753787956</v>
      </c>
    </row>
    <row r="2651" spans="15:19" x14ac:dyDescent="0.2">
      <c r="O2651" s="4">
        <f t="shared" ca="1" si="238"/>
        <v>0.70970882586687567</v>
      </c>
      <c r="P2651" s="4">
        <f t="shared" ca="1" si="239"/>
        <v>0.55253428952092998</v>
      </c>
      <c r="Q2651" s="4">
        <f t="shared" ca="1" si="240"/>
        <v>1912.8386961277947</v>
      </c>
      <c r="R2651" s="4">
        <f t="shared" ca="1" si="241"/>
        <v>-10.831347872205242</v>
      </c>
      <c r="S2651" s="4">
        <f t="shared" ca="1" si="242"/>
        <v>-5.4351777981389686</v>
      </c>
    </row>
    <row r="2652" spans="15:19" x14ac:dyDescent="0.2">
      <c r="O2652" s="4">
        <f t="shared" ca="1" si="238"/>
        <v>0.35380261468041363</v>
      </c>
      <c r="P2652" s="4">
        <f t="shared" ca="1" si="239"/>
        <v>-0.37507427364038004</v>
      </c>
      <c r="Q2652" s="4">
        <f t="shared" ca="1" si="240"/>
        <v>1930.3414374448707</v>
      </c>
      <c r="R2652" s="4">
        <f t="shared" ca="1" si="241"/>
        <v>6.6713934448707732</v>
      </c>
      <c r="S2652" s="4">
        <f t="shared" ca="1" si="242"/>
        <v>3.3952423371571694</v>
      </c>
    </row>
    <row r="2653" spans="15:19" x14ac:dyDescent="0.2">
      <c r="O2653" s="4">
        <f t="shared" ca="1" si="238"/>
        <v>0.41092088292512075</v>
      </c>
      <c r="P2653" s="4">
        <f t="shared" ca="1" si="239"/>
        <v>-0.22517676282092378</v>
      </c>
      <c r="Q2653" s="4">
        <f t="shared" ca="1" si="240"/>
        <v>1927.5130705451461</v>
      </c>
      <c r="R2653" s="4">
        <f t="shared" ca="1" si="241"/>
        <v>3.843026545146131</v>
      </c>
      <c r="S2653" s="4">
        <f t="shared" ca="1" si="242"/>
        <v>1.9513896248011471</v>
      </c>
    </row>
    <row r="2654" spans="15:19" x14ac:dyDescent="0.2">
      <c r="O2654" s="4">
        <f t="shared" ca="1" si="238"/>
        <v>0.64392228591585698</v>
      </c>
      <c r="P2654" s="4">
        <f t="shared" ca="1" si="239"/>
        <v>0.36896283304852656</v>
      </c>
      <c r="Q2654" s="4">
        <f t="shared" ca="1" si="240"/>
        <v>1916.3024456482663</v>
      </c>
      <c r="R2654" s="4">
        <f t="shared" ca="1" si="241"/>
        <v>-7.3675983517337045</v>
      </c>
      <c r="S2654" s="4">
        <f t="shared" ca="1" si="242"/>
        <v>-3.7074541201726467</v>
      </c>
    </row>
    <row r="2655" spans="15:19" x14ac:dyDescent="0.2">
      <c r="O2655" s="4">
        <f t="shared" ca="1" si="238"/>
        <v>0.27728092914421199</v>
      </c>
      <c r="P2655" s="4">
        <f t="shared" ca="1" si="239"/>
        <v>-0.59093815719331544</v>
      </c>
      <c r="Q2655" s="4">
        <f t="shared" ca="1" si="240"/>
        <v>1934.4145021658887</v>
      </c>
      <c r="R2655" s="4">
        <f t="shared" ca="1" si="241"/>
        <v>10.744458165888773</v>
      </c>
      <c r="S2655" s="4">
        <f t="shared" ca="1" si="242"/>
        <v>5.4859434123576261</v>
      </c>
    </row>
    <row r="2656" spans="15:19" x14ac:dyDescent="0.2">
      <c r="O2656" s="4">
        <f t="shared" ca="1" si="238"/>
        <v>5.2025436404130598E-3</v>
      </c>
      <c r="P2656" s="4">
        <f t="shared" ca="1" si="239"/>
        <v>-2.5620682370436141</v>
      </c>
      <c r="Q2656" s="4">
        <f t="shared" ca="1" si="240"/>
        <v>1971.6071082500214</v>
      </c>
      <c r="R2656" s="4">
        <f t="shared" ca="1" si="241"/>
        <v>47.937064250021422</v>
      </c>
      <c r="S2656" s="4">
        <f t="shared" ca="1" si="242"/>
        <v>25.201641126948552</v>
      </c>
    </row>
    <row r="2657" spans="15:19" x14ac:dyDescent="0.2">
      <c r="O2657" s="4">
        <f t="shared" ca="1" si="238"/>
        <v>0.40521216490599354</v>
      </c>
      <c r="P2657" s="4">
        <f t="shared" ca="1" si="239"/>
        <v>-0.23987865350156437</v>
      </c>
      <c r="Q2657" s="4">
        <f t="shared" ca="1" si="240"/>
        <v>1927.7904756917508</v>
      </c>
      <c r="R2657" s="4">
        <f t="shared" ca="1" si="241"/>
        <v>4.1204316917508095</v>
      </c>
      <c r="S2657" s="4">
        <f t="shared" ca="1" si="242"/>
        <v>2.0927140855464512</v>
      </c>
    </row>
    <row r="2658" spans="15:19" x14ac:dyDescent="0.2">
      <c r="O2658" s="4">
        <f t="shared" ca="1" si="238"/>
        <v>0.8274065676744079</v>
      </c>
      <c r="P2658" s="4">
        <f t="shared" ca="1" si="239"/>
        <v>0.94396630988666153</v>
      </c>
      <c r="Q2658" s="4">
        <f t="shared" ca="1" si="240"/>
        <v>1905.452893896374</v>
      </c>
      <c r="R2658" s="4">
        <f t="shared" ca="1" si="241"/>
        <v>-18.217150103625954</v>
      </c>
      <c r="S2658" s="4">
        <f t="shared" ca="1" si="242"/>
        <v>-9.0866079690870674</v>
      </c>
    </row>
    <row r="2659" spans="15:19" x14ac:dyDescent="0.2">
      <c r="O2659" s="4">
        <f t="shared" ca="1" si="238"/>
        <v>0.36500385501471266</v>
      </c>
      <c r="P2659" s="4">
        <f t="shared" ca="1" si="239"/>
        <v>-0.3451152754242896</v>
      </c>
      <c r="Q2659" s="4">
        <f t="shared" ca="1" si="240"/>
        <v>1929.7761509471825</v>
      </c>
      <c r="R2659" s="4">
        <f t="shared" ca="1" si="241"/>
        <v>6.1061069471825249</v>
      </c>
      <c r="S2659" s="4">
        <f t="shared" ca="1" si="242"/>
        <v>3.1061485350682365</v>
      </c>
    </row>
    <row r="2660" spans="15:19" x14ac:dyDescent="0.2">
      <c r="O2660" s="4">
        <f t="shared" ca="1" si="238"/>
        <v>0.81943750140902838</v>
      </c>
      <c r="P2660" s="4">
        <f t="shared" ca="1" si="239"/>
        <v>0.91322351838643623</v>
      </c>
      <c r="Q2660" s="4">
        <f t="shared" ca="1" si="240"/>
        <v>1906.0329695321136</v>
      </c>
      <c r="R2660" s="4">
        <f t="shared" ca="1" si="241"/>
        <v>-17.63707446788635</v>
      </c>
      <c r="S2660" s="4">
        <f t="shared" ca="1" si="242"/>
        <v>-8.8014342922373494</v>
      </c>
    </row>
    <row r="2661" spans="15:19" x14ac:dyDescent="0.2">
      <c r="O2661" s="4">
        <f t="shared" ca="1" si="238"/>
        <v>5.7704493256301892E-2</v>
      </c>
      <c r="P2661" s="4">
        <f t="shared" ca="1" si="239"/>
        <v>-1.5743394826242749</v>
      </c>
      <c r="Q2661" s="4">
        <f t="shared" ca="1" si="240"/>
        <v>1952.9699787898089</v>
      </c>
      <c r="R2661" s="4">
        <f t="shared" ca="1" si="241"/>
        <v>29.299934789808958</v>
      </c>
      <c r="S2661" s="4">
        <f t="shared" ca="1" si="242"/>
        <v>15.181377284751546</v>
      </c>
    </row>
    <row r="2662" spans="15:19" x14ac:dyDescent="0.2">
      <c r="O2662" s="4">
        <f t="shared" ca="1" si="238"/>
        <v>0.9894714372661253</v>
      </c>
      <c r="P2662" s="4">
        <f t="shared" ca="1" si="239"/>
        <v>2.3069586486546831</v>
      </c>
      <c r="Q2662" s="4">
        <f t="shared" ca="1" si="240"/>
        <v>1879.7350391136292</v>
      </c>
      <c r="R2662" s="4">
        <f t="shared" ca="1" si="241"/>
        <v>-43.935004886370734</v>
      </c>
      <c r="S2662" s="4">
        <f t="shared" ca="1" si="242"/>
        <v>-21.454570333005989</v>
      </c>
    </row>
    <row r="2663" spans="15:19" x14ac:dyDescent="0.2">
      <c r="O2663" s="4">
        <f t="shared" ca="1" si="238"/>
        <v>0.39111398497067662</v>
      </c>
      <c r="P2663" s="4">
        <f t="shared" ca="1" si="239"/>
        <v>-0.27641678010603327</v>
      </c>
      <c r="Q2663" s="4">
        <f t="shared" ca="1" si="240"/>
        <v>1928.4799016021677</v>
      </c>
      <c r="R2663" s="4">
        <f t="shared" ca="1" si="241"/>
        <v>4.8098576021677673</v>
      </c>
      <c r="S2663" s="4">
        <f t="shared" ca="1" si="242"/>
        <v>2.4442144670087114</v>
      </c>
    </row>
    <row r="2664" spans="15:19" x14ac:dyDescent="0.2">
      <c r="O2664" s="4">
        <f t="shared" ca="1" si="238"/>
        <v>6.2496337530293822E-2</v>
      </c>
      <c r="P2664" s="4">
        <f t="shared" ca="1" si="239"/>
        <v>-1.534150325096308</v>
      </c>
      <c r="Q2664" s="4">
        <f t="shared" ca="1" si="240"/>
        <v>1952.2116627760302</v>
      </c>
      <c r="R2664" s="4">
        <f t="shared" ca="1" si="241"/>
        <v>28.541618776030191</v>
      </c>
      <c r="S2664" s="4">
        <f t="shared" ca="1" si="242"/>
        <v>14.779655348785196</v>
      </c>
    </row>
    <row r="2665" spans="15:19" x14ac:dyDescent="0.2">
      <c r="O2665" s="4">
        <f t="shared" ca="1" si="238"/>
        <v>0.10263927618250157</v>
      </c>
      <c r="P2665" s="4">
        <f t="shared" ca="1" si="239"/>
        <v>-1.2666553485755487</v>
      </c>
      <c r="Q2665" s="4">
        <f t="shared" ca="1" si="240"/>
        <v>1947.1643879193771</v>
      </c>
      <c r="R2665" s="4">
        <f t="shared" ca="1" si="241"/>
        <v>23.494343919377116</v>
      </c>
      <c r="S2665" s="4">
        <f t="shared" ca="1" si="242"/>
        <v>12.117762796229938</v>
      </c>
    </row>
    <row r="2666" spans="15:19" x14ac:dyDescent="0.2">
      <c r="O2666" s="4">
        <f t="shared" ca="1" si="238"/>
        <v>4.2396168359328135E-2</v>
      </c>
      <c r="P2666" s="4">
        <f t="shared" ca="1" si="239"/>
        <v>-1.7235321483107522</v>
      </c>
      <c r="Q2666" s="4">
        <f t="shared" ca="1" si="240"/>
        <v>1955.7850461982164</v>
      </c>
      <c r="R2666" s="4">
        <f t="shared" ca="1" si="241"/>
        <v>32.115002198216416</v>
      </c>
      <c r="S2666" s="4">
        <f t="shared" ca="1" si="242"/>
        <v>16.676769033762795</v>
      </c>
    </row>
    <row r="2667" spans="15:19" x14ac:dyDescent="0.2">
      <c r="O2667" s="4">
        <f t="shared" ca="1" si="238"/>
        <v>0.48628273752992734</v>
      </c>
      <c r="P2667" s="4">
        <f t="shared" ca="1" si="239"/>
        <v>-3.4390855943910961E-2</v>
      </c>
      <c r="Q2667" s="4">
        <f t="shared" ca="1" si="240"/>
        <v>1923.9131939294844</v>
      </c>
      <c r="R2667" s="4">
        <f t="shared" ca="1" si="241"/>
        <v>0.24314992948438885</v>
      </c>
      <c r="S2667" s="4">
        <f t="shared" ca="1" si="242"/>
        <v>0.12310894263682416</v>
      </c>
    </row>
    <row r="2668" spans="15:19" x14ac:dyDescent="0.2">
      <c r="O2668" s="4">
        <f t="shared" ca="1" si="238"/>
        <v>0.4283616338624886</v>
      </c>
      <c r="P2668" s="4">
        <f t="shared" ca="1" si="239"/>
        <v>-0.1805468626627211</v>
      </c>
      <c r="Q2668" s="4">
        <f t="shared" ca="1" si="240"/>
        <v>1926.6709636171829</v>
      </c>
      <c r="R2668" s="4">
        <f t="shared" ca="1" si="241"/>
        <v>3.0009196171829444</v>
      </c>
      <c r="S2668" s="4">
        <f t="shared" ca="1" si="242"/>
        <v>1.5227607734048911</v>
      </c>
    </row>
    <row r="2669" spans="15:19" x14ac:dyDescent="0.2">
      <c r="O2669" s="4">
        <f t="shared" ca="1" si="238"/>
        <v>0.35061346215697209</v>
      </c>
      <c r="P2669" s="4">
        <f t="shared" ca="1" si="239"/>
        <v>-0.38366477412746908</v>
      </c>
      <c r="Q2669" s="4">
        <f t="shared" ca="1" si="240"/>
        <v>1930.5035287771213</v>
      </c>
      <c r="R2669" s="4">
        <f t="shared" ca="1" si="241"/>
        <v>6.8334847771213845</v>
      </c>
      <c r="S2669" s="4">
        <f t="shared" ca="1" si="242"/>
        <v>3.4781856413955436</v>
      </c>
    </row>
    <row r="2670" spans="15:19" x14ac:dyDescent="0.2">
      <c r="O2670" s="4">
        <f t="shared" ca="1" si="238"/>
        <v>0.17789660913139016</v>
      </c>
      <c r="P2670" s="4">
        <f t="shared" ca="1" si="239"/>
        <v>-0.92341069897387018</v>
      </c>
      <c r="Q2670" s="4">
        <f t="shared" ca="1" si="240"/>
        <v>1940.6878173603754</v>
      </c>
      <c r="R2670" s="4">
        <f t="shared" ca="1" si="241"/>
        <v>17.017773360375486</v>
      </c>
      <c r="S2670" s="4">
        <f t="shared" ca="1" si="242"/>
        <v>8.7324526869231427</v>
      </c>
    </row>
    <row r="2671" spans="15:19" x14ac:dyDescent="0.2">
      <c r="O2671" s="4">
        <f t="shared" ca="1" si="238"/>
        <v>0.47967185875419394</v>
      </c>
      <c r="P2671" s="4">
        <f t="shared" ca="1" si="239"/>
        <v>-5.097716382860995E-2</v>
      </c>
      <c r="Q2671" s="4">
        <f t="shared" ca="1" si="240"/>
        <v>1924.2261555253992</v>
      </c>
      <c r="R2671" s="4">
        <f t="shared" ca="1" si="241"/>
        <v>0.55611152539927389</v>
      </c>
      <c r="S2671" s="4">
        <f t="shared" ca="1" si="242"/>
        <v>0.28163499145734933</v>
      </c>
    </row>
    <row r="2672" spans="15:19" x14ac:dyDescent="0.2">
      <c r="O2672" s="4">
        <f t="shared" ca="1" si="238"/>
        <v>0.70304371718264003</v>
      </c>
      <c r="P2672" s="4">
        <f t="shared" ca="1" si="239"/>
        <v>0.53317482653353032</v>
      </c>
      <c r="Q2672" s="4">
        <f t="shared" ca="1" si="240"/>
        <v>1913.2039834765351</v>
      </c>
      <c r="R2672" s="4">
        <f t="shared" ca="1" si="241"/>
        <v>-10.466060523464876</v>
      </c>
      <c r="S2672" s="4">
        <f t="shared" ca="1" si="242"/>
        <v>-5.2534326300612566</v>
      </c>
    </row>
    <row r="2673" spans="15:19" x14ac:dyDescent="0.2">
      <c r="O2673" s="4">
        <f t="shared" ca="1" si="238"/>
        <v>0.81396025911744074</v>
      </c>
      <c r="P2673" s="4">
        <f t="shared" ca="1" si="239"/>
        <v>0.89258494987085224</v>
      </c>
      <c r="Q2673" s="4">
        <f t="shared" ca="1" si="240"/>
        <v>1906.4223919029591</v>
      </c>
      <c r="R2673" s="4">
        <f t="shared" ca="1" si="241"/>
        <v>-17.247652097040827</v>
      </c>
      <c r="S2673" s="4">
        <f t="shared" ca="1" si="242"/>
        <v>-8.6098348656047534</v>
      </c>
    </row>
    <row r="2674" spans="15:19" x14ac:dyDescent="0.2">
      <c r="O2674" s="4">
        <f t="shared" ca="1" si="238"/>
        <v>0.75634927043280376</v>
      </c>
      <c r="P2674" s="4">
        <f t="shared" ca="1" si="239"/>
        <v>0.69460726335303702</v>
      </c>
      <c r="Q2674" s="4">
        <f t="shared" ca="1" si="240"/>
        <v>1910.1579678466151</v>
      </c>
      <c r="R2674" s="4">
        <f t="shared" ca="1" si="241"/>
        <v>-13.512076153384896</v>
      </c>
      <c r="S2674" s="4">
        <f t="shared" ca="1" si="242"/>
        <v>-6.7656241451769157</v>
      </c>
    </row>
    <row r="2675" spans="15:19" x14ac:dyDescent="0.2">
      <c r="O2675" s="4">
        <f t="shared" ca="1" si="238"/>
        <v>1.9171966205260071E-2</v>
      </c>
      <c r="P2675" s="4">
        <f t="shared" ca="1" si="239"/>
        <v>-2.0711590780422537</v>
      </c>
      <c r="Q2675" s="4">
        <f t="shared" ca="1" si="240"/>
        <v>1962.3443045616839</v>
      </c>
      <c r="R2675" s="4">
        <f t="shared" ca="1" si="241"/>
        <v>38.674260561683923</v>
      </c>
      <c r="S2675" s="4">
        <f t="shared" ca="1" si="242"/>
        <v>20.186142308874942</v>
      </c>
    </row>
    <row r="2676" spans="15:19" x14ac:dyDescent="0.2">
      <c r="O2676" s="4">
        <f t="shared" ca="1" si="238"/>
        <v>0.71549428656724501</v>
      </c>
      <c r="P2676" s="4">
        <f t="shared" ca="1" si="239"/>
        <v>0.56950802407500833</v>
      </c>
      <c r="Q2676" s="4">
        <f t="shared" ca="1" si="240"/>
        <v>1912.5184243053006</v>
      </c>
      <c r="R2676" s="4">
        <f t="shared" ca="1" si="241"/>
        <v>-11.15161969469932</v>
      </c>
      <c r="S2676" s="4">
        <f t="shared" ca="1" si="242"/>
        <v>-5.5944365506219951</v>
      </c>
    </row>
    <row r="2677" spans="15:19" x14ac:dyDescent="0.2">
      <c r="O2677" s="4">
        <f t="shared" ca="1" si="238"/>
        <v>0.17702329473824385</v>
      </c>
      <c r="P2677" s="4">
        <f t="shared" ca="1" si="239"/>
        <v>-0.92676879603628293</v>
      </c>
      <c r="Q2677" s="4">
        <f t="shared" ca="1" si="240"/>
        <v>1940.7511801909216</v>
      </c>
      <c r="R2677" s="4">
        <f t="shared" ca="1" si="241"/>
        <v>17.081136190921598</v>
      </c>
      <c r="S2677" s="4">
        <f t="shared" ca="1" si="242"/>
        <v>8.7654070875429486</v>
      </c>
    </row>
    <row r="2678" spans="15:19" x14ac:dyDescent="0.2">
      <c r="O2678" s="4">
        <f t="shared" ca="1" si="238"/>
        <v>0.35453813801619527</v>
      </c>
      <c r="P2678" s="4">
        <f t="shared" ca="1" si="239"/>
        <v>-0.37309696689866456</v>
      </c>
      <c r="Q2678" s="4">
        <f t="shared" ca="1" si="240"/>
        <v>1930.3041282933825</v>
      </c>
      <c r="R2678" s="4">
        <f t="shared" ca="1" si="241"/>
        <v>6.634084293382557</v>
      </c>
      <c r="S2678" s="4">
        <f t="shared" ca="1" si="242"/>
        <v>3.3761540035230406</v>
      </c>
    </row>
    <row r="2679" spans="15:19" x14ac:dyDescent="0.2">
      <c r="O2679" s="4">
        <f t="shared" ca="1" si="238"/>
        <v>1.5619959920392779E-2</v>
      </c>
      <c r="P2679" s="4">
        <f t="shared" ca="1" si="239"/>
        <v>-2.1540032143676853</v>
      </c>
      <c r="Q2679" s="4">
        <f t="shared" ca="1" si="240"/>
        <v>1963.9074633609073</v>
      </c>
      <c r="R2679" s="4">
        <f t="shared" ca="1" si="241"/>
        <v>40.237419360907325</v>
      </c>
      <c r="S2679" s="4">
        <f t="shared" ca="1" si="242"/>
        <v>21.027641198272196</v>
      </c>
    </row>
    <row r="2680" spans="15:19" x14ac:dyDescent="0.2">
      <c r="O2680" s="4">
        <f t="shared" ca="1" si="238"/>
        <v>5.6908696723018903E-2</v>
      </c>
      <c r="P2680" s="4">
        <f t="shared" ca="1" si="239"/>
        <v>-1.5812652856154863</v>
      </c>
      <c r="Q2680" s="4">
        <f t="shared" ca="1" si="240"/>
        <v>1953.1006594917581</v>
      </c>
      <c r="R2680" s="4">
        <f t="shared" ca="1" si="241"/>
        <v>29.43061549175809</v>
      </c>
      <c r="S2680" s="4">
        <f t="shared" ca="1" si="242"/>
        <v>15.250653371848731</v>
      </c>
    </row>
    <row r="2681" spans="15:19" x14ac:dyDescent="0.2">
      <c r="O2681" s="4">
        <f t="shared" ca="1" si="238"/>
        <v>0.78542852891889425</v>
      </c>
      <c r="P2681" s="4">
        <f t="shared" ca="1" si="239"/>
        <v>0.79065911200095462</v>
      </c>
      <c r="Q2681" s="4">
        <f t="shared" ca="1" si="240"/>
        <v>1908.3455970614832</v>
      </c>
      <c r="R2681" s="4">
        <f t="shared" ca="1" si="241"/>
        <v>-15.324446938516758</v>
      </c>
      <c r="S2681" s="4">
        <f t="shared" ca="1" si="242"/>
        <v>-7.6617895446007056</v>
      </c>
    </row>
    <row r="2682" spans="15:19" x14ac:dyDescent="0.2">
      <c r="O2682" s="4">
        <f t="shared" ca="1" si="238"/>
        <v>0.30350844630592655</v>
      </c>
      <c r="P2682" s="4">
        <f t="shared" ca="1" si="239"/>
        <v>-0.51433629154572924</v>
      </c>
      <c r="Q2682" s="4">
        <f t="shared" ca="1" si="240"/>
        <v>1932.9691267218909</v>
      </c>
      <c r="R2682" s="4">
        <f t="shared" ca="1" si="241"/>
        <v>9.2990827218909544</v>
      </c>
      <c r="S2682" s="4">
        <f t="shared" ca="1" si="242"/>
        <v>4.7424872299734364</v>
      </c>
    </row>
    <row r="2683" spans="15:19" x14ac:dyDescent="0.2">
      <c r="O2683" s="4">
        <f t="shared" ca="1" si="238"/>
        <v>6.9542165476986106E-2</v>
      </c>
      <c r="P2683" s="4">
        <f t="shared" ca="1" si="239"/>
        <v>-1.479209501348774</v>
      </c>
      <c r="Q2683" s="4">
        <f t="shared" ca="1" si="240"/>
        <v>1951.1750024173516</v>
      </c>
      <c r="R2683" s="4">
        <f t="shared" ca="1" si="241"/>
        <v>27.504958417351645</v>
      </c>
      <c r="S2683" s="4">
        <f t="shared" ca="1" si="242"/>
        <v>14.231236484349255</v>
      </c>
    </row>
    <row r="2684" spans="15:19" x14ac:dyDescent="0.2">
      <c r="O2684" s="4">
        <f t="shared" ca="1" si="238"/>
        <v>0.94350253698979336</v>
      </c>
      <c r="P2684" s="4">
        <f t="shared" ca="1" si="239"/>
        <v>1.5848741711792278</v>
      </c>
      <c r="Q2684" s="4">
        <f t="shared" ca="1" si="240"/>
        <v>1893.3598139596663</v>
      </c>
      <c r="R2684" s="4">
        <f t="shared" ca="1" si="241"/>
        <v>-30.310230040333636</v>
      </c>
      <c r="S2684" s="4">
        <f t="shared" ca="1" si="242"/>
        <v>-14.969356745524657</v>
      </c>
    </row>
    <row r="2685" spans="15:19" x14ac:dyDescent="0.2">
      <c r="O2685" s="4">
        <f t="shared" ca="1" si="238"/>
        <v>0.67151478539392828</v>
      </c>
      <c r="P2685" s="4">
        <f t="shared" ca="1" si="239"/>
        <v>0.44409980256960729</v>
      </c>
      <c r="Q2685" s="4">
        <f t="shared" ca="1" si="240"/>
        <v>1914.8847108481534</v>
      </c>
      <c r="R2685" s="4">
        <f t="shared" ca="1" si="241"/>
        <v>-8.7853331518465438</v>
      </c>
      <c r="S2685" s="4">
        <f t="shared" ca="1" si="242"/>
        <v>-4.415803244000764</v>
      </c>
    </row>
    <row r="2686" spans="15:19" x14ac:dyDescent="0.2">
      <c r="O2686" s="4">
        <f t="shared" ca="1" si="238"/>
        <v>3.7473885740817781E-2</v>
      </c>
      <c r="P2686" s="4">
        <f t="shared" ca="1" si="239"/>
        <v>-1.7807838333259089</v>
      </c>
      <c r="Q2686" s="4">
        <f t="shared" ca="1" si="240"/>
        <v>1956.8653094391809</v>
      </c>
      <c r="R2686" s="4">
        <f t="shared" ca="1" si="241"/>
        <v>33.195265439180957</v>
      </c>
      <c r="S2686" s="4">
        <f t="shared" ca="1" si="242"/>
        <v>17.252328529972836</v>
      </c>
    </row>
    <row r="2687" spans="15:19" x14ac:dyDescent="0.2">
      <c r="O2687" s="4">
        <f t="shared" ca="1" si="238"/>
        <v>0.94501946573390694</v>
      </c>
      <c r="P2687" s="4">
        <f t="shared" ca="1" si="239"/>
        <v>1.5983681502046789</v>
      </c>
      <c r="Q2687" s="4">
        <f t="shared" ca="1" si="240"/>
        <v>1893.1052005013607</v>
      </c>
      <c r="R2687" s="4">
        <f t="shared" ca="1" si="241"/>
        <v>-30.56484349863922</v>
      </c>
      <c r="S2687" s="4">
        <f t="shared" ca="1" si="242"/>
        <v>-15.091935156571314</v>
      </c>
    </row>
    <row r="2688" spans="15:19" x14ac:dyDescent="0.2">
      <c r="O2688" s="4">
        <f t="shared" ca="1" si="238"/>
        <v>0.9929090597582424</v>
      </c>
      <c r="P2688" s="4">
        <f t="shared" ca="1" si="239"/>
        <v>2.4526232033012483</v>
      </c>
      <c r="Q2688" s="4">
        <f t="shared" ca="1" si="240"/>
        <v>1876.9865424736704</v>
      </c>
      <c r="R2688" s="4">
        <f t="shared" ca="1" si="241"/>
        <v>-46.683501526329565</v>
      </c>
      <c r="S2688" s="4">
        <f t="shared" ca="1" si="242"/>
        <v>-22.744499694954474</v>
      </c>
    </row>
    <row r="2689" spans="15:19" x14ac:dyDescent="0.2">
      <c r="O2689" s="4">
        <f t="shared" ca="1" si="238"/>
        <v>0.28796954593902202</v>
      </c>
      <c r="P2689" s="4">
        <f t="shared" ca="1" si="239"/>
        <v>-0.55932623782464175</v>
      </c>
      <c r="Q2689" s="4">
        <f t="shared" ca="1" si="240"/>
        <v>1933.8180272418533</v>
      </c>
      <c r="R2689" s="4">
        <f t="shared" ca="1" si="241"/>
        <v>10.147983241853353</v>
      </c>
      <c r="S2689" s="4">
        <f t="shared" ca="1" si="242"/>
        <v>5.1789291410345371</v>
      </c>
    </row>
    <row r="2690" spans="15:19" x14ac:dyDescent="0.2">
      <c r="O2690" s="4">
        <f t="shared" ca="1" si="238"/>
        <v>0.16961408313627824</v>
      </c>
      <c r="P2690" s="4">
        <f t="shared" ca="1" si="239"/>
        <v>-0.95569140476784187</v>
      </c>
      <c r="Q2690" s="4">
        <f t="shared" ca="1" si="240"/>
        <v>1941.2969113958152</v>
      </c>
      <c r="R2690" s="4">
        <f t="shared" ca="1" si="241"/>
        <v>17.626867395815225</v>
      </c>
      <c r="S2690" s="4">
        <f t="shared" ca="1" si="242"/>
        <v>9.0493719649979454</v>
      </c>
    </row>
    <row r="2691" spans="15:19" x14ac:dyDescent="0.2">
      <c r="O2691" s="4">
        <f t="shared" ref="O2691:O2754" ca="1" si="243">RAND()</f>
        <v>0.83536272953888524</v>
      </c>
      <c r="P2691" s="4">
        <f t="shared" ref="P2691:P2754" ca="1" si="244">NORMSINV(O2691)</f>
        <v>0.97557616479365239</v>
      </c>
      <c r="Q2691" s="4">
        <f t="shared" ref="Q2691:Q2754" ca="1" si="245">$B$4*(1+$B$17-$B$32*P2691)</f>
        <v>1904.8564579259883</v>
      </c>
      <c r="R2691" s="4">
        <f t="shared" ref="R2691:R2754" ca="1" si="246">Q2691-$B$4</f>
        <v>-18.81358607401171</v>
      </c>
      <c r="S2691" s="4">
        <f t="shared" ref="S2691:S2754" ca="1" si="247">R2691*$B$12+0.5*$B$13*R2691^2</f>
        <v>-9.379538979910766</v>
      </c>
    </row>
    <row r="2692" spans="15:19" x14ac:dyDescent="0.2">
      <c r="O2692" s="4">
        <f t="shared" ca="1" si="243"/>
        <v>0.61447762338925072</v>
      </c>
      <c r="P2692" s="4">
        <f t="shared" ca="1" si="244"/>
        <v>0.29100858555711728</v>
      </c>
      <c r="Q2692" s="4">
        <f t="shared" ca="1" si="245"/>
        <v>1917.7733387411024</v>
      </c>
      <c r="R2692" s="4">
        <f t="shared" ca="1" si="246"/>
        <v>-5.8967052588975548</v>
      </c>
      <c r="S2692" s="4">
        <f t="shared" ca="1" si="247"/>
        <v>-2.9708157015728243</v>
      </c>
    </row>
    <row r="2693" spans="15:19" x14ac:dyDescent="0.2">
      <c r="O2693" s="4">
        <f t="shared" ca="1" si="243"/>
        <v>0.80296976390602215</v>
      </c>
      <c r="P2693" s="4">
        <f t="shared" ca="1" si="244"/>
        <v>0.85227681306895675</v>
      </c>
      <c r="Q2693" s="4">
        <f t="shared" ca="1" si="245"/>
        <v>1907.1829528975802</v>
      </c>
      <c r="R2693" s="4">
        <f t="shared" ca="1" si="246"/>
        <v>-16.487091102419754</v>
      </c>
      <c r="S2693" s="4">
        <f t="shared" ca="1" si="247"/>
        <v>-8.2352757498972728</v>
      </c>
    </row>
    <row r="2694" spans="15:19" x14ac:dyDescent="0.2">
      <c r="O2694" s="4">
        <f t="shared" ca="1" si="243"/>
        <v>0.59258657352125677</v>
      </c>
      <c r="P2694" s="4">
        <f t="shared" ca="1" si="244"/>
        <v>0.23420368679859585</v>
      </c>
      <c r="Q2694" s="4">
        <f t="shared" ca="1" si="245"/>
        <v>1918.8451717189316</v>
      </c>
      <c r="R2694" s="4">
        <f t="shared" ca="1" si="246"/>
        <v>-4.8248722810683375</v>
      </c>
      <c r="S2694" s="4">
        <f t="shared" ca="1" si="247"/>
        <v>-2.4329212835524769</v>
      </c>
    </row>
    <row r="2695" spans="15:19" x14ac:dyDescent="0.2">
      <c r="O2695" s="4">
        <f t="shared" ca="1" si="243"/>
        <v>0.73553122738248256</v>
      </c>
      <c r="P2695" s="4">
        <f t="shared" ca="1" si="244"/>
        <v>0.62962869442946146</v>
      </c>
      <c r="Q2695" s="4">
        <f t="shared" ca="1" si="245"/>
        <v>1911.3840271222507</v>
      </c>
      <c r="R2695" s="4">
        <f t="shared" ca="1" si="246"/>
        <v>-12.286016877749262</v>
      </c>
      <c r="S2695" s="4">
        <f t="shared" ca="1" si="247"/>
        <v>-6.1578565267653493</v>
      </c>
    </row>
    <row r="2696" spans="15:19" x14ac:dyDescent="0.2">
      <c r="O2696" s="4">
        <f t="shared" ca="1" si="243"/>
        <v>0.53648438740515503</v>
      </c>
      <c r="P2696" s="4">
        <f t="shared" ca="1" si="244"/>
        <v>9.1580650888670151E-2</v>
      </c>
      <c r="Q2696" s="4">
        <f t="shared" ca="1" si="245"/>
        <v>1921.5362789407968</v>
      </c>
      <c r="R2696" s="4">
        <f t="shared" ca="1" si="246"/>
        <v>-2.1337650592031423</v>
      </c>
      <c r="S2696" s="4">
        <f t="shared" ca="1" si="247"/>
        <v>-1.0782794058096712</v>
      </c>
    </row>
    <row r="2697" spans="15:19" x14ac:dyDescent="0.2">
      <c r="O2697" s="4">
        <f t="shared" ca="1" si="243"/>
        <v>3.6105180018315419E-3</v>
      </c>
      <c r="P2697" s="4">
        <f t="shared" ca="1" si="244"/>
        <v>-2.6864749618062769</v>
      </c>
      <c r="Q2697" s="4">
        <f t="shared" ca="1" si="245"/>
        <v>1973.9544978797646</v>
      </c>
      <c r="R2697" s="4">
        <f t="shared" ca="1" si="246"/>
        <v>50.284453879764669</v>
      </c>
      <c r="S2697" s="4">
        <f t="shared" ca="1" si="247"/>
        <v>26.483768329399311</v>
      </c>
    </row>
    <row r="2698" spans="15:19" x14ac:dyDescent="0.2">
      <c r="O2698" s="4">
        <f t="shared" ca="1" si="243"/>
        <v>0.42695520693117595</v>
      </c>
      <c r="P2698" s="4">
        <f t="shared" ca="1" si="244"/>
        <v>-0.18413134914236987</v>
      </c>
      <c r="Q2698" s="4">
        <f t="shared" ca="1" si="245"/>
        <v>1926.7385981152886</v>
      </c>
      <c r="R2698" s="4">
        <f t="shared" ca="1" si="246"/>
        <v>3.0685541152886344</v>
      </c>
      <c r="S2698" s="4">
        <f t="shared" ca="1" si="247"/>
        <v>1.5571651231016026</v>
      </c>
    </row>
    <row r="2699" spans="15:19" x14ac:dyDescent="0.2">
      <c r="O2699" s="4">
        <f t="shared" ca="1" si="243"/>
        <v>0.97459823462163087</v>
      </c>
      <c r="P2699" s="4">
        <f t="shared" ca="1" si="244"/>
        <v>1.9531355900589757</v>
      </c>
      <c r="Q2699" s="4">
        <f t="shared" ca="1" si="245"/>
        <v>1886.4112101975957</v>
      </c>
      <c r="R2699" s="4">
        <f t="shared" ca="1" si="246"/>
        <v>-37.258833802404297</v>
      </c>
      <c r="S2699" s="4">
        <f t="shared" ca="1" si="247"/>
        <v>-18.295684693538043</v>
      </c>
    </row>
    <row r="2700" spans="15:19" x14ac:dyDescent="0.2">
      <c r="O2700" s="4">
        <f t="shared" ca="1" si="243"/>
        <v>0.43714823004398229</v>
      </c>
      <c r="P2700" s="4">
        <f t="shared" ca="1" si="244"/>
        <v>-0.15820348197689557</v>
      </c>
      <c r="Q2700" s="4">
        <f t="shared" ca="1" si="245"/>
        <v>1926.249373705421</v>
      </c>
      <c r="R2700" s="4">
        <f t="shared" ca="1" si="246"/>
        <v>2.5793297054210598</v>
      </c>
      <c r="S2700" s="4">
        <f t="shared" ca="1" si="247"/>
        <v>1.3083901690133022</v>
      </c>
    </row>
    <row r="2701" spans="15:19" x14ac:dyDescent="0.2">
      <c r="O2701" s="4">
        <f t="shared" ca="1" si="243"/>
        <v>0.60921776114862103</v>
      </c>
      <c r="P2701" s="4">
        <f t="shared" ca="1" si="244"/>
        <v>0.27728083056433311</v>
      </c>
      <c r="Q2701" s="4">
        <f t="shared" ca="1" si="245"/>
        <v>1918.0323632413549</v>
      </c>
      <c r="R2701" s="4">
        <f t="shared" ca="1" si="246"/>
        <v>-5.6376807586450468</v>
      </c>
      <c r="S2701" s="4">
        <f t="shared" ca="1" si="247"/>
        <v>-2.8409111584990243</v>
      </c>
    </row>
    <row r="2702" spans="15:19" x14ac:dyDescent="0.2">
      <c r="O2702" s="4">
        <f t="shared" ca="1" si="243"/>
        <v>0.29593430512498864</v>
      </c>
      <c r="P2702" s="4">
        <f t="shared" ca="1" si="244"/>
        <v>-0.53613014109694879</v>
      </c>
      <c r="Q2702" s="4">
        <f t="shared" ca="1" si="245"/>
        <v>1933.380347711161</v>
      </c>
      <c r="R2702" s="4">
        <f t="shared" ca="1" si="246"/>
        <v>9.710303711161032</v>
      </c>
      <c r="S2702" s="4">
        <f t="shared" ca="1" si="247"/>
        <v>4.9538334066428931</v>
      </c>
    </row>
    <row r="2703" spans="15:19" x14ac:dyDescent="0.2">
      <c r="O2703" s="4">
        <f t="shared" ca="1" si="243"/>
        <v>0.15833763974393122</v>
      </c>
      <c r="P2703" s="4">
        <f t="shared" ca="1" si="244"/>
        <v>-1.0013134767216032</v>
      </c>
      <c r="Q2703" s="4">
        <f t="shared" ca="1" si="245"/>
        <v>1942.1577392875226</v>
      </c>
      <c r="R2703" s="4">
        <f t="shared" ca="1" si="246"/>
        <v>18.487695287522683</v>
      </c>
      <c r="S2703" s="4">
        <f t="shared" ca="1" si="247"/>
        <v>9.4977866157287174</v>
      </c>
    </row>
    <row r="2704" spans="15:19" x14ac:dyDescent="0.2">
      <c r="O2704" s="4">
        <f t="shared" ca="1" si="243"/>
        <v>0.82034489189509685</v>
      </c>
      <c r="P2704" s="4">
        <f t="shared" ca="1" si="244"/>
        <v>0.91668025405276965</v>
      </c>
      <c r="Q2704" s="4">
        <f t="shared" ca="1" si="245"/>
        <v>1905.9677455221463</v>
      </c>
      <c r="R2704" s="4">
        <f t="shared" ca="1" si="246"/>
        <v>-17.702298477853674</v>
      </c>
      <c r="S2704" s="4">
        <f t="shared" ca="1" si="247"/>
        <v>-8.8335130403076043</v>
      </c>
    </row>
    <row r="2705" spans="15:19" x14ac:dyDescent="0.2">
      <c r="O2705" s="4">
        <f t="shared" ca="1" si="243"/>
        <v>0.37416374293914345</v>
      </c>
      <c r="P2705" s="4">
        <f t="shared" ca="1" si="244"/>
        <v>-0.3208454879005016</v>
      </c>
      <c r="Q2705" s="4">
        <f t="shared" ca="1" si="245"/>
        <v>1929.318212297499</v>
      </c>
      <c r="R2705" s="4">
        <f t="shared" ca="1" si="246"/>
        <v>5.648168297499069</v>
      </c>
      <c r="S2705" s="4">
        <f t="shared" ca="1" si="247"/>
        <v>2.8721443585768358</v>
      </c>
    </row>
    <row r="2706" spans="15:19" x14ac:dyDescent="0.2">
      <c r="O2706" s="4">
        <f t="shared" ca="1" si="243"/>
        <v>0.68025296203896524</v>
      </c>
      <c r="P2706" s="4">
        <f t="shared" ca="1" si="244"/>
        <v>0.46840628280284308</v>
      </c>
      <c r="Q2706" s="4">
        <f t="shared" ca="1" si="245"/>
        <v>1914.4260798557864</v>
      </c>
      <c r="R2706" s="4">
        <f t="shared" ca="1" si="246"/>
        <v>-9.243964144213578</v>
      </c>
      <c r="S2706" s="4">
        <f t="shared" ca="1" si="247"/>
        <v>-4.6446007728050134</v>
      </c>
    </row>
    <row r="2707" spans="15:19" x14ac:dyDescent="0.2">
      <c r="O2707" s="4">
        <f t="shared" ca="1" si="243"/>
        <v>6.0366620516224545E-2</v>
      </c>
      <c r="P2707" s="4">
        <f t="shared" ca="1" si="244"/>
        <v>-1.5517032653361036</v>
      </c>
      <c r="Q2707" s="4">
        <f t="shared" ca="1" si="245"/>
        <v>1952.5428634403756</v>
      </c>
      <c r="R2707" s="4">
        <f t="shared" ca="1" si="246"/>
        <v>28.872819440375679</v>
      </c>
      <c r="S2707" s="4">
        <f t="shared" ca="1" si="247"/>
        <v>14.955053075464502</v>
      </c>
    </row>
    <row r="2708" spans="15:19" x14ac:dyDescent="0.2">
      <c r="O2708" s="4">
        <f t="shared" ca="1" si="243"/>
        <v>0.93491764120056531</v>
      </c>
      <c r="P2708" s="4">
        <f t="shared" ca="1" si="244"/>
        <v>1.5134526591858912</v>
      </c>
      <c r="Q2708" s="4">
        <f t="shared" ca="1" si="245"/>
        <v>1894.7074430119828</v>
      </c>
      <c r="R2708" s="4">
        <f t="shared" ca="1" si="246"/>
        <v>-28.96260098801713</v>
      </c>
      <c r="S2708" s="4">
        <f t="shared" ca="1" si="247"/>
        <v>-14.319689509107754</v>
      </c>
    </row>
    <row r="2709" spans="15:19" x14ac:dyDescent="0.2">
      <c r="O2709" s="4">
        <f t="shared" ca="1" si="243"/>
        <v>0.87871100035567218</v>
      </c>
      <c r="P2709" s="4">
        <f t="shared" ca="1" si="244"/>
        <v>1.1685673251574946</v>
      </c>
      <c r="Q2709" s="4">
        <f t="shared" ca="1" si="245"/>
        <v>1901.2149711065706</v>
      </c>
      <c r="R2709" s="4">
        <f t="shared" ca="1" si="246"/>
        <v>-22.45507289342936</v>
      </c>
      <c r="S2709" s="4">
        <f t="shared" ca="1" si="247"/>
        <v>-11.16172120670838</v>
      </c>
    </row>
    <row r="2710" spans="15:19" x14ac:dyDescent="0.2">
      <c r="O2710" s="4">
        <f t="shared" ca="1" si="243"/>
        <v>0.19177277322055286</v>
      </c>
      <c r="P2710" s="4">
        <f t="shared" ca="1" si="244"/>
        <v>-0.87138211770999785</v>
      </c>
      <c r="Q2710" s="4">
        <f t="shared" ca="1" si="245"/>
        <v>1939.7061071486321</v>
      </c>
      <c r="R2710" s="4">
        <f t="shared" ca="1" si="246"/>
        <v>16.036063148632138</v>
      </c>
      <c r="S2710" s="4">
        <f t="shared" ca="1" si="247"/>
        <v>8.2222922550970594</v>
      </c>
    </row>
    <row r="2711" spans="15:19" x14ac:dyDescent="0.2">
      <c r="O2711" s="4">
        <f t="shared" ca="1" si="243"/>
        <v>0.34730166503897564</v>
      </c>
      <c r="P2711" s="4">
        <f t="shared" ca="1" si="244"/>
        <v>-0.39261571606815576</v>
      </c>
      <c r="Q2711" s="4">
        <f t="shared" ca="1" si="245"/>
        <v>1930.672421160777</v>
      </c>
      <c r="R2711" s="4">
        <f t="shared" ca="1" si="246"/>
        <v>7.0023771607770868</v>
      </c>
      <c r="S2711" s="4">
        <f t="shared" ca="1" si="247"/>
        <v>3.5646318481346873</v>
      </c>
    </row>
    <row r="2712" spans="15:19" x14ac:dyDescent="0.2">
      <c r="O2712" s="4">
        <f t="shared" ca="1" si="243"/>
        <v>0.84312390246590985</v>
      </c>
      <c r="P2712" s="4">
        <f t="shared" ca="1" si="244"/>
        <v>1.0073800074353254</v>
      </c>
      <c r="Q2712" s="4">
        <f t="shared" ca="1" si="245"/>
        <v>1904.2563616647494</v>
      </c>
      <c r="R2712" s="4">
        <f t="shared" ca="1" si="246"/>
        <v>-19.413682335250542</v>
      </c>
      <c r="S2712" s="4">
        <f t="shared" ca="1" si="247"/>
        <v>-9.6739754005690415</v>
      </c>
    </row>
    <row r="2713" spans="15:19" x14ac:dyDescent="0.2">
      <c r="O2713" s="4">
        <f t="shared" ca="1" si="243"/>
        <v>0.45356830366094358</v>
      </c>
      <c r="P2713" s="4">
        <f t="shared" ca="1" si="244"/>
        <v>-0.11665101777866979</v>
      </c>
      <c r="Q2713" s="4">
        <f t="shared" ca="1" si="245"/>
        <v>1925.465333905842</v>
      </c>
      <c r="R2713" s="4">
        <f t="shared" ca="1" si="246"/>
        <v>1.7952899058420826</v>
      </c>
      <c r="S2713" s="4">
        <f t="shared" ca="1" si="247"/>
        <v>0.9101053459505678</v>
      </c>
    </row>
    <row r="2714" spans="15:19" x14ac:dyDescent="0.2">
      <c r="O2714" s="4">
        <f t="shared" ca="1" si="243"/>
        <v>0.98780608915017198</v>
      </c>
      <c r="P2714" s="4">
        <f t="shared" ca="1" si="244"/>
        <v>2.2509639350846187</v>
      </c>
      <c r="Q2714" s="4">
        <f t="shared" ca="1" si="245"/>
        <v>1880.7915849732324</v>
      </c>
      <c r="R2714" s="4">
        <f t="shared" ca="1" si="246"/>
        <v>-42.878459026767587</v>
      </c>
      <c r="S2714" s="4">
        <f t="shared" ca="1" si="247"/>
        <v>-20.957073838841783</v>
      </c>
    </row>
    <row r="2715" spans="15:19" x14ac:dyDescent="0.2">
      <c r="O2715" s="4">
        <f t="shared" ca="1" si="243"/>
        <v>0.67852158663921458</v>
      </c>
      <c r="P2715" s="4">
        <f t="shared" ca="1" si="244"/>
        <v>0.46356864001361264</v>
      </c>
      <c r="Q2715" s="4">
        <f t="shared" ca="1" si="245"/>
        <v>1914.5173597487142</v>
      </c>
      <c r="R2715" s="4">
        <f t="shared" ca="1" si="246"/>
        <v>-9.1526842512857911</v>
      </c>
      <c r="S2715" s="4">
        <f t="shared" ca="1" si="247"/>
        <v>-4.5990775655209264</v>
      </c>
    </row>
    <row r="2716" spans="15:19" x14ac:dyDescent="0.2">
      <c r="O2716" s="4">
        <f t="shared" ca="1" si="243"/>
        <v>0.14512516674936637</v>
      </c>
      <c r="P2716" s="4">
        <f t="shared" ca="1" si="244"/>
        <v>-1.0575726137354975</v>
      </c>
      <c r="Q2716" s="4">
        <f t="shared" ca="1" si="245"/>
        <v>1943.2192744662407</v>
      </c>
      <c r="R2716" s="4">
        <f t="shared" ca="1" si="246"/>
        <v>19.549230466240715</v>
      </c>
      <c r="S2716" s="4">
        <f t="shared" ca="1" si="247"/>
        <v>10.05158257265148</v>
      </c>
    </row>
    <row r="2717" spans="15:19" x14ac:dyDescent="0.2">
      <c r="O2717" s="4">
        <f t="shared" ca="1" si="243"/>
        <v>0.87967500034285584</v>
      </c>
      <c r="P2717" s="4">
        <f t="shared" ca="1" si="244"/>
        <v>1.1733636706798249</v>
      </c>
      <c r="Q2717" s="4">
        <f t="shared" ca="1" si="245"/>
        <v>1901.1244704382084</v>
      </c>
      <c r="R2717" s="4">
        <f t="shared" ca="1" si="246"/>
        <v>-22.545573561791571</v>
      </c>
      <c r="S2717" s="4">
        <f t="shared" ca="1" si="247"/>
        <v>-11.20587570599846</v>
      </c>
    </row>
    <row r="2718" spans="15:19" x14ac:dyDescent="0.2">
      <c r="O2718" s="4">
        <f t="shared" ca="1" si="243"/>
        <v>0.87059033960104892</v>
      </c>
      <c r="P2718" s="4">
        <f t="shared" ca="1" si="244"/>
        <v>1.1291861363769382</v>
      </c>
      <c r="Q2718" s="4">
        <f t="shared" ca="1" si="245"/>
        <v>1901.9580418234211</v>
      </c>
      <c r="R2718" s="4">
        <f t="shared" ca="1" si="246"/>
        <v>-21.712002176578835</v>
      </c>
      <c r="S2718" s="4">
        <f t="shared" ca="1" si="247"/>
        <v>-10.798931242342835</v>
      </c>
    </row>
    <row r="2719" spans="15:19" x14ac:dyDescent="0.2">
      <c r="O2719" s="4">
        <f t="shared" ca="1" si="243"/>
        <v>0.36603862723242764</v>
      </c>
      <c r="P2719" s="4">
        <f t="shared" ca="1" si="244"/>
        <v>-0.34236363145430876</v>
      </c>
      <c r="Q2719" s="4">
        <f t="shared" ca="1" si="245"/>
        <v>1929.7242310808554</v>
      </c>
      <c r="R2719" s="4">
        <f t="shared" ca="1" si="246"/>
        <v>6.0541870808553995</v>
      </c>
      <c r="S2719" s="4">
        <f t="shared" ca="1" si="247"/>
        <v>3.0796091826147913</v>
      </c>
    </row>
    <row r="2720" spans="15:19" x14ac:dyDescent="0.2">
      <c r="O2720" s="4">
        <f t="shared" ca="1" si="243"/>
        <v>0.97066596144874684</v>
      </c>
      <c r="P2720" s="4">
        <f t="shared" ca="1" si="244"/>
        <v>1.8906724887924962</v>
      </c>
      <c r="Q2720" s="4">
        <f t="shared" ca="1" si="245"/>
        <v>1887.5898059401832</v>
      </c>
      <c r="R2720" s="4">
        <f t="shared" ca="1" si="246"/>
        <v>-36.080238059816793</v>
      </c>
      <c r="S2720" s="4">
        <f t="shared" ca="1" si="247"/>
        <v>-17.734253875048974</v>
      </c>
    </row>
    <row r="2721" spans="15:19" x14ac:dyDescent="0.2">
      <c r="O2721" s="4">
        <f t="shared" ca="1" si="243"/>
        <v>0.57576677075785965</v>
      </c>
      <c r="P2721" s="4">
        <f t="shared" ca="1" si="244"/>
        <v>0.19107547915261958</v>
      </c>
      <c r="Q2721" s="4">
        <f t="shared" ca="1" si="245"/>
        <v>1919.6589437040932</v>
      </c>
      <c r="R2721" s="4">
        <f t="shared" ca="1" si="246"/>
        <v>-4.0111002959067719</v>
      </c>
      <c r="S2721" s="4">
        <f t="shared" ca="1" si="247"/>
        <v>-2.0239089516559048</v>
      </c>
    </row>
    <row r="2722" spans="15:19" x14ac:dyDescent="0.2">
      <c r="O2722" s="4">
        <f t="shared" ca="1" si="243"/>
        <v>0.39045220775342793</v>
      </c>
      <c r="P2722" s="4">
        <f t="shared" ca="1" si="244"/>
        <v>-0.27814061961675807</v>
      </c>
      <c r="Q2722" s="4">
        <f t="shared" ca="1" si="245"/>
        <v>1928.5124281637227</v>
      </c>
      <c r="R2722" s="4">
        <f t="shared" ca="1" si="246"/>
        <v>4.842384163722727</v>
      </c>
      <c r="S2722" s="4">
        <f t="shared" ca="1" si="247"/>
        <v>2.4608075321701675</v>
      </c>
    </row>
    <row r="2723" spans="15:19" x14ac:dyDescent="0.2">
      <c r="O2723" s="4">
        <f t="shared" ca="1" si="243"/>
        <v>0.7984528233055076</v>
      </c>
      <c r="P2723" s="4">
        <f t="shared" ca="1" si="244"/>
        <v>0.83610763526327658</v>
      </c>
      <c r="Q2723" s="4">
        <f t="shared" ca="1" si="245"/>
        <v>1907.4880438030352</v>
      </c>
      <c r="R2723" s="4">
        <f t="shared" ca="1" si="246"/>
        <v>-16.182000196964736</v>
      </c>
      <c r="S2723" s="4">
        <f t="shared" ca="1" si="247"/>
        <v>-8.0848930215516699</v>
      </c>
    </row>
    <row r="2724" spans="15:19" x14ac:dyDescent="0.2">
      <c r="O2724" s="4">
        <f t="shared" ca="1" si="243"/>
        <v>0.68748184518827005</v>
      </c>
      <c r="P2724" s="4">
        <f t="shared" ca="1" si="244"/>
        <v>0.48872513049862276</v>
      </c>
      <c r="Q2724" s="4">
        <f t="shared" ca="1" si="245"/>
        <v>1914.0426901920814</v>
      </c>
      <c r="R2724" s="4">
        <f t="shared" ca="1" si="246"/>
        <v>-9.6273538079185528</v>
      </c>
      <c r="S2724" s="4">
        <f t="shared" ca="1" si="247"/>
        <v>-4.8357312022100487</v>
      </c>
    </row>
    <row r="2725" spans="15:19" x14ac:dyDescent="0.2">
      <c r="O2725" s="4">
        <f t="shared" ca="1" si="243"/>
        <v>0.7274664441538603</v>
      </c>
      <c r="P2725" s="4">
        <f t="shared" ca="1" si="244"/>
        <v>0.60516839735803996</v>
      </c>
      <c r="Q2725" s="4">
        <f t="shared" ca="1" si="245"/>
        <v>1911.8455604340184</v>
      </c>
      <c r="R2725" s="4">
        <f t="shared" ca="1" si="246"/>
        <v>-11.824483565981609</v>
      </c>
      <c r="S2725" s="4">
        <f t="shared" ca="1" si="247"/>
        <v>-5.9287536282445403</v>
      </c>
    </row>
    <row r="2726" spans="15:19" x14ac:dyDescent="0.2">
      <c r="O2726" s="4">
        <f t="shared" ca="1" si="243"/>
        <v>0.69178547019657677</v>
      </c>
      <c r="P2726" s="4">
        <f t="shared" ca="1" si="244"/>
        <v>0.50091767934432951</v>
      </c>
      <c r="Q2726" s="4">
        <f t="shared" ca="1" si="245"/>
        <v>1913.8126329923989</v>
      </c>
      <c r="R2726" s="4">
        <f t="shared" ca="1" si="246"/>
        <v>-9.8574110076010584</v>
      </c>
      <c r="S2726" s="4">
        <f t="shared" ca="1" si="247"/>
        <v>-4.950363677320885</v>
      </c>
    </row>
    <row r="2727" spans="15:19" x14ac:dyDescent="0.2">
      <c r="O2727" s="4">
        <f t="shared" ca="1" si="243"/>
        <v>0.19966138230074792</v>
      </c>
      <c r="P2727" s="4">
        <f t="shared" ca="1" si="244"/>
        <v>-0.84283136331781117</v>
      </c>
      <c r="Q2727" s="4">
        <f t="shared" ca="1" si="245"/>
        <v>1939.1673923411372</v>
      </c>
      <c r="R2727" s="4">
        <f t="shared" ca="1" si="246"/>
        <v>15.49734834113724</v>
      </c>
      <c r="S2727" s="4">
        <f t="shared" ca="1" si="247"/>
        <v>7.9426744480192877</v>
      </c>
    </row>
    <row r="2728" spans="15:19" x14ac:dyDescent="0.2">
      <c r="O2728" s="4">
        <f t="shared" ca="1" si="243"/>
        <v>0.65979053654153286</v>
      </c>
      <c r="P2728" s="4">
        <f t="shared" ca="1" si="244"/>
        <v>0.41189153317038052</v>
      </c>
      <c r="Q2728" s="4">
        <f t="shared" ca="1" si="245"/>
        <v>1915.4924381050519</v>
      </c>
      <c r="R2728" s="4">
        <f t="shared" ca="1" si="246"/>
        <v>-8.1776058949481012</v>
      </c>
      <c r="S2728" s="4">
        <f t="shared" ca="1" si="247"/>
        <v>-4.1123621656140168</v>
      </c>
    </row>
    <row r="2729" spans="15:19" x14ac:dyDescent="0.2">
      <c r="O2729" s="4">
        <f t="shared" ca="1" si="243"/>
        <v>0.20639151595195682</v>
      </c>
      <c r="P2729" s="4">
        <f t="shared" ca="1" si="244"/>
        <v>-0.81900592717609477</v>
      </c>
      <c r="Q2729" s="4">
        <f t="shared" ca="1" si="245"/>
        <v>1938.71783801174</v>
      </c>
      <c r="R2729" s="4">
        <f t="shared" ca="1" si="246"/>
        <v>15.047794011740052</v>
      </c>
      <c r="S2729" s="4">
        <f t="shared" ca="1" si="247"/>
        <v>7.7095158902476122</v>
      </c>
    </row>
    <row r="2730" spans="15:19" x14ac:dyDescent="0.2">
      <c r="O2730" s="4">
        <f t="shared" ca="1" si="243"/>
        <v>0.35921662960601519</v>
      </c>
      <c r="P2730" s="4">
        <f t="shared" ca="1" si="244"/>
        <v>-0.36055349541107101</v>
      </c>
      <c r="Q2730" s="4">
        <f t="shared" ca="1" si="245"/>
        <v>1930.0674496496265</v>
      </c>
      <c r="R2730" s="4">
        <f t="shared" ca="1" si="246"/>
        <v>6.3974056496265348</v>
      </c>
      <c r="S2730" s="4">
        <f t="shared" ca="1" si="247"/>
        <v>3.2550894422236927</v>
      </c>
    </row>
    <row r="2731" spans="15:19" x14ac:dyDescent="0.2">
      <c r="O2731" s="4">
        <f t="shared" ca="1" si="243"/>
        <v>4.9582670802967521E-2</v>
      </c>
      <c r="P2731" s="4">
        <f t="shared" ca="1" si="244"/>
        <v>-1.6489135752033797</v>
      </c>
      <c r="Q2731" s="4">
        <f t="shared" ca="1" si="245"/>
        <v>1954.3770928497731</v>
      </c>
      <c r="R2731" s="4">
        <f t="shared" ca="1" si="246"/>
        <v>30.707048849773173</v>
      </c>
      <c r="S2731" s="4">
        <f t="shared" ca="1" si="247"/>
        <v>15.92804377448762</v>
      </c>
    </row>
    <row r="2732" spans="15:19" x14ac:dyDescent="0.2">
      <c r="O2732" s="4">
        <f t="shared" ca="1" si="243"/>
        <v>0.29139957263788774</v>
      </c>
      <c r="P2732" s="4">
        <f t="shared" ca="1" si="244"/>
        <v>-0.54930064430949965</v>
      </c>
      <c r="Q2732" s="4">
        <f t="shared" ca="1" si="245"/>
        <v>1933.6288576105947</v>
      </c>
      <c r="R2732" s="4">
        <f t="shared" ca="1" si="246"/>
        <v>9.9588136105946887</v>
      </c>
      <c r="S2732" s="4">
        <f t="shared" ca="1" si="247"/>
        <v>5.0816212941801062</v>
      </c>
    </row>
    <row r="2733" spans="15:19" x14ac:dyDescent="0.2">
      <c r="O2733" s="4">
        <f t="shared" ca="1" si="243"/>
        <v>0.97478971320392904</v>
      </c>
      <c r="P2733" s="4">
        <f t="shared" ca="1" si="244"/>
        <v>1.956378579621818</v>
      </c>
      <c r="Q2733" s="4">
        <f t="shared" ca="1" si="245"/>
        <v>1886.3500192926531</v>
      </c>
      <c r="R2733" s="4">
        <f t="shared" ca="1" si="246"/>
        <v>-37.320024707346874</v>
      </c>
      <c r="S2733" s="4">
        <f t="shared" ca="1" si="247"/>
        <v>-18.324802449092555</v>
      </c>
    </row>
    <row r="2734" spans="15:19" x14ac:dyDescent="0.2">
      <c r="O2734" s="4">
        <f t="shared" ca="1" si="243"/>
        <v>0.43836192736540092</v>
      </c>
      <c r="P2734" s="4">
        <f t="shared" ca="1" si="244"/>
        <v>-0.15512362859773518</v>
      </c>
      <c r="Q2734" s="4">
        <f t="shared" ca="1" si="245"/>
        <v>1926.1912609635483</v>
      </c>
      <c r="R2734" s="4">
        <f t="shared" ca="1" si="246"/>
        <v>2.5212169635483406</v>
      </c>
      <c r="S2734" s="4">
        <f t="shared" ca="1" si="247"/>
        <v>1.2788522718014879</v>
      </c>
    </row>
    <row r="2735" spans="15:19" x14ac:dyDescent="0.2">
      <c r="O2735" s="4">
        <f t="shared" ca="1" si="243"/>
        <v>0.5136776683517591</v>
      </c>
      <c r="P2735" s="4">
        <f t="shared" ca="1" si="244"/>
        <v>3.4291549667807376E-2</v>
      </c>
      <c r="Q2735" s="4">
        <f t="shared" ca="1" si="245"/>
        <v>1922.6172481758579</v>
      </c>
      <c r="R2735" s="4">
        <f t="shared" ca="1" si="246"/>
        <v>-1.0527958241420947</v>
      </c>
      <c r="S2735" s="4">
        <f t="shared" ca="1" si="247"/>
        <v>-0.53248437121567149</v>
      </c>
    </row>
    <row r="2736" spans="15:19" x14ac:dyDescent="0.2">
      <c r="O2736" s="4">
        <f t="shared" ca="1" si="243"/>
        <v>0.88552856156674309</v>
      </c>
      <c r="P2736" s="4">
        <f t="shared" ca="1" si="244"/>
        <v>1.203086427924035</v>
      </c>
      <c r="Q2736" s="4">
        <f t="shared" ca="1" si="245"/>
        <v>1900.5636414938283</v>
      </c>
      <c r="R2736" s="4">
        <f t="shared" ca="1" si="246"/>
        <v>-23.106402506171662</v>
      </c>
      <c r="S2736" s="4">
        <f t="shared" ca="1" si="247"/>
        <v>-11.479350638061584</v>
      </c>
    </row>
    <row r="2737" spans="15:19" x14ac:dyDescent="0.2">
      <c r="O2737" s="4">
        <f t="shared" ca="1" si="243"/>
        <v>0.52394822358473359</v>
      </c>
      <c r="P2737" s="4">
        <f t="shared" ca="1" si="244"/>
        <v>6.0065392662027421E-2</v>
      </c>
      <c r="Q2737" s="4">
        <f t="shared" ca="1" si="245"/>
        <v>1922.1309299974903</v>
      </c>
      <c r="R2737" s="4">
        <f t="shared" ca="1" si="246"/>
        <v>-1.5391140025096774</v>
      </c>
      <c r="S2737" s="4">
        <f t="shared" ca="1" si="247"/>
        <v>-0.77815028869116387</v>
      </c>
    </row>
    <row r="2738" spans="15:19" x14ac:dyDescent="0.2">
      <c r="O2738" s="4">
        <f t="shared" ca="1" si="243"/>
        <v>2.1363826836300004E-2</v>
      </c>
      <c r="P2738" s="4">
        <f t="shared" ca="1" si="244"/>
        <v>-2.0263624722659164</v>
      </c>
      <c r="Q2738" s="4">
        <f t="shared" ca="1" si="245"/>
        <v>1961.4990521201646</v>
      </c>
      <c r="R2738" s="4">
        <f t="shared" ca="1" si="246"/>
        <v>37.829008120164644</v>
      </c>
      <c r="S2738" s="4">
        <f t="shared" ca="1" si="247"/>
        <v>19.731944285480186</v>
      </c>
    </row>
    <row r="2739" spans="15:19" x14ac:dyDescent="0.2">
      <c r="O2739" s="4">
        <f t="shared" ca="1" si="243"/>
        <v>0.98930820743685022</v>
      </c>
      <c r="P2739" s="4">
        <f t="shared" ca="1" si="244"/>
        <v>2.3011423693749049</v>
      </c>
      <c r="Q2739" s="4">
        <f t="shared" ca="1" si="245"/>
        <v>1879.8447845770766</v>
      </c>
      <c r="R2739" s="4">
        <f t="shared" ca="1" si="246"/>
        <v>-43.825259422923409</v>
      </c>
      <c r="S2739" s="4">
        <f t="shared" ca="1" si="247"/>
        <v>-21.402936706583375</v>
      </c>
    </row>
    <row r="2740" spans="15:19" x14ac:dyDescent="0.2">
      <c r="O2740" s="4">
        <f t="shared" ca="1" si="243"/>
        <v>0.19340157763860744</v>
      </c>
      <c r="P2740" s="4">
        <f t="shared" ca="1" si="244"/>
        <v>-0.86542939071511815</v>
      </c>
      <c r="Q2740" s="4">
        <f t="shared" ca="1" si="245"/>
        <v>1939.5937870980629</v>
      </c>
      <c r="R2740" s="4">
        <f t="shared" ca="1" si="246"/>
        <v>15.923743098062914</v>
      </c>
      <c r="S2740" s="4">
        <f t="shared" ca="1" si="247"/>
        <v>8.1639734779222604</v>
      </c>
    </row>
    <row r="2741" spans="15:19" x14ac:dyDescent="0.2">
      <c r="O2741" s="4">
        <f t="shared" ca="1" si="243"/>
        <v>0.22405546064159432</v>
      </c>
      <c r="P2741" s="4">
        <f t="shared" ca="1" si="244"/>
        <v>-0.75856816681844763</v>
      </c>
      <c r="Q2741" s="4">
        <f t="shared" ca="1" si="245"/>
        <v>1937.5774577615641</v>
      </c>
      <c r="R2741" s="4">
        <f t="shared" ca="1" si="246"/>
        <v>13.907413761564158</v>
      </c>
      <c r="S2741" s="4">
        <f t="shared" ca="1" si="247"/>
        <v>7.1188028333985001</v>
      </c>
    </row>
    <row r="2742" spans="15:19" x14ac:dyDescent="0.2">
      <c r="O2742" s="4">
        <f t="shared" ca="1" si="243"/>
        <v>2.8454764620484907E-2</v>
      </c>
      <c r="P2742" s="4">
        <f t="shared" ca="1" si="244"/>
        <v>-1.9040050288692356</v>
      </c>
      <c r="Q2742" s="4">
        <f t="shared" ca="1" si="245"/>
        <v>1959.1903297074564</v>
      </c>
      <c r="R2742" s="4">
        <f t="shared" ca="1" si="246"/>
        <v>35.520285707456424</v>
      </c>
      <c r="S2742" s="4">
        <f t="shared" ca="1" si="247"/>
        <v>18.494311997988753</v>
      </c>
    </row>
    <row r="2743" spans="15:19" x14ac:dyDescent="0.2">
      <c r="O2743" s="4">
        <f t="shared" ca="1" si="243"/>
        <v>0.2616169880851108</v>
      </c>
      <c r="P2743" s="4">
        <f t="shared" ca="1" si="244"/>
        <v>-0.63836827698921406</v>
      </c>
      <c r="Q2743" s="4">
        <f t="shared" ca="1" si="245"/>
        <v>1935.3094455184987</v>
      </c>
      <c r="R2743" s="4">
        <f t="shared" ca="1" si="246"/>
        <v>11.639401518498744</v>
      </c>
      <c r="S2743" s="4">
        <f t="shared" ca="1" si="247"/>
        <v>5.947127030661127</v>
      </c>
    </row>
    <row r="2744" spans="15:19" x14ac:dyDescent="0.2">
      <c r="O2744" s="4">
        <f t="shared" ca="1" si="243"/>
        <v>5.087319228876741E-2</v>
      </c>
      <c r="P2744" s="4">
        <f t="shared" ca="1" si="244"/>
        <v>-1.6364454930918328</v>
      </c>
      <c r="Q2744" s="4">
        <f t="shared" ca="1" si="245"/>
        <v>1954.1418367033932</v>
      </c>
      <c r="R2744" s="4">
        <f t="shared" ca="1" si="246"/>
        <v>30.471792703393248</v>
      </c>
      <c r="S2744" s="4">
        <f t="shared" ca="1" si="247"/>
        <v>15.803095984242269</v>
      </c>
    </row>
    <row r="2745" spans="15:19" x14ac:dyDescent="0.2">
      <c r="O2745" s="4">
        <f t="shared" ca="1" si="243"/>
        <v>0.5061933044519128</v>
      </c>
      <c r="P2745" s="4">
        <f t="shared" ca="1" si="244"/>
        <v>1.5524935676069161E-2</v>
      </c>
      <c r="Q2745" s="4">
        <f t="shared" ca="1" si="245"/>
        <v>1922.9713492516128</v>
      </c>
      <c r="R2745" s="4">
        <f t="shared" ca="1" si="246"/>
        <v>-0.69869474838719725</v>
      </c>
      <c r="S2745" s="4">
        <f t="shared" ca="1" si="247"/>
        <v>-0.35348740452734306</v>
      </c>
    </row>
    <row r="2746" spans="15:19" x14ac:dyDescent="0.2">
      <c r="O2746" s="4">
        <f t="shared" ca="1" si="243"/>
        <v>0.53832166020077099</v>
      </c>
      <c r="P2746" s="4">
        <f t="shared" ca="1" si="244"/>
        <v>9.620636012636051E-2</v>
      </c>
      <c r="Q2746" s="4">
        <f t="shared" ca="1" si="245"/>
        <v>1921.448997952446</v>
      </c>
      <c r="R2746" s="4">
        <f t="shared" ca="1" si="246"/>
        <v>-2.2210460475539548</v>
      </c>
      <c r="S2746" s="4">
        <f t="shared" ca="1" si="247"/>
        <v>-1.1223071731772054</v>
      </c>
    </row>
    <row r="2747" spans="15:19" x14ac:dyDescent="0.2">
      <c r="O2747" s="4">
        <f t="shared" ca="1" si="243"/>
        <v>0.757348600880006</v>
      </c>
      <c r="P2747" s="4">
        <f t="shared" ca="1" si="244"/>
        <v>0.69779917000364844</v>
      </c>
      <c r="Q2747" s="4">
        <f t="shared" ca="1" si="245"/>
        <v>1910.0977408083656</v>
      </c>
      <c r="R2747" s="4">
        <f t="shared" ca="1" si="246"/>
        <v>-13.572303191634319</v>
      </c>
      <c r="S2747" s="4">
        <f t="shared" ca="1" si="247"/>
        <v>-6.7954476456711141</v>
      </c>
    </row>
    <row r="2748" spans="15:19" x14ac:dyDescent="0.2">
      <c r="O2748" s="4">
        <f t="shared" ca="1" si="243"/>
        <v>0.29567202851900365</v>
      </c>
      <c r="P2748" s="4">
        <f t="shared" ca="1" si="244"/>
        <v>-0.53688933680588058</v>
      </c>
      <c r="Q2748" s="4">
        <f t="shared" ca="1" si="245"/>
        <v>1933.3946727256448</v>
      </c>
      <c r="R2748" s="4">
        <f t="shared" ca="1" si="246"/>
        <v>9.724628725644834</v>
      </c>
      <c r="S2748" s="4">
        <f t="shared" ca="1" si="247"/>
        <v>4.9611981996748735</v>
      </c>
    </row>
    <row r="2749" spans="15:19" x14ac:dyDescent="0.2">
      <c r="O2749" s="4">
        <f t="shared" ca="1" si="243"/>
        <v>0.28218363266859459</v>
      </c>
      <c r="P2749" s="4">
        <f t="shared" ca="1" si="244"/>
        <v>-0.5763668217477822</v>
      </c>
      <c r="Q2749" s="4">
        <f t="shared" ca="1" si="245"/>
        <v>1934.1395604231363</v>
      </c>
      <c r="R2749" s="4">
        <f t="shared" ca="1" si="246"/>
        <v>10.469516423136383</v>
      </c>
      <c r="S2749" s="4">
        <f t="shared" ca="1" si="247"/>
        <v>5.3443909342738021</v>
      </c>
    </row>
    <row r="2750" spans="15:19" x14ac:dyDescent="0.2">
      <c r="O2750" s="4">
        <f t="shared" ca="1" si="243"/>
        <v>0.80322144035881449</v>
      </c>
      <c r="P2750" s="4">
        <f t="shared" ca="1" si="244"/>
        <v>0.85318428041242489</v>
      </c>
      <c r="Q2750" s="4">
        <f t="shared" ca="1" si="245"/>
        <v>1907.1658301943223</v>
      </c>
      <c r="R2750" s="4">
        <f t="shared" ca="1" si="246"/>
        <v>-16.504213805677637</v>
      </c>
      <c r="S2750" s="4">
        <f t="shared" ca="1" si="247"/>
        <v>-8.2437134764641531</v>
      </c>
    </row>
    <row r="2751" spans="15:19" x14ac:dyDescent="0.2">
      <c r="O2751" s="4">
        <f t="shared" ca="1" si="243"/>
        <v>0.29420343800625093</v>
      </c>
      <c r="P2751" s="4">
        <f t="shared" ca="1" si="244"/>
        <v>-0.54114611349791031</v>
      </c>
      <c r="Q2751" s="4">
        <f t="shared" ca="1" si="245"/>
        <v>1933.4749924469627</v>
      </c>
      <c r="R2751" s="4">
        <f t="shared" ca="1" si="246"/>
        <v>9.8049484469627259</v>
      </c>
      <c r="S2751" s="4">
        <f t="shared" ca="1" si="247"/>
        <v>5.0024953622680099</v>
      </c>
    </row>
    <row r="2752" spans="15:19" x14ac:dyDescent="0.2">
      <c r="O2752" s="4">
        <f t="shared" ca="1" si="243"/>
        <v>0.10561014088938203</v>
      </c>
      <c r="P2752" s="4">
        <f t="shared" ca="1" si="244"/>
        <v>-1.2502170180791554</v>
      </c>
      <c r="Q2752" s="4">
        <f t="shared" ca="1" si="245"/>
        <v>1946.8542184602009</v>
      </c>
      <c r="R2752" s="4">
        <f t="shared" ca="1" si="246"/>
        <v>23.184174460200893</v>
      </c>
      <c r="S2752" s="4">
        <f t="shared" ca="1" si="247"/>
        <v>11.954858327570923</v>
      </c>
    </row>
    <row r="2753" spans="15:19" x14ac:dyDescent="0.2">
      <c r="O2753" s="4">
        <f t="shared" ca="1" si="243"/>
        <v>0.52497245478589194</v>
      </c>
      <c r="P2753" s="4">
        <f t="shared" ca="1" si="244"/>
        <v>6.2637596598663525E-2</v>
      </c>
      <c r="Q2753" s="4">
        <f t="shared" ca="1" si="245"/>
        <v>1922.0823959262177</v>
      </c>
      <c r="R2753" s="4">
        <f t="shared" ca="1" si="246"/>
        <v>-1.5876480737822476</v>
      </c>
      <c r="S2753" s="4">
        <f t="shared" ca="1" si="247"/>
        <v>-0.80265693637182278</v>
      </c>
    </row>
    <row r="2754" spans="15:19" x14ac:dyDescent="0.2">
      <c r="O2754" s="4">
        <f t="shared" ca="1" si="243"/>
        <v>0.31960287425964873</v>
      </c>
      <c r="P2754" s="4">
        <f t="shared" ca="1" si="244"/>
        <v>-0.46880958441742049</v>
      </c>
      <c r="Q2754" s="4">
        <f t="shared" ca="1" si="245"/>
        <v>1932.1100982377543</v>
      </c>
      <c r="R2754" s="4">
        <f t="shared" ca="1" si="246"/>
        <v>8.4400542377543388</v>
      </c>
      <c r="S2754" s="4">
        <f t="shared" ca="1" si="247"/>
        <v>4.3014355037691967</v>
      </c>
    </row>
    <row r="2755" spans="15:19" x14ac:dyDescent="0.2">
      <c r="O2755" s="4">
        <f t="shared" ref="O2755:O2818" ca="1" si="248">RAND()</f>
        <v>0.36041016128578796</v>
      </c>
      <c r="P2755" s="4">
        <f t="shared" ref="P2755:P2818" ca="1" si="249">NORMSINV(O2755)</f>
        <v>-0.35736266543178263</v>
      </c>
      <c r="Q2755" s="4">
        <f t="shared" ref="Q2755:Q2818" ca="1" si="250">$B$4*(1+$B$17-$B$32*P2755)</f>
        <v>1930.0072429267348</v>
      </c>
      <c r="R2755" s="4">
        <f t="shared" ref="R2755:R2818" ca="1" si="251">Q2755-$B$4</f>
        <v>6.3371989267347999</v>
      </c>
      <c r="S2755" s="4">
        <f t="shared" ref="S2755:S2818" ca="1" si="252">R2755*$B$12+0.5*$B$13*R2755^2</f>
        <v>3.2243001058155518</v>
      </c>
    </row>
    <row r="2756" spans="15:19" x14ac:dyDescent="0.2">
      <c r="O2756" s="4">
        <f t="shared" ca="1" si="248"/>
        <v>0.89311764829716211</v>
      </c>
      <c r="P2756" s="4">
        <f t="shared" ca="1" si="249"/>
        <v>1.2432799135327708</v>
      </c>
      <c r="Q2756" s="4">
        <f t="shared" ca="1" si="250"/>
        <v>1899.8052438149155</v>
      </c>
      <c r="R2756" s="4">
        <f t="shared" ca="1" si="251"/>
        <v>-23.864800185084505</v>
      </c>
      <c r="S2756" s="4">
        <f t="shared" ca="1" si="252"/>
        <v>-11.848758005146507</v>
      </c>
    </row>
    <row r="2757" spans="15:19" x14ac:dyDescent="0.2">
      <c r="O2757" s="4">
        <f t="shared" ca="1" si="248"/>
        <v>0.37379045222659124</v>
      </c>
      <c r="P2757" s="4">
        <f t="shared" ca="1" si="249"/>
        <v>-0.32183076721785042</v>
      </c>
      <c r="Q2757" s="4">
        <f t="shared" ca="1" si="250"/>
        <v>1929.3368032093354</v>
      </c>
      <c r="R2757" s="4">
        <f t="shared" ca="1" si="251"/>
        <v>5.666759209335396</v>
      </c>
      <c r="S2757" s="4">
        <f t="shared" ca="1" si="252"/>
        <v>2.8816408892181986</v>
      </c>
    </row>
    <row r="2758" spans="15:19" x14ac:dyDescent="0.2">
      <c r="O2758" s="4">
        <f t="shared" ca="1" si="248"/>
        <v>0.22322603867095181</v>
      </c>
      <c r="P2758" s="4">
        <f t="shared" ca="1" si="249"/>
        <v>-0.76134324456714564</v>
      </c>
      <c r="Q2758" s="4">
        <f t="shared" ca="1" si="250"/>
        <v>1937.6298197921653</v>
      </c>
      <c r="R2758" s="4">
        <f t="shared" ca="1" si="251"/>
        <v>13.959775792165374</v>
      </c>
      <c r="S2758" s="4">
        <f t="shared" ca="1" si="252"/>
        <v>7.145902994514258</v>
      </c>
    </row>
    <row r="2759" spans="15:19" x14ac:dyDescent="0.2">
      <c r="O2759" s="4">
        <f t="shared" ca="1" si="248"/>
        <v>0.13041646053505174</v>
      </c>
      <c r="P2759" s="4">
        <f t="shared" ca="1" si="249"/>
        <v>-1.1244246466217473</v>
      </c>
      <c r="Q2759" s="4">
        <f t="shared" ca="1" si="250"/>
        <v>1944.480683518073</v>
      </c>
      <c r="R2759" s="4">
        <f t="shared" ca="1" si="251"/>
        <v>20.810639518073003</v>
      </c>
      <c r="S2759" s="4">
        <f t="shared" ca="1" si="252"/>
        <v>10.710844208643401</v>
      </c>
    </row>
    <row r="2760" spans="15:19" x14ac:dyDescent="0.2">
      <c r="O2760" s="4">
        <f t="shared" ca="1" si="248"/>
        <v>0.73965838077659818</v>
      </c>
      <c r="P2760" s="4">
        <f t="shared" ca="1" si="249"/>
        <v>0.64229256869197193</v>
      </c>
      <c r="Q2760" s="4">
        <f t="shared" ca="1" si="250"/>
        <v>1911.1450766380797</v>
      </c>
      <c r="R2760" s="4">
        <f t="shared" ca="1" si="251"/>
        <v>-12.524967361920289</v>
      </c>
      <c r="S2760" s="4">
        <f t="shared" ca="1" si="252"/>
        <v>-6.2764022530830719</v>
      </c>
    </row>
    <row r="2761" spans="15:19" x14ac:dyDescent="0.2">
      <c r="O2761" s="4">
        <f t="shared" ca="1" si="248"/>
        <v>0.78348103339936925</v>
      </c>
      <c r="P2761" s="4">
        <f t="shared" ca="1" si="249"/>
        <v>0.78400371031621341</v>
      </c>
      <c r="Q2761" s="4">
        <f t="shared" ca="1" si="250"/>
        <v>1908.4711756499908</v>
      </c>
      <c r="R2761" s="4">
        <f t="shared" ca="1" si="251"/>
        <v>-15.198868350009207</v>
      </c>
      <c r="S2761" s="4">
        <f t="shared" ca="1" si="252"/>
        <v>-7.599780759879347</v>
      </c>
    </row>
    <row r="2762" spans="15:19" x14ac:dyDescent="0.2">
      <c r="O2762" s="4">
        <f t="shared" ca="1" si="248"/>
        <v>0.26159531034456618</v>
      </c>
      <c r="P2762" s="4">
        <f t="shared" ca="1" si="249"/>
        <v>-0.63843489685240051</v>
      </c>
      <c r="Q2762" s="4">
        <f t="shared" ca="1" si="250"/>
        <v>1935.3107025468171</v>
      </c>
      <c r="R2762" s="4">
        <f t="shared" ca="1" si="251"/>
        <v>11.640658546817122</v>
      </c>
      <c r="S2762" s="4">
        <f t="shared" ca="1" si="252"/>
        <v>5.9477752630579301</v>
      </c>
    </row>
    <row r="2763" spans="15:19" x14ac:dyDescent="0.2">
      <c r="O2763" s="4">
        <f t="shared" ca="1" si="248"/>
        <v>0.90347289183446478</v>
      </c>
      <c r="P2763" s="4">
        <f t="shared" ca="1" si="249"/>
        <v>1.3015969110431655</v>
      </c>
      <c r="Q2763" s="4">
        <f t="shared" ca="1" si="250"/>
        <v>1898.7048795423666</v>
      </c>
      <c r="R2763" s="4">
        <f t="shared" ca="1" si="251"/>
        <v>-24.965164457633364</v>
      </c>
      <c r="S2763" s="4">
        <f t="shared" ca="1" si="252"/>
        <v>-12.38390104367566</v>
      </c>
    </row>
    <row r="2764" spans="15:19" x14ac:dyDescent="0.2">
      <c r="O2764" s="4">
        <f t="shared" ca="1" si="248"/>
        <v>0.77809786140107617</v>
      </c>
      <c r="P2764" s="4">
        <f t="shared" ca="1" si="249"/>
        <v>0.76578493893237076</v>
      </c>
      <c r="Q2764" s="4">
        <f t="shared" ca="1" si="250"/>
        <v>1908.8149396635092</v>
      </c>
      <c r="R2764" s="4">
        <f t="shared" ca="1" si="251"/>
        <v>-14.85510433649074</v>
      </c>
      <c r="S2764" s="4">
        <f t="shared" ca="1" si="252"/>
        <v>-7.4299696743332166</v>
      </c>
    </row>
    <row r="2765" spans="15:19" x14ac:dyDescent="0.2">
      <c r="O2765" s="4">
        <f t="shared" ca="1" si="248"/>
        <v>0.64112426158725222</v>
      </c>
      <c r="P2765" s="4">
        <f t="shared" ca="1" si="249"/>
        <v>0.36146551898699009</v>
      </c>
      <c r="Q2765" s="4">
        <f t="shared" ca="1" si="250"/>
        <v>1916.4439100048962</v>
      </c>
      <c r="R2765" s="4">
        <f t="shared" ca="1" si="251"/>
        <v>-7.2261339951037371</v>
      </c>
      <c r="S2765" s="4">
        <f t="shared" ca="1" si="252"/>
        <v>-3.6366838687662058</v>
      </c>
    </row>
    <row r="2766" spans="15:19" x14ac:dyDescent="0.2">
      <c r="O2766" s="4">
        <f t="shared" ca="1" si="248"/>
        <v>0.55641496409310054</v>
      </c>
      <c r="P2766" s="4">
        <f t="shared" ca="1" si="249"/>
        <v>0.14188597594804403</v>
      </c>
      <c r="Q2766" s="4">
        <f t="shared" ca="1" si="250"/>
        <v>1920.5870842843947</v>
      </c>
      <c r="R2766" s="4">
        <f t="shared" ca="1" si="251"/>
        <v>-3.0829597156052841</v>
      </c>
      <c r="S2766" s="4">
        <f t="shared" ca="1" si="252"/>
        <v>-1.5567553586451475</v>
      </c>
    </row>
    <row r="2767" spans="15:19" x14ac:dyDescent="0.2">
      <c r="O2767" s="4">
        <f t="shared" ca="1" si="248"/>
        <v>0.24319047398742177</v>
      </c>
      <c r="P2767" s="4">
        <f t="shared" ca="1" si="249"/>
        <v>-0.69607645947615482</v>
      </c>
      <c r="Q2767" s="4">
        <f t="shared" ca="1" si="250"/>
        <v>1936.3983222603276</v>
      </c>
      <c r="R2767" s="4">
        <f t="shared" ca="1" si="251"/>
        <v>12.72827826032767</v>
      </c>
      <c r="S2767" s="4">
        <f t="shared" ca="1" si="252"/>
        <v>6.5091280333174142</v>
      </c>
    </row>
    <row r="2768" spans="15:19" x14ac:dyDescent="0.2">
      <c r="O2768" s="4">
        <f t="shared" ca="1" si="248"/>
        <v>0.43108532749438178</v>
      </c>
      <c r="P2768" s="4">
        <f t="shared" ca="1" si="249"/>
        <v>-0.17361167634104932</v>
      </c>
      <c r="Q2768" s="4">
        <f t="shared" ca="1" si="250"/>
        <v>1926.5401058642531</v>
      </c>
      <c r="R2768" s="4">
        <f t="shared" ca="1" si="251"/>
        <v>2.8700618642531026</v>
      </c>
      <c r="S2768" s="4">
        <f t="shared" ca="1" si="252"/>
        <v>1.4562065607271182</v>
      </c>
    </row>
    <row r="2769" spans="15:19" x14ac:dyDescent="0.2">
      <c r="O2769" s="4">
        <f t="shared" ca="1" si="248"/>
        <v>0.2212025616574379</v>
      </c>
      <c r="P2769" s="4">
        <f t="shared" ca="1" si="249"/>
        <v>-0.76813813429086686</v>
      </c>
      <c r="Q2769" s="4">
        <f t="shared" ca="1" si="250"/>
        <v>1937.7580303346676</v>
      </c>
      <c r="R2769" s="4">
        <f t="shared" ca="1" si="251"/>
        <v>14.087986334667676</v>
      </c>
      <c r="S2769" s="4">
        <f t="shared" ca="1" si="252"/>
        <v>7.212268255526987</v>
      </c>
    </row>
    <row r="2770" spans="15:19" x14ac:dyDescent="0.2">
      <c r="O2770" s="4">
        <f t="shared" ca="1" si="248"/>
        <v>0.19853811453913039</v>
      </c>
      <c r="P2770" s="4">
        <f t="shared" ca="1" si="249"/>
        <v>-0.84685449488110376</v>
      </c>
      <c r="Q2770" s="4">
        <f t="shared" ca="1" si="250"/>
        <v>1939.2433034892586</v>
      </c>
      <c r="R2770" s="4">
        <f t="shared" ca="1" si="251"/>
        <v>15.573259489258589</v>
      </c>
      <c r="S2770" s="4">
        <f t="shared" ca="1" si="252"/>
        <v>7.9820615304609115</v>
      </c>
    </row>
    <row r="2771" spans="15:19" x14ac:dyDescent="0.2">
      <c r="O2771" s="4">
        <f t="shared" ca="1" si="248"/>
        <v>0.44598468512310097</v>
      </c>
      <c r="P2771" s="4">
        <f t="shared" ca="1" si="249"/>
        <v>-0.13581267558266225</v>
      </c>
      <c r="Q2771" s="4">
        <f t="shared" ca="1" si="250"/>
        <v>1925.8268889335434</v>
      </c>
      <c r="R2771" s="4">
        <f t="shared" ca="1" si="251"/>
        <v>2.1568449335434252</v>
      </c>
      <c r="S2771" s="4">
        <f t="shared" ca="1" si="252"/>
        <v>1.0937097093760142</v>
      </c>
    </row>
    <row r="2772" spans="15:19" x14ac:dyDescent="0.2">
      <c r="O2772" s="4">
        <f t="shared" ca="1" si="248"/>
        <v>0.79682730387888123</v>
      </c>
      <c r="P2772" s="4">
        <f t="shared" ca="1" si="249"/>
        <v>0.83034209878016818</v>
      </c>
      <c r="Q2772" s="4">
        <f t="shared" ca="1" si="250"/>
        <v>1907.5968318173177</v>
      </c>
      <c r="R2772" s="4">
        <f t="shared" ca="1" si="251"/>
        <v>-16.073212182682255</v>
      </c>
      <c r="S2772" s="4">
        <f t="shared" ca="1" si="252"/>
        <v>-8.0312518611308583</v>
      </c>
    </row>
    <row r="2773" spans="15:19" x14ac:dyDescent="0.2">
      <c r="O2773" s="4">
        <f t="shared" ca="1" si="248"/>
        <v>0.2064686773999731</v>
      </c>
      <c r="P2773" s="4">
        <f t="shared" ca="1" si="249"/>
        <v>-0.81873547018196668</v>
      </c>
      <c r="Q2773" s="4">
        <f t="shared" ca="1" si="250"/>
        <v>1938.7127348475462</v>
      </c>
      <c r="R2773" s="4">
        <f t="shared" ca="1" si="251"/>
        <v>15.042690847546282</v>
      </c>
      <c r="S2773" s="4">
        <f t="shared" ca="1" si="252"/>
        <v>7.7068701103468849</v>
      </c>
    </row>
    <row r="2774" spans="15:19" x14ac:dyDescent="0.2">
      <c r="O2774" s="4">
        <f t="shared" ca="1" si="248"/>
        <v>0.58407447045470773</v>
      </c>
      <c r="P2774" s="4">
        <f t="shared" ca="1" si="249"/>
        <v>0.21232811981795643</v>
      </c>
      <c r="Q2774" s="4">
        <f t="shared" ca="1" si="250"/>
        <v>1919.2579346075381</v>
      </c>
      <c r="R2774" s="4">
        <f t="shared" ca="1" si="251"/>
        <v>-4.4121093924618435</v>
      </c>
      <c r="S2774" s="4">
        <f t="shared" ca="1" si="252"/>
        <v>-2.2255286923798794</v>
      </c>
    </row>
    <row r="2775" spans="15:19" x14ac:dyDescent="0.2">
      <c r="O2775" s="4">
        <f t="shared" ca="1" si="248"/>
        <v>0.92622758095217739</v>
      </c>
      <c r="P2775" s="4">
        <f t="shared" ca="1" si="249"/>
        <v>1.4482582539608317</v>
      </c>
      <c r="Q2775" s="4">
        <f t="shared" ca="1" si="250"/>
        <v>1895.9375748319028</v>
      </c>
      <c r="R2775" s="4">
        <f t="shared" ca="1" si="251"/>
        <v>-27.732469168097168</v>
      </c>
      <c r="S2775" s="4">
        <f t="shared" ca="1" si="252"/>
        <v>-13.725374721610203</v>
      </c>
    </row>
    <row r="2776" spans="15:19" x14ac:dyDescent="0.2">
      <c r="O2776" s="4">
        <f t="shared" ca="1" si="248"/>
        <v>0.88937447797310687</v>
      </c>
      <c r="P2776" s="4">
        <f t="shared" ca="1" si="249"/>
        <v>1.223208266673677</v>
      </c>
      <c r="Q2776" s="4">
        <f t="shared" ca="1" si="250"/>
        <v>1900.183969127223</v>
      </c>
      <c r="R2776" s="4">
        <f t="shared" ca="1" si="251"/>
        <v>-23.486074872776953</v>
      </c>
      <c r="S2776" s="4">
        <f t="shared" ca="1" si="252"/>
        <v>-11.664343504703448</v>
      </c>
    </row>
    <row r="2777" spans="15:19" x14ac:dyDescent="0.2">
      <c r="O2777" s="4">
        <f t="shared" ca="1" si="248"/>
        <v>0.16926067895257813</v>
      </c>
      <c r="P2777" s="4">
        <f t="shared" ca="1" si="249"/>
        <v>-0.95709093648798371</v>
      </c>
      <c r="Q2777" s="4">
        <f t="shared" ca="1" si="250"/>
        <v>1941.3233187001842</v>
      </c>
      <c r="R2777" s="4">
        <f t="shared" ca="1" si="251"/>
        <v>17.653274700184284</v>
      </c>
      <c r="S2777" s="4">
        <f t="shared" ca="1" si="252"/>
        <v>9.0631188485753622</v>
      </c>
    </row>
    <row r="2778" spans="15:19" x14ac:dyDescent="0.2">
      <c r="O2778" s="4">
        <f t="shared" ca="1" si="248"/>
        <v>0.80599242243836222</v>
      </c>
      <c r="P2778" s="4">
        <f t="shared" ca="1" si="249"/>
        <v>0.86322248186364581</v>
      </c>
      <c r="Q2778" s="4">
        <f t="shared" ca="1" si="250"/>
        <v>1906.9764226680586</v>
      </c>
      <c r="R2778" s="4">
        <f t="shared" ca="1" si="251"/>
        <v>-16.693621331941358</v>
      </c>
      <c r="S2778" s="4">
        <f t="shared" ca="1" si="252"/>
        <v>-8.3370338028307067</v>
      </c>
    </row>
    <row r="2779" spans="15:19" x14ac:dyDescent="0.2">
      <c r="O2779" s="4">
        <f t="shared" ca="1" si="248"/>
        <v>0.41778687667877079</v>
      </c>
      <c r="P2779" s="4">
        <f t="shared" ca="1" si="249"/>
        <v>-0.20755844552016403</v>
      </c>
      <c r="Q2779" s="4">
        <f t="shared" ca="1" si="250"/>
        <v>1927.18063630251</v>
      </c>
      <c r="R2779" s="4">
        <f t="shared" ca="1" si="251"/>
        <v>3.5105923025100765</v>
      </c>
      <c r="S2779" s="4">
        <f t="shared" ca="1" si="252"/>
        <v>1.7821130357400561</v>
      </c>
    </row>
    <row r="2780" spans="15:19" x14ac:dyDescent="0.2">
      <c r="O2780" s="4">
        <f t="shared" ca="1" si="248"/>
        <v>0.69906784040674408</v>
      </c>
      <c r="P2780" s="4">
        <f t="shared" ca="1" si="249"/>
        <v>0.52172140473787854</v>
      </c>
      <c r="Q2780" s="4">
        <f t="shared" ca="1" si="250"/>
        <v>1913.4200943306669</v>
      </c>
      <c r="R2780" s="4">
        <f t="shared" ca="1" si="251"/>
        <v>-10.249949669333091</v>
      </c>
      <c r="S2780" s="4">
        <f t="shared" ca="1" si="252"/>
        <v>-5.1458576293802105</v>
      </c>
    </row>
    <row r="2781" spans="15:19" x14ac:dyDescent="0.2">
      <c r="O2781" s="4">
        <f t="shared" ca="1" si="248"/>
        <v>9.3870465933444169E-2</v>
      </c>
      <c r="P2781" s="4">
        <f t="shared" ca="1" si="249"/>
        <v>-1.3172915042583164</v>
      </c>
      <c r="Q2781" s="4">
        <f t="shared" ca="1" si="250"/>
        <v>1948.1198249101551</v>
      </c>
      <c r="R2781" s="4">
        <f t="shared" ca="1" si="251"/>
        <v>24.449780910155141</v>
      </c>
      <c r="S2781" s="4">
        <f t="shared" ca="1" si="252"/>
        <v>12.620061219714223</v>
      </c>
    </row>
    <row r="2782" spans="15:19" x14ac:dyDescent="0.2">
      <c r="O2782" s="4">
        <f t="shared" ca="1" si="248"/>
        <v>0.74589554099329736</v>
      </c>
      <c r="P2782" s="4">
        <f t="shared" ca="1" si="249"/>
        <v>0.66162915487254581</v>
      </c>
      <c r="Q2782" s="4">
        <f t="shared" ca="1" si="250"/>
        <v>1910.7802209442939</v>
      </c>
      <c r="R2782" s="4">
        <f t="shared" ca="1" si="251"/>
        <v>-12.889823055706074</v>
      </c>
      <c r="S2782" s="4">
        <f t="shared" ca="1" si="252"/>
        <v>-6.4573211355798454</v>
      </c>
    </row>
    <row r="2783" spans="15:19" x14ac:dyDescent="0.2">
      <c r="O2783" s="4">
        <f t="shared" ca="1" si="248"/>
        <v>4.2647344124073006E-2</v>
      </c>
      <c r="P2783" s="4">
        <f t="shared" ca="1" si="249"/>
        <v>-1.7207583220695553</v>
      </c>
      <c r="Q2783" s="4">
        <f t="shared" ca="1" si="250"/>
        <v>1955.7327077818993</v>
      </c>
      <c r="R2783" s="4">
        <f t="shared" ca="1" si="251"/>
        <v>32.062663781899346</v>
      </c>
      <c r="S2783" s="4">
        <f t="shared" ca="1" si="252"/>
        <v>16.648907486585045</v>
      </c>
    </row>
    <row r="2784" spans="15:19" x14ac:dyDescent="0.2">
      <c r="O2784" s="4">
        <f t="shared" ca="1" si="248"/>
        <v>0.33958033932464493</v>
      </c>
      <c r="P2784" s="4">
        <f t="shared" ca="1" si="249"/>
        <v>-0.41360873011835569</v>
      </c>
      <c r="Q2784" s="4">
        <f t="shared" ca="1" si="250"/>
        <v>1931.0685314480022</v>
      </c>
      <c r="R2784" s="4">
        <f t="shared" ca="1" si="251"/>
        <v>7.3984874480022427</v>
      </c>
      <c r="S2784" s="4">
        <f t="shared" ca="1" si="252"/>
        <v>3.7674688128382368</v>
      </c>
    </row>
    <row r="2785" spans="15:19" x14ac:dyDescent="0.2">
      <c r="O2785" s="4">
        <f t="shared" ca="1" si="248"/>
        <v>0.82019507557315363</v>
      </c>
      <c r="P2785" s="4">
        <f t="shared" ca="1" si="249"/>
        <v>0.91610876918246642</v>
      </c>
      <c r="Q2785" s="4">
        <f t="shared" ca="1" si="250"/>
        <v>1905.978528682467</v>
      </c>
      <c r="R2785" s="4">
        <f t="shared" ca="1" si="251"/>
        <v>-17.691515317533003</v>
      </c>
      <c r="S2785" s="4">
        <f t="shared" ca="1" si="252"/>
        <v>-8.8282098598213263</v>
      </c>
    </row>
    <row r="2786" spans="15:19" x14ac:dyDescent="0.2">
      <c r="O2786" s="4">
        <f t="shared" ca="1" si="248"/>
        <v>0.8599677161571434</v>
      </c>
      <c r="P2786" s="4">
        <f t="shared" ca="1" si="249"/>
        <v>1.0801743062610463</v>
      </c>
      <c r="Q2786" s="4">
        <f t="shared" ca="1" si="250"/>
        <v>1902.882829948567</v>
      </c>
      <c r="R2786" s="4">
        <f t="shared" ca="1" si="251"/>
        <v>-20.787214051433011</v>
      </c>
      <c r="S2786" s="4">
        <f t="shared" ca="1" si="252"/>
        <v>-10.346793383536543</v>
      </c>
    </row>
    <row r="2787" spans="15:19" x14ac:dyDescent="0.2">
      <c r="O2787" s="4">
        <f t="shared" ca="1" si="248"/>
        <v>6.8153986936930533E-2</v>
      </c>
      <c r="P2787" s="4">
        <f t="shared" ca="1" si="249"/>
        <v>-1.4896816038633445</v>
      </c>
      <c r="Q2787" s="4">
        <f t="shared" ca="1" si="250"/>
        <v>1951.3725970802705</v>
      </c>
      <c r="R2787" s="4">
        <f t="shared" ca="1" si="251"/>
        <v>27.702553080270491</v>
      </c>
      <c r="S2787" s="4">
        <f t="shared" ca="1" si="252"/>
        <v>14.335701438120578</v>
      </c>
    </row>
    <row r="2788" spans="15:19" x14ac:dyDescent="0.2">
      <c r="O2788" s="4">
        <f t="shared" ca="1" si="248"/>
        <v>0.65486876259421123</v>
      </c>
      <c r="P2788" s="4">
        <f t="shared" ca="1" si="249"/>
        <v>0.39849889208047712</v>
      </c>
      <c r="Q2788" s="4">
        <f t="shared" ca="1" si="250"/>
        <v>1915.7451394511347</v>
      </c>
      <c r="R2788" s="4">
        <f t="shared" ca="1" si="251"/>
        <v>-7.9249045488652428</v>
      </c>
      <c r="S2788" s="4">
        <f t="shared" ca="1" si="252"/>
        <v>-3.9860986850375468</v>
      </c>
    </row>
    <row r="2789" spans="15:19" x14ac:dyDescent="0.2">
      <c r="O2789" s="4">
        <f t="shared" ca="1" si="248"/>
        <v>0.28897039421975079</v>
      </c>
      <c r="P2789" s="4">
        <f t="shared" ca="1" si="249"/>
        <v>-0.55639509917942398</v>
      </c>
      <c r="Q2789" s="4">
        <f t="shared" ca="1" si="250"/>
        <v>1933.7627205494521</v>
      </c>
      <c r="R2789" s="4">
        <f t="shared" ca="1" si="251"/>
        <v>10.092676549452108</v>
      </c>
      <c r="S2789" s="4">
        <f t="shared" ca="1" si="252"/>
        <v>5.1504766604372323</v>
      </c>
    </row>
    <row r="2790" spans="15:19" x14ac:dyDescent="0.2">
      <c r="O2790" s="4">
        <f t="shared" ca="1" si="248"/>
        <v>0.84104499796738819</v>
      </c>
      <c r="P2790" s="4">
        <f t="shared" ca="1" si="249"/>
        <v>0.99876198796072502</v>
      </c>
      <c r="Q2790" s="4">
        <f t="shared" ca="1" si="250"/>
        <v>1904.4189722437368</v>
      </c>
      <c r="R2790" s="4">
        <f t="shared" ca="1" si="251"/>
        <v>-19.251071756263173</v>
      </c>
      <c r="S2790" s="4">
        <f t="shared" ca="1" si="252"/>
        <v>-9.5942196982792289</v>
      </c>
    </row>
    <row r="2791" spans="15:19" x14ac:dyDescent="0.2">
      <c r="O2791" s="4">
        <f t="shared" ca="1" si="248"/>
        <v>0.1010345337274684</v>
      </c>
      <c r="P2791" s="4">
        <f t="shared" ca="1" si="249"/>
        <v>-1.2756788516084834</v>
      </c>
      <c r="Q2791" s="4">
        <f t="shared" ca="1" si="250"/>
        <v>1947.3346494344507</v>
      </c>
      <c r="R2791" s="4">
        <f t="shared" ca="1" si="251"/>
        <v>23.664605434450777</v>
      </c>
      <c r="S2791" s="4">
        <f t="shared" ca="1" si="252"/>
        <v>12.207219345839253</v>
      </c>
    </row>
    <row r="2792" spans="15:19" x14ac:dyDescent="0.2">
      <c r="O2792" s="4">
        <f t="shared" ca="1" si="248"/>
        <v>0.82886020617811673</v>
      </c>
      <c r="P2792" s="4">
        <f t="shared" ca="1" si="249"/>
        <v>0.94967072840927602</v>
      </c>
      <c r="Q2792" s="4">
        <f t="shared" ca="1" si="250"/>
        <v>1905.3452590968143</v>
      </c>
      <c r="R2792" s="4">
        <f t="shared" ca="1" si="251"/>
        <v>-18.324784903185673</v>
      </c>
      <c r="S2792" s="4">
        <f t="shared" ca="1" si="252"/>
        <v>-9.1394926807924097</v>
      </c>
    </row>
    <row r="2793" spans="15:19" x14ac:dyDescent="0.2">
      <c r="O2793" s="4">
        <f t="shared" ca="1" si="248"/>
        <v>0.25243252001435401</v>
      </c>
      <c r="P2793" s="4">
        <f t="shared" ca="1" si="249"/>
        <v>-0.66685455731201104</v>
      </c>
      <c r="Q2793" s="4">
        <f t="shared" ca="1" si="250"/>
        <v>1935.8469437859542</v>
      </c>
      <c r="R2793" s="4">
        <f t="shared" ca="1" si="251"/>
        <v>12.17689978595422</v>
      </c>
      <c r="S2793" s="4">
        <f t="shared" ca="1" si="252"/>
        <v>6.2244249013858184</v>
      </c>
    </row>
    <row r="2794" spans="15:19" x14ac:dyDescent="0.2">
      <c r="O2794" s="4">
        <f t="shared" ca="1" si="248"/>
        <v>0.59082531682612571</v>
      </c>
      <c r="P2794" s="4">
        <f t="shared" ca="1" si="249"/>
        <v>0.22966850982604439</v>
      </c>
      <c r="Q2794" s="4">
        <f t="shared" ca="1" si="250"/>
        <v>1918.9307444837054</v>
      </c>
      <c r="R2794" s="4">
        <f t="shared" ca="1" si="251"/>
        <v>-4.7392995162945226</v>
      </c>
      <c r="S2794" s="4">
        <f t="shared" ca="1" si="252"/>
        <v>-2.3899366705811822</v>
      </c>
    </row>
    <row r="2795" spans="15:19" x14ac:dyDescent="0.2">
      <c r="O2795" s="4">
        <f t="shared" ca="1" si="248"/>
        <v>0.72310574343896938</v>
      </c>
      <c r="P2795" s="4">
        <f t="shared" ca="1" si="249"/>
        <v>0.59209270278440629</v>
      </c>
      <c r="Q2795" s="4">
        <f t="shared" ca="1" si="250"/>
        <v>1912.0922814203832</v>
      </c>
      <c r="R2795" s="4">
        <f t="shared" ca="1" si="251"/>
        <v>-11.577762579616774</v>
      </c>
      <c r="S2795" s="4">
        <f t="shared" ca="1" si="252"/>
        <v>-5.8062113949128467</v>
      </c>
    </row>
    <row r="2796" spans="15:19" x14ac:dyDescent="0.2">
      <c r="O2796" s="4">
        <f t="shared" ca="1" si="248"/>
        <v>0.43298221567249606</v>
      </c>
      <c r="P2796" s="4">
        <f t="shared" ca="1" si="249"/>
        <v>-0.16878668569038008</v>
      </c>
      <c r="Q2796" s="4">
        <f t="shared" ca="1" si="250"/>
        <v>1926.4490647003722</v>
      </c>
      <c r="R2796" s="4">
        <f t="shared" ca="1" si="251"/>
        <v>2.7790207003722571</v>
      </c>
      <c r="S2796" s="4">
        <f t="shared" ca="1" si="252"/>
        <v>1.4099112765143362</v>
      </c>
    </row>
    <row r="2797" spans="15:19" x14ac:dyDescent="0.2">
      <c r="O2797" s="4">
        <f t="shared" ca="1" si="248"/>
        <v>0.8563587000880597</v>
      </c>
      <c r="P2797" s="4">
        <f t="shared" ca="1" si="249"/>
        <v>1.0641017684736302</v>
      </c>
      <c r="Q2797" s="4">
        <f t="shared" ca="1" si="250"/>
        <v>1903.1860973852572</v>
      </c>
      <c r="R2797" s="4">
        <f t="shared" ca="1" si="251"/>
        <v>-20.483946614742763</v>
      </c>
      <c r="S2797" s="4">
        <f t="shared" ca="1" si="252"/>
        <v>-10.198371396086625</v>
      </c>
    </row>
    <row r="2798" spans="15:19" x14ac:dyDescent="0.2">
      <c r="O2798" s="4">
        <f t="shared" ca="1" si="248"/>
        <v>0.1022594423826757</v>
      </c>
      <c r="P2798" s="4">
        <f t="shared" ca="1" si="249"/>
        <v>-1.2687818373215962</v>
      </c>
      <c r="Q2798" s="4">
        <f t="shared" ca="1" si="250"/>
        <v>1947.2045119371085</v>
      </c>
      <c r="R2798" s="4">
        <f t="shared" ca="1" si="251"/>
        <v>23.534467937108502</v>
      </c>
      <c r="S2798" s="4">
        <f t="shared" ca="1" si="252"/>
        <v>12.138842100490926</v>
      </c>
    </row>
    <row r="2799" spans="15:19" x14ac:dyDescent="0.2">
      <c r="O2799" s="4">
        <f t="shared" ca="1" si="248"/>
        <v>0.21733181602740304</v>
      </c>
      <c r="P2799" s="4">
        <f t="shared" ca="1" si="249"/>
        <v>-0.78123612218537064</v>
      </c>
      <c r="Q2799" s="4">
        <f t="shared" ca="1" si="250"/>
        <v>1938.0051719663816</v>
      </c>
      <c r="R2799" s="4">
        <f t="shared" ca="1" si="251"/>
        <v>14.335127966381606</v>
      </c>
      <c r="S2799" s="4">
        <f t="shared" ca="1" si="252"/>
        <v>7.3402332421906857</v>
      </c>
    </row>
    <row r="2800" spans="15:19" x14ac:dyDescent="0.2">
      <c r="O2800" s="4">
        <f t="shared" ca="1" si="248"/>
        <v>0.76304327561723251</v>
      </c>
      <c r="P2800" s="4">
        <f t="shared" ca="1" si="249"/>
        <v>0.71612616522817996</v>
      </c>
      <c r="Q2800" s="4">
        <f t="shared" ca="1" si="250"/>
        <v>1909.751934754742</v>
      </c>
      <c r="R2800" s="4">
        <f t="shared" ca="1" si="251"/>
        <v>-13.918109245257938</v>
      </c>
      <c r="S2800" s="4">
        <f t="shared" ca="1" si="252"/>
        <v>-6.9666283141967096</v>
      </c>
    </row>
    <row r="2801" spans="15:19" x14ac:dyDescent="0.2">
      <c r="O2801" s="4">
        <f t="shared" ca="1" si="248"/>
        <v>0.25941340742266983</v>
      </c>
      <c r="P2801" s="4">
        <f t="shared" ca="1" si="249"/>
        <v>-0.64515489164019302</v>
      </c>
      <c r="Q2801" s="4">
        <f t="shared" ca="1" si="250"/>
        <v>1935.4374999213712</v>
      </c>
      <c r="R2801" s="4">
        <f t="shared" ca="1" si="251"/>
        <v>11.767455921371266</v>
      </c>
      <c r="S2801" s="4">
        <f t="shared" ca="1" si="252"/>
        <v>6.0131695530888942</v>
      </c>
    </row>
    <row r="2802" spans="15:19" x14ac:dyDescent="0.2">
      <c r="O2802" s="4">
        <f t="shared" ca="1" si="248"/>
        <v>0.89163758379320068</v>
      </c>
      <c r="P2802" s="4">
        <f t="shared" ca="1" si="249"/>
        <v>1.2352839836270115</v>
      </c>
      <c r="Q2802" s="4">
        <f t="shared" ca="1" si="250"/>
        <v>1899.9561163901458</v>
      </c>
      <c r="R2802" s="4">
        <f t="shared" ca="1" si="251"/>
        <v>-23.713927609854181</v>
      </c>
      <c r="S2802" s="4">
        <f t="shared" ca="1" si="252"/>
        <v>-11.775306905058883</v>
      </c>
    </row>
    <row r="2803" spans="15:19" x14ac:dyDescent="0.2">
      <c r="O2803" s="4">
        <f t="shared" ca="1" si="248"/>
        <v>0.97274734839156962</v>
      </c>
      <c r="P2803" s="4">
        <f t="shared" ca="1" si="249"/>
        <v>1.922798956416176</v>
      </c>
      <c r="Q2803" s="4">
        <f t="shared" ca="1" si="250"/>
        <v>1886.9836221741209</v>
      </c>
      <c r="R2803" s="4">
        <f t="shared" ca="1" si="251"/>
        <v>-36.686421825879052</v>
      </c>
      <c r="S2803" s="4">
        <f t="shared" ca="1" si="252"/>
        <v>-18.023154224448724</v>
      </c>
    </row>
    <row r="2804" spans="15:19" x14ac:dyDescent="0.2">
      <c r="O2804" s="4">
        <f t="shared" ca="1" si="248"/>
        <v>0.79056967070315809</v>
      </c>
      <c r="P2804" s="4">
        <f t="shared" ca="1" si="249"/>
        <v>0.80839946718245925</v>
      </c>
      <c r="Q2804" s="4">
        <f t="shared" ca="1" si="250"/>
        <v>1908.0108601261572</v>
      </c>
      <c r="R2804" s="4">
        <f t="shared" ca="1" si="251"/>
        <v>-15.659183873842721</v>
      </c>
      <c r="S2804" s="4">
        <f t="shared" ca="1" si="252"/>
        <v>-7.8270147962052459</v>
      </c>
    </row>
    <row r="2805" spans="15:19" x14ac:dyDescent="0.2">
      <c r="O2805" s="4">
        <f t="shared" ca="1" si="248"/>
        <v>0.42734499226322953</v>
      </c>
      <c r="P2805" s="4">
        <f t="shared" ca="1" si="249"/>
        <v>-0.18313768869289135</v>
      </c>
      <c r="Q2805" s="4">
        <f t="shared" ca="1" si="250"/>
        <v>1926.7198490626226</v>
      </c>
      <c r="R2805" s="4">
        <f t="shared" ca="1" si="251"/>
        <v>3.0498050626226814</v>
      </c>
      <c r="S2805" s="4">
        <f t="shared" ca="1" si="252"/>
        <v>1.5476274726863257</v>
      </c>
    </row>
    <row r="2806" spans="15:19" x14ac:dyDescent="0.2">
      <c r="O2806" s="4">
        <f t="shared" ca="1" si="248"/>
        <v>0.44604328493059475</v>
      </c>
      <c r="P2806" s="4">
        <f t="shared" ca="1" si="249"/>
        <v>-0.1356644281940706</v>
      </c>
      <c r="Q2806" s="4">
        <f t="shared" ca="1" si="250"/>
        <v>1925.8240917022581</v>
      </c>
      <c r="R2806" s="4">
        <f t="shared" ca="1" si="251"/>
        <v>2.1540477022581399</v>
      </c>
      <c r="S2806" s="4">
        <f t="shared" ca="1" si="252"/>
        <v>1.0922888148305783</v>
      </c>
    </row>
    <row r="2807" spans="15:19" x14ac:dyDescent="0.2">
      <c r="O2807" s="4">
        <f t="shared" ca="1" si="248"/>
        <v>0.38199942089284178</v>
      </c>
      <c r="P2807" s="4">
        <f t="shared" ca="1" si="249"/>
        <v>-0.30023377790762473</v>
      </c>
      <c r="Q2807" s="4">
        <f t="shared" ca="1" si="250"/>
        <v>1928.9292967112967</v>
      </c>
      <c r="R2807" s="4">
        <f t="shared" ca="1" si="251"/>
        <v>5.2592527112967673</v>
      </c>
      <c r="S2807" s="4">
        <f t="shared" ca="1" si="252"/>
        <v>2.673544664913226</v>
      </c>
    </row>
    <row r="2808" spans="15:19" x14ac:dyDescent="0.2">
      <c r="O2808" s="4">
        <f t="shared" ca="1" si="248"/>
        <v>0.35751198929833861</v>
      </c>
      <c r="P2808" s="4">
        <f t="shared" ca="1" si="249"/>
        <v>-0.3651171244233497</v>
      </c>
      <c r="Q2808" s="4">
        <f t="shared" ca="1" si="250"/>
        <v>1930.1535592665932</v>
      </c>
      <c r="R2808" s="4">
        <f t="shared" ca="1" si="251"/>
        <v>6.4835152665932583</v>
      </c>
      <c r="S2808" s="4">
        <f t="shared" ca="1" si="252"/>
        <v>3.2991304832156634</v>
      </c>
    </row>
    <row r="2809" spans="15:19" x14ac:dyDescent="0.2">
      <c r="O2809" s="4">
        <f t="shared" ca="1" si="248"/>
        <v>0.59783743986776494</v>
      </c>
      <c r="P2809" s="4">
        <f t="shared" ca="1" si="249"/>
        <v>0.24775351900235815</v>
      </c>
      <c r="Q2809" s="4">
        <f t="shared" ca="1" si="250"/>
        <v>1918.5895043853484</v>
      </c>
      <c r="R2809" s="4">
        <f t="shared" ca="1" si="251"/>
        <v>-5.0805396146515704</v>
      </c>
      <c r="S2809" s="4">
        <f t="shared" ca="1" si="252"/>
        <v>-2.5613116932054787</v>
      </c>
    </row>
    <row r="2810" spans="15:19" x14ac:dyDescent="0.2">
      <c r="O2810" s="4">
        <f t="shared" ca="1" si="248"/>
        <v>0.4782223246043138</v>
      </c>
      <c r="P2810" s="4">
        <f t="shared" ca="1" si="249"/>
        <v>-5.4615676688333253E-2</v>
      </c>
      <c r="Q2810" s="4">
        <f t="shared" ca="1" si="250"/>
        <v>1924.2948094295261</v>
      </c>
      <c r="R2810" s="4">
        <f t="shared" ca="1" si="251"/>
        <v>0.6247654295261782</v>
      </c>
      <c r="S2810" s="4">
        <f t="shared" ca="1" si="252"/>
        <v>0.31642127202513604</v>
      </c>
    </row>
    <row r="2811" spans="15:19" x14ac:dyDescent="0.2">
      <c r="O2811" s="4">
        <f t="shared" ca="1" si="248"/>
        <v>0.41994769822739841</v>
      </c>
      <c r="P2811" s="4">
        <f t="shared" ca="1" si="249"/>
        <v>-0.20202728136927478</v>
      </c>
      <c r="Q2811" s="4">
        <f t="shared" ca="1" si="250"/>
        <v>1927.0762705827872</v>
      </c>
      <c r="R2811" s="4">
        <f t="shared" ca="1" si="251"/>
        <v>3.4062265827872125</v>
      </c>
      <c r="S2811" s="4">
        <f t="shared" ca="1" si="252"/>
        <v>1.7289882315274681</v>
      </c>
    </row>
    <row r="2812" spans="15:19" x14ac:dyDescent="0.2">
      <c r="O2812" s="4">
        <f t="shared" ca="1" si="248"/>
        <v>0.45225439628768538</v>
      </c>
      <c r="P2812" s="4">
        <f t="shared" ca="1" si="249"/>
        <v>-0.11996762705385443</v>
      </c>
      <c r="Q2812" s="4">
        <f t="shared" ca="1" si="250"/>
        <v>1925.5279139169577</v>
      </c>
      <c r="R2812" s="4">
        <f t="shared" ca="1" si="251"/>
        <v>1.8578699169577249</v>
      </c>
      <c r="S2812" s="4">
        <f t="shared" ca="1" si="252"/>
        <v>0.94187702258502692</v>
      </c>
    </row>
    <row r="2813" spans="15:19" x14ac:dyDescent="0.2">
      <c r="O2813" s="4">
        <f t="shared" ca="1" si="248"/>
        <v>0.64774004939498719</v>
      </c>
      <c r="P2813" s="4">
        <f t="shared" ca="1" si="249"/>
        <v>0.37922619472798702</v>
      </c>
      <c r="Q2813" s="4">
        <f t="shared" ca="1" si="250"/>
        <v>1916.1087896476072</v>
      </c>
      <c r="R2813" s="4">
        <f t="shared" ca="1" si="251"/>
        <v>-7.5612543523927798</v>
      </c>
      <c r="S2813" s="4">
        <f t="shared" ca="1" si="252"/>
        <v>-3.804307822215605</v>
      </c>
    </row>
    <row r="2814" spans="15:19" x14ac:dyDescent="0.2">
      <c r="O2814" s="4">
        <f t="shared" ca="1" si="248"/>
        <v>0.94174926666844783</v>
      </c>
      <c r="P2814" s="4">
        <f t="shared" ca="1" si="249"/>
        <v>1.5696289186765338</v>
      </c>
      <c r="Q2814" s="4">
        <f t="shared" ca="1" si="250"/>
        <v>1893.6474716220309</v>
      </c>
      <c r="R2814" s="4">
        <f t="shared" ca="1" si="251"/>
        <v>-30.022572377969027</v>
      </c>
      <c r="S2814" s="4">
        <f t="shared" ca="1" si="252"/>
        <v>-14.830806384195384</v>
      </c>
    </row>
    <row r="2815" spans="15:19" x14ac:dyDescent="0.2">
      <c r="O2815" s="4">
        <f t="shared" ca="1" si="248"/>
        <v>0.69819564059317929</v>
      </c>
      <c r="P2815" s="4">
        <f t="shared" ca="1" si="249"/>
        <v>0.51921801340617257</v>
      </c>
      <c r="Q2815" s="4">
        <f t="shared" ca="1" si="250"/>
        <v>1913.4673299994977</v>
      </c>
      <c r="R2815" s="4">
        <f t="shared" ca="1" si="251"/>
        <v>-10.202714000502283</v>
      </c>
      <c r="S2815" s="4">
        <f t="shared" ca="1" si="252"/>
        <v>-5.1223397387936576</v>
      </c>
    </row>
    <row r="2816" spans="15:19" x14ac:dyDescent="0.2">
      <c r="O2816" s="4">
        <f t="shared" ca="1" si="248"/>
        <v>0.11529087212770661</v>
      </c>
      <c r="P2816" s="4">
        <f t="shared" ca="1" si="249"/>
        <v>-1.1988616540688382</v>
      </c>
      <c r="Q2816" s="4">
        <f t="shared" ca="1" si="250"/>
        <v>1945.8852109637055</v>
      </c>
      <c r="R2816" s="4">
        <f t="shared" ca="1" si="251"/>
        <v>22.215166963705542</v>
      </c>
      <c r="S2816" s="4">
        <f t="shared" ca="1" si="252"/>
        <v>11.446429329123356</v>
      </c>
    </row>
    <row r="2817" spans="15:19" x14ac:dyDescent="0.2">
      <c r="O2817" s="4">
        <f t="shared" ca="1" si="248"/>
        <v>0.15473907998129566</v>
      </c>
      <c r="P2817" s="4">
        <f t="shared" ca="1" si="249"/>
        <v>-1.0163176213669267</v>
      </c>
      <c r="Q2817" s="4">
        <f t="shared" ca="1" si="250"/>
        <v>1942.440847564915</v>
      </c>
      <c r="R2817" s="4">
        <f t="shared" ca="1" si="251"/>
        <v>18.770803564915013</v>
      </c>
      <c r="S2817" s="4">
        <f t="shared" ca="1" si="252"/>
        <v>9.6453926420669855</v>
      </c>
    </row>
    <row r="2818" spans="15:19" x14ac:dyDescent="0.2">
      <c r="O2818" s="4">
        <f t="shared" ca="1" si="248"/>
        <v>0.166751619524656</v>
      </c>
      <c r="P2818" s="4">
        <f t="shared" ca="1" si="249"/>
        <v>-0.9670816078433534</v>
      </c>
      <c r="Q2818" s="4">
        <f t="shared" ca="1" si="250"/>
        <v>1941.5118293966798</v>
      </c>
      <c r="R2818" s="4">
        <f t="shared" ca="1" si="251"/>
        <v>17.841785396679825</v>
      </c>
      <c r="S2818" s="4">
        <f t="shared" ca="1" si="252"/>
        <v>9.1612685905788762</v>
      </c>
    </row>
    <row r="2819" spans="15:19" x14ac:dyDescent="0.2">
      <c r="O2819" s="4">
        <f t="shared" ref="O2819:O2882" ca="1" si="253">RAND()</f>
        <v>5.7666265966086705E-2</v>
      </c>
      <c r="P2819" s="4">
        <f t="shared" ref="P2819:P2882" ca="1" si="254">NORMSINV(O2819)</f>
        <v>-1.5746704504393931</v>
      </c>
      <c r="Q2819" s="4">
        <f t="shared" ref="Q2819:Q2882" ca="1" si="255">$B$4*(1+$B$17-$B$32*P2819)</f>
        <v>1952.9762237128098</v>
      </c>
      <c r="R2819" s="4">
        <f t="shared" ref="R2819:R2882" ca="1" si="256">Q2819-$B$4</f>
        <v>29.306179712809808</v>
      </c>
      <c r="S2819" s="4">
        <f t="shared" ref="S2819:S2882" ca="1" si="257">R2819*$B$12+0.5*$B$13*R2819^2</f>
        <v>15.184687509482664</v>
      </c>
    </row>
    <row r="2820" spans="15:19" x14ac:dyDescent="0.2">
      <c r="O2820" s="4">
        <f t="shared" ca="1" si="253"/>
        <v>0.83721059532787834</v>
      </c>
      <c r="P2820" s="4">
        <f t="shared" ca="1" si="254"/>
        <v>0.9830581714994846</v>
      </c>
      <c r="Q2820" s="4">
        <f t="shared" ca="1" si="255"/>
        <v>1904.7152823988256</v>
      </c>
      <c r="R2820" s="4">
        <f t="shared" ca="1" si="256"/>
        <v>-18.954761601174368</v>
      </c>
      <c r="S2820" s="4">
        <f t="shared" ca="1" si="257"/>
        <v>-9.4488329351301772</v>
      </c>
    </row>
    <row r="2821" spans="15:19" x14ac:dyDescent="0.2">
      <c r="O2821" s="4">
        <f t="shared" ca="1" si="253"/>
        <v>0.93031527721716956</v>
      </c>
      <c r="P2821" s="4">
        <f t="shared" ca="1" si="254"/>
        <v>1.4781432285952885</v>
      </c>
      <c r="Q2821" s="4">
        <f t="shared" ca="1" si="255"/>
        <v>1895.3736850608645</v>
      </c>
      <c r="R2821" s="4">
        <f t="shared" ca="1" si="256"/>
        <v>-28.296358939135416</v>
      </c>
      <c r="S2821" s="4">
        <f t="shared" ca="1" si="257"/>
        <v>-13.997960268030706</v>
      </c>
    </row>
    <row r="2822" spans="15:19" x14ac:dyDescent="0.2">
      <c r="O2822" s="4">
        <f t="shared" ca="1" si="253"/>
        <v>0.84849568240788442</v>
      </c>
      <c r="P2822" s="4">
        <f t="shared" ca="1" si="254"/>
        <v>1.0300029192887841</v>
      </c>
      <c r="Q2822" s="4">
        <f t="shared" ca="1" si="255"/>
        <v>1903.8294973711936</v>
      </c>
      <c r="R2822" s="4">
        <f t="shared" ca="1" si="256"/>
        <v>-19.840546628806351</v>
      </c>
      <c r="S2822" s="4">
        <f t="shared" ca="1" si="257"/>
        <v>-9.8832373420128601</v>
      </c>
    </row>
    <row r="2823" spans="15:19" x14ac:dyDescent="0.2">
      <c r="O2823" s="4">
        <f t="shared" ca="1" si="253"/>
        <v>0.19077563532430208</v>
      </c>
      <c r="P2823" s="4">
        <f t="shared" ca="1" si="254"/>
        <v>-0.87504160090519933</v>
      </c>
      <c r="Q2823" s="4">
        <f t="shared" ca="1" si="255"/>
        <v>1939.7751567351318</v>
      </c>
      <c r="R2823" s="4">
        <f t="shared" ca="1" si="256"/>
        <v>16.105112735131797</v>
      </c>
      <c r="S2823" s="4">
        <f t="shared" ca="1" si="257"/>
        <v>8.2581492550585267</v>
      </c>
    </row>
    <row r="2824" spans="15:19" x14ac:dyDescent="0.2">
      <c r="O2824" s="4">
        <f t="shared" ca="1" si="253"/>
        <v>0.67580965030923223</v>
      </c>
      <c r="P2824" s="4">
        <f t="shared" ca="1" si="254"/>
        <v>0.45601290349464824</v>
      </c>
      <c r="Q2824" s="4">
        <f t="shared" ca="1" si="255"/>
        <v>1914.659926459505</v>
      </c>
      <c r="R2824" s="4">
        <f t="shared" ca="1" si="256"/>
        <v>-9.0101175404950027</v>
      </c>
      <c r="S2824" s="4">
        <f t="shared" ca="1" si="257"/>
        <v>-4.5279629695854915</v>
      </c>
    </row>
    <row r="2825" spans="15:19" x14ac:dyDescent="0.2">
      <c r="O2825" s="4">
        <f t="shared" ca="1" si="253"/>
        <v>0.50165228345458435</v>
      </c>
      <c r="P2825" s="4">
        <f t="shared" ca="1" si="254"/>
        <v>4.1416722655964163E-3</v>
      </c>
      <c r="Q2825" s="4">
        <f t="shared" ca="1" si="255"/>
        <v>1923.1861363102171</v>
      </c>
      <c r="R2825" s="4">
        <f t="shared" ca="1" si="256"/>
        <v>-0.48390768978288179</v>
      </c>
      <c r="S2825" s="4">
        <f t="shared" ca="1" si="257"/>
        <v>-0.2448634903603476</v>
      </c>
    </row>
    <row r="2826" spans="15:19" x14ac:dyDescent="0.2">
      <c r="O2826" s="4">
        <f t="shared" ca="1" si="253"/>
        <v>0.65238653754986753</v>
      </c>
      <c r="P2826" s="4">
        <f t="shared" ca="1" si="254"/>
        <v>0.39177167583794409</v>
      </c>
      <c r="Q2826" s="4">
        <f t="shared" ca="1" si="255"/>
        <v>1915.8720730849466</v>
      </c>
      <c r="R2826" s="4">
        <f t="shared" ca="1" si="256"/>
        <v>-7.7979709150533836</v>
      </c>
      <c r="S2826" s="4">
        <f t="shared" ca="1" si="257"/>
        <v>-3.9226560494757652</v>
      </c>
    </row>
    <row r="2827" spans="15:19" x14ac:dyDescent="0.2">
      <c r="O2827" s="4">
        <f t="shared" ca="1" si="253"/>
        <v>0.49021947066627136</v>
      </c>
      <c r="P2827" s="4">
        <f t="shared" ca="1" si="254"/>
        <v>-2.4518607757003878E-2</v>
      </c>
      <c r="Q2827" s="4">
        <f t="shared" ca="1" si="255"/>
        <v>1923.7269177208595</v>
      </c>
      <c r="R2827" s="4">
        <f t="shared" ca="1" si="256"/>
        <v>5.6873720859584864E-2</v>
      </c>
      <c r="S2827" s="4">
        <f t="shared" ca="1" si="257"/>
        <v>2.8791351286149926E-2</v>
      </c>
    </row>
    <row r="2828" spans="15:19" x14ac:dyDescent="0.2">
      <c r="O2828" s="4">
        <f t="shared" ca="1" si="253"/>
        <v>0.35494249753604434</v>
      </c>
      <c r="P2828" s="4">
        <f t="shared" ca="1" si="254"/>
        <v>-0.37201054913271747</v>
      </c>
      <c r="Q2828" s="4">
        <f t="shared" ca="1" si="255"/>
        <v>1930.2836290333769</v>
      </c>
      <c r="R2828" s="4">
        <f t="shared" ca="1" si="256"/>
        <v>6.6135850333769213</v>
      </c>
      <c r="S2828" s="4">
        <f t="shared" ca="1" si="257"/>
        <v>3.3656665305812958</v>
      </c>
    </row>
    <row r="2829" spans="15:19" x14ac:dyDescent="0.2">
      <c r="O2829" s="4">
        <f t="shared" ca="1" si="253"/>
        <v>0.87508563086313829</v>
      </c>
      <c r="P2829" s="4">
        <f t="shared" ca="1" si="254"/>
        <v>1.1507654595182799</v>
      </c>
      <c r="Q2829" s="4">
        <f t="shared" ca="1" si="255"/>
        <v>1901.550868662521</v>
      </c>
      <c r="R2829" s="4">
        <f t="shared" ca="1" si="256"/>
        <v>-22.119175337478964</v>
      </c>
      <c r="S2829" s="4">
        <f t="shared" ca="1" si="257"/>
        <v>-10.997781369358425</v>
      </c>
    </row>
    <row r="2830" spans="15:19" x14ac:dyDescent="0.2">
      <c r="O2830" s="4">
        <f t="shared" ca="1" si="253"/>
        <v>0.44115073802631921</v>
      </c>
      <c r="P2830" s="4">
        <f t="shared" ca="1" si="254"/>
        <v>-0.14805232219152045</v>
      </c>
      <c r="Q2830" s="4">
        <f t="shared" ca="1" si="255"/>
        <v>1926.0578348054498</v>
      </c>
      <c r="R2830" s="4">
        <f t="shared" ca="1" si="256"/>
        <v>2.3877908054498675</v>
      </c>
      <c r="S2830" s="4">
        <f t="shared" ca="1" si="257"/>
        <v>1.2110440173842685</v>
      </c>
    </row>
    <row r="2831" spans="15:19" x14ac:dyDescent="0.2">
      <c r="O2831" s="4">
        <f t="shared" ca="1" si="253"/>
        <v>0.83355412548507346</v>
      </c>
      <c r="P2831" s="4">
        <f t="shared" ca="1" si="254"/>
        <v>0.96830563967003824</v>
      </c>
      <c r="Q2831" s="4">
        <f t="shared" ca="1" si="255"/>
        <v>1904.9936430766343</v>
      </c>
      <c r="R2831" s="4">
        <f t="shared" ca="1" si="256"/>
        <v>-18.676400923365691</v>
      </c>
      <c r="S2831" s="4">
        <f t="shared" ca="1" si="257"/>
        <v>-9.3121880982630998</v>
      </c>
    </row>
    <row r="2832" spans="15:19" x14ac:dyDescent="0.2">
      <c r="O2832" s="4">
        <f t="shared" ca="1" si="253"/>
        <v>8.827323613253113E-3</v>
      </c>
      <c r="P2832" s="4">
        <f t="shared" ca="1" si="254"/>
        <v>-2.372782696025741</v>
      </c>
      <c r="Q2832" s="4">
        <f t="shared" ca="1" si="255"/>
        <v>1968.0355415449797</v>
      </c>
      <c r="R2832" s="4">
        <f t="shared" ca="1" si="256"/>
        <v>44.365497544979689</v>
      </c>
      <c r="S2832" s="4">
        <f t="shared" ca="1" si="257"/>
        <v>23.259482700520039</v>
      </c>
    </row>
    <row r="2833" spans="15:19" x14ac:dyDescent="0.2">
      <c r="O2833" s="4">
        <f t="shared" ca="1" si="253"/>
        <v>0.27642246520933189</v>
      </c>
      <c r="P2833" s="4">
        <f t="shared" ca="1" si="254"/>
        <v>-0.59350247005370382</v>
      </c>
      <c r="Q2833" s="4">
        <f t="shared" ca="1" si="255"/>
        <v>1934.4628873430356</v>
      </c>
      <c r="R2833" s="4">
        <f t="shared" ca="1" si="256"/>
        <v>10.792843343035656</v>
      </c>
      <c r="S2833" s="4">
        <f t="shared" ca="1" si="257"/>
        <v>5.5108606641593409</v>
      </c>
    </row>
    <row r="2834" spans="15:19" x14ac:dyDescent="0.2">
      <c r="O2834" s="4">
        <f t="shared" ca="1" si="253"/>
        <v>0.55464988645042801</v>
      </c>
      <c r="P2834" s="4">
        <f t="shared" ca="1" si="254"/>
        <v>0.13741822390808148</v>
      </c>
      <c r="Q2834" s="4">
        <f t="shared" ca="1" si="255"/>
        <v>1920.6713848302604</v>
      </c>
      <c r="R2834" s="4">
        <f t="shared" ca="1" si="256"/>
        <v>-2.9986591697395397</v>
      </c>
      <c r="S2834" s="4">
        <f t="shared" ca="1" si="257"/>
        <v>-1.5142902944061971</v>
      </c>
    </row>
    <row r="2835" spans="15:19" x14ac:dyDescent="0.2">
      <c r="O2835" s="4">
        <f t="shared" ca="1" si="253"/>
        <v>0.9899292291510573</v>
      </c>
      <c r="P2835" s="4">
        <f t="shared" ca="1" si="254"/>
        <v>2.3237006856383804</v>
      </c>
      <c r="Q2835" s="4">
        <f t="shared" ca="1" si="255"/>
        <v>1879.4191391164927</v>
      </c>
      <c r="R2835" s="4">
        <f t="shared" ca="1" si="256"/>
        <v>-44.250904883507246</v>
      </c>
      <c r="S2835" s="4">
        <f t="shared" ca="1" si="257"/>
        <v>-21.603141900323585</v>
      </c>
    </row>
    <row r="2836" spans="15:19" x14ac:dyDescent="0.2">
      <c r="O2836" s="4">
        <f t="shared" ca="1" si="253"/>
        <v>0.61282955654298588</v>
      </c>
      <c r="P2836" s="4">
        <f t="shared" ca="1" si="254"/>
        <v>0.28670150266135047</v>
      </c>
      <c r="Q2836" s="4">
        <f t="shared" ca="1" si="255"/>
        <v>1917.8546076736561</v>
      </c>
      <c r="R2836" s="4">
        <f t="shared" ca="1" si="256"/>
        <v>-5.8154363263438427</v>
      </c>
      <c r="S2836" s="4">
        <f t="shared" ca="1" si="257"/>
        <v>-2.9300640339145092</v>
      </c>
    </row>
    <row r="2837" spans="15:19" x14ac:dyDescent="0.2">
      <c r="O2837" s="4">
        <f t="shared" ca="1" si="253"/>
        <v>0.55862022429165215</v>
      </c>
      <c r="P2837" s="4">
        <f t="shared" ca="1" si="254"/>
        <v>0.14747190803677487</v>
      </c>
      <c r="Q2837" s="4">
        <f t="shared" ca="1" si="255"/>
        <v>1920.4816851664405</v>
      </c>
      <c r="R2837" s="4">
        <f t="shared" ca="1" si="256"/>
        <v>-3.188358833559505</v>
      </c>
      <c r="S2837" s="4">
        <f t="shared" ca="1" si="257"/>
        <v>-1.6098403552528515</v>
      </c>
    </row>
    <row r="2838" spans="15:19" x14ac:dyDescent="0.2">
      <c r="O2838" s="4">
        <f t="shared" ca="1" si="253"/>
        <v>0.8755145090798836</v>
      </c>
      <c r="P2838" s="4">
        <f t="shared" ca="1" si="254"/>
        <v>1.1528523770010095</v>
      </c>
      <c r="Q2838" s="4">
        <f t="shared" ca="1" si="255"/>
        <v>1901.5114913019609</v>
      </c>
      <c r="R2838" s="4">
        <f t="shared" ca="1" si="256"/>
        <v>-22.158552698039102</v>
      </c>
      <c r="S2838" s="4">
        <f t="shared" ca="1" si="257"/>
        <v>-11.017004833468569</v>
      </c>
    </row>
    <row r="2839" spans="15:19" x14ac:dyDescent="0.2">
      <c r="O2839" s="4">
        <f t="shared" ca="1" si="253"/>
        <v>0.6294251022638232</v>
      </c>
      <c r="P2839" s="4">
        <f t="shared" ca="1" si="254"/>
        <v>0.3303311009398851</v>
      </c>
      <c r="Q2839" s="4">
        <f t="shared" ca="1" si="255"/>
        <v>1917.0313751133242</v>
      </c>
      <c r="R2839" s="4">
        <f t="shared" ca="1" si="256"/>
        <v>-6.6386688866757595</v>
      </c>
      <c r="S2839" s="4">
        <f t="shared" ca="1" si="257"/>
        <v>-3.3426188913512482</v>
      </c>
    </row>
    <row r="2840" spans="15:19" x14ac:dyDescent="0.2">
      <c r="O2840" s="4">
        <f t="shared" ca="1" si="253"/>
        <v>0.35686318520887372</v>
      </c>
      <c r="P2840" s="4">
        <f t="shared" ca="1" si="254"/>
        <v>-0.36685608448105489</v>
      </c>
      <c r="Q2840" s="4">
        <f t="shared" ca="1" si="255"/>
        <v>1930.1863711327828</v>
      </c>
      <c r="R2840" s="4">
        <f t="shared" ca="1" si="256"/>
        <v>6.5163271327828625</v>
      </c>
      <c r="S2840" s="4">
        <f t="shared" ca="1" si="257"/>
        <v>3.3159138062774836</v>
      </c>
    </row>
    <row r="2841" spans="15:19" x14ac:dyDescent="0.2">
      <c r="O2841" s="4">
        <f t="shared" ca="1" si="253"/>
        <v>0.50883472067214497</v>
      </c>
      <c r="P2841" s="4">
        <f t="shared" ca="1" si="254"/>
        <v>2.214717102290294E-2</v>
      </c>
      <c r="Q2841" s="4">
        <f t="shared" ca="1" si="255"/>
        <v>1922.8463964678422</v>
      </c>
      <c r="R2841" s="4">
        <f t="shared" ca="1" si="256"/>
        <v>-0.82364753215779274</v>
      </c>
      <c r="S2841" s="4">
        <f t="shared" ca="1" si="257"/>
        <v>-0.41666229449587711</v>
      </c>
    </row>
    <row r="2842" spans="15:19" x14ac:dyDescent="0.2">
      <c r="O2842" s="4">
        <f t="shared" ca="1" si="253"/>
        <v>0.41969857581746906</v>
      </c>
      <c r="P2842" s="4">
        <f t="shared" ca="1" si="254"/>
        <v>-0.20266465426416697</v>
      </c>
      <c r="Q2842" s="4">
        <f t="shared" ca="1" si="255"/>
        <v>1927.0882969626039</v>
      </c>
      <c r="R2842" s="4">
        <f t="shared" ca="1" si="256"/>
        <v>3.4182529626039013</v>
      </c>
      <c r="S2842" s="4">
        <f t="shared" ca="1" si="257"/>
        <v>1.7351095124992539</v>
      </c>
    </row>
    <row r="2843" spans="15:19" x14ac:dyDescent="0.2">
      <c r="O2843" s="4">
        <f t="shared" ca="1" si="253"/>
        <v>0.14509968215653712</v>
      </c>
      <c r="P2843" s="4">
        <f t="shared" ca="1" si="254"/>
        <v>-1.0576843679126495</v>
      </c>
      <c r="Q2843" s="4">
        <f t="shared" ca="1" si="255"/>
        <v>1943.2213831191054</v>
      </c>
      <c r="R2843" s="4">
        <f t="shared" ca="1" si="256"/>
        <v>19.551339119105478</v>
      </c>
      <c r="S2843" s="4">
        <f t="shared" ca="1" si="257"/>
        <v>10.05268355605123</v>
      </c>
    </row>
    <row r="2844" spans="15:19" x14ac:dyDescent="0.2">
      <c r="O2844" s="4">
        <f t="shared" ca="1" si="253"/>
        <v>0.67278140112953866</v>
      </c>
      <c r="P2844" s="4">
        <f t="shared" ca="1" si="254"/>
        <v>0.44760651872987606</v>
      </c>
      <c r="Q2844" s="4">
        <f t="shared" ca="1" si="255"/>
        <v>1914.8185437726615</v>
      </c>
      <c r="R2844" s="4">
        <f t="shared" ca="1" si="256"/>
        <v>-8.8515002273384198</v>
      </c>
      <c r="S2844" s="4">
        <f t="shared" ca="1" si="257"/>
        <v>-4.4488226250120615</v>
      </c>
    </row>
    <row r="2845" spans="15:19" x14ac:dyDescent="0.2">
      <c r="O2845" s="4">
        <f t="shared" ca="1" si="253"/>
        <v>0.91513534819591758</v>
      </c>
      <c r="P2845" s="4">
        <f t="shared" ca="1" si="254"/>
        <v>1.3730741264748179</v>
      </c>
      <c r="Q2845" s="4">
        <f t="shared" ca="1" si="255"/>
        <v>1897.3561994401675</v>
      </c>
      <c r="R2845" s="4">
        <f t="shared" ca="1" si="256"/>
        <v>-26.313844559832432</v>
      </c>
      <c r="S2845" s="4">
        <f t="shared" ca="1" si="257"/>
        <v>-13.038463629519207</v>
      </c>
    </row>
    <row r="2846" spans="15:19" x14ac:dyDescent="0.2">
      <c r="O2846" s="4">
        <f t="shared" ca="1" si="253"/>
        <v>0.8686309232650602</v>
      </c>
      <c r="P2846" s="4">
        <f t="shared" ca="1" si="254"/>
        <v>1.1199427636450243</v>
      </c>
      <c r="Q2846" s="4">
        <f t="shared" ca="1" si="255"/>
        <v>1902.1324519876316</v>
      </c>
      <c r="R2846" s="4">
        <f t="shared" ca="1" si="256"/>
        <v>-21.53759201236835</v>
      </c>
      <c r="S2846" s="4">
        <f t="shared" ca="1" si="257"/>
        <v>-10.713713700781382</v>
      </c>
    </row>
    <row r="2847" spans="15:19" x14ac:dyDescent="0.2">
      <c r="O2847" s="4">
        <f t="shared" ca="1" si="253"/>
        <v>0.93015128497529753</v>
      </c>
      <c r="P2847" s="4">
        <f t="shared" ca="1" si="254"/>
        <v>1.4769187058395985</v>
      </c>
      <c r="Q2847" s="4">
        <f t="shared" ca="1" si="255"/>
        <v>1895.3967901785627</v>
      </c>
      <c r="R2847" s="4">
        <f t="shared" ca="1" si="256"/>
        <v>-28.273253821437265</v>
      </c>
      <c r="S2847" s="4">
        <f t="shared" ca="1" si="257"/>
        <v>-13.9867962899781</v>
      </c>
    </row>
    <row r="2848" spans="15:19" x14ac:dyDescent="0.2">
      <c r="O2848" s="4">
        <f t="shared" ca="1" si="253"/>
        <v>0.3205034754375069</v>
      </c>
      <c r="P2848" s="4">
        <f t="shared" ca="1" si="254"/>
        <v>-0.46629137600259174</v>
      </c>
      <c r="Q2848" s="4">
        <f t="shared" ca="1" si="255"/>
        <v>1932.0625829902481</v>
      </c>
      <c r="R2848" s="4">
        <f t="shared" ca="1" si="256"/>
        <v>8.3925389902481129</v>
      </c>
      <c r="S2848" s="4">
        <f t="shared" ca="1" si="257"/>
        <v>4.2770572441399191</v>
      </c>
    </row>
    <row r="2849" spans="15:19" x14ac:dyDescent="0.2">
      <c r="O2849" s="4">
        <f t="shared" ca="1" si="253"/>
        <v>0.43217789666971795</v>
      </c>
      <c r="P2849" s="4">
        <f t="shared" ca="1" si="254"/>
        <v>-0.17083209311233669</v>
      </c>
      <c r="Q2849" s="4">
        <f t="shared" ca="1" si="255"/>
        <v>1926.4876588212294</v>
      </c>
      <c r="R2849" s="4">
        <f t="shared" ca="1" si="256"/>
        <v>2.8176148212294265</v>
      </c>
      <c r="S2849" s="4">
        <f t="shared" ca="1" si="257"/>
        <v>1.4295359243422459</v>
      </c>
    </row>
    <row r="2850" spans="15:19" x14ac:dyDescent="0.2">
      <c r="O2850" s="4">
        <f t="shared" ca="1" si="253"/>
        <v>0.45333198488960091</v>
      </c>
      <c r="P2850" s="4">
        <f t="shared" ca="1" si="254"/>
        <v>-0.11724744589720175</v>
      </c>
      <c r="Q2850" s="4">
        <f t="shared" ca="1" si="255"/>
        <v>1925.4765877121217</v>
      </c>
      <c r="R2850" s="4">
        <f t="shared" ca="1" si="256"/>
        <v>1.8065437121217656</v>
      </c>
      <c r="S2850" s="4">
        <f t="shared" ca="1" si="257"/>
        <v>0.91581863320081081</v>
      </c>
    </row>
    <row r="2851" spans="15:19" x14ac:dyDescent="0.2">
      <c r="O2851" s="4">
        <f t="shared" ca="1" si="253"/>
        <v>0.47834622420541151</v>
      </c>
      <c r="P2851" s="4">
        <f t="shared" ca="1" si="254"/>
        <v>-5.4304645540528433E-2</v>
      </c>
      <c r="Q2851" s="4">
        <f t="shared" ca="1" si="255"/>
        <v>1924.2889406849524</v>
      </c>
      <c r="R2851" s="4">
        <f t="shared" ca="1" si="256"/>
        <v>0.61889668495246042</v>
      </c>
      <c r="S2851" s="4">
        <f t="shared" ca="1" si="257"/>
        <v>0.31344748494760027</v>
      </c>
    </row>
    <row r="2852" spans="15:19" x14ac:dyDescent="0.2">
      <c r="O2852" s="4">
        <f t="shared" ca="1" si="253"/>
        <v>0.56476832390981968</v>
      </c>
      <c r="P2852" s="4">
        <f t="shared" ca="1" si="254"/>
        <v>0.16306995928611176</v>
      </c>
      <c r="Q2852" s="4">
        <f t="shared" ca="1" si="255"/>
        <v>1920.1873706603981</v>
      </c>
      <c r="R2852" s="4">
        <f t="shared" ca="1" si="256"/>
        <v>-3.4826733396018881</v>
      </c>
      <c r="S2852" s="4">
        <f t="shared" ca="1" si="257"/>
        <v>-1.7580260087914359</v>
      </c>
    </row>
    <row r="2853" spans="15:19" x14ac:dyDescent="0.2">
      <c r="O2853" s="4">
        <f t="shared" ca="1" si="253"/>
        <v>0.46895889191860041</v>
      </c>
      <c r="P2853" s="4">
        <f t="shared" ca="1" si="254"/>
        <v>-7.788719693458647E-2</v>
      </c>
      <c r="Q2853" s="4">
        <f t="shared" ca="1" si="255"/>
        <v>1924.7339121018181</v>
      </c>
      <c r="R2853" s="4">
        <f t="shared" ca="1" si="256"/>
        <v>1.063868101818116</v>
      </c>
      <c r="S2853" s="4">
        <f t="shared" ca="1" si="257"/>
        <v>0.53900118082113779</v>
      </c>
    </row>
    <row r="2854" spans="15:19" x14ac:dyDescent="0.2">
      <c r="O2854" s="4">
        <f t="shared" ca="1" si="253"/>
        <v>0.41527297856819123</v>
      </c>
      <c r="P2854" s="4">
        <f t="shared" ca="1" si="254"/>
        <v>-0.21400141063424721</v>
      </c>
      <c r="Q2854" s="4">
        <f t="shared" ca="1" si="255"/>
        <v>1927.3022064951379</v>
      </c>
      <c r="R2854" s="4">
        <f t="shared" ca="1" si="256"/>
        <v>3.6321624951378908</v>
      </c>
      <c r="S2854" s="4">
        <f t="shared" ca="1" si="257"/>
        <v>1.8440065349818844</v>
      </c>
    </row>
    <row r="2855" spans="15:19" x14ac:dyDescent="0.2">
      <c r="O2855" s="4">
        <f t="shared" ca="1" si="253"/>
        <v>0.16617278947415115</v>
      </c>
      <c r="P2855" s="4">
        <f t="shared" ca="1" si="254"/>
        <v>-0.96940014715117562</v>
      </c>
      <c r="Q2855" s="4">
        <f t="shared" ca="1" si="255"/>
        <v>1941.5555771533843</v>
      </c>
      <c r="R2855" s="4">
        <f t="shared" ca="1" si="256"/>
        <v>17.885533153384358</v>
      </c>
      <c r="S2855" s="4">
        <f t="shared" ca="1" si="257"/>
        <v>9.1840503786731116</v>
      </c>
    </row>
    <row r="2856" spans="15:19" x14ac:dyDescent="0.2">
      <c r="O2856" s="4">
        <f t="shared" ca="1" si="253"/>
        <v>9.4823031382263112E-2</v>
      </c>
      <c r="P2856" s="4">
        <f t="shared" ca="1" si="254"/>
        <v>-1.3116268686172095</v>
      </c>
      <c r="Q2856" s="4">
        <f t="shared" ca="1" si="255"/>
        <v>1948.0129407607205</v>
      </c>
      <c r="R2856" s="4">
        <f t="shared" ca="1" si="256"/>
        <v>24.342896760720578</v>
      </c>
      <c r="S2856" s="4">
        <f t="shared" ca="1" si="257"/>
        <v>12.563832483639223</v>
      </c>
    </row>
    <row r="2857" spans="15:19" x14ac:dyDescent="0.2">
      <c r="O2857" s="4">
        <f t="shared" ca="1" si="253"/>
        <v>7.0270063467085642E-2</v>
      </c>
      <c r="P2857" s="4">
        <f t="shared" ca="1" si="254"/>
        <v>-1.4737826286594629</v>
      </c>
      <c r="Q2857" s="4">
        <f t="shared" ca="1" si="255"/>
        <v>1951.0726045389642</v>
      </c>
      <c r="R2857" s="4">
        <f t="shared" ca="1" si="256"/>
        <v>27.402560538964281</v>
      </c>
      <c r="S2857" s="4">
        <f t="shared" ca="1" si="257"/>
        <v>14.177112963842754</v>
      </c>
    </row>
    <row r="2858" spans="15:19" x14ac:dyDescent="0.2">
      <c r="O2858" s="4">
        <f t="shared" ca="1" si="253"/>
        <v>0.66389388064464683</v>
      </c>
      <c r="P2858" s="4">
        <f t="shared" ca="1" si="254"/>
        <v>0.42311379399369092</v>
      </c>
      <c r="Q2858" s="4">
        <f t="shared" ca="1" si="255"/>
        <v>1915.2806889513852</v>
      </c>
      <c r="R2858" s="4">
        <f t="shared" ca="1" si="256"/>
        <v>-8.3893550486147888</v>
      </c>
      <c r="S2858" s="4">
        <f t="shared" ca="1" si="257"/>
        <v>-4.2181236461532405</v>
      </c>
    </row>
    <row r="2859" spans="15:19" x14ac:dyDescent="0.2">
      <c r="O2859" s="4">
        <f t="shared" ca="1" si="253"/>
        <v>0.42334745104119409</v>
      </c>
      <c r="P2859" s="4">
        <f t="shared" ca="1" si="254"/>
        <v>-0.1933371903161108</v>
      </c>
      <c r="Q2859" s="4">
        <f t="shared" ca="1" si="255"/>
        <v>1926.9123001088547</v>
      </c>
      <c r="R2859" s="4">
        <f t="shared" ca="1" si="256"/>
        <v>3.24225610885469</v>
      </c>
      <c r="S2859" s="4">
        <f t="shared" ca="1" si="257"/>
        <v>1.6455410030536113</v>
      </c>
    </row>
    <row r="2860" spans="15:19" x14ac:dyDescent="0.2">
      <c r="O2860" s="4">
        <f t="shared" ca="1" si="253"/>
        <v>0.67334277502072459</v>
      </c>
      <c r="P2860" s="4">
        <f t="shared" ca="1" si="254"/>
        <v>0.4491624820015146</v>
      </c>
      <c r="Q2860" s="4">
        <f t="shared" ca="1" si="255"/>
        <v>1914.7891848127254</v>
      </c>
      <c r="R2860" s="4">
        <f t="shared" ca="1" si="256"/>
        <v>-8.8808591872746092</v>
      </c>
      <c r="S2860" s="4">
        <f t="shared" ca="1" si="257"/>
        <v>-4.463472496383571</v>
      </c>
    </row>
    <row r="2861" spans="15:19" x14ac:dyDescent="0.2">
      <c r="O2861" s="4">
        <f t="shared" ca="1" si="253"/>
        <v>0.93194009884689333</v>
      </c>
      <c r="P2861" s="4">
        <f t="shared" ca="1" si="254"/>
        <v>1.4903972989721159</v>
      </c>
      <c r="Q2861" s="4">
        <f t="shared" ca="1" si="255"/>
        <v>1895.1424670316171</v>
      </c>
      <c r="R2861" s="4">
        <f t="shared" ca="1" si="256"/>
        <v>-28.527576968382846</v>
      </c>
      <c r="S2861" s="4">
        <f t="shared" ca="1" si="257"/>
        <v>-14.109656731237926</v>
      </c>
    </row>
    <row r="2862" spans="15:19" x14ac:dyDescent="0.2">
      <c r="O2862" s="4">
        <f t="shared" ca="1" si="253"/>
        <v>0.43083662811082823</v>
      </c>
      <c r="P2862" s="4">
        <f t="shared" ca="1" si="254"/>
        <v>-0.17424457411711397</v>
      </c>
      <c r="Q2862" s="4">
        <f t="shared" ca="1" si="255"/>
        <v>1926.5520478045225</v>
      </c>
      <c r="R2862" s="4">
        <f t="shared" ca="1" si="256"/>
        <v>2.8820038045225829</v>
      </c>
      <c r="S2862" s="4">
        <f t="shared" ca="1" si="257"/>
        <v>1.4622796497825072</v>
      </c>
    </row>
    <row r="2863" spans="15:19" x14ac:dyDescent="0.2">
      <c r="O2863" s="4">
        <f t="shared" ca="1" si="253"/>
        <v>0.68609795460181999</v>
      </c>
      <c r="P2863" s="4">
        <f t="shared" ca="1" si="254"/>
        <v>0.48481992048748412</v>
      </c>
      <c r="Q2863" s="4">
        <f t="shared" ca="1" si="255"/>
        <v>1914.1163763171651</v>
      </c>
      <c r="R2863" s="4">
        <f t="shared" ca="1" si="256"/>
        <v>-9.5536676828348845</v>
      </c>
      <c r="S2863" s="4">
        <f t="shared" ca="1" si="257"/>
        <v>-4.7990059054715584</v>
      </c>
    </row>
    <row r="2864" spans="15:19" x14ac:dyDescent="0.2">
      <c r="O2864" s="4">
        <f t="shared" ca="1" si="253"/>
        <v>0.84114422840624858</v>
      </c>
      <c r="P2864" s="4">
        <f t="shared" ca="1" si="254"/>
        <v>0.99917165744563352</v>
      </c>
      <c r="Q2864" s="4">
        <f t="shared" ca="1" si="255"/>
        <v>1904.4112423247768</v>
      </c>
      <c r="R2864" s="4">
        <f t="shared" ca="1" si="256"/>
        <v>-19.25880167522314</v>
      </c>
      <c r="S2864" s="4">
        <f t="shared" ca="1" si="257"/>
        <v>-9.5980114833358794</v>
      </c>
    </row>
    <row r="2865" spans="15:19" x14ac:dyDescent="0.2">
      <c r="O2865" s="4">
        <f t="shared" ca="1" si="253"/>
        <v>0.93748502353113849</v>
      </c>
      <c r="P2865" s="4">
        <f t="shared" ca="1" si="254"/>
        <v>1.5339987799217987</v>
      </c>
      <c r="Q2865" s="4">
        <f t="shared" ca="1" si="255"/>
        <v>1894.3197650079287</v>
      </c>
      <c r="R2865" s="4">
        <f t="shared" ca="1" si="256"/>
        <v>-29.350278992071253</v>
      </c>
      <c r="S2865" s="4">
        <f t="shared" ca="1" si="257"/>
        <v>-14.506733452354496</v>
      </c>
    </row>
    <row r="2866" spans="15:19" x14ac:dyDescent="0.2">
      <c r="O2866" s="4">
        <f t="shared" ca="1" si="253"/>
        <v>0.44019000774377093</v>
      </c>
      <c r="P2866" s="4">
        <f t="shared" ca="1" si="254"/>
        <v>-0.15048749556573007</v>
      </c>
      <c r="Q2866" s="4">
        <f t="shared" ca="1" si="255"/>
        <v>1926.103783292046</v>
      </c>
      <c r="R2866" s="4">
        <f t="shared" ca="1" si="256"/>
        <v>2.4337392920460843</v>
      </c>
      <c r="S2866" s="4">
        <f t="shared" ca="1" si="257"/>
        <v>1.2343937742952635</v>
      </c>
    </row>
    <row r="2867" spans="15:19" x14ac:dyDescent="0.2">
      <c r="O2867" s="4">
        <f t="shared" ca="1" si="253"/>
        <v>6.5383165448439362E-3</v>
      </c>
      <c r="P2867" s="4">
        <f t="shared" ca="1" si="254"/>
        <v>-2.4816754123493765</v>
      </c>
      <c r="Q2867" s="4">
        <f t="shared" ca="1" si="255"/>
        <v>1970.0902024448649</v>
      </c>
      <c r="R2867" s="4">
        <f t="shared" ca="1" si="256"/>
        <v>46.42015844486491</v>
      </c>
      <c r="S2867" s="4">
        <f t="shared" ca="1" si="257"/>
        <v>24.375504317402143</v>
      </c>
    </row>
    <row r="2868" spans="15:19" x14ac:dyDescent="0.2">
      <c r="O2868" s="4">
        <f t="shared" ca="1" si="253"/>
        <v>0.55113627552350219</v>
      </c>
      <c r="P2868" s="4">
        <f t="shared" ca="1" si="254"/>
        <v>0.12853266590905116</v>
      </c>
      <c r="Q2868" s="4">
        <f t="shared" ca="1" si="255"/>
        <v>1920.8390435057956</v>
      </c>
      <c r="R2868" s="4">
        <f t="shared" ca="1" si="256"/>
        <v>-2.8310004942043179</v>
      </c>
      <c r="S2868" s="4">
        <f t="shared" ca="1" si="257"/>
        <v>-1.4298176972684971</v>
      </c>
    </row>
    <row r="2869" spans="15:19" x14ac:dyDescent="0.2">
      <c r="O2869" s="4">
        <f t="shared" ca="1" si="253"/>
        <v>0.83366236110162362</v>
      </c>
      <c r="P2869" s="4">
        <f t="shared" ca="1" si="254"/>
        <v>0.96873930231134009</v>
      </c>
      <c r="Q2869" s="4">
        <f t="shared" ca="1" si="255"/>
        <v>1904.9854604386865</v>
      </c>
      <c r="R2869" s="4">
        <f t="shared" ca="1" si="256"/>
        <v>-18.684583561313502</v>
      </c>
      <c r="S2869" s="4">
        <f t="shared" ca="1" si="257"/>
        <v>-9.3162057840337216</v>
      </c>
    </row>
    <row r="2870" spans="15:19" x14ac:dyDescent="0.2">
      <c r="O2870" s="4">
        <f t="shared" ca="1" si="253"/>
        <v>0.74746484379643507</v>
      </c>
      <c r="P2870" s="4">
        <f t="shared" ca="1" si="254"/>
        <v>0.66653325916108364</v>
      </c>
      <c r="Q2870" s="4">
        <f t="shared" ca="1" si="255"/>
        <v>1910.6876870111639</v>
      </c>
      <c r="R2870" s="4">
        <f t="shared" ca="1" si="256"/>
        <v>-12.982356988836045</v>
      </c>
      <c r="S2870" s="4">
        <f t="shared" ca="1" si="257"/>
        <v>-6.50318817294787</v>
      </c>
    </row>
    <row r="2871" spans="15:19" x14ac:dyDescent="0.2">
      <c r="O2871" s="4">
        <f t="shared" ca="1" si="253"/>
        <v>0.88851028107663799</v>
      </c>
      <c r="P2871" s="4">
        <f t="shared" ca="1" si="254"/>
        <v>1.2186437455048731</v>
      </c>
      <c r="Q2871" s="4">
        <f t="shared" ca="1" si="255"/>
        <v>1900.2700955779983</v>
      </c>
      <c r="R2871" s="4">
        <f t="shared" ca="1" si="256"/>
        <v>-23.399948422001671</v>
      </c>
      <c r="S2871" s="4">
        <f t="shared" ca="1" si="257"/>
        <v>-11.622389248861216</v>
      </c>
    </row>
    <row r="2872" spans="15:19" x14ac:dyDescent="0.2">
      <c r="O2872" s="4">
        <f t="shared" ca="1" si="253"/>
        <v>0.37912882027727024</v>
      </c>
      <c r="P2872" s="4">
        <f t="shared" ca="1" si="254"/>
        <v>-0.30776961921179374</v>
      </c>
      <c r="Q2872" s="4">
        <f t="shared" ca="1" si="255"/>
        <v>1929.071488025814</v>
      </c>
      <c r="R2872" s="4">
        <f t="shared" ca="1" si="256"/>
        <v>5.4014440258140439</v>
      </c>
      <c r="S2872" s="4">
        <f t="shared" ca="1" si="257"/>
        <v>2.7461403604112324</v>
      </c>
    </row>
    <row r="2873" spans="15:19" x14ac:dyDescent="0.2">
      <c r="O2873" s="4">
        <f t="shared" ca="1" si="253"/>
        <v>0.5100412258219581</v>
      </c>
      <c r="P2873" s="4">
        <f t="shared" ca="1" si="254"/>
        <v>2.5172278680230472E-2</v>
      </c>
      <c r="Q2873" s="4">
        <f t="shared" ca="1" si="255"/>
        <v>1922.789316705014</v>
      </c>
      <c r="R2873" s="4">
        <f t="shared" ca="1" si="256"/>
        <v>-0.88072729498594526</v>
      </c>
      <c r="S2873" s="4">
        <f t="shared" ca="1" si="257"/>
        <v>-0.44551702767418344</v>
      </c>
    </row>
    <row r="2874" spans="15:19" x14ac:dyDescent="0.2">
      <c r="O2874" s="4">
        <f t="shared" ca="1" si="253"/>
        <v>0.23075611254788675</v>
      </c>
      <c r="P2874" s="4">
        <f t="shared" ca="1" si="254"/>
        <v>-0.7363590395431262</v>
      </c>
      <c r="Q2874" s="4">
        <f t="shared" ca="1" si="255"/>
        <v>1937.1584010333113</v>
      </c>
      <c r="R2874" s="4">
        <f t="shared" ca="1" si="256"/>
        <v>13.488357033311331</v>
      </c>
      <c r="S2874" s="4">
        <f t="shared" ca="1" si="257"/>
        <v>6.9019989026925952</v>
      </c>
    </row>
    <row r="2875" spans="15:19" x14ac:dyDescent="0.2">
      <c r="O2875" s="4">
        <f t="shared" ca="1" si="253"/>
        <v>0.55442133329669696</v>
      </c>
      <c r="P2875" s="4">
        <f t="shared" ca="1" si="254"/>
        <v>0.13683991420640848</v>
      </c>
      <c r="Q2875" s="4">
        <f t="shared" ca="1" si="255"/>
        <v>1920.682296766083</v>
      </c>
      <c r="R2875" s="4">
        <f t="shared" ca="1" si="256"/>
        <v>-2.9877472339169344</v>
      </c>
      <c r="S2875" s="4">
        <f t="shared" ca="1" si="257"/>
        <v>-1.5087931567094379</v>
      </c>
    </row>
    <row r="2876" spans="15:19" x14ac:dyDescent="0.2">
      <c r="O2876" s="4">
        <f t="shared" ca="1" si="253"/>
        <v>0.40249541633630348</v>
      </c>
      <c r="P2876" s="4">
        <f t="shared" ca="1" si="254"/>
        <v>-0.2468932599489774</v>
      </c>
      <c r="Q2876" s="4">
        <f t="shared" ca="1" si="255"/>
        <v>1927.9228319969488</v>
      </c>
      <c r="R2876" s="4">
        <f t="shared" ca="1" si="256"/>
        <v>4.2527879969488822</v>
      </c>
      <c r="S2876" s="4">
        <f t="shared" ca="1" si="257"/>
        <v>2.1601652774817062</v>
      </c>
    </row>
    <row r="2877" spans="15:19" x14ac:dyDescent="0.2">
      <c r="O2877" s="4">
        <f t="shared" ca="1" si="253"/>
        <v>0.82959527389627341</v>
      </c>
      <c r="P2877" s="4">
        <f t="shared" ca="1" si="254"/>
        <v>0.95256710212465623</v>
      </c>
      <c r="Q2877" s="4">
        <f t="shared" ca="1" si="255"/>
        <v>1905.2906083724558</v>
      </c>
      <c r="R2877" s="4">
        <f t="shared" ca="1" si="256"/>
        <v>-18.379435627544126</v>
      </c>
      <c r="S2877" s="4">
        <f t="shared" ca="1" si="257"/>
        <v>-9.166340867619315</v>
      </c>
    </row>
    <row r="2878" spans="15:19" x14ac:dyDescent="0.2">
      <c r="O2878" s="4">
        <f t="shared" ca="1" si="253"/>
        <v>0.39174587019589036</v>
      </c>
      <c r="P2878" s="4">
        <f t="shared" ca="1" si="254"/>
        <v>-0.27477157147215453</v>
      </c>
      <c r="Q2878" s="4">
        <f t="shared" ca="1" si="255"/>
        <v>1928.4488587008029</v>
      </c>
      <c r="R2878" s="4">
        <f t="shared" ca="1" si="256"/>
        <v>4.7788147008029682</v>
      </c>
      <c r="S2878" s="4">
        <f t="shared" ca="1" si="257"/>
        <v>2.4283790779649528</v>
      </c>
    </row>
    <row r="2879" spans="15:19" x14ac:dyDescent="0.2">
      <c r="O2879" s="4">
        <f t="shared" ca="1" si="253"/>
        <v>0.34853548297998249</v>
      </c>
      <c r="P2879" s="4">
        <f t="shared" ca="1" si="254"/>
        <v>-0.38927738197641709</v>
      </c>
      <c r="Q2879" s="4">
        <f t="shared" ca="1" si="255"/>
        <v>1930.6094312312334</v>
      </c>
      <c r="R2879" s="4">
        <f t="shared" ca="1" si="256"/>
        <v>6.9393872312334679</v>
      </c>
      <c r="S2879" s="4">
        <f t="shared" ca="1" si="257"/>
        <v>3.5323882443879016</v>
      </c>
    </row>
    <row r="2880" spans="15:19" x14ac:dyDescent="0.2">
      <c r="O2880" s="4">
        <f t="shared" ca="1" si="253"/>
        <v>0.54171810674022769</v>
      </c>
      <c r="P2880" s="4">
        <f t="shared" ca="1" si="254"/>
        <v>0.10476310540622678</v>
      </c>
      <c r="Q2880" s="4">
        <f t="shared" ca="1" si="255"/>
        <v>1921.2875435361143</v>
      </c>
      <c r="R2880" s="4">
        <f t="shared" ca="1" si="256"/>
        <v>-2.3825004638856626</v>
      </c>
      <c r="S2880" s="4">
        <f t="shared" ca="1" si="257"/>
        <v>-1.2037344206957101</v>
      </c>
    </row>
    <row r="2881" spans="15:19" x14ac:dyDescent="0.2">
      <c r="O2881" s="4">
        <f t="shared" ca="1" si="253"/>
        <v>0.24835735829977135</v>
      </c>
      <c r="P2881" s="4">
        <f t="shared" ca="1" si="254"/>
        <v>-0.67966797746133378</v>
      </c>
      <c r="Q2881" s="4">
        <f t="shared" ca="1" si="255"/>
        <v>1936.0887160023469</v>
      </c>
      <c r="R2881" s="4">
        <f t="shared" ca="1" si="256"/>
        <v>12.418672002346966</v>
      </c>
      <c r="S2881" s="4">
        <f t="shared" ca="1" si="257"/>
        <v>6.349233013155648</v>
      </c>
    </row>
    <row r="2882" spans="15:19" x14ac:dyDescent="0.2">
      <c r="O2882" s="4">
        <f t="shared" ca="1" si="253"/>
        <v>0.18557244874117962</v>
      </c>
      <c r="P2882" s="4">
        <f t="shared" ca="1" si="254"/>
        <v>-0.89433085203701201</v>
      </c>
      <c r="Q2882" s="4">
        <f t="shared" ca="1" si="255"/>
        <v>1940.1391192794292</v>
      </c>
      <c r="R2882" s="4">
        <f t="shared" ca="1" si="256"/>
        <v>16.469075279429262</v>
      </c>
      <c r="S2882" s="4">
        <f t="shared" ca="1" si="257"/>
        <v>8.447216784915673</v>
      </c>
    </row>
    <row r="2883" spans="15:19" x14ac:dyDescent="0.2">
      <c r="O2883" s="4">
        <f t="shared" ref="O2883:O2946" ca="1" si="258">RAND()</f>
        <v>0.76847230356327834</v>
      </c>
      <c r="P2883" s="4">
        <f t="shared" ref="P2883:P2946" ca="1" si="259">NORMSINV(O2883)</f>
        <v>0.73382501460832494</v>
      </c>
      <c r="Q2883" s="4">
        <f t="shared" ref="Q2883:Q2946" ca="1" si="260">$B$4*(1+$B$17-$B$32*P2883)</f>
        <v>1909.4179809787497</v>
      </c>
      <c r="R2883" s="4">
        <f t="shared" ref="R2883:R2946" ca="1" si="261">Q2883-$B$4</f>
        <v>-14.252063021250251</v>
      </c>
      <c r="S2883" s="4">
        <f t="shared" ref="S2883:S2946" ca="1" si="262">R2883*$B$12+0.5*$B$13*R2883^2</f>
        <v>-7.131849468498868</v>
      </c>
    </row>
    <row r="2884" spans="15:19" x14ac:dyDescent="0.2">
      <c r="O2884" s="4">
        <f t="shared" ca="1" si="258"/>
        <v>3.9590074012259668E-2</v>
      </c>
      <c r="P2884" s="4">
        <f t="shared" ca="1" si="259"/>
        <v>-1.7554629772324439</v>
      </c>
      <c r="Q2884" s="4">
        <f t="shared" ca="1" si="260"/>
        <v>1956.3875385218657</v>
      </c>
      <c r="R2884" s="4">
        <f t="shared" ca="1" si="261"/>
        <v>32.717494521865774</v>
      </c>
      <c r="S2884" s="4">
        <f t="shared" ca="1" si="262"/>
        <v>16.99765711359132</v>
      </c>
    </row>
    <row r="2885" spans="15:19" x14ac:dyDescent="0.2">
      <c r="O2885" s="4">
        <f t="shared" ca="1" si="258"/>
        <v>0.37135606922101205</v>
      </c>
      <c r="P2885" s="4">
        <f t="shared" ca="1" si="259"/>
        <v>-0.32826389784630439</v>
      </c>
      <c r="Q2885" s="4">
        <f t="shared" ca="1" si="260"/>
        <v>1929.4581878382839</v>
      </c>
      <c r="R2885" s="4">
        <f t="shared" ca="1" si="261"/>
        <v>5.788143838283986</v>
      </c>
      <c r="S2885" s="4">
        <f t="shared" ca="1" si="262"/>
        <v>2.9436529864043219</v>
      </c>
    </row>
    <row r="2886" spans="15:19" x14ac:dyDescent="0.2">
      <c r="O2886" s="4">
        <f t="shared" ca="1" si="258"/>
        <v>0.18762846927794818</v>
      </c>
      <c r="P2886" s="4">
        <f t="shared" ca="1" si="259"/>
        <v>-0.88666936116461126</v>
      </c>
      <c r="Q2886" s="4">
        <f t="shared" ca="1" si="260"/>
        <v>1939.9945571244768</v>
      </c>
      <c r="R2886" s="4">
        <f t="shared" ca="1" si="261"/>
        <v>16.32451312447688</v>
      </c>
      <c r="S2886" s="4">
        <f t="shared" ca="1" si="262"/>
        <v>8.3721082082209222</v>
      </c>
    </row>
    <row r="2887" spans="15:19" x14ac:dyDescent="0.2">
      <c r="O2887" s="4">
        <f t="shared" ca="1" si="258"/>
        <v>0.642948969875351</v>
      </c>
      <c r="P2887" s="4">
        <f t="shared" ca="1" si="259"/>
        <v>0.36635249843070827</v>
      </c>
      <c r="Q2887" s="4">
        <f t="shared" ca="1" si="260"/>
        <v>1916.3516991948388</v>
      </c>
      <c r="R2887" s="4">
        <f t="shared" ca="1" si="261"/>
        <v>-7.3183448051611322</v>
      </c>
      <c r="S2887" s="4">
        <f t="shared" ca="1" si="262"/>
        <v>-3.6828159397947515</v>
      </c>
    </row>
    <row r="2888" spans="15:19" x14ac:dyDescent="0.2">
      <c r="O2888" s="4">
        <f t="shared" ca="1" si="258"/>
        <v>0.29581582093822534</v>
      </c>
      <c r="P2888" s="4">
        <f t="shared" ca="1" si="259"/>
        <v>-0.53647307157880164</v>
      </c>
      <c r="Q2888" s="4">
        <f t="shared" ca="1" si="260"/>
        <v>1933.386818353792</v>
      </c>
      <c r="R2888" s="4">
        <f t="shared" ca="1" si="261"/>
        <v>9.7167743537920614</v>
      </c>
      <c r="S2888" s="4">
        <f t="shared" ca="1" si="262"/>
        <v>4.9571600802356866</v>
      </c>
    </row>
    <row r="2889" spans="15:19" x14ac:dyDescent="0.2">
      <c r="O2889" s="4">
        <f t="shared" ca="1" si="258"/>
        <v>0.55563752172042358</v>
      </c>
      <c r="P2889" s="4">
        <f t="shared" ca="1" si="259"/>
        <v>0.13991777558431209</v>
      </c>
      <c r="Q2889" s="4">
        <f t="shared" ca="1" si="260"/>
        <v>1920.6242216106275</v>
      </c>
      <c r="R2889" s="4">
        <f t="shared" ca="1" si="261"/>
        <v>-3.0458223893724607</v>
      </c>
      <c r="S2889" s="4">
        <f t="shared" ca="1" si="262"/>
        <v>-1.5380487319839653</v>
      </c>
    </row>
    <row r="2890" spans="15:19" x14ac:dyDescent="0.2">
      <c r="O2890" s="4">
        <f t="shared" ca="1" si="258"/>
        <v>0.87800150045633196</v>
      </c>
      <c r="P2890" s="4">
        <f t="shared" ca="1" si="259"/>
        <v>1.1650543363737824</v>
      </c>
      <c r="Q2890" s="4">
        <f t="shared" ca="1" si="260"/>
        <v>1901.2812565381341</v>
      </c>
      <c r="R2890" s="4">
        <f t="shared" ca="1" si="261"/>
        <v>-22.388787461865832</v>
      </c>
      <c r="S2890" s="4">
        <f t="shared" ca="1" si="262"/>
        <v>-11.12937688308161</v>
      </c>
    </row>
    <row r="2891" spans="15:19" x14ac:dyDescent="0.2">
      <c r="O2891" s="4">
        <f t="shared" ca="1" si="258"/>
        <v>0.6120809902801343</v>
      </c>
      <c r="P2891" s="4">
        <f t="shared" ca="1" si="259"/>
        <v>0.28474694815327445</v>
      </c>
      <c r="Q2891" s="4">
        <f t="shared" ca="1" si="260"/>
        <v>1917.8914875207206</v>
      </c>
      <c r="R2891" s="4">
        <f t="shared" ca="1" si="261"/>
        <v>-5.7785564792793593</v>
      </c>
      <c r="S2891" s="4">
        <f t="shared" ca="1" si="262"/>
        <v>-2.9115691506611006</v>
      </c>
    </row>
    <row r="2892" spans="15:19" x14ac:dyDescent="0.2">
      <c r="O2892" s="4">
        <f t="shared" ca="1" si="258"/>
        <v>0.83736445550207672</v>
      </c>
      <c r="P2892" s="4">
        <f t="shared" ca="1" si="259"/>
        <v>0.98368363434614614</v>
      </c>
      <c r="Q2892" s="4">
        <f t="shared" ca="1" si="260"/>
        <v>1904.7034807457972</v>
      </c>
      <c r="R2892" s="4">
        <f t="shared" ca="1" si="261"/>
        <v>-18.966563254202811</v>
      </c>
      <c r="S2892" s="4">
        <f t="shared" ca="1" si="262"/>
        <v>-9.4546248700408029</v>
      </c>
    </row>
    <row r="2893" spans="15:19" x14ac:dyDescent="0.2">
      <c r="O2893" s="4">
        <f t="shared" ca="1" si="258"/>
        <v>0.64497099661777013</v>
      </c>
      <c r="P2893" s="4">
        <f t="shared" ca="1" si="259"/>
        <v>0.37177818556599534</v>
      </c>
      <c r="Q2893" s="4">
        <f t="shared" ca="1" si="260"/>
        <v>1916.2493236862808</v>
      </c>
      <c r="R2893" s="4">
        <f t="shared" ca="1" si="261"/>
        <v>-7.42072031371913</v>
      </c>
      <c r="S2893" s="4">
        <f t="shared" ca="1" si="262"/>
        <v>-3.7340251903792989</v>
      </c>
    </row>
    <row r="2894" spans="15:19" x14ac:dyDescent="0.2">
      <c r="O2894" s="4">
        <f t="shared" ca="1" si="258"/>
        <v>0.53285407406225871</v>
      </c>
      <c r="P2894" s="4">
        <f t="shared" ca="1" si="259"/>
        <v>8.2446258992932259E-2</v>
      </c>
      <c r="Q2894" s="4">
        <f t="shared" ca="1" si="260"/>
        <v>1921.7086327814029</v>
      </c>
      <c r="R2894" s="4">
        <f t="shared" ca="1" si="261"/>
        <v>-1.9614112185970498</v>
      </c>
      <c r="S2894" s="4">
        <f t="shared" ca="1" si="262"/>
        <v>-0.99131952084544683</v>
      </c>
    </row>
    <row r="2895" spans="15:19" x14ac:dyDescent="0.2">
      <c r="O2895" s="4">
        <f t="shared" ca="1" si="258"/>
        <v>0.69804362562627331</v>
      </c>
      <c r="P2895" s="4">
        <f t="shared" ca="1" si="259"/>
        <v>0.51878203268126821</v>
      </c>
      <c r="Q2895" s="4">
        <f t="shared" ca="1" si="260"/>
        <v>1913.4755563766034</v>
      </c>
      <c r="R2895" s="4">
        <f t="shared" ca="1" si="261"/>
        <v>-10.194487623396526</v>
      </c>
      <c r="S2895" s="4">
        <f t="shared" ca="1" si="262"/>
        <v>-5.1182437703363659</v>
      </c>
    </row>
    <row r="2896" spans="15:19" x14ac:dyDescent="0.2">
      <c r="O2896" s="4">
        <f t="shared" ca="1" si="258"/>
        <v>7.2806268233169047E-2</v>
      </c>
      <c r="P2896" s="4">
        <f t="shared" ca="1" si="259"/>
        <v>-1.4552049300164978</v>
      </c>
      <c r="Q2896" s="4">
        <f t="shared" ca="1" si="260"/>
        <v>1950.7220680448788</v>
      </c>
      <c r="R2896" s="4">
        <f t="shared" ca="1" si="261"/>
        <v>27.052024044878863</v>
      </c>
      <c r="S2896" s="4">
        <f t="shared" ca="1" si="262"/>
        <v>13.991897689761116</v>
      </c>
    </row>
    <row r="2897" spans="15:19" x14ac:dyDescent="0.2">
      <c r="O2897" s="4">
        <f t="shared" ca="1" si="258"/>
        <v>0.53241949058843596</v>
      </c>
      <c r="P2897" s="4">
        <f t="shared" ca="1" si="259"/>
        <v>8.1353260172604677E-2</v>
      </c>
      <c r="Q2897" s="4">
        <f t="shared" ca="1" si="260"/>
        <v>1921.7292562171619</v>
      </c>
      <c r="R2897" s="4">
        <f t="shared" ca="1" si="261"/>
        <v>-1.9407877828380151</v>
      </c>
      <c r="S2897" s="4">
        <f t="shared" ca="1" si="262"/>
        <v>-0.98091249526810509</v>
      </c>
    </row>
    <row r="2898" spans="15:19" x14ac:dyDescent="0.2">
      <c r="O2898" s="4">
        <f t="shared" ca="1" si="258"/>
        <v>0.66130295526014526</v>
      </c>
      <c r="P2898" s="4">
        <f t="shared" ca="1" si="259"/>
        <v>0.41602174766751082</v>
      </c>
      <c r="Q2898" s="4">
        <f t="shared" ca="1" si="260"/>
        <v>1915.4145064442218</v>
      </c>
      <c r="R2898" s="4">
        <f t="shared" ca="1" si="261"/>
        <v>-8.255537555778119</v>
      </c>
      <c r="S2898" s="4">
        <f t="shared" ca="1" si="262"/>
        <v>-4.151290617504805</v>
      </c>
    </row>
    <row r="2899" spans="15:19" x14ac:dyDescent="0.2">
      <c r="O2899" s="4">
        <f t="shared" ca="1" si="258"/>
        <v>0.73685917377765486</v>
      </c>
      <c r="P2899" s="4">
        <f t="shared" ca="1" si="259"/>
        <v>0.63369229785440417</v>
      </c>
      <c r="Q2899" s="4">
        <f t="shared" ca="1" si="260"/>
        <v>1911.3073523238643</v>
      </c>
      <c r="R2899" s="4">
        <f t="shared" ca="1" si="261"/>
        <v>-12.362691676135682</v>
      </c>
      <c r="S2899" s="4">
        <f t="shared" ca="1" si="262"/>
        <v>-6.1959007264519865</v>
      </c>
    </row>
    <row r="2900" spans="15:19" x14ac:dyDescent="0.2">
      <c r="O2900" s="4">
        <f t="shared" ca="1" si="258"/>
        <v>0.49881741000310753</v>
      </c>
      <c r="P2900" s="4">
        <f t="shared" ca="1" si="259"/>
        <v>-2.9643178648333704E-3</v>
      </c>
      <c r="Q2900" s="4">
        <f t="shared" ca="1" si="260"/>
        <v>1923.3202169041163</v>
      </c>
      <c r="R2900" s="4">
        <f t="shared" ca="1" si="261"/>
        <v>-0.34982709588371108</v>
      </c>
      <c r="S2900" s="4">
        <f t="shared" ca="1" si="262"/>
        <v>-0.17703608573610261</v>
      </c>
    </row>
    <row r="2901" spans="15:19" x14ac:dyDescent="0.2">
      <c r="O2901" s="4">
        <f t="shared" ca="1" si="258"/>
        <v>0.64528851740257598</v>
      </c>
      <c r="P2901" s="4">
        <f t="shared" ca="1" si="259"/>
        <v>0.37263117742366997</v>
      </c>
      <c r="Q2901" s="4">
        <f t="shared" ca="1" si="260"/>
        <v>1916.2332288630728</v>
      </c>
      <c r="R2901" s="4">
        <f t="shared" ca="1" si="261"/>
        <v>-7.43681513692718</v>
      </c>
      <c r="S2901" s="4">
        <f t="shared" ca="1" si="262"/>
        <v>-3.7420752053121786</v>
      </c>
    </row>
    <row r="2902" spans="15:19" x14ac:dyDescent="0.2">
      <c r="O2902" s="4">
        <f t="shared" ca="1" si="258"/>
        <v>0.98730721222547835</v>
      </c>
      <c r="P2902" s="4">
        <f t="shared" ca="1" si="259"/>
        <v>2.2354842338758059</v>
      </c>
      <c r="Q2902" s="4">
        <f t="shared" ca="1" si="260"/>
        <v>1881.0836663712309</v>
      </c>
      <c r="R2902" s="4">
        <f t="shared" ca="1" si="261"/>
        <v>-42.586377628769014</v>
      </c>
      <c r="S2902" s="4">
        <f t="shared" ca="1" si="262"/>
        <v>-20.819380916736449</v>
      </c>
    </row>
    <row r="2903" spans="15:19" x14ac:dyDescent="0.2">
      <c r="O2903" s="4">
        <f t="shared" ca="1" si="258"/>
        <v>0.27126061074430075</v>
      </c>
      <c r="P2903" s="4">
        <f t="shared" ca="1" si="259"/>
        <v>-0.6090048540326124</v>
      </c>
      <c r="Q2903" s="4">
        <f t="shared" ca="1" si="260"/>
        <v>1934.7553967347731</v>
      </c>
      <c r="R2903" s="4">
        <f t="shared" ca="1" si="261"/>
        <v>11.085352734773096</v>
      </c>
      <c r="S2903" s="4">
        <f t="shared" ca="1" si="262"/>
        <v>5.6615368545497269</v>
      </c>
    </row>
    <row r="2904" spans="15:19" x14ac:dyDescent="0.2">
      <c r="O2904" s="4">
        <f t="shared" ca="1" si="258"/>
        <v>0.19264572353841058</v>
      </c>
      <c r="P2904" s="4">
        <f t="shared" ca="1" si="259"/>
        <v>-0.86818795494857259</v>
      </c>
      <c r="Q2904" s="4">
        <f t="shared" ca="1" si="260"/>
        <v>1939.6458375405689</v>
      </c>
      <c r="R2904" s="4">
        <f t="shared" ca="1" si="261"/>
        <v>15.97579354056893</v>
      </c>
      <c r="S2904" s="4">
        <f t="shared" ca="1" si="262"/>
        <v>8.1909978133834294</v>
      </c>
    </row>
    <row r="2905" spans="15:19" x14ac:dyDescent="0.2">
      <c r="O2905" s="4">
        <f t="shared" ca="1" si="258"/>
        <v>0.62068494172636579</v>
      </c>
      <c r="P2905" s="4">
        <f t="shared" ca="1" si="259"/>
        <v>0.30728018515811034</v>
      </c>
      <c r="Q2905" s="4">
        <f t="shared" ca="1" si="260"/>
        <v>1917.4663152724308</v>
      </c>
      <c r="R2905" s="4">
        <f t="shared" ca="1" si="261"/>
        <v>-6.2037287275691142</v>
      </c>
      <c r="S2905" s="4">
        <f t="shared" ca="1" si="262"/>
        <v>-3.1247216787920209</v>
      </c>
    </row>
    <row r="2906" spans="15:19" x14ac:dyDescent="0.2">
      <c r="O2906" s="4">
        <f t="shared" ca="1" si="258"/>
        <v>0.30581821504472873</v>
      </c>
      <c r="P2906" s="4">
        <f t="shared" ca="1" si="259"/>
        <v>-0.50773894846734502</v>
      </c>
      <c r="Q2906" s="4">
        <f t="shared" ca="1" si="260"/>
        <v>1932.8446436221584</v>
      </c>
      <c r="R2906" s="4">
        <f t="shared" ca="1" si="261"/>
        <v>9.1745996221584392</v>
      </c>
      <c r="S2906" s="4">
        <f t="shared" ca="1" si="262"/>
        <v>4.6785365442675575</v>
      </c>
    </row>
    <row r="2907" spans="15:19" x14ac:dyDescent="0.2">
      <c r="O2907" s="4">
        <f t="shared" ca="1" si="258"/>
        <v>0.12048705581422869</v>
      </c>
      <c r="P2907" s="4">
        <f t="shared" ca="1" si="259"/>
        <v>-1.1725554795888757</v>
      </c>
      <c r="Q2907" s="4">
        <f t="shared" ca="1" si="260"/>
        <v>1945.3888483973708</v>
      </c>
      <c r="R2907" s="4">
        <f t="shared" ca="1" si="261"/>
        <v>21.718804397370832</v>
      </c>
      <c r="S2907" s="4">
        <f t="shared" ca="1" si="262"/>
        <v>11.186288704841376</v>
      </c>
    </row>
    <row r="2908" spans="15:19" x14ac:dyDescent="0.2">
      <c r="O2908" s="4">
        <f t="shared" ca="1" si="258"/>
        <v>0.6848711701505299</v>
      </c>
      <c r="P2908" s="4">
        <f t="shared" ca="1" si="259"/>
        <v>0.48136422281364621</v>
      </c>
      <c r="Q2908" s="4">
        <f t="shared" ca="1" si="260"/>
        <v>1914.1815807415928</v>
      </c>
      <c r="R2908" s="4">
        <f t="shared" ca="1" si="261"/>
        <v>-9.4884632584071369</v>
      </c>
      <c r="S2908" s="4">
        <f t="shared" ca="1" si="262"/>
        <v>-4.766504217001363</v>
      </c>
    </row>
    <row r="2909" spans="15:19" x14ac:dyDescent="0.2">
      <c r="O2909" s="4">
        <f t="shared" ca="1" si="258"/>
        <v>0.97477759511160622</v>
      </c>
      <c r="P2909" s="4">
        <f t="shared" ca="1" si="259"/>
        <v>1.956172730122431</v>
      </c>
      <c r="Q2909" s="4">
        <f t="shared" ca="1" si="260"/>
        <v>1886.3539033992483</v>
      </c>
      <c r="R2909" s="4">
        <f t="shared" ca="1" si="261"/>
        <v>-37.316140600751623</v>
      </c>
      <c r="S2909" s="4">
        <f t="shared" ca="1" si="262"/>
        <v>-18.322954283550281</v>
      </c>
    </row>
    <row r="2910" spans="15:19" x14ac:dyDescent="0.2">
      <c r="O2910" s="4">
        <f t="shared" ca="1" si="258"/>
        <v>0.85904485564895039</v>
      </c>
      <c r="P2910" s="4">
        <f t="shared" ca="1" si="259"/>
        <v>1.0760379401999907</v>
      </c>
      <c r="Q2910" s="4">
        <f t="shared" ca="1" si="260"/>
        <v>1902.9608776812361</v>
      </c>
      <c r="R2910" s="4">
        <f t="shared" ca="1" si="261"/>
        <v>-20.709166318763891</v>
      </c>
      <c r="S2910" s="4">
        <f t="shared" ca="1" si="262"/>
        <v>-10.308603231240099</v>
      </c>
    </row>
    <row r="2911" spans="15:19" x14ac:dyDescent="0.2">
      <c r="O2911" s="4">
        <f t="shared" ca="1" si="258"/>
        <v>0.67248927552312321</v>
      </c>
      <c r="P2911" s="4">
        <f t="shared" ca="1" si="259"/>
        <v>0.44679726120692553</v>
      </c>
      <c r="Q2911" s="4">
        <f t="shared" ca="1" si="260"/>
        <v>1914.833813387072</v>
      </c>
      <c r="R2911" s="4">
        <f t="shared" ca="1" si="261"/>
        <v>-8.8362306129279204</v>
      </c>
      <c r="S2911" s="4">
        <f t="shared" ca="1" si="262"/>
        <v>-4.4412029398555557</v>
      </c>
    </row>
    <row r="2912" spans="15:19" x14ac:dyDescent="0.2">
      <c r="O2912" s="4">
        <f t="shared" ca="1" si="258"/>
        <v>0.30420605302959713</v>
      </c>
      <c r="P2912" s="4">
        <f t="shared" ca="1" si="259"/>
        <v>-0.51234138487314096</v>
      </c>
      <c r="Q2912" s="4">
        <f t="shared" ca="1" si="260"/>
        <v>1932.9314854830877</v>
      </c>
      <c r="R2912" s="4">
        <f t="shared" ca="1" si="261"/>
        <v>9.2614414830877649</v>
      </c>
      <c r="S2912" s="4">
        <f t="shared" ca="1" si="262"/>
        <v>4.7231484708975122</v>
      </c>
    </row>
    <row r="2913" spans="15:19" x14ac:dyDescent="0.2">
      <c r="O2913" s="4">
        <f t="shared" ca="1" si="258"/>
        <v>0.41163654169835706</v>
      </c>
      <c r="P2913" s="4">
        <f t="shared" ca="1" si="259"/>
        <v>-0.22333719168946001</v>
      </c>
      <c r="Q2913" s="4">
        <f t="shared" ca="1" si="260"/>
        <v>1927.4783602816501</v>
      </c>
      <c r="R2913" s="4">
        <f t="shared" ca="1" si="261"/>
        <v>3.8083162816501499</v>
      </c>
      <c r="S2913" s="4">
        <f t="shared" ca="1" si="262"/>
        <v>1.9337108399396283</v>
      </c>
    </row>
    <row r="2914" spans="15:19" x14ac:dyDescent="0.2">
      <c r="O2914" s="4">
        <f t="shared" ca="1" si="258"/>
        <v>0.37281137661190622</v>
      </c>
      <c r="P2914" s="4">
        <f t="shared" ca="1" si="259"/>
        <v>-0.32441646864466489</v>
      </c>
      <c r="Q2914" s="4">
        <f t="shared" ca="1" si="260"/>
        <v>1929.3855919603172</v>
      </c>
      <c r="R2914" s="4">
        <f t="shared" ca="1" si="261"/>
        <v>5.7155479603172807</v>
      </c>
      <c r="S2914" s="4">
        <f t="shared" ca="1" si="262"/>
        <v>2.9065642900093467</v>
      </c>
    </row>
    <row r="2915" spans="15:19" x14ac:dyDescent="0.2">
      <c r="O2915" s="4">
        <f t="shared" ca="1" si="258"/>
        <v>0.8716607202661607</v>
      </c>
      <c r="P2915" s="4">
        <f t="shared" ca="1" si="259"/>
        <v>1.1342765571697602</v>
      </c>
      <c r="Q2915" s="4">
        <f t="shared" ca="1" si="260"/>
        <v>1901.8619923453655</v>
      </c>
      <c r="R2915" s="4">
        <f t="shared" ca="1" si="261"/>
        <v>-21.808051654634482</v>
      </c>
      <c r="S2915" s="4">
        <f t="shared" ca="1" si="262"/>
        <v>-10.845850847629809</v>
      </c>
    </row>
    <row r="2916" spans="15:19" x14ac:dyDescent="0.2">
      <c r="O2916" s="4">
        <f t="shared" ca="1" si="258"/>
        <v>0.95655683251276757</v>
      </c>
      <c r="P2916" s="4">
        <f t="shared" ca="1" si="259"/>
        <v>1.7120560756151213</v>
      </c>
      <c r="Q2916" s="4">
        <f t="shared" ca="1" si="260"/>
        <v>1890.9600603761419</v>
      </c>
      <c r="R2916" s="4">
        <f t="shared" ca="1" si="261"/>
        <v>-32.709983623858079</v>
      </c>
      <c r="S2916" s="4">
        <f t="shared" ca="1" si="262"/>
        <v>-16.122573221335212</v>
      </c>
    </row>
    <row r="2917" spans="15:19" x14ac:dyDescent="0.2">
      <c r="O2917" s="4">
        <f t="shared" ca="1" si="258"/>
        <v>0.72570840587954166</v>
      </c>
      <c r="P2917" s="4">
        <f t="shared" ca="1" si="259"/>
        <v>0.5998845372239171</v>
      </c>
      <c r="Q2917" s="4">
        <f t="shared" ca="1" si="260"/>
        <v>1911.9452598554728</v>
      </c>
      <c r="R2917" s="4">
        <f t="shared" ca="1" si="261"/>
        <v>-11.724784144527121</v>
      </c>
      <c r="S2917" s="4">
        <f t="shared" ca="1" si="262"/>
        <v>-5.8792405413745232</v>
      </c>
    </row>
    <row r="2918" spans="15:19" x14ac:dyDescent="0.2">
      <c r="O2918" s="4">
        <f t="shared" ca="1" si="258"/>
        <v>0.73668806247860541</v>
      </c>
      <c r="P2918" s="4">
        <f t="shared" ca="1" si="259"/>
        <v>0.63316809975517041</v>
      </c>
      <c r="Q2918" s="4">
        <f t="shared" ca="1" si="260"/>
        <v>1911.3172432456327</v>
      </c>
      <c r="R2918" s="4">
        <f t="shared" ca="1" si="261"/>
        <v>-12.352800754367308</v>
      </c>
      <c r="S2918" s="4">
        <f t="shared" ca="1" si="262"/>
        <v>-6.1909933567088986</v>
      </c>
    </row>
    <row r="2919" spans="15:19" x14ac:dyDescent="0.2">
      <c r="O2919" s="4">
        <f t="shared" ca="1" si="258"/>
        <v>0.87759453881408589</v>
      </c>
      <c r="P2919" s="4">
        <f t="shared" ca="1" si="259"/>
        <v>1.1630457957338329</v>
      </c>
      <c r="Q2919" s="4">
        <f t="shared" ca="1" si="260"/>
        <v>1901.3191550317897</v>
      </c>
      <c r="R2919" s="4">
        <f t="shared" ca="1" si="261"/>
        <v>-22.350888968210256</v>
      </c>
      <c r="S2919" s="4">
        <f t="shared" ca="1" si="262"/>
        <v>-11.110882507259554</v>
      </c>
    </row>
    <row r="2920" spans="15:19" x14ac:dyDescent="0.2">
      <c r="O2920" s="4">
        <f t="shared" ca="1" si="258"/>
        <v>0.46964729265608374</v>
      </c>
      <c r="P2920" s="4">
        <f t="shared" ca="1" si="259"/>
        <v>-7.6156506028045745E-2</v>
      </c>
      <c r="Q2920" s="4">
        <f t="shared" ca="1" si="260"/>
        <v>1924.7012562635261</v>
      </c>
      <c r="R2920" s="4">
        <f t="shared" ca="1" si="261"/>
        <v>1.0312122635261858</v>
      </c>
      <c r="S2920" s="4">
        <f t="shared" ca="1" si="262"/>
        <v>0.52244262532223762</v>
      </c>
    </row>
    <row r="2921" spans="15:19" x14ac:dyDescent="0.2">
      <c r="O2921" s="4">
        <f t="shared" ca="1" si="258"/>
        <v>0.67573945353028675</v>
      </c>
      <c r="P2921" s="4">
        <f t="shared" ca="1" si="259"/>
        <v>0.45581767505935633</v>
      </c>
      <c r="Q2921" s="4">
        <f t="shared" ca="1" si="260"/>
        <v>1914.6636101607303</v>
      </c>
      <c r="R2921" s="4">
        <f t="shared" ca="1" si="261"/>
        <v>-9.0064338392696754</v>
      </c>
      <c r="S2921" s="4">
        <f t="shared" ca="1" si="262"/>
        <v>-4.5261252601481754</v>
      </c>
    </row>
    <row r="2922" spans="15:19" x14ac:dyDescent="0.2">
      <c r="O2922" s="4">
        <f t="shared" ca="1" si="258"/>
        <v>0.75724103485206284</v>
      </c>
      <c r="P2922" s="4">
        <f t="shared" ca="1" si="259"/>
        <v>0.69745525818853393</v>
      </c>
      <c r="Q2922" s="4">
        <f t="shared" ca="1" si="260"/>
        <v>1910.1042299674516</v>
      </c>
      <c r="R2922" s="4">
        <f t="shared" ca="1" si="261"/>
        <v>-13.56581403254836</v>
      </c>
      <c r="S2922" s="4">
        <f t="shared" ca="1" si="262"/>
        <v>-6.7922344561209043</v>
      </c>
    </row>
    <row r="2923" spans="15:19" x14ac:dyDescent="0.2">
      <c r="O2923" s="4">
        <f t="shared" ca="1" si="258"/>
        <v>0.32912316259936758</v>
      </c>
      <c r="P2923" s="4">
        <f t="shared" ca="1" si="259"/>
        <v>-0.44233566647925671</v>
      </c>
      <c r="Q2923" s="4">
        <f t="shared" ca="1" si="260"/>
        <v>1931.6105705752</v>
      </c>
      <c r="R2923" s="4">
        <f t="shared" ca="1" si="261"/>
        <v>7.9405265752000105</v>
      </c>
      <c r="S2923" s="4">
        <f t="shared" ca="1" si="262"/>
        <v>4.045238842544113</v>
      </c>
    </row>
    <row r="2924" spans="15:19" x14ac:dyDescent="0.2">
      <c r="O2924" s="4">
        <f t="shared" ca="1" si="258"/>
        <v>0.87485184250035997</v>
      </c>
      <c r="P2924" s="4">
        <f t="shared" ca="1" si="259"/>
        <v>1.1496299551910503</v>
      </c>
      <c r="Q2924" s="4">
        <f t="shared" ca="1" si="260"/>
        <v>1901.5722941207296</v>
      </c>
      <c r="R2924" s="4">
        <f t="shared" ca="1" si="261"/>
        <v>-22.097749879270395</v>
      </c>
      <c r="S2924" s="4">
        <f t="shared" ca="1" si="262"/>
        <v>-10.987321236863666</v>
      </c>
    </row>
    <row r="2925" spans="15:19" x14ac:dyDescent="0.2">
      <c r="O2925" s="4">
        <f t="shared" ca="1" si="258"/>
        <v>0.44980185740863665</v>
      </c>
      <c r="P2925" s="4">
        <f t="shared" ca="1" si="259"/>
        <v>-0.12616196936616741</v>
      </c>
      <c r="Q2925" s="4">
        <f t="shared" ca="1" si="260"/>
        <v>1925.6447929275957</v>
      </c>
      <c r="R2925" s="4">
        <f t="shared" ca="1" si="261"/>
        <v>1.9747489275957832</v>
      </c>
      <c r="S2925" s="4">
        <f t="shared" ca="1" si="262"/>
        <v>1.0012246703470964</v>
      </c>
    </row>
    <row r="2926" spans="15:19" x14ac:dyDescent="0.2">
      <c r="O2926" s="4">
        <f t="shared" ca="1" si="258"/>
        <v>0.64698927337542855</v>
      </c>
      <c r="P2926" s="4">
        <f t="shared" ca="1" si="259"/>
        <v>0.37720474642623697</v>
      </c>
      <c r="Q2926" s="4">
        <f t="shared" ca="1" si="260"/>
        <v>1916.1469316916939</v>
      </c>
      <c r="R2926" s="4">
        <f t="shared" ca="1" si="261"/>
        <v>-7.5231123083060538</v>
      </c>
      <c r="S2926" s="4">
        <f t="shared" ca="1" si="262"/>
        <v>-3.785234152601439</v>
      </c>
    </row>
    <row r="2927" spans="15:19" x14ac:dyDescent="0.2">
      <c r="O2927" s="4">
        <f t="shared" ca="1" si="258"/>
        <v>0.15027586106524771</v>
      </c>
      <c r="P2927" s="4">
        <f t="shared" ca="1" si="259"/>
        <v>-1.0352509672169485</v>
      </c>
      <c r="Q2927" s="4">
        <f t="shared" ca="1" si="260"/>
        <v>1942.7980946493428</v>
      </c>
      <c r="R2927" s="4">
        <f t="shared" ca="1" si="261"/>
        <v>19.128050649342867</v>
      </c>
      <c r="S2927" s="4">
        <f t="shared" ca="1" si="262"/>
        <v>9.8317460295253003</v>
      </c>
    </row>
    <row r="2928" spans="15:19" x14ac:dyDescent="0.2">
      <c r="O2928" s="4">
        <f t="shared" ca="1" si="258"/>
        <v>0.60476338177110844</v>
      </c>
      <c r="P2928" s="4">
        <f t="shared" ca="1" si="259"/>
        <v>0.26569613992765512</v>
      </c>
      <c r="Q2928" s="4">
        <f t="shared" ca="1" si="260"/>
        <v>1918.2509509641343</v>
      </c>
      <c r="R2928" s="4">
        <f t="shared" ca="1" si="261"/>
        <v>-5.4190930358656715</v>
      </c>
      <c r="S2928" s="4">
        <f t="shared" ca="1" si="262"/>
        <v>-2.7312437476190139</v>
      </c>
    </row>
    <row r="2929" spans="15:19" x14ac:dyDescent="0.2">
      <c r="O2929" s="4">
        <f t="shared" ca="1" si="258"/>
        <v>0.6780068582903136</v>
      </c>
      <c r="P2929" s="4">
        <f t="shared" ca="1" si="259"/>
        <v>0.46213253020305445</v>
      </c>
      <c r="Q2929" s="4">
        <f t="shared" ca="1" si="260"/>
        <v>1914.5444572330575</v>
      </c>
      <c r="R2929" s="4">
        <f t="shared" ca="1" si="261"/>
        <v>-9.1255867669424333</v>
      </c>
      <c r="S2929" s="4">
        <f t="shared" ca="1" si="262"/>
        <v>-4.5855621729474265</v>
      </c>
    </row>
    <row r="2930" spans="15:19" x14ac:dyDescent="0.2">
      <c r="O2930" s="4">
        <f t="shared" ca="1" si="258"/>
        <v>0.35154654434535682</v>
      </c>
      <c r="P2930" s="4">
        <f t="shared" ca="1" si="259"/>
        <v>-0.38114846252947143</v>
      </c>
      <c r="Q2930" s="4">
        <f t="shared" ca="1" si="260"/>
        <v>1930.456049320029</v>
      </c>
      <c r="R2930" s="4">
        <f t="shared" ca="1" si="261"/>
        <v>6.7860053200290622</v>
      </c>
      <c r="S2930" s="4">
        <f t="shared" ca="1" si="262"/>
        <v>3.4538878454738304</v>
      </c>
    </row>
    <row r="2931" spans="15:19" x14ac:dyDescent="0.2">
      <c r="O2931" s="4">
        <f t="shared" ca="1" si="258"/>
        <v>0.99557570667775441</v>
      </c>
      <c r="P2931" s="4">
        <f t="shared" ca="1" si="259"/>
        <v>2.6178493282111797</v>
      </c>
      <c r="Q2931" s="4">
        <f t="shared" ca="1" si="260"/>
        <v>1873.8689449891606</v>
      </c>
      <c r="R2931" s="4">
        <f t="shared" ca="1" si="261"/>
        <v>-49.80109901083938</v>
      </c>
      <c r="S2931" s="4">
        <f t="shared" ca="1" si="262"/>
        <v>-24.200211594868744</v>
      </c>
    </row>
    <row r="2932" spans="15:19" x14ac:dyDescent="0.2">
      <c r="O2932" s="4">
        <f t="shared" ca="1" si="258"/>
        <v>0.9514288142992201</v>
      </c>
      <c r="P2932" s="4">
        <f t="shared" ca="1" si="259"/>
        <v>1.6588681127212197</v>
      </c>
      <c r="Q2932" s="4">
        <f t="shared" ca="1" si="260"/>
        <v>1891.9636465790779</v>
      </c>
      <c r="R2932" s="4">
        <f t="shared" ca="1" si="261"/>
        <v>-31.706397420922031</v>
      </c>
      <c r="S2932" s="4">
        <f t="shared" ca="1" si="262"/>
        <v>-15.64086401888262</v>
      </c>
    </row>
    <row r="2933" spans="15:19" x14ac:dyDescent="0.2">
      <c r="O2933" s="4">
        <f t="shared" ca="1" si="258"/>
        <v>0.74695619348359199</v>
      </c>
      <c r="P2933" s="4">
        <f t="shared" ca="1" si="259"/>
        <v>0.66494196540338391</v>
      </c>
      <c r="Q2933" s="4">
        <f t="shared" ca="1" si="260"/>
        <v>1910.7177126104377</v>
      </c>
      <c r="R2933" s="4">
        <f t="shared" ca="1" si="261"/>
        <v>-12.952331389562232</v>
      </c>
      <c r="S2933" s="4">
        <f t="shared" ca="1" si="262"/>
        <v>-6.4883059071600924</v>
      </c>
    </row>
    <row r="2934" spans="15:19" x14ac:dyDescent="0.2">
      <c r="O2934" s="4">
        <f t="shared" ca="1" si="258"/>
        <v>0.18756017755422227</v>
      </c>
      <c r="P2934" s="4">
        <f t="shared" ca="1" si="259"/>
        <v>-0.88692300494742859</v>
      </c>
      <c r="Q2934" s="4">
        <f t="shared" ca="1" si="260"/>
        <v>1939.9993430457084</v>
      </c>
      <c r="R2934" s="4">
        <f t="shared" ca="1" si="261"/>
        <v>16.329299045708467</v>
      </c>
      <c r="S2934" s="4">
        <f t="shared" ca="1" si="262"/>
        <v>8.3745945046236887</v>
      </c>
    </row>
    <row r="2935" spans="15:19" x14ac:dyDescent="0.2">
      <c r="O2935" s="4">
        <f t="shared" ca="1" si="258"/>
        <v>0.71922065248570122</v>
      </c>
      <c r="P2935" s="4">
        <f t="shared" ca="1" si="259"/>
        <v>0.58052787432984587</v>
      </c>
      <c r="Q2935" s="4">
        <f t="shared" ca="1" si="260"/>
        <v>1912.3104943701717</v>
      </c>
      <c r="R2935" s="4">
        <f t="shared" ca="1" si="261"/>
        <v>-11.35954962982828</v>
      </c>
      <c r="S2935" s="4">
        <f t="shared" ca="1" si="262"/>
        <v>-5.6977873327974935</v>
      </c>
    </row>
    <row r="2936" spans="15:19" x14ac:dyDescent="0.2">
      <c r="O2936" s="4">
        <f t="shared" ca="1" si="258"/>
        <v>0.89936054842756319</v>
      </c>
      <c r="P2936" s="4">
        <f t="shared" ca="1" si="259"/>
        <v>1.2779164048033957</v>
      </c>
      <c r="Q2936" s="4">
        <f t="shared" ca="1" si="260"/>
        <v>1899.1516992370441</v>
      </c>
      <c r="R2936" s="4">
        <f t="shared" ca="1" si="261"/>
        <v>-24.518344762955849</v>
      </c>
      <c r="S2936" s="4">
        <f t="shared" ca="1" si="262"/>
        <v>-12.166716922306431</v>
      </c>
    </row>
    <row r="2937" spans="15:19" x14ac:dyDescent="0.2">
      <c r="O2937" s="4">
        <f t="shared" ca="1" si="258"/>
        <v>0.54642244973256093</v>
      </c>
      <c r="P2937" s="4">
        <f t="shared" ca="1" si="259"/>
        <v>0.11662768177193787</v>
      </c>
      <c r="Q2937" s="4">
        <f t="shared" ca="1" si="260"/>
        <v>1921.0636747414387</v>
      </c>
      <c r="R2937" s="4">
        <f t="shared" ca="1" si="261"/>
        <v>-2.6063692585612444</v>
      </c>
      <c r="S2937" s="4">
        <f t="shared" ca="1" si="262"/>
        <v>-1.3166043611528688</v>
      </c>
    </row>
    <row r="2938" spans="15:19" x14ac:dyDescent="0.2">
      <c r="O2938" s="4">
        <f t="shared" ca="1" si="258"/>
        <v>0.83999044285858293</v>
      </c>
      <c r="P2938" s="4">
        <f t="shared" ca="1" si="259"/>
        <v>0.99441860456773501</v>
      </c>
      <c r="Q2938" s="4">
        <f t="shared" ca="1" si="260"/>
        <v>1904.5009261184503</v>
      </c>
      <c r="R2938" s="4">
        <f t="shared" ca="1" si="261"/>
        <v>-19.16911788154971</v>
      </c>
      <c r="S2938" s="4">
        <f t="shared" ca="1" si="262"/>
        <v>-9.5540155762858063</v>
      </c>
    </row>
    <row r="2939" spans="15:19" x14ac:dyDescent="0.2">
      <c r="O2939" s="4">
        <f t="shared" ca="1" si="258"/>
        <v>0.24848870976307125</v>
      </c>
      <c r="P2939" s="4">
        <f t="shared" ca="1" si="259"/>
        <v>-0.67925323881556876</v>
      </c>
      <c r="Q2939" s="4">
        <f t="shared" ca="1" si="260"/>
        <v>1936.0808904350556</v>
      </c>
      <c r="R2939" s="4">
        <f t="shared" ca="1" si="261"/>
        <v>12.410846435055646</v>
      </c>
      <c r="S2939" s="4">
        <f t="shared" ca="1" si="262"/>
        <v>6.34519253872877</v>
      </c>
    </row>
    <row r="2940" spans="15:19" x14ac:dyDescent="0.2">
      <c r="O2940" s="4">
        <f t="shared" ca="1" si="258"/>
        <v>0.33215945800960811</v>
      </c>
      <c r="P2940" s="4">
        <f t="shared" ca="1" si="259"/>
        <v>-0.43395803374575298</v>
      </c>
      <c r="Q2940" s="4">
        <f t="shared" ca="1" si="260"/>
        <v>1931.4524957746783</v>
      </c>
      <c r="R2940" s="4">
        <f t="shared" ca="1" si="261"/>
        <v>7.7824517746782931</v>
      </c>
      <c r="S2940" s="4">
        <f t="shared" ca="1" si="262"/>
        <v>3.9642080976250305</v>
      </c>
    </row>
    <row r="2941" spans="15:19" x14ac:dyDescent="0.2">
      <c r="O2941" s="4">
        <f t="shared" ca="1" si="258"/>
        <v>0.68143340153075938</v>
      </c>
      <c r="P2941" s="4">
        <f t="shared" ca="1" si="259"/>
        <v>0.47171084247507988</v>
      </c>
      <c r="Q2941" s="4">
        <f t="shared" ca="1" si="260"/>
        <v>1914.3637272046715</v>
      </c>
      <c r="R2941" s="4">
        <f t="shared" ca="1" si="261"/>
        <v>-9.3063167953284847</v>
      </c>
      <c r="S2941" s="4">
        <f t="shared" ca="1" si="262"/>
        <v>-4.6756934551745513</v>
      </c>
    </row>
    <row r="2942" spans="15:19" x14ac:dyDescent="0.2">
      <c r="O2942" s="4">
        <f t="shared" ca="1" si="258"/>
        <v>0.1992543361462199</v>
      </c>
      <c r="P2942" s="4">
        <f t="shared" ca="1" si="259"/>
        <v>-0.8442876738304308</v>
      </c>
      <c r="Q2942" s="4">
        <f t="shared" ca="1" si="260"/>
        <v>1939.1948709858934</v>
      </c>
      <c r="R2942" s="4">
        <f t="shared" ca="1" si="261"/>
        <v>15.524826985893469</v>
      </c>
      <c r="S2942" s="4">
        <f t="shared" ca="1" si="262"/>
        <v>7.9569314122224073</v>
      </c>
    </row>
    <row r="2943" spans="15:19" x14ac:dyDescent="0.2">
      <c r="O2943" s="4">
        <f t="shared" ca="1" si="258"/>
        <v>0.45377714566209715</v>
      </c>
      <c r="P2943" s="4">
        <f t="shared" ca="1" si="259"/>
        <v>-0.11612397086766509</v>
      </c>
      <c r="Q2943" s="4">
        <f t="shared" ca="1" si="260"/>
        <v>1925.4553892307802</v>
      </c>
      <c r="R2943" s="4">
        <f t="shared" ca="1" si="261"/>
        <v>1.7853452307801945</v>
      </c>
      <c r="S2943" s="4">
        <f t="shared" ca="1" si="262"/>
        <v>0.90505675900313043</v>
      </c>
    </row>
    <row r="2944" spans="15:19" x14ac:dyDescent="0.2">
      <c r="O2944" s="4">
        <f t="shared" ca="1" si="258"/>
        <v>0.44933240529741192</v>
      </c>
      <c r="P2944" s="4">
        <f t="shared" ca="1" si="259"/>
        <v>-0.12734820271229852</v>
      </c>
      <c r="Q2944" s="4">
        <f t="shared" ca="1" si="260"/>
        <v>1925.6671755750006</v>
      </c>
      <c r="R2944" s="4">
        <f t="shared" ca="1" si="261"/>
        <v>1.9971315750005942</v>
      </c>
      <c r="S2944" s="4">
        <f t="shared" ca="1" si="262"/>
        <v>1.0125911746423126</v>
      </c>
    </row>
    <row r="2945" spans="15:19" x14ac:dyDescent="0.2">
      <c r="O2945" s="4">
        <f t="shared" ca="1" si="258"/>
        <v>0.89309288209453419</v>
      </c>
      <c r="P2945" s="4">
        <f t="shared" ca="1" si="259"/>
        <v>1.2431454615200734</v>
      </c>
      <c r="Q2945" s="4">
        <f t="shared" ca="1" si="260"/>
        <v>1899.8077807457839</v>
      </c>
      <c r="R2945" s="4">
        <f t="shared" ca="1" si="261"/>
        <v>-23.862263254216032</v>
      </c>
      <c r="S2945" s="4">
        <f t="shared" ca="1" si="262"/>
        <v>-11.847523073939783</v>
      </c>
    </row>
    <row r="2946" spans="15:19" x14ac:dyDescent="0.2">
      <c r="O2946" s="4">
        <f t="shared" ca="1" si="258"/>
        <v>0.87705705256234734</v>
      </c>
      <c r="P2946" s="4">
        <f t="shared" ca="1" si="259"/>
        <v>1.1604002258194717</v>
      </c>
      <c r="Q2946" s="4">
        <f t="shared" ca="1" si="260"/>
        <v>1901.3690734216</v>
      </c>
      <c r="R2946" s="4">
        <f t="shared" ca="1" si="261"/>
        <v>-22.300970578399983</v>
      </c>
      <c r="S2946" s="4">
        <f t="shared" ca="1" si="262"/>
        <v>-11.086520665907059</v>
      </c>
    </row>
    <row r="2947" spans="15:19" x14ac:dyDescent="0.2">
      <c r="O2947" s="4">
        <f t="shared" ref="O2947:O3010" ca="1" si="263">RAND()</f>
        <v>0.13930507610208165</v>
      </c>
      <c r="P2947" s="4">
        <f t="shared" ref="P2947:P3010" ca="1" si="264">NORMSINV(O2947)</f>
        <v>-1.083446800316437</v>
      </c>
      <c r="Q2947" s="4">
        <f t="shared" ref="Q2947:Q3010" ca="1" si="265">$B$4*(1+$B$17-$B$32*P2947)</f>
        <v>1943.7074859947897</v>
      </c>
      <c r="R2947" s="4">
        <f t="shared" ref="R2947:R3010" ca="1" si="266">Q2947-$B$4</f>
        <v>20.037441994789788</v>
      </c>
      <c r="S2947" s="4">
        <f t="shared" ref="S2947:S3010" ca="1" si="267">R2947*$B$12+0.5*$B$13*R2947^2</f>
        <v>10.306587322929694</v>
      </c>
    </row>
    <row r="2948" spans="15:19" x14ac:dyDescent="0.2">
      <c r="O2948" s="4">
        <f t="shared" ca="1" si="263"/>
        <v>0.11414705313178375</v>
      </c>
      <c r="P2948" s="4">
        <f t="shared" ca="1" si="264"/>
        <v>-1.2047648156810848</v>
      </c>
      <c r="Q2948" s="4">
        <f t="shared" ca="1" si="265"/>
        <v>1945.9965957813488</v>
      </c>
      <c r="R2948" s="4">
        <f t="shared" ca="1" si="266"/>
        <v>22.326551781348826</v>
      </c>
      <c r="S2948" s="4">
        <f t="shared" ca="1" si="267"/>
        <v>11.504832995652286</v>
      </c>
    </row>
    <row r="2949" spans="15:19" x14ac:dyDescent="0.2">
      <c r="O2949" s="4">
        <f t="shared" ca="1" si="263"/>
        <v>0.47341933325084695</v>
      </c>
      <c r="P2949" s="4">
        <f t="shared" ca="1" si="264"/>
        <v>-6.6677224082203501E-2</v>
      </c>
      <c r="Q2949" s="4">
        <f t="shared" ca="1" si="265"/>
        <v>1924.5223948058392</v>
      </c>
      <c r="R2949" s="4">
        <f t="shared" ca="1" si="266"/>
        <v>0.85235080583925082</v>
      </c>
      <c r="S2949" s="4">
        <f t="shared" ca="1" si="267"/>
        <v>0.43176406317576793</v>
      </c>
    </row>
    <row r="2950" spans="15:19" x14ac:dyDescent="0.2">
      <c r="O2950" s="4">
        <f t="shared" ca="1" si="263"/>
        <v>0.18644091468256763</v>
      </c>
      <c r="P2950" s="4">
        <f t="shared" ca="1" si="264"/>
        <v>-0.89108824747908555</v>
      </c>
      <c r="Q2950" s="4">
        <f t="shared" ca="1" si="265"/>
        <v>1940.0779356390178</v>
      </c>
      <c r="R2950" s="4">
        <f t="shared" ca="1" si="266"/>
        <v>16.407891639017862</v>
      </c>
      <c r="S2950" s="4">
        <f t="shared" ca="1" si="267"/>
        <v>8.4154261938652848</v>
      </c>
    </row>
    <row r="2951" spans="15:19" x14ac:dyDescent="0.2">
      <c r="O2951" s="4">
        <f t="shared" ca="1" si="263"/>
        <v>0.33778536717293561</v>
      </c>
      <c r="P2951" s="4">
        <f t="shared" ca="1" si="264"/>
        <v>-0.41851484604789135</v>
      </c>
      <c r="Q2951" s="4">
        <f t="shared" ca="1" si="265"/>
        <v>1931.1611033381257</v>
      </c>
      <c r="R2951" s="4">
        <f t="shared" ca="1" si="266"/>
        <v>7.4910593381257513</v>
      </c>
      <c r="S2951" s="4">
        <f t="shared" ca="1" si="267"/>
        <v>3.8148906956392499</v>
      </c>
    </row>
    <row r="2952" spans="15:19" x14ac:dyDescent="0.2">
      <c r="O2952" s="4">
        <f t="shared" ca="1" si="263"/>
        <v>0.8280975291651832</v>
      </c>
      <c r="P2952" s="4">
        <f t="shared" ca="1" si="264"/>
        <v>0.94667396356814348</v>
      </c>
      <c r="Q2952" s="4">
        <f t="shared" ca="1" si="265"/>
        <v>1905.4018040683525</v>
      </c>
      <c r="R2952" s="4">
        <f t="shared" ca="1" si="266"/>
        <v>-18.268239931647486</v>
      </c>
      <c r="S2952" s="4">
        <f t="shared" ca="1" si="267"/>
        <v>-9.1117113502656046</v>
      </c>
    </row>
    <row r="2953" spans="15:19" x14ac:dyDescent="0.2">
      <c r="O2953" s="4">
        <f t="shared" ca="1" si="263"/>
        <v>0.69298909106481366</v>
      </c>
      <c r="P2953" s="4">
        <f t="shared" ca="1" si="264"/>
        <v>0.50434093283389503</v>
      </c>
      <c r="Q2953" s="4">
        <f t="shared" ca="1" si="265"/>
        <v>1913.7480407466285</v>
      </c>
      <c r="R2953" s="4">
        <f t="shared" ca="1" si="266"/>
        <v>-9.9220032533714857</v>
      </c>
      <c r="S2953" s="4">
        <f t="shared" ca="1" si="267"/>
        <v>-4.9825408344698783</v>
      </c>
    </row>
    <row r="2954" spans="15:19" x14ac:dyDescent="0.2">
      <c r="O2954" s="4">
        <f t="shared" ca="1" si="263"/>
        <v>0.7025294668485651</v>
      </c>
      <c r="P2954" s="4">
        <f t="shared" ca="1" si="264"/>
        <v>0.53168949871345073</v>
      </c>
      <c r="Q2954" s="4">
        <f t="shared" ca="1" si="265"/>
        <v>1913.232009639335</v>
      </c>
      <c r="R2954" s="4">
        <f t="shared" ca="1" si="266"/>
        <v>-10.438034360664915</v>
      </c>
      <c r="S2954" s="4">
        <f t="shared" ca="1" si="267"/>
        <v>-5.2394839981525259</v>
      </c>
    </row>
    <row r="2955" spans="15:19" x14ac:dyDescent="0.2">
      <c r="O2955" s="4">
        <f t="shared" ca="1" si="263"/>
        <v>2.9708035352503215E-2</v>
      </c>
      <c r="P2955" s="4">
        <f t="shared" ca="1" si="264"/>
        <v>-1.8851019805899949</v>
      </c>
      <c r="Q2955" s="4">
        <f t="shared" ca="1" si="265"/>
        <v>1958.8336542979407</v>
      </c>
      <c r="R2955" s="4">
        <f t="shared" ca="1" si="266"/>
        <v>35.16361029794075</v>
      </c>
      <c r="S2955" s="4">
        <f t="shared" ca="1" si="267"/>
        <v>18.303496705351289</v>
      </c>
    </row>
    <row r="2956" spans="15:19" x14ac:dyDescent="0.2">
      <c r="O2956" s="4">
        <f t="shared" ca="1" si="263"/>
        <v>0.60424373100911732</v>
      </c>
      <c r="P2956" s="4">
        <f t="shared" ca="1" si="264"/>
        <v>0.26434701184786524</v>
      </c>
      <c r="Q2956" s="4">
        <f t="shared" ca="1" si="265"/>
        <v>1918.2764072187681</v>
      </c>
      <c r="R2956" s="4">
        <f t="shared" ca="1" si="266"/>
        <v>-5.3936367812318622</v>
      </c>
      <c r="S2956" s="4">
        <f t="shared" ca="1" si="267"/>
        <v>-2.7184695886388948</v>
      </c>
    </row>
    <row r="2957" spans="15:19" x14ac:dyDescent="0.2">
      <c r="O2957" s="4">
        <f t="shared" ca="1" si="263"/>
        <v>4.1948330931074196E-3</v>
      </c>
      <c r="P2957" s="4">
        <f t="shared" ca="1" si="264"/>
        <v>-2.6359719686069423</v>
      </c>
      <c r="Q2957" s="4">
        <f t="shared" ca="1" si="265"/>
        <v>1973.0015734881511</v>
      </c>
      <c r="R2957" s="4">
        <f t="shared" ca="1" si="266"/>
        <v>49.331529488151091</v>
      </c>
      <c r="S2957" s="4">
        <f t="shared" ca="1" si="267"/>
        <v>25.962747011563021</v>
      </c>
    </row>
    <row r="2958" spans="15:19" x14ac:dyDescent="0.2">
      <c r="O2958" s="4">
        <f t="shared" ca="1" si="263"/>
        <v>0.64197342057198958</v>
      </c>
      <c r="P2958" s="4">
        <f t="shared" ca="1" si="264"/>
        <v>0.36373867689100176</v>
      </c>
      <c r="Q2958" s="4">
        <f t="shared" ca="1" si="265"/>
        <v>1916.4010185349953</v>
      </c>
      <c r="R2958" s="4">
        <f t="shared" ca="1" si="266"/>
        <v>-7.2690254650046882</v>
      </c>
      <c r="S2958" s="4">
        <f t="shared" ca="1" si="267"/>
        <v>-3.6581428683998811</v>
      </c>
    </row>
    <row r="2959" spans="15:19" x14ac:dyDescent="0.2">
      <c r="O2959" s="4">
        <f t="shared" ca="1" si="263"/>
        <v>0.42351816530232322</v>
      </c>
      <c r="P2959" s="4">
        <f t="shared" ca="1" si="264"/>
        <v>-0.19290121866288554</v>
      </c>
      <c r="Q2959" s="4">
        <f t="shared" ca="1" si="265"/>
        <v>1926.9040739029197</v>
      </c>
      <c r="R2959" s="4">
        <f t="shared" ca="1" si="266"/>
        <v>3.2340299029197013</v>
      </c>
      <c r="S2959" s="4">
        <f t="shared" ca="1" si="267"/>
        <v>1.6413551303145841</v>
      </c>
    </row>
    <row r="2960" spans="15:19" x14ac:dyDescent="0.2">
      <c r="O2960" s="4">
        <f t="shared" ca="1" si="263"/>
        <v>0.45676889434998258</v>
      </c>
      <c r="P2960" s="4">
        <f t="shared" ca="1" si="264"/>
        <v>-0.10857727171588211</v>
      </c>
      <c r="Q2960" s="4">
        <f t="shared" ca="1" si="265"/>
        <v>1925.3129930431026</v>
      </c>
      <c r="R2960" s="4">
        <f t="shared" ca="1" si="266"/>
        <v>1.6429490431025897</v>
      </c>
      <c r="S2960" s="4">
        <f t="shared" ca="1" si="267"/>
        <v>0.83277569260300999</v>
      </c>
    </row>
    <row r="2961" spans="15:19" x14ac:dyDescent="0.2">
      <c r="O2961" s="4">
        <f t="shared" ca="1" si="263"/>
        <v>0.64281851610754281</v>
      </c>
      <c r="P2961" s="4">
        <f t="shared" ca="1" si="264"/>
        <v>0.36600282471744205</v>
      </c>
      <c r="Q2961" s="4">
        <f t="shared" ca="1" si="265"/>
        <v>1916.3582970732887</v>
      </c>
      <c r="R2961" s="4">
        <f t="shared" ca="1" si="266"/>
        <v>-7.3117469267112938</v>
      </c>
      <c r="S2961" s="4">
        <f t="shared" ca="1" si="267"/>
        <v>-3.6795153224997907</v>
      </c>
    </row>
    <row r="2962" spans="15:19" x14ac:dyDescent="0.2">
      <c r="O2962" s="4">
        <f t="shared" ca="1" si="263"/>
        <v>0.69263113254070352</v>
      </c>
      <c r="P2962" s="4">
        <f t="shared" ca="1" si="264"/>
        <v>0.5033222366641843</v>
      </c>
      <c r="Q2962" s="4">
        <f t="shared" ca="1" si="265"/>
        <v>1913.767262190077</v>
      </c>
      <c r="R2962" s="4">
        <f t="shared" ca="1" si="266"/>
        <v>-9.9027818099229989</v>
      </c>
      <c r="S2962" s="4">
        <f t="shared" ca="1" si="267"/>
        <v>-4.9729658697241419</v>
      </c>
    </row>
    <row r="2963" spans="15:19" x14ac:dyDescent="0.2">
      <c r="O2963" s="4">
        <f t="shared" ca="1" si="263"/>
        <v>0.81430141519297405</v>
      </c>
      <c r="P2963" s="4">
        <f t="shared" ca="1" si="264"/>
        <v>0.89385931259294382</v>
      </c>
      <c r="Q2963" s="4">
        <f t="shared" ca="1" si="265"/>
        <v>1906.3983463713041</v>
      </c>
      <c r="R2963" s="4">
        <f t="shared" ca="1" si="266"/>
        <v>-17.271697628695847</v>
      </c>
      <c r="S2963" s="4">
        <f t="shared" ca="1" si="267"/>
        <v>-8.6216690670929435</v>
      </c>
    </row>
    <row r="2964" spans="15:19" x14ac:dyDescent="0.2">
      <c r="O2964" s="4">
        <f t="shared" ca="1" si="263"/>
        <v>0.98901852842280047</v>
      </c>
      <c r="P2964" s="4">
        <f t="shared" ca="1" si="264"/>
        <v>2.2910081351719871</v>
      </c>
      <c r="Q2964" s="4">
        <f t="shared" ca="1" si="265"/>
        <v>1880.0360041137913</v>
      </c>
      <c r="R2964" s="4">
        <f t="shared" ca="1" si="266"/>
        <v>-43.634039886208711</v>
      </c>
      <c r="S2964" s="4">
        <f t="shared" ca="1" si="267"/>
        <v>-21.312947300012148</v>
      </c>
    </row>
    <row r="2965" spans="15:19" x14ac:dyDescent="0.2">
      <c r="O2965" s="4">
        <f t="shared" ca="1" si="263"/>
        <v>0.29079802895931806</v>
      </c>
      <c r="P2965" s="4">
        <f t="shared" ca="1" si="264"/>
        <v>-0.55105487476881077</v>
      </c>
      <c r="Q2965" s="4">
        <f t="shared" ca="1" si="265"/>
        <v>1933.6619576089765</v>
      </c>
      <c r="R2965" s="4">
        <f t="shared" ca="1" si="266"/>
        <v>9.9919136089765743</v>
      </c>
      <c r="S2965" s="4">
        <f t="shared" ca="1" si="267"/>
        <v>5.0986456534856464</v>
      </c>
    </row>
    <row r="2966" spans="15:19" x14ac:dyDescent="0.2">
      <c r="O2966" s="4">
        <f t="shared" ca="1" si="263"/>
        <v>0.58748608142663672</v>
      </c>
      <c r="P2966" s="4">
        <f t="shared" ca="1" si="264"/>
        <v>0.22108296102355962</v>
      </c>
      <c r="Q2966" s="4">
        <f t="shared" ca="1" si="265"/>
        <v>1919.0927423842454</v>
      </c>
      <c r="R2966" s="4">
        <f t="shared" ca="1" si="266"/>
        <v>-4.5773016157545499</v>
      </c>
      <c r="S2966" s="4">
        <f t="shared" ca="1" si="267"/>
        <v>-2.3085461238722247</v>
      </c>
    </row>
    <row r="2967" spans="15:19" x14ac:dyDescent="0.2">
      <c r="O2967" s="4">
        <f t="shared" ca="1" si="263"/>
        <v>0.25524769949504755</v>
      </c>
      <c r="P2967" s="4">
        <f t="shared" ca="1" si="264"/>
        <v>-0.65806650300505698</v>
      </c>
      <c r="Q2967" s="4">
        <f t="shared" ca="1" si="265"/>
        <v>1935.6811248755605</v>
      </c>
      <c r="R2967" s="4">
        <f t="shared" ca="1" si="266"/>
        <v>12.011080875560538</v>
      </c>
      <c r="S2967" s="4">
        <f t="shared" ca="1" si="267"/>
        <v>6.1388530615003694</v>
      </c>
    </row>
    <row r="2968" spans="15:19" x14ac:dyDescent="0.2">
      <c r="O2968" s="4">
        <f t="shared" ca="1" si="263"/>
        <v>0.35662403594395875</v>
      </c>
      <c r="P2968" s="4">
        <f t="shared" ca="1" si="264"/>
        <v>-0.36749734500908776</v>
      </c>
      <c r="Q2968" s="4">
        <f t="shared" ca="1" si="265"/>
        <v>1930.1984708670727</v>
      </c>
      <c r="R2968" s="4">
        <f t="shared" ca="1" si="266"/>
        <v>6.528426867072767</v>
      </c>
      <c r="S2968" s="4">
        <f t="shared" ca="1" si="267"/>
        <v>3.3221030613065525</v>
      </c>
    </row>
    <row r="2969" spans="15:19" x14ac:dyDescent="0.2">
      <c r="O2969" s="4">
        <f t="shared" ca="1" si="263"/>
        <v>0.51188660764984517</v>
      </c>
      <c r="P2969" s="4">
        <f t="shared" ca="1" si="264"/>
        <v>2.9799716710000312E-2</v>
      </c>
      <c r="Q2969" s="4">
        <f t="shared" ca="1" si="265"/>
        <v>1922.7020030966535</v>
      </c>
      <c r="R2969" s="4">
        <f t="shared" ca="1" si="266"/>
        <v>-0.96804090334649118</v>
      </c>
      <c r="S2969" s="4">
        <f t="shared" ca="1" si="267"/>
        <v>-0.48965032127290681</v>
      </c>
    </row>
    <row r="2970" spans="15:19" x14ac:dyDescent="0.2">
      <c r="O2970" s="4">
        <f t="shared" ca="1" si="263"/>
        <v>0.91903568098207056</v>
      </c>
      <c r="P2970" s="4">
        <f t="shared" ca="1" si="264"/>
        <v>1.3986144258490891</v>
      </c>
      <c r="Q2970" s="4">
        <f t="shared" ca="1" si="265"/>
        <v>1896.8742879196604</v>
      </c>
      <c r="R2970" s="4">
        <f t="shared" ca="1" si="266"/>
        <v>-26.795756080339515</v>
      </c>
      <c r="S2970" s="4">
        <f t="shared" ca="1" si="267"/>
        <v>-13.271993379447416</v>
      </c>
    </row>
    <row r="2971" spans="15:19" x14ac:dyDescent="0.2">
      <c r="O2971" s="4">
        <f t="shared" ca="1" si="263"/>
        <v>0.75958305207620469</v>
      </c>
      <c r="P2971" s="4">
        <f t="shared" ca="1" si="264"/>
        <v>0.70496198187675396</v>
      </c>
      <c r="Q2971" s="4">
        <f t="shared" ca="1" si="265"/>
        <v>1909.9625880636663</v>
      </c>
      <c r="R2971" s="4">
        <f t="shared" ca="1" si="266"/>
        <v>-13.707455936333645</v>
      </c>
      <c r="S2971" s="4">
        <f t="shared" ca="1" si="267"/>
        <v>-6.8623624513469439</v>
      </c>
    </row>
    <row r="2972" spans="15:19" x14ac:dyDescent="0.2">
      <c r="O2972" s="4">
        <f t="shared" ca="1" si="263"/>
        <v>0.1414361014851151</v>
      </c>
      <c r="P2972" s="4">
        <f t="shared" ca="1" si="264"/>
        <v>-1.0738895154908477</v>
      </c>
      <c r="Q2972" s="4">
        <f t="shared" ca="1" si="265"/>
        <v>1943.5271527263837</v>
      </c>
      <c r="R2972" s="4">
        <f t="shared" ca="1" si="266"/>
        <v>19.857108726383785</v>
      </c>
      <c r="S2972" s="4">
        <f t="shared" ca="1" si="267"/>
        <v>10.212372271991246</v>
      </c>
    </row>
    <row r="2973" spans="15:19" x14ac:dyDescent="0.2">
      <c r="O2973" s="4">
        <f t="shared" ca="1" si="263"/>
        <v>0.675999986623258</v>
      </c>
      <c r="P2973" s="4">
        <f t="shared" ca="1" si="264"/>
        <v>0.4565423466263433</v>
      </c>
      <c r="Q2973" s="4">
        <f t="shared" ca="1" si="265"/>
        <v>1914.6499365709419</v>
      </c>
      <c r="R2973" s="4">
        <f t="shared" ca="1" si="266"/>
        <v>-9.0201074290580436</v>
      </c>
      <c r="S2973" s="4">
        <f t="shared" ca="1" si="267"/>
        <v>-4.53294662774233</v>
      </c>
    </row>
    <row r="2974" spans="15:19" x14ac:dyDescent="0.2">
      <c r="O2974" s="4">
        <f t="shared" ca="1" si="263"/>
        <v>8.608161038738904E-2</v>
      </c>
      <c r="P2974" s="4">
        <f t="shared" ca="1" si="264"/>
        <v>-1.3652858621055777</v>
      </c>
      <c r="Q2974" s="4">
        <f t="shared" ca="1" si="265"/>
        <v>1949.0254146852394</v>
      </c>
      <c r="R2974" s="4">
        <f t="shared" ca="1" si="266"/>
        <v>25.35537068523945</v>
      </c>
      <c r="S2974" s="4">
        <f t="shared" ca="1" si="267"/>
        <v>13.096839691983529</v>
      </c>
    </row>
    <row r="2975" spans="15:19" x14ac:dyDescent="0.2">
      <c r="O2975" s="4">
        <f t="shared" ca="1" si="263"/>
        <v>0.3045562454396824</v>
      </c>
      <c r="P2975" s="4">
        <f t="shared" ca="1" si="264"/>
        <v>-0.51134072799241959</v>
      </c>
      <c r="Q2975" s="4">
        <f t="shared" ca="1" si="265"/>
        <v>1932.9126044170584</v>
      </c>
      <c r="R2975" s="4">
        <f t="shared" ca="1" si="266"/>
        <v>9.2425604170584847</v>
      </c>
      <c r="S2975" s="4">
        <f t="shared" ca="1" si="267"/>
        <v>4.7134484704098289</v>
      </c>
    </row>
    <row r="2976" spans="15:19" x14ac:dyDescent="0.2">
      <c r="O2976" s="4">
        <f t="shared" ca="1" si="263"/>
        <v>0.10869678942122341</v>
      </c>
      <c r="P2976" s="4">
        <f t="shared" ca="1" si="264"/>
        <v>-1.2334884619008624</v>
      </c>
      <c r="Q2976" s="4">
        <f t="shared" ca="1" si="265"/>
        <v>1946.5385728279537</v>
      </c>
      <c r="R2976" s="4">
        <f t="shared" ca="1" si="266"/>
        <v>22.868528827953696</v>
      </c>
      <c r="S2976" s="4">
        <f t="shared" ca="1" si="267"/>
        <v>11.789158122318915</v>
      </c>
    </row>
    <row r="2977" spans="15:19" x14ac:dyDescent="0.2">
      <c r="O2977" s="4">
        <f t="shared" ca="1" si="263"/>
        <v>0.53176598163795274</v>
      </c>
      <c r="P2977" s="4">
        <f t="shared" ca="1" si="264"/>
        <v>7.9709835531595191E-2</v>
      </c>
      <c r="Q2977" s="4">
        <f t="shared" ca="1" si="265"/>
        <v>1921.7602654569514</v>
      </c>
      <c r="R2977" s="4">
        <f t="shared" ca="1" si="266"/>
        <v>-1.9097785430485601</v>
      </c>
      <c r="S2977" s="4">
        <f t="shared" ca="1" si="267"/>
        <v>-0.96526391969563186</v>
      </c>
    </row>
    <row r="2978" spans="15:19" x14ac:dyDescent="0.2">
      <c r="O2978" s="4">
        <f t="shared" ca="1" si="263"/>
        <v>0.50784173450393411</v>
      </c>
      <c r="P2978" s="4">
        <f t="shared" ca="1" si="264"/>
        <v>1.96575793713669E-2</v>
      </c>
      <c r="Q2978" s="4">
        <f t="shared" ca="1" si="265"/>
        <v>1922.8933717550403</v>
      </c>
      <c r="R2978" s="4">
        <f t="shared" ca="1" si="266"/>
        <v>-0.77667224495962728</v>
      </c>
      <c r="S2978" s="4">
        <f t="shared" ca="1" si="267"/>
        <v>-0.39291354562257036</v>
      </c>
    </row>
    <row r="2979" spans="15:19" x14ac:dyDescent="0.2">
      <c r="O2979" s="4">
        <f t="shared" ca="1" si="263"/>
        <v>0.34148219174172822</v>
      </c>
      <c r="P2979" s="4">
        <f t="shared" ca="1" si="264"/>
        <v>-0.40842132026339972</v>
      </c>
      <c r="Q2979" s="4">
        <f t="shared" ca="1" si="265"/>
        <v>1930.9706519151878</v>
      </c>
      <c r="R2979" s="4">
        <f t="shared" ca="1" si="266"/>
        <v>7.3006079151878112</v>
      </c>
      <c r="S2979" s="4">
        <f t="shared" ca="1" si="267"/>
        <v>3.7173355675900464</v>
      </c>
    </row>
    <row r="2980" spans="15:19" x14ac:dyDescent="0.2">
      <c r="O2980" s="4">
        <f t="shared" ca="1" si="263"/>
        <v>0.56721360382688013</v>
      </c>
      <c r="P2980" s="4">
        <f t="shared" ca="1" si="264"/>
        <v>0.16928459521372197</v>
      </c>
      <c r="Q2980" s="4">
        <f t="shared" ca="1" si="265"/>
        <v>1920.0701087361979</v>
      </c>
      <c r="R2980" s="4">
        <f t="shared" ca="1" si="266"/>
        <v>-3.599935263802081</v>
      </c>
      <c r="S2980" s="4">
        <f t="shared" ca="1" si="267"/>
        <v>-1.817047064130189</v>
      </c>
    </row>
    <row r="2981" spans="15:19" x14ac:dyDescent="0.2">
      <c r="O2981" s="4">
        <f t="shared" ca="1" si="263"/>
        <v>0.34720534211849929</v>
      </c>
      <c r="P2981" s="4">
        <f t="shared" ca="1" si="264"/>
        <v>-0.39287652017940311</v>
      </c>
      <c r="Q2981" s="4">
        <f t="shared" ca="1" si="265"/>
        <v>1930.6773421878945</v>
      </c>
      <c r="R2981" s="4">
        <f t="shared" ca="1" si="266"/>
        <v>7.0072981878945484</v>
      </c>
      <c r="S2981" s="4">
        <f t="shared" ca="1" si="267"/>
        <v>3.5671509844259668</v>
      </c>
    </row>
    <row r="2982" spans="15:19" x14ac:dyDescent="0.2">
      <c r="O2982" s="4">
        <f t="shared" ca="1" si="263"/>
        <v>0.97835470375056766</v>
      </c>
      <c r="P2982" s="4">
        <f t="shared" ca="1" si="264"/>
        <v>2.0208954164094912</v>
      </c>
      <c r="Q2982" s="4">
        <f t="shared" ca="1" si="265"/>
        <v>1885.1326722890396</v>
      </c>
      <c r="R2982" s="4">
        <f t="shared" ca="1" si="266"/>
        <v>-38.537371710960315</v>
      </c>
      <c r="S2982" s="4">
        <f t="shared" ca="1" si="267"/>
        <v>-18.903444710373623</v>
      </c>
    </row>
    <row r="2983" spans="15:19" x14ac:dyDescent="0.2">
      <c r="O2983" s="4">
        <f t="shared" ca="1" si="263"/>
        <v>0.53986417138202747</v>
      </c>
      <c r="P2983" s="4">
        <f t="shared" ca="1" si="264"/>
        <v>0.1000915330347896</v>
      </c>
      <c r="Q2983" s="4">
        <f t="shared" ca="1" si="265"/>
        <v>1921.3756899008724</v>
      </c>
      <c r="R2983" s="4">
        <f t="shared" ca="1" si="266"/>
        <v>-2.2943540991275313</v>
      </c>
      <c r="S2983" s="4">
        <f t="shared" ca="1" si="267"/>
        <v>-1.1592816808333763</v>
      </c>
    </row>
    <row r="2984" spans="15:19" x14ac:dyDescent="0.2">
      <c r="O2984" s="4">
        <f t="shared" ca="1" si="263"/>
        <v>3.3380447537590507E-2</v>
      </c>
      <c r="P2984" s="4">
        <f t="shared" ca="1" si="264"/>
        <v>-1.8332803162479889</v>
      </c>
      <c r="Q2984" s="4">
        <f t="shared" ca="1" si="265"/>
        <v>1957.8558483336367</v>
      </c>
      <c r="R2984" s="4">
        <f t="shared" ca="1" si="266"/>
        <v>34.185804333636725</v>
      </c>
      <c r="S2984" s="4">
        <f t="shared" ca="1" si="267"/>
        <v>17.780918274090162</v>
      </c>
    </row>
    <row r="2985" spans="15:19" x14ac:dyDescent="0.2">
      <c r="O2985" s="4">
        <f t="shared" ca="1" si="263"/>
        <v>0.8160994660476254</v>
      </c>
      <c r="P2985" s="4">
        <f t="shared" ca="1" si="264"/>
        <v>0.90059993740005717</v>
      </c>
      <c r="Q2985" s="4">
        <f t="shared" ca="1" si="265"/>
        <v>1906.2711597356911</v>
      </c>
      <c r="R2985" s="4">
        <f t="shared" ca="1" si="266"/>
        <v>-17.39888426430889</v>
      </c>
      <c r="S2985" s="4">
        <f t="shared" ca="1" si="267"/>
        <v>-8.684257161252205</v>
      </c>
    </row>
    <row r="2986" spans="15:19" x14ac:dyDescent="0.2">
      <c r="O2986" s="4">
        <f t="shared" ca="1" si="263"/>
        <v>0.53968204034035594</v>
      </c>
      <c r="P2986" s="4">
        <f t="shared" ca="1" si="264"/>
        <v>9.963271614340069E-2</v>
      </c>
      <c r="Q2986" s="4">
        <f t="shared" ca="1" si="265"/>
        <v>1921.3843471661035</v>
      </c>
      <c r="R2986" s="4">
        <f t="shared" ca="1" si="266"/>
        <v>-2.2856968338965089</v>
      </c>
      <c r="S2986" s="4">
        <f t="shared" ca="1" si="267"/>
        <v>-1.1549154289624777</v>
      </c>
    </row>
    <row r="2987" spans="15:19" x14ac:dyDescent="0.2">
      <c r="O2987" s="4">
        <f t="shared" ca="1" si="263"/>
        <v>0.54362728393691839</v>
      </c>
      <c r="P2987" s="4">
        <f t="shared" ca="1" si="264"/>
        <v>0.10957626871481849</v>
      </c>
      <c r="Q2987" s="4">
        <f t="shared" ca="1" si="265"/>
        <v>1921.1967255384666</v>
      </c>
      <c r="R2987" s="4">
        <f t="shared" ca="1" si="266"/>
        <v>-2.4733184615333812</v>
      </c>
      <c r="S2987" s="4">
        <f t="shared" ca="1" si="267"/>
        <v>-1.2495278648594712</v>
      </c>
    </row>
    <row r="2988" spans="15:19" x14ac:dyDescent="0.2">
      <c r="O2988" s="4">
        <f t="shared" ca="1" si="263"/>
        <v>9.8825500294047686E-2</v>
      </c>
      <c r="P2988" s="4">
        <f t="shared" ca="1" si="264"/>
        <v>-1.2882728499861789</v>
      </c>
      <c r="Q2988" s="4">
        <f t="shared" ca="1" si="265"/>
        <v>1947.5722814535015</v>
      </c>
      <c r="R2988" s="4">
        <f t="shared" ca="1" si="266"/>
        <v>23.902237453501584</v>
      </c>
      <c r="S2988" s="4">
        <f t="shared" ca="1" si="267"/>
        <v>12.332112269752946</v>
      </c>
    </row>
    <row r="2989" spans="15:19" x14ac:dyDescent="0.2">
      <c r="O2989" s="4">
        <f t="shared" ca="1" si="263"/>
        <v>0.71886095163515973</v>
      </c>
      <c r="P2989" s="4">
        <f t="shared" ca="1" si="264"/>
        <v>0.57946108575938426</v>
      </c>
      <c r="Q2989" s="4">
        <f t="shared" ca="1" si="265"/>
        <v>1912.3306232533344</v>
      </c>
      <c r="R2989" s="4">
        <f t="shared" ca="1" si="266"/>
        <v>-11.33942074666561</v>
      </c>
      <c r="S2989" s="4">
        <f t="shared" ca="1" si="267"/>
        <v>-5.6877838869131265</v>
      </c>
    </row>
    <row r="2990" spans="15:19" x14ac:dyDescent="0.2">
      <c r="O2990" s="4">
        <f t="shared" ca="1" si="263"/>
        <v>0.11152290573032941</v>
      </c>
      <c r="P2990" s="4">
        <f t="shared" ca="1" si="264"/>
        <v>-1.2184689650322125</v>
      </c>
      <c r="Q2990" s="4">
        <f t="shared" ca="1" si="265"/>
        <v>1946.2551748745018</v>
      </c>
      <c r="R2990" s="4">
        <f t="shared" ca="1" si="266"/>
        <v>22.585130874501829</v>
      </c>
      <c r="S2990" s="4">
        <f t="shared" ca="1" si="267"/>
        <v>11.640455650722366</v>
      </c>
    </row>
    <row r="2991" spans="15:19" x14ac:dyDescent="0.2">
      <c r="O2991" s="4">
        <f t="shared" ca="1" si="263"/>
        <v>0.64596586552643498</v>
      </c>
      <c r="P2991" s="4">
        <f t="shared" ca="1" si="264"/>
        <v>0.3744517213853224</v>
      </c>
      <c r="Q2991" s="4">
        <f t="shared" ca="1" si="265"/>
        <v>1916.1988776169947</v>
      </c>
      <c r="R2991" s="4">
        <f t="shared" ca="1" si="266"/>
        <v>-7.4711663830053112</v>
      </c>
      <c r="S2991" s="4">
        <f t="shared" ca="1" si="267"/>
        <v>-3.7592556792422234</v>
      </c>
    </row>
    <row r="2992" spans="15:19" x14ac:dyDescent="0.2">
      <c r="O2992" s="4">
        <f t="shared" ca="1" si="263"/>
        <v>0.16669003394595139</v>
      </c>
      <c r="P2992" s="4">
        <f t="shared" ca="1" si="264"/>
        <v>-0.96732804545209616</v>
      </c>
      <c r="Q2992" s="4">
        <f t="shared" ca="1" si="265"/>
        <v>1941.5164793469798</v>
      </c>
      <c r="R2992" s="4">
        <f t="shared" ca="1" si="266"/>
        <v>17.846435346979888</v>
      </c>
      <c r="S2992" s="4">
        <f t="shared" ca="1" si="267"/>
        <v>9.1636899934747653</v>
      </c>
    </row>
    <row r="2993" spans="15:19" x14ac:dyDescent="0.2">
      <c r="O2993" s="4">
        <f t="shared" ca="1" si="263"/>
        <v>0.34385856237649481</v>
      </c>
      <c r="P2993" s="4">
        <f t="shared" ca="1" si="264"/>
        <v>-0.40195502658125826</v>
      </c>
      <c r="Q2993" s="4">
        <f t="shared" ca="1" si="265"/>
        <v>1930.8486415434713</v>
      </c>
      <c r="R2993" s="4">
        <f t="shared" ca="1" si="266"/>
        <v>7.1785975434713691</v>
      </c>
      <c r="S2993" s="4">
        <f t="shared" ca="1" si="267"/>
        <v>3.6548535884632858</v>
      </c>
    </row>
    <row r="2994" spans="15:19" x14ac:dyDescent="0.2">
      <c r="O2994" s="4">
        <f t="shared" ca="1" si="263"/>
        <v>0.90167659702036629</v>
      </c>
      <c r="P2994" s="4">
        <f t="shared" ca="1" si="264"/>
        <v>1.2911640273254621</v>
      </c>
      <c r="Q2994" s="4">
        <f t="shared" ca="1" si="265"/>
        <v>1898.901734198688</v>
      </c>
      <c r="R2994" s="4">
        <f t="shared" ca="1" si="266"/>
        <v>-24.768309801311943</v>
      </c>
      <c r="S2994" s="4">
        <f t="shared" ca="1" si="267"/>
        <v>-12.28823660446638</v>
      </c>
    </row>
    <row r="2995" spans="15:19" x14ac:dyDescent="0.2">
      <c r="O2995" s="4">
        <f t="shared" ca="1" si="263"/>
        <v>0.28589908271743081</v>
      </c>
      <c r="P2995" s="4">
        <f t="shared" ca="1" si="264"/>
        <v>-0.56540523386389629</v>
      </c>
      <c r="Q2995" s="4">
        <f t="shared" ca="1" si="265"/>
        <v>1933.9327298215494</v>
      </c>
      <c r="R2995" s="4">
        <f t="shared" ca="1" si="266"/>
        <v>10.262685821549439</v>
      </c>
      <c r="S2995" s="4">
        <f t="shared" ca="1" si="267"/>
        <v>5.2379457230986057</v>
      </c>
    </row>
    <row r="2996" spans="15:19" x14ac:dyDescent="0.2">
      <c r="O2996" s="4">
        <f t="shared" ca="1" si="263"/>
        <v>0.81585149736202067</v>
      </c>
      <c r="P2996" s="4">
        <f t="shared" ca="1" si="264"/>
        <v>0.89966791061731599</v>
      </c>
      <c r="Q2996" s="4">
        <f t="shared" ca="1" si="265"/>
        <v>1906.2887458429425</v>
      </c>
      <c r="R2996" s="4">
        <f t="shared" ca="1" si="266"/>
        <v>-17.381298157057472</v>
      </c>
      <c r="S2996" s="4">
        <f t="shared" ca="1" si="267"/>
        <v>-8.675603884592503</v>
      </c>
    </row>
    <row r="2997" spans="15:19" x14ac:dyDescent="0.2">
      <c r="O2997" s="4">
        <f t="shared" ca="1" si="263"/>
        <v>0.6529018865614078</v>
      </c>
      <c r="P2997" s="4">
        <f t="shared" ca="1" si="264"/>
        <v>0.39316688418124557</v>
      </c>
      <c r="Q2997" s="4">
        <f t="shared" ca="1" si="265"/>
        <v>1915.8457473569554</v>
      </c>
      <c r="R2997" s="4">
        <f t="shared" ca="1" si="266"/>
        <v>-7.8242966430445904</v>
      </c>
      <c r="S2997" s="4">
        <f t="shared" ca="1" si="267"/>
        <v>-3.9358149764731323</v>
      </c>
    </row>
    <row r="2998" spans="15:19" x14ac:dyDescent="0.2">
      <c r="O2998" s="4">
        <f t="shared" ca="1" si="263"/>
        <v>0.12211351584533126</v>
      </c>
      <c r="P2998" s="4">
        <f t="shared" ca="1" si="264"/>
        <v>-1.1644862023827922</v>
      </c>
      <c r="Q2998" s="4">
        <f t="shared" ca="1" si="265"/>
        <v>1945.2365918560206</v>
      </c>
      <c r="R2998" s="4">
        <f t="shared" ca="1" si="266"/>
        <v>21.566547856020634</v>
      </c>
      <c r="S2998" s="4">
        <f t="shared" ca="1" si="267"/>
        <v>11.106532171484549</v>
      </c>
    </row>
    <row r="2999" spans="15:19" x14ac:dyDescent="0.2">
      <c r="O2999" s="4">
        <f t="shared" ca="1" si="263"/>
        <v>4.6813827550544085E-2</v>
      </c>
      <c r="P2999" s="4">
        <f t="shared" ca="1" si="264"/>
        <v>-1.6765645942987708</v>
      </c>
      <c r="Q2999" s="4">
        <f t="shared" ca="1" si="265"/>
        <v>1954.8988308474591</v>
      </c>
      <c r="R2999" s="4">
        <f t="shared" ca="1" si="266"/>
        <v>31.228786847459105</v>
      </c>
      <c r="S2999" s="4">
        <f t="shared" ca="1" si="267"/>
        <v>16.20530680778317</v>
      </c>
    </row>
    <row r="3000" spans="15:19" x14ac:dyDescent="0.2">
      <c r="O3000" s="4">
        <f t="shared" ca="1" si="263"/>
        <v>0.71015869963876033</v>
      </c>
      <c r="P3000" s="4">
        <f t="shared" ca="1" si="264"/>
        <v>0.55384840089081777</v>
      </c>
      <c r="Q3000" s="4">
        <f t="shared" ca="1" si="265"/>
        <v>1912.8139005919595</v>
      </c>
      <c r="R3000" s="4">
        <f t="shared" ca="1" si="266"/>
        <v>-10.856143408040452</v>
      </c>
      <c r="S3000" s="4">
        <f t="shared" ca="1" si="267"/>
        <v>-5.4475106385646823</v>
      </c>
    </row>
    <row r="3001" spans="15:19" x14ac:dyDescent="0.2">
      <c r="O3001" s="4">
        <f t="shared" ca="1" si="263"/>
        <v>0.27567322017539797</v>
      </c>
      <c r="P3001" s="4">
        <f t="shared" ca="1" si="264"/>
        <v>-0.59574372910161233</v>
      </c>
      <c r="Q3001" s="4">
        <f t="shared" ca="1" si="265"/>
        <v>1934.5051769238976</v>
      </c>
      <c r="R3001" s="4">
        <f t="shared" ca="1" si="266"/>
        <v>10.835132923897618</v>
      </c>
      <c r="S3001" s="4">
        <f t="shared" ca="1" si="267"/>
        <v>5.5326403852174471</v>
      </c>
    </row>
    <row r="3002" spans="15:19" x14ac:dyDescent="0.2">
      <c r="O3002" s="4">
        <f t="shared" ca="1" si="263"/>
        <v>0.26666553221996725</v>
      </c>
      <c r="P3002" s="4">
        <f t="shared" ca="1" si="264"/>
        <v>-0.62292917572484086</v>
      </c>
      <c r="Q3002" s="4">
        <f t="shared" ca="1" si="265"/>
        <v>1935.0181301875175</v>
      </c>
      <c r="R3002" s="4">
        <f t="shared" ca="1" si="266"/>
        <v>11.348086187517538</v>
      </c>
      <c r="S3002" s="4">
        <f t="shared" ca="1" si="267"/>
        <v>5.796934373845831</v>
      </c>
    </row>
    <row r="3003" spans="15:19" x14ac:dyDescent="0.2">
      <c r="O3003" s="4">
        <f t="shared" ca="1" si="263"/>
        <v>0.21280139803491427</v>
      </c>
      <c r="P3003" s="4">
        <f t="shared" ca="1" si="264"/>
        <v>-0.79673871197035073</v>
      </c>
      <c r="Q3003" s="4">
        <f t="shared" ca="1" si="265"/>
        <v>1938.2976852414063</v>
      </c>
      <c r="R3003" s="4">
        <f t="shared" ca="1" si="266"/>
        <v>14.627641241406309</v>
      </c>
      <c r="S3003" s="4">
        <f t="shared" ca="1" si="267"/>
        <v>7.4917550153793009</v>
      </c>
    </row>
    <row r="3004" spans="15:19" x14ac:dyDescent="0.2">
      <c r="O3004" s="4">
        <f t="shared" ca="1" si="263"/>
        <v>0.14737230201225349</v>
      </c>
      <c r="P3004" s="4">
        <f t="shared" ca="1" si="264"/>
        <v>-1.0477699641977019</v>
      </c>
      <c r="Q3004" s="4">
        <f t="shared" ca="1" si="265"/>
        <v>1943.0343114916675</v>
      </c>
      <c r="R3004" s="4">
        <f t="shared" ca="1" si="266"/>
        <v>19.364267491667533</v>
      </c>
      <c r="S3004" s="4">
        <f t="shared" ca="1" si="267"/>
        <v>9.9550225995439146</v>
      </c>
    </row>
    <row r="3005" spans="15:19" x14ac:dyDescent="0.2">
      <c r="O3005" s="4">
        <f t="shared" ca="1" si="263"/>
        <v>0.75901452001172309</v>
      </c>
      <c r="P3005" s="4">
        <f t="shared" ca="1" si="264"/>
        <v>0.70313606264172002</v>
      </c>
      <c r="Q3005" s="4">
        <f t="shared" ca="1" si="265"/>
        <v>1909.9970407340122</v>
      </c>
      <c r="R3005" s="4">
        <f t="shared" ca="1" si="266"/>
        <v>-13.673003265987745</v>
      </c>
      <c r="S3005" s="4">
        <f t="shared" ca="1" si="267"/>
        <v>-6.8453061727433768</v>
      </c>
    </row>
    <row r="3006" spans="15:19" x14ac:dyDescent="0.2">
      <c r="O3006" s="4">
        <f t="shared" ca="1" si="263"/>
        <v>0.40785128417209071</v>
      </c>
      <c r="P3006" s="4">
        <f t="shared" ca="1" si="264"/>
        <v>-0.23307577154280121</v>
      </c>
      <c r="Q3006" s="4">
        <f t="shared" ca="1" si="265"/>
        <v>1927.6621143463904</v>
      </c>
      <c r="R3006" s="4">
        <f t="shared" ca="1" si="266"/>
        <v>3.9920703463903919</v>
      </c>
      <c r="S3006" s="4">
        <f t="shared" ca="1" si="267"/>
        <v>2.0273124211587468</v>
      </c>
    </row>
    <row r="3007" spans="15:19" x14ac:dyDescent="0.2">
      <c r="O3007" s="4">
        <f t="shared" ca="1" si="263"/>
        <v>0.42179335756075109</v>
      </c>
      <c r="P3007" s="4">
        <f t="shared" ca="1" si="264"/>
        <v>-0.19730774976364596</v>
      </c>
      <c r="Q3007" s="4">
        <f t="shared" ca="1" si="265"/>
        <v>1926.9872192909907</v>
      </c>
      <c r="R3007" s="4">
        <f t="shared" ca="1" si="266"/>
        <v>3.31717529099069</v>
      </c>
      <c r="S3007" s="4">
        <f t="shared" ca="1" si="267"/>
        <v>1.6836658717815216</v>
      </c>
    </row>
    <row r="3008" spans="15:19" x14ac:dyDescent="0.2">
      <c r="O3008" s="4">
        <f t="shared" ca="1" si="263"/>
        <v>0.64740009201121085</v>
      </c>
      <c r="P3008" s="4">
        <f t="shared" ca="1" si="264"/>
        <v>0.37831067529116325</v>
      </c>
      <c r="Q3008" s="4">
        <f t="shared" ca="1" si="265"/>
        <v>1916.1260642831696</v>
      </c>
      <c r="R3008" s="4">
        <f t="shared" ca="1" si="266"/>
        <v>-7.5439797168303357</v>
      </c>
      <c r="S3008" s="4">
        <f t="shared" ca="1" si="267"/>
        <v>-3.7956694520814045</v>
      </c>
    </row>
    <row r="3009" spans="15:19" x14ac:dyDescent="0.2">
      <c r="O3009" s="4">
        <f t="shared" ca="1" si="263"/>
        <v>0.3628940714670793</v>
      </c>
      <c r="P3009" s="4">
        <f t="shared" ca="1" si="264"/>
        <v>-0.35073369703060164</v>
      </c>
      <c r="Q3009" s="4">
        <f t="shared" ca="1" si="265"/>
        <v>1929.8821630991731</v>
      </c>
      <c r="R3009" s="4">
        <f t="shared" ca="1" si="266"/>
        <v>6.212119099173151</v>
      </c>
      <c r="S3009" s="4">
        <f t="shared" ca="1" si="267"/>
        <v>3.160344509017825</v>
      </c>
    </row>
    <row r="3010" spans="15:19" x14ac:dyDescent="0.2">
      <c r="O3010" s="4">
        <f t="shared" ca="1" si="263"/>
        <v>6.5933038060517646E-2</v>
      </c>
      <c r="P3010" s="4">
        <f t="shared" ca="1" si="264"/>
        <v>-1.5067838280845844</v>
      </c>
      <c r="Q3010" s="4">
        <f t="shared" ca="1" si="265"/>
        <v>1951.6952933320936</v>
      </c>
      <c r="R3010" s="4">
        <f t="shared" ca="1" si="266"/>
        <v>28.025249332093608</v>
      </c>
      <c r="S3010" s="4">
        <f t="shared" ca="1" si="267"/>
        <v>14.506373829724682</v>
      </c>
    </row>
    <row r="3011" spans="15:19" x14ac:dyDescent="0.2">
      <c r="O3011" s="4">
        <f t="shared" ref="O3011:O3074" ca="1" si="268">RAND()</f>
        <v>0.79881047945040184</v>
      </c>
      <c r="P3011" s="4">
        <f t="shared" ref="P3011:P3074" ca="1" si="269">NORMSINV(O3011)</f>
        <v>0.83737993412406719</v>
      </c>
      <c r="Q3011" s="4">
        <f t="shared" ref="Q3011:Q3074" ca="1" si="270">$B$4*(1+$B$17-$B$32*P3011)</f>
        <v>1907.4640372137012</v>
      </c>
      <c r="R3011" s="4">
        <f t="shared" ref="R3011:R3074" ca="1" si="271">Q3011-$B$4</f>
        <v>-16.206006786298758</v>
      </c>
      <c r="S3011" s="4">
        <f t="shared" ref="S3011:S3074" ca="1" si="272">R3011*$B$12+0.5*$B$13*R3011^2</f>
        <v>-8.0967288854777681</v>
      </c>
    </row>
    <row r="3012" spans="15:19" x14ac:dyDescent="0.2">
      <c r="O3012" s="4">
        <f t="shared" ca="1" si="268"/>
        <v>0.19857503692103695</v>
      </c>
      <c r="P3012" s="4">
        <f t="shared" ca="1" si="269"/>
        <v>-0.84672203475844865</v>
      </c>
      <c r="Q3012" s="4">
        <f t="shared" ca="1" si="270"/>
        <v>1939.2408041427095</v>
      </c>
      <c r="R3012" s="4">
        <f t="shared" ca="1" si="271"/>
        <v>15.57076014270956</v>
      </c>
      <c r="S3012" s="4">
        <f t="shared" ca="1" si="272"/>
        <v>7.9807646506113379</v>
      </c>
    </row>
    <row r="3013" spans="15:19" x14ac:dyDescent="0.2">
      <c r="O3013" s="4">
        <f t="shared" ca="1" si="268"/>
        <v>0.15566261721220753</v>
      </c>
      <c r="P3013" s="4">
        <f t="shared" ca="1" si="269"/>
        <v>-1.0124452031477775</v>
      </c>
      <c r="Q3013" s="4">
        <f t="shared" ca="1" si="270"/>
        <v>1942.3677801773842</v>
      </c>
      <c r="R3013" s="4">
        <f t="shared" ca="1" si="271"/>
        <v>18.697736177384286</v>
      </c>
      <c r="S3013" s="4">
        <f t="shared" ca="1" si="272"/>
        <v>9.6072907698659158</v>
      </c>
    </row>
    <row r="3014" spans="15:19" x14ac:dyDescent="0.2">
      <c r="O3014" s="4">
        <f t="shared" ca="1" si="268"/>
        <v>0.74538340237663658</v>
      </c>
      <c r="P3014" s="4">
        <f t="shared" ca="1" si="269"/>
        <v>0.66003215432007956</v>
      </c>
      <c r="Q3014" s="4">
        <f t="shared" ca="1" si="270"/>
        <v>1910.8103542232036</v>
      </c>
      <c r="R3014" s="4">
        <f t="shared" ca="1" si="271"/>
        <v>-12.859689776796358</v>
      </c>
      <c r="S3014" s="4">
        <f t="shared" ca="1" si="272"/>
        <v>-6.4423832266781211</v>
      </c>
    </row>
    <row r="3015" spans="15:19" x14ac:dyDescent="0.2">
      <c r="O3015" s="4">
        <f t="shared" ca="1" si="268"/>
        <v>0.75133318344659106</v>
      </c>
      <c r="P3015" s="4">
        <f t="shared" ca="1" si="269"/>
        <v>0.6786910580497223</v>
      </c>
      <c r="Q3015" s="4">
        <f t="shared" ca="1" si="270"/>
        <v>1910.4582854970083</v>
      </c>
      <c r="R3015" s="4">
        <f t="shared" ca="1" si="271"/>
        <v>-13.211758502991643</v>
      </c>
      <c r="S3015" s="4">
        <f t="shared" ca="1" si="272"/>
        <v>-6.6168673997136409</v>
      </c>
    </row>
    <row r="3016" spans="15:19" x14ac:dyDescent="0.2">
      <c r="O3016" s="4">
        <f t="shared" ca="1" si="268"/>
        <v>0.83653177009442781</v>
      </c>
      <c r="P3016" s="4">
        <f t="shared" ca="1" si="269"/>
        <v>0.98030323202757708</v>
      </c>
      <c r="Q3016" s="4">
        <f t="shared" ca="1" si="270"/>
        <v>1904.7672644468962</v>
      </c>
      <c r="R3016" s="4">
        <f t="shared" ca="1" si="271"/>
        <v>-18.902779553103755</v>
      </c>
      <c r="S3016" s="4">
        <f t="shared" ca="1" si="272"/>
        <v>-9.4233201898650858</v>
      </c>
    </row>
    <row r="3017" spans="15:19" x14ac:dyDescent="0.2">
      <c r="O3017" s="4">
        <f t="shared" ca="1" si="268"/>
        <v>0.29058717713997606</v>
      </c>
      <c r="P3017" s="4">
        <f t="shared" ca="1" si="269"/>
        <v>-0.55167016524000001</v>
      </c>
      <c r="Q3017" s="4">
        <f t="shared" ca="1" si="270"/>
        <v>1933.6735673227934</v>
      </c>
      <c r="R3017" s="4">
        <f t="shared" ca="1" si="271"/>
        <v>10.003523322793399</v>
      </c>
      <c r="S3017" s="4">
        <f t="shared" ca="1" si="272"/>
        <v>5.1046171019151938</v>
      </c>
    </row>
    <row r="3018" spans="15:19" x14ac:dyDescent="0.2">
      <c r="O3018" s="4">
        <f t="shared" ca="1" si="268"/>
        <v>0.38593528580736036</v>
      </c>
      <c r="P3018" s="4">
        <f t="shared" ca="1" si="269"/>
        <v>-0.28992897858388583</v>
      </c>
      <c r="Q3018" s="4">
        <f t="shared" ca="1" si="270"/>
        <v>1928.7348588373372</v>
      </c>
      <c r="R3018" s="4">
        <f t="shared" ca="1" si="271"/>
        <v>5.0648148373372806</v>
      </c>
      <c r="S3018" s="4">
        <f t="shared" ca="1" si="272"/>
        <v>2.5743011620251974</v>
      </c>
    </row>
    <row r="3019" spans="15:19" x14ac:dyDescent="0.2">
      <c r="O3019" s="4">
        <f t="shared" ca="1" si="268"/>
        <v>0.79165902629221496</v>
      </c>
      <c r="P3019" s="4">
        <f t="shared" ca="1" si="269"/>
        <v>0.81219116657798607</v>
      </c>
      <c r="Q3019" s="4">
        <f t="shared" ca="1" si="270"/>
        <v>1907.9393157955985</v>
      </c>
      <c r="R3019" s="4">
        <f t="shared" ca="1" si="271"/>
        <v>-15.73072820440143</v>
      </c>
      <c r="S3019" s="4">
        <f t="shared" ca="1" si="272"/>
        <v>-7.8623170531488356</v>
      </c>
    </row>
    <row r="3020" spans="15:19" x14ac:dyDescent="0.2">
      <c r="O3020" s="4">
        <f t="shared" ca="1" si="268"/>
        <v>0.96137967607912622</v>
      </c>
      <c r="P3020" s="4">
        <f t="shared" ca="1" si="269"/>
        <v>1.7669258461943191</v>
      </c>
      <c r="Q3020" s="4">
        <f t="shared" ca="1" si="270"/>
        <v>1889.92474069636</v>
      </c>
      <c r="R3020" s="4">
        <f t="shared" ca="1" si="271"/>
        <v>-33.745303303639957</v>
      </c>
      <c r="S3020" s="4">
        <f t="shared" ca="1" si="272"/>
        <v>-16.618654817380811</v>
      </c>
    </row>
    <row r="3021" spans="15:19" x14ac:dyDescent="0.2">
      <c r="O3021" s="4">
        <f t="shared" ca="1" si="268"/>
        <v>0.82740547687601251</v>
      </c>
      <c r="P3021" s="4">
        <f t="shared" ca="1" si="269"/>
        <v>0.94396204087381774</v>
      </c>
      <c r="Q3021" s="4">
        <f t="shared" ca="1" si="270"/>
        <v>1905.4529744469753</v>
      </c>
      <c r="R3021" s="4">
        <f t="shared" ca="1" si="271"/>
        <v>-18.217069553024658</v>
      </c>
      <c r="S3021" s="4">
        <f t="shared" ca="1" si="272"/>
        <v>-9.0865683882497752</v>
      </c>
    </row>
    <row r="3022" spans="15:19" x14ac:dyDescent="0.2">
      <c r="O3022" s="4">
        <f t="shared" ca="1" si="268"/>
        <v>0.9404254155725893</v>
      </c>
      <c r="P3022" s="4">
        <f t="shared" ca="1" si="269"/>
        <v>1.5583547842149401</v>
      </c>
      <c r="Q3022" s="4">
        <f t="shared" ca="1" si="270"/>
        <v>1893.8601995623408</v>
      </c>
      <c r="R3022" s="4">
        <f t="shared" ca="1" si="271"/>
        <v>-29.809844437659194</v>
      </c>
      <c r="S3022" s="4">
        <f t="shared" ca="1" si="272"/>
        <v>-14.728302605172178</v>
      </c>
    </row>
    <row r="3023" spans="15:19" x14ac:dyDescent="0.2">
      <c r="O3023" s="4">
        <f t="shared" ca="1" si="268"/>
        <v>0.6295792915270978</v>
      </c>
      <c r="P3023" s="4">
        <f t="shared" ca="1" si="269"/>
        <v>0.33073929639988081</v>
      </c>
      <c r="Q3023" s="4">
        <f t="shared" ca="1" si="270"/>
        <v>1917.0236730072561</v>
      </c>
      <c r="R3023" s="4">
        <f t="shared" ca="1" si="271"/>
        <v>-6.6463709927438686</v>
      </c>
      <c r="S3023" s="4">
        <f t="shared" ca="1" si="272"/>
        <v>-3.346476120426944</v>
      </c>
    </row>
    <row r="3024" spans="15:19" x14ac:dyDescent="0.2">
      <c r="O3024" s="4">
        <f t="shared" ca="1" si="268"/>
        <v>7.4527616051592194E-2</v>
      </c>
      <c r="P3024" s="4">
        <f t="shared" ca="1" si="269"/>
        <v>-1.4428766138039968</v>
      </c>
      <c r="Q3024" s="4">
        <f t="shared" ca="1" si="270"/>
        <v>1950.4894490953434</v>
      </c>
      <c r="R3024" s="4">
        <f t="shared" ca="1" si="271"/>
        <v>26.819405095343427</v>
      </c>
      <c r="S3024" s="4">
        <f t="shared" ca="1" si="272"/>
        <v>13.869042504812928</v>
      </c>
    </row>
    <row r="3025" spans="15:19" x14ac:dyDescent="0.2">
      <c r="O3025" s="4">
        <f t="shared" ca="1" si="268"/>
        <v>0.22576308219083263</v>
      </c>
      <c r="P3025" s="4">
        <f t="shared" ca="1" si="269"/>
        <v>-0.75287311638670884</v>
      </c>
      <c r="Q3025" s="4">
        <f t="shared" ca="1" si="270"/>
        <v>1937.4699997254345</v>
      </c>
      <c r="R3025" s="4">
        <f t="shared" ca="1" si="271"/>
        <v>13.799955725434529</v>
      </c>
      <c r="S3025" s="4">
        <f t="shared" ca="1" si="272"/>
        <v>7.0631945233959685</v>
      </c>
    </row>
    <row r="3026" spans="15:19" x14ac:dyDescent="0.2">
      <c r="O3026" s="4">
        <f t="shared" ca="1" si="268"/>
        <v>0.23952359677164747</v>
      </c>
      <c r="P3026" s="4">
        <f t="shared" ca="1" si="269"/>
        <v>-0.70783586142506183</v>
      </c>
      <c r="Q3026" s="4">
        <f t="shared" ca="1" si="270"/>
        <v>1936.620206553476</v>
      </c>
      <c r="R3026" s="4">
        <f t="shared" ca="1" si="271"/>
        <v>12.950162553476048</v>
      </c>
      <c r="S3026" s="4">
        <f t="shared" ca="1" si="272"/>
        <v>6.6237673708427511</v>
      </c>
    </row>
    <row r="3027" spans="15:19" x14ac:dyDescent="0.2">
      <c r="O3027" s="4">
        <f t="shared" ca="1" si="268"/>
        <v>0.5990309295856564</v>
      </c>
      <c r="P3027" s="4">
        <f t="shared" ca="1" si="269"/>
        <v>0.25083957790735084</v>
      </c>
      <c r="Q3027" s="4">
        <f t="shared" ca="1" si="270"/>
        <v>1918.531274553447</v>
      </c>
      <c r="R3027" s="4">
        <f t="shared" ca="1" si="271"/>
        <v>-5.1387694465529421</v>
      </c>
      <c r="S3027" s="4">
        <f t="shared" ca="1" si="272"/>
        <v>-2.5905459703355338</v>
      </c>
    </row>
    <row r="3028" spans="15:19" x14ac:dyDescent="0.2">
      <c r="O3028" s="4">
        <f t="shared" ca="1" si="268"/>
        <v>0.39837011623951724</v>
      </c>
      <c r="P3028" s="4">
        <f t="shared" ca="1" si="269"/>
        <v>-0.25756812490060765</v>
      </c>
      <c r="Q3028" s="4">
        <f t="shared" ca="1" si="270"/>
        <v>1928.1242525176974</v>
      </c>
      <c r="R3028" s="4">
        <f t="shared" ca="1" si="271"/>
        <v>4.4542085176974524</v>
      </c>
      <c r="S3028" s="4">
        <f t="shared" ca="1" si="272"/>
        <v>2.262840222868705</v>
      </c>
    </row>
    <row r="3029" spans="15:19" x14ac:dyDescent="0.2">
      <c r="O3029" s="4">
        <f t="shared" ca="1" si="268"/>
        <v>0.35774471771336114</v>
      </c>
      <c r="P3029" s="4">
        <f t="shared" ca="1" si="269"/>
        <v>-0.36449362228143428</v>
      </c>
      <c r="Q3029" s="4">
        <f t="shared" ca="1" si="270"/>
        <v>1930.1417946094589</v>
      </c>
      <c r="R3029" s="4">
        <f t="shared" ca="1" si="271"/>
        <v>6.4717506094589226</v>
      </c>
      <c r="S3029" s="4">
        <f t="shared" ca="1" si="272"/>
        <v>3.2931130553852959</v>
      </c>
    </row>
    <row r="3030" spans="15:19" x14ac:dyDescent="0.2">
      <c r="O3030" s="4">
        <f t="shared" ca="1" si="268"/>
        <v>0.91222960071017345</v>
      </c>
      <c r="P3030" s="4">
        <f t="shared" ca="1" si="269"/>
        <v>1.3546132849476684</v>
      </c>
      <c r="Q3030" s="4">
        <f t="shared" ca="1" si="270"/>
        <v>1897.7045309957152</v>
      </c>
      <c r="R3030" s="4">
        <f t="shared" ca="1" si="271"/>
        <v>-25.96551300428473</v>
      </c>
      <c r="S3030" s="4">
        <f t="shared" ca="1" si="272"/>
        <v>-12.869547738691889</v>
      </c>
    </row>
    <row r="3031" spans="15:19" x14ac:dyDescent="0.2">
      <c r="O3031" s="4">
        <f t="shared" ca="1" si="268"/>
        <v>0.79322165589619242</v>
      </c>
      <c r="P3031" s="4">
        <f t="shared" ca="1" si="269"/>
        <v>0.81765066567938294</v>
      </c>
      <c r="Q3031" s="4">
        <f t="shared" ca="1" si="270"/>
        <v>1907.8363023001571</v>
      </c>
      <c r="R3031" s="4">
        <f t="shared" ca="1" si="271"/>
        <v>-15.833741699842903</v>
      </c>
      <c r="S3031" s="4">
        <f t="shared" ca="1" si="272"/>
        <v>-7.9131398809414222</v>
      </c>
    </row>
    <row r="3032" spans="15:19" x14ac:dyDescent="0.2">
      <c r="O3032" s="4">
        <f t="shared" ca="1" si="268"/>
        <v>0.47020092475483888</v>
      </c>
      <c r="P3032" s="4">
        <f t="shared" ca="1" si="269"/>
        <v>-7.4764799274737531E-2</v>
      </c>
      <c r="Q3032" s="4">
        <f t="shared" ca="1" si="270"/>
        <v>1924.6749966058862</v>
      </c>
      <c r="R3032" s="4">
        <f t="shared" ca="1" si="271"/>
        <v>1.0049526058862739</v>
      </c>
      <c r="S3032" s="4">
        <f t="shared" ca="1" si="272"/>
        <v>0.50912796383272607</v>
      </c>
    </row>
    <row r="3033" spans="15:19" x14ac:dyDescent="0.2">
      <c r="O3033" s="4">
        <f t="shared" ca="1" si="268"/>
        <v>0.50717757287351461</v>
      </c>
      <c r="P3033" s="4">
        <f t="shared" ca="1" si="269"/>
        <v>1.7992477842757156E-2</v>
      </c>
      <c r="Q3033" s="4">
        <f t="shared" ca="1" si="270"/>
        <v>1922.9247900089022</v>
      </c>
      <c r="R3033" s="4">
        <f t="shared" ca="1" si="271"/>
        <v>-0.74525399109779755</v>
      </c>
      <c r="S3033" s="4">
        <f t="shared" ca="1" si="272"/>
        <v>-0.37702878230879333</v>
      </c>
    </row>
    <row r="3034" spans="15:19" x14ac:dyDescent="0.2">
      <c r="O3034" s="4">
        <f t="shared" ca="1" si="268"/>
        <v>0.74807629191414882</v>
      </c>
      <c r="P3034" s="4">
        <f t="shared" ca="1" si="269"/>
        <v>0.66844838904785009</v>
      </c>
      <c r="Q3034" s="4">
        <f t="shared" ca="1" si="270"/>
        <v>1910.6515510543304</v>
      </c>
      <c r="R3034" s="4">
        <f t="shared" ca="1" si="271"/>
        <v>-13.01849294566955</v>
      </c>
      <c r="S3034" s="4">
        <f t="shared" ca="1" si="272"/>
        <v>-6.5210980800076728</v>
      </c>
    </row>
    <row r="3035" spans="15:19" x14ac:dyDescent="0.2">
      <c r="O3035" s="4">
        <f t="shared" ca="1" si="268"/>
        <v>0.74358020400131519</v>
      </c>
      <c r="P3035" s="4">
        <f t="shared" ca="1" si="269"/>
        <v>0.65442257826705408</v>
      </c>
      <c r="Q3035" s="4">
        <f t="shared" ca="1" si="270"/>
        <v>1910.9161994713545</v>
      </c>
      <c r="R3035" s="4">
        <f t="shared" ca="1" si="271"/>
        <v>-12.753844528645459</v>
      </c>
      <c r="S3035" s="4">
        <f t="shared" ca="1" si="272"/>
        <v>-6.3899069188498983</v>
      </c>
    </row>
    <row r="3036" spans="15:19" x14ac:dyDescent="0.2">
      <c r="O3036" s="4">
        <f t="shared" ca="1" si="268"/>
        <v>0.62140743429728651</v>
      </c>
      <c r="P3036" s="4">
        <f t="shared" ca="1" si="269"/>
        <v>0.3091793102769988</v>
      </c>
      <c r="Q3036" s="4">
        <f t="shared" ca="1" si="270"/>
        <v>1917.4304813043059</v>
      </c>
      <c r="R3036" s="4">
        <f t="shared" ca="1" si="271"/>
        <v>-6.239562695694076</v>
      </c>
      <c r="S3036" s="4">
        <f t="shared" ca="1" si="272"/>
        <v>-3.1426796753291213</v>
      </c>
    </row>
    <row r="3037" spans="15:19" x14ac:dyDescent="0.2">
      <c r="O3037" s="4">
        <f t="shared" ca="1" si="268"/>
        <v>0.42091421209068547</v>
      </c>
      <c r="P3037" s="4">
        <f t="shared" ca="1" si="269"/>
        <v>-0.1995552562334898</v>
      </c>
      <c r="Q3037" s="4">
        <f t="shared" ca="1" si="270"/>
        <v>1927.0296267524054</v>
      </c>
      <c r="R3037" s="4">
        <f t="shared" ca="1" si="271"/>
        <v>3.3595827524054585</v>
      </c>
      <c r="S3037" s="4">
        <f t="shared" ca="1" si="272"/>
        <v>1.705248203481782</v>
      </c>
    </row>
    <row r="3038" spans="15:19" x14ac:dyDescent="0.2">
      <c r="O3038" s="4">
        <f t="shared" ca="1" si="268"/>
        <v>0.85545028565633463</v>
      </c>
      <c r="P3038" s="4">
        <f t="shared" ca="1" si="269"/>
        <v>1.060099294611929</v>
      </c>
      <c r="Q3038" s="4">
        <f t="shared" ca="1" si="270"/>
        <v>1903.2616187499923</v>
      </c>
      <c r="R3038" s="4">
        <f t="shared" ca="1" si="271"/>
        <v>-20.408425250007667</v>
      </c>
      <c r="S3038" s="4">
        <f t="shared" ca="1" si="272"/>
        <v>-10.161398872145606</v>
      </c>
    </row>
    <row r="3039" spans="15:19" x14ac:dyDescent="0.2">
      <c r="O3039" s="4">
        <f t="shared" ca="1" si="268"/>
        <v>6.1383814783158686E-2</v>
      </c>
      <c r="P3039" s="4">
        <f t="shared" ca="1" si="269"/>
        <v>-1.5432603096212678</v>
      </c>
      <c r="Q3039" s="4">
        <f t="shared" ca="1" si="270"/>
        <v>1952.3835560819732</v>
      </c>
      <c r="R3039" s="4">
        <f t="shared" ca="1" si="271"/>
        <v>28.713512081973249</v>
      </c>
      <c r="S3039" s="4">
        <f t="shared" ca="1" si="272"/>
        <v>14.870675707142468</v>
      </c>
    </row>
    <row r="3040" spans="15:19" x14ac:dyDescent="0.2">
      <c r="O3040" s="4">
        <f t="shared" ca="1" si="268"/>
        <v>0.26438650633009708</v>
      </c>
      <c r="P3040" s="4">
        <f t="shared" ca="1" si="269"/>
        <v>-0.62988013212784466</v>
      </c>
      <c r="Q3040" s="4">
        <f t="shared" ca="1" si="270"/>
        <v>1935.1492855009328</v>
      </c>
      <c r="R3040" s="4">
        <f t="shared" ca="1" si="271"/>
        <v>11.479241500932858</v>
      </c>
      <c r="S3040" s="4">
        <f t="shared" ca="1" si="272"/>
        <v>5.8645452130114171</v>
      </c>
    </row>
    <row r="3041" spans="15:19" x14ac:dyDescent="0.2">
      <c r="O3041" s="4">
        <f t="shared" ca="1" si="268"/>
        <v>0.88444674786277933</v>
      </c>
      <c r="P3041" s="4">
        <f t="shared" ca="1" si="269"/>
        <v>1.1975134090340469</v>
      </c>
      <c r="Q3041" s="4">
        <f t="shared" ca="1" si="270"/>
        <v>1900.6687969568763</v>
      </c>
      <c r="R3041" s="4">
        <f t="shared" ca="1" si="271"/>
        <v>-23.001247043123612</v>
      </c>
      <c r="S3041" s="4">
        <f t="shared" ca="1" si="272"/>
        <v>-11.428093576111847</v>
      </c>
    </row>
    <row r="3042" spans="15:19" x14ac:dyDescent="0.2">
      <c r="O3042" s="4">
        <f t="shared" ca="1" si="268"/>
        <v>0.93701479786109509</v>
      </c>
      <c r="P3042" s="4">
        <f t="shared" ca="1" si="269"/>
        <v>1.5301871777623377</v>
      </c>
      <c r="Q3042" s="4">
        <f t="shared" ca="1" si="270"/>
        <v>1894.3916848772035</v>
      </c>
      <c r="R3042" s="4">
        <f t="shared" ca="1" si="271"/>
        <v>-29.278359122796473</v>
      </c>
      <c r="S3042" s="4">
        <f t="shared" ca="1" si="272"/>
        <v>-14.472043343517523</v>
      </c>
    </row>
    <row r="3043" spans="15:19" x14ac:dyDescent="0.2">
      <c r="O3043" s="4">
        <f t="shared" ca="1" si="268"/>
        <v>0.75296343537645427</v>
      </c>
      <c r="P3043" s="4">
        <f t="shared" ca="1" si="269"/>
        <v>0.68384487042005937</v>
      </c>
      <c r="Q3043" s="4">
        <f t="shared" ca="1" si="270"/>
        <v>1910.3610399040965</v>
      </c>
      <c r="R3043" s="4">
        <f t="shared" ca="1" si="271"/>
        <v>-13.309004095903447</v>
      </c>
      <c r="S3043" s="4">
        <f t="shared" ca="1" si="272"/>
        <v>-6.6650442287175897</v>
      </c>
    </row>
    <row r="3044" spans="15:19" x14ac:dyDescent="0.2">
      <c r="O3044" s="4">
        <f t="shared" ca="1" si="268"/>
        <v>0.68339910334562948</v>
      </c>
      <c r="P3044" s="4">
        <f t="shared" ca="1" si="269"/>
        <v>0.47722516497022932</v>
      </c>
      <c r="Q3044" s="4">
        <f t="shared" ca="1" si="270"/>
        <v>1914.2596792646193</v>
      </c>
      <c r="R3044" s="4">
        <f t="shared" ca="1" si="271"/>
        <v>-9.4103647353806537</v>
      </c>
      <c r="S3044" s="4">
        <f t="shared" ca="1" si="272"/>
        <v>-4.7275708018680209</v>
      </c>
    </row>
    <row r="3045" spans="15:19" x14ac:dyDescent="0.2">
      <c r="O3045" s="4">
        <f t="shared" ca="1" si="268"/>
        <v>0.26091747807973387</v>
      </c>
      <c r="P3045" s="4">
        <f t="shared" ca="1" si="269"/>
        <v>-0.64051943797384436</v>
      </c>
      <c r="Q3045" s="4">
        <f t="shared" ca="1" si="270"/>
        <v>1935.3500350685968</v>
      </c>
      <c r="R3045" s="4">
        <f t="shared" ca="1" si="271"/>
        <v>11.679991068596792</v>
      </c>
      <c r="S3045" s="4">
        <f t="shared" ca="1" si="272"/>
        <v>5.9680591591424008</v>
      </c>
    </row>
    <row r="3046" spans="15:19" x14ac:dyDescent="0.2">
      <c r="O3046" s="4">
        <f t="shared" ca="1" si="268"/>
        <v>0.4723442493654747</v>
      </c>
      <c r="P3046" s="4">
        <f t="shared" ca="1" si="269"/>
        <v>-6.9378303332697802E-2</v>
      </c>
      <c r="Q3046" s="4">
        <f t="shared" ca="1" si="270"/>
        <v>1924.5733605830819</v>
      </c>
      <c r="R3046" s="4">
        <f t="shared" ca="1" si="271"/>
        <v>0.90331658308195983</v>
      </c>
      <c r="S3046" s="4">
        <f t="shared" ca="1" si="272"/>
        <v>0.45759986294913635</v>
      </c>
    </row>
    <row r="3047" spans="15:19" x14ac:dyDescent="0.2">
      <c r="O3047" s="4">
        <f t="shared" ca="1" si="268"/>
        <v>0.22170499087665929</v>
      </c>
      <c r="P3047" s="4">
        <f t="shared" ca="1" si="269"/>
        <v>-0.76644766314918022</v>
      </c>
      <c r="Q3047" s="4">
        <f t="shared" ca="1" si="270"/>
        <v>1937.7261333899085</v>
      </c>
      <c r="R3047" s="4">
        <f t="shared" ca="1" si="271"/>
        <v>14.056089389908493</v>
      </c>
      <c r="S3047" s="4">
        <f t="shared" ca="1" si="272"/>
        <v>7.1957562795360221</v>
      </c>
    </row>
    <row r="3048" spans="15:19" x14ac:dyDescent="0.2">
      <c r="O3048" s="4">
        <f t="shared" ca="1" si="268"/>
        <v>0.44986980779410146</v>
      </c>
      <c r="P3048" s="4">
        <f t="shared" ca="1" si="269"/>
        <v>-0.12599028393005071</v>
      </c>
      <c r="Q3048" s="4">
        <f t="shared" ca="1" si="270"/>
        <v>1925.6415534514895</v>
      </c>
      <c r="R3048" s="4">
        <f t="shared" ca="1" si="271"/>
        <v>1.97150945148951</v>
      </c>
      <c r="S3048" s="4">
        <f t="shared" ca="1" si="272"/>
        <v>0.99957961191621059</v>
      </c>
    </row>
    <row r="3049" spans="15:19" x14ac:dyDescent="0.2">
      <c r="O3049" s="4">
        <f t="shared" ca="1" si="268"/>
        <v>0.5525903943281244</v>
      </c>
      <c r="P3049" s="4">
        <f t="shared" ca="1" si="269"/>
        <v>0.13220871084835845</v>
      </c>
      <c r="Q3049" s="4">
        <f t="shared" ca="1" si="270"/>
        <v>1920.7696814211861</v>
      </c>
      <c r="R3049" s="4">
        <f t="shared" ca="1" si="271"/>
        <v>-2.9003625788138834</v>
      </c>
      <c r="S3049" s="4">
        <f t="shared" ca="1" si="272"/>
        <v>-1.4647676378817793</v>
      </c>
    </row>
    <row r="3050" spans="15:19" x14ac:dyDescent="0.2">
      <c r="O3050" s="4">
        <f t="shared" ca="1" si="268"/>
        <v>0.86153526598350882</v>
      </c>
      <c r="P3050" s="4">
        <f t="shared" ca="1" si="269"/>
        <v>1.0872429181918644</v>
      </c>
      <c r="Q3050" s="4">
        <f t="shared" ca="1" si="270"/>
        <v>1902.7494546316398</v>
      </c>
      <c r="R3050" s="4">
        <f t="shared" ca="1" si="271"/>
        <v>-20.920589368360197</v>
      </c>
      <c r="S3050" s="4">
        <f t="shared" ca="1" si="272"/>
        <v>-10.412044834135116</v>
      </c>
    </row>
    <row r="3051" spans="15:19" x14ac:dyDescent="0.2">
      <c r="O3051" s="4">
        <f t="shared" ca="1" si="268"/>
        <v>0.95218910963798986</v>
      </c>
      <c r="P3051" s="4">
        <f t="shared" ca="1" si="269"/>
        <v>1.6664602417853736</v>
      </c>
      <c r="Q3051" s="4">
        <f t="shared" ca="1" si="270"/>
        <v>1891.8203931893045</v>
      </c>
      <c r="R3051" s="4">
        <f t="shared" ca="1" si="271"/>
        <v>-31.849650810695493</v>
      </c>
      <c r="S3051" s="4">
        <f t="shared" ca="1" si="272"/>
        <v>-15.709674077590059</v>
      </c>
    </row>
    <row r="3052" spans="15:19" x14ac:dyDescent="0.2">
      <c r="O3052" s="4">
        <f t="shared" ca="1" si="268"/>
        <v>0.79185044833471729</v>
      </c>
      <c r="P3052" s="4">
        <f t="shared" ca="1" si="269"/>
        <v>0.81285865199348406</v>
      </c>
      <c r="Q3052" s="4">
        <f t="shared" ca="1" si="270"/>
        <v>1907.9267212325203</v>
      </c>
      <c r="R3052" s="4">
        <f t="shared" ca="1" si="271"/>
        <v>-15.74332276747964</v>
      </c>
      <c r="S3052" s="4">
        <f t="shared" ca="1" si="272"/>
        <v>-7.868531181318807</v>
      </c>
    </row>
    <row r="3053" spans="15:19" x14ac:dyDescent="0.2">
      <c r="O3053" s="4">
        <f t="shared" ca="1" si="268"/>
        <v>0.37168111274003812</v>
      </c>
      <c r="P3053" s="4">
        <f t="shared" ca="1" si="269"/>
        <v>-0.32740415337996742</v>
      </c>
      <c r="Q3053" s="4">
        <f t="shared" ca="1" si="270"/>
        <v>1929.4419656023208</v>
      </c>
      <c r="R3053" s="4">
        <f t="shared" ca="1" si="271"/>
        <v>5.7719216023208446</v>
      </c>
      <c r="S3053" s="4">
        <f t="shared" ca="1" si="272"/>
        <v>2.9353647939281071</v>
      </c>
    </row>
    <row r="3054" spans="15:19" x14ac:dyDescent="0.2">
      <c r="O3054" s="4">
        <f t="shared" ca="1" si="268"/>
        <v>0.96786535380149663</v>
      </c>
      <c r="P3054" s="4">
        <f t="shared" ca="1" si="269"/>
        <v>1.8503071522061405</v>
      </c>
      <c r="Q3054" s="4">
        <f t="shared" ca="1" si="270"/>
        <v>1888.3514462187507</v>
      </c>
      <c r="R3054" s="4">
        <f t="shared" ca="1" si="271"/>
        <v>-35.318597781249309</v>
      </c>
      <c r="S3054" s="4">
        <f t="shared" ca="1" si="272"/>
        <v>-17.37084062364703</v>
      </c>
    </row>
    <row r="3055" spans="15:19" x14ac:dyDescent="0.2">
      <c r="O3055" s="4">
        <f t="shared" ca="1" si="268"/>
        <v>0.80969558291094335</v>
      </c>
      <c r="P3055" s="4">
        <f t="shared" ca="1" si="269"/>
        <v>0.876775048597773</v>
      </c>
      <c r="Q3055" s="4">
        <f t="shared" ca="1" si="270"/>
        <v>1906.7207037375201</v>
      </c>
      <c r="R3055" s="4">
        <f t="shared" ca="1" si="271"/>
        <v>-16.949340262479836</v>
      </c>
      <c r="S3055" s="4">
        <f t="shared" ca="1" si="272"/>
        <v>-8.4629791557944785</v>
      </c>
    </row>
    <row r="3056" spans="15:19" x14ac:dyDescent="0.2">
      <c r="O3056" s="4">
        <f t="shared" ca="1" si="268"/>
        <v>0.97777551841132537</v>
      </c>
      <c r="P3056" s="4">
        <f t="shared" ca="1" si="269"/>
        <v>2.0098320901485258</v>
      </c>
      <c r="Q3056" s="4">
        <f t="shared" ca="1" si="270"/>
        <v>1885.3414225586491</v>
      </c>
      <c r="R3056" s="4">
        <f t="shared" ca="1" si="271"/>
        <v>-38.328621441350833</v>
      </c>
      <c r="S3056" s="4">
        <f t="shared" ca="1" si="272"/>
        <v>-18.804305029285466</v>
      </c>
    </row>
    <row r="3057" spans="15:19" x14ac:dyDescent="0.2">
      <c r="O3057" s="4">
        <f t="shared" ca="1" si="268"/>
        <v>0.26169219971252866</v>
      </c>
      <c r="P3057" s="4">
        <f t="shared" ca="1" si="269"/>
        <v>-0.638137159165579</v>
      </c>
      <c r="Q3057" s="4">
        <f t="shared" ca="1" si="270"/>
        <v>1935.3050846321926</v>
      </c>
      <c r="R3057" s="4">
        <f t="shared" ca="1" si="271"/>
        <v>11.635040632192613</v>
      </c>
      <c r="S3057" s="4">
        <f t="shared" ca="1" si="272"/>
        <v>5.9448781909134825</v>
      </c>
    </row>
    <row r="3058" spans="15:19" x14ac:dyDescent="0.2">
      <c r="O3058" s="4">
        <f t="shared" ca="1" si="268"/>
        <v>0.20258542815328329</v>
      </c>
      <c r="P3058" s="4">
        <f t="shared" ca="1" si="269"/>
        <v>-0.83242187964665437</v>
      </c>
      <c r="Q3058" s="4">
        <f t="shared" ca="1" si="270"/>
        <v>1938.9709792126087</v>
      </c>
      <c r="R3058" s="4">
        <f t="shared" ca="1" si="271"/>
        <v>15.300935212608692</v>
      </c>
      <c r="S3058" s="4">
        <f t="shared" ca="1" si="272"/>
        <v>7.8407857605496813</v>
      </c>
    </row>
    <row r="3059" spans="15:19" x14ac:dyDescent="0.2">
      <c r="O3059" s="4">
        <f t="shared" ca="1" si="268"/>
        <v>5.8084421518507678E-2</v>
      </c>
      <c r="P3059" s="4">
        <f t="shared" ca="1" si="269"/>
        <v>-1.5710594386087351</v>
      </c>
      <c r="Q3059" s="4">
        <f t="shared" ca="1" si="270"/>
        <v>1952.9080887165683</v>
      </c>
      <c r="R3059" s="4">
        <f t="shared" ca="1" si="271"/>
        <v>29.238044716568311</v>
      </c>
      <c r="S3059" s="4">
        <f t="shared" ca="1" si="272"/>
        <v>15.148573144295963</v>
      </c>
    </row>
    <row r="3060" spans="15:19" x14ac:dyDescent="0.2">
      <c r="O3060" s="4">
        <f t="shared" ca="1" si="268"/>
        <v>0.27820266964843743</v>
      </c>
      <c r="P3060" s="4">
        <f t="shared" ca="1" si="269"/>
        <v>-0.58818914994573834</v>
      </c>
      <c r="Q3060" s="4">
        <f t="shared" ca="1" si="270"/>
        <v>1934.3626320510107</v>
      </c>
      <c r="R3060" s="4">
        <f t="shared" ca="1" si="271"/>
        <v>10.692588051010716</v>
      </c>
      <c r="S3060" s="4">
        <f t="shared" ca="1" si="272"/>
        <v>5.4592336147541651</v>
      </c>
    </row>
    <row r="3061" spans="15:19" x14ac:dyDescent="0.2">
      <c r="O3061" s="4">
        <f t="shared" ca="1" si="268"/>
        <v>0.83577199062521967</v>
      </c>
      <c r="P3061" s="4">
        <f t="shared" ca="1" si="269"/>
        <v>0.97722854590357489</v>
      </c>
      <c r="Q3061" s="4">
        <f t="shared" ca="1" si="270"/>
        <v>1904.8252796895283</v>
      </c>
      <c r="R3061" s="4">
        <f t="shared" ca="1" si="271"/>
        <v>-18.844764310471646</v>
      </c>
      <c r="S3061" s="4">
        <f t="shared" ca="1" si="272"/>
        <v>-9.3948437600874222</v>
      </c>
    </row>
    <row r="3062" spans="15:19" x14ac:dyDescent="0.2">
      <c r="O3062" s="4">
        <f t="shared" ca="1" si="268"/>
        <v>0.94821770536789129</v>
      </c>
      <c r="P3062" s="4">
        <f t="shared" ca="1" si="269"/>
        <v>1.6278127826668467</v>
      </c>
      <c r="Q3062" s="4">
        <f t="shared" ca="1" si="270"/>
        <v>1892.5496194021464</v>
      </c>
      <c r="R3062" s="4">
        <f t="shared" ca="1" si="271"/>
        <v>-31.120424597853571</v>
      </c>
      <c r="S3062" s="4">
        <f t="shared" ca="1" si="272"/>
        <v>-15.359225012606078</v>
      </c>
    </row>
    <row r="3063" spans="15:19" x14ac:dyDescent="0.2">
      <c r="O3063" s="4">
        <f t="shared" ca="1" si="268"/>
        <v>9.5397365689346092E-2</v>
      </c>
      <c r="P3063" s="4">
        <f t="shared" ca="1" si="269"/>
        <v>-1.3082317051068431</v>
      </c>
      <c r="Q3063" s="4">
        <f t="shared" ca="1" si="270"/>
        <v>1947.9488785355418</v>
      </c>
      <c r="R3063" s="4">
        <f t="shared" ca="1" si="271"/>
        <v>24.278834535541819</v>
      </c>
      <c r="S3063" s="4">
        <f t="shared" ca="1" si="272"/>
        <v>12.530135611911215</v>
      </c>
    </row>
    <row r="3064" spans="15:19" x14ac:dyDescent="0.2">
      <c r="O3064" s="4">
        <f t="shared" ca="1" si="268"/>
        <v>0.19202718342332137</v>
      </c>
      <c r="P3064" s="4">
        <f t="shared" ca="1" si="269"/>
        <v>-0.87045030298635417</v>
      </c>
      <c r="Q3064" s="4">
        <f t="shared" ca="1" si="270"/>
        <v>1939.6885250426544</v>
      </c>
      <c r="R3064" s="4">
        <f t="shared" ca="1" si="271"/>
        <v>16.018481042654457</v>
      </c>
      <c r="S3064" s="4">
        <f t="shared" ca="1" si="272"/>
        <v>8.2131626021594464</v>
      </c>
    </row>
    <row r="3065" spans="15:19" x14ac:dyDescent="0.2">
      <c r="O3065" s="4">
        <f t="shared" ca="1" si="268"/>
        <v>0.10074950285340234</v>
      </c>
      <c r="P3065" s="4">
        <f t="shared" ca="1" si="269"/>
        <v>-1.2772924851935812</v>
      </c>
      <c r="Q3065" s="4">
        <f t="shared" ca="1" si="270"/>
        <v>1947.3650965565907</v>
      </c>
      <c r="R3065" s="4">
        <f t="shared" ca="1" si="271"/>
        <v>23.695052556590781</v>
      </c>
      <c r="S3065" s="4">
        <f t="shared" ca="1" si="272"/>
        <v>12.223218956987891</v>
      </c>
    </row>
    <row r="3066" spans="15:19" x14ac:dyDescent="0.2">
      <c r="O3066" s="4">
        <f t="shared" ca="1" si="268"/>
        <v>0.9050867893357456</v>
      </c>
      <c r="P3066" s="4">
        <f t="shared" ca="1" si="269"/>
        <v>1.3110927753256483</v>
      </c>
      <c r="Q3066" s="4">
        <f t="shared" ca="1" si="270"/>
        <v>1898.5257051980161</v>
      </c>
      <c r="R3066" s="4">
        <f t="shared" ca="1" si="271"/>
        <v>-25.144338801983849</v>
      </c>
      <c r="S3066" s="4">
        <f t="shared" ca="1" si="272"/>
        <v>-12.470946046931012</v>
      </c>
    </row>
    <row r="3067" spans="15:19" x14ac:dyDescent="0.2">
      <c r="O3067" s="4">
        <f t="shared" ca="1" si="268"/>
        <v>5.9522092328890941E-2</v>
      </c>
      <c r="P3067" s="4">
        <f t="shared" ca="1" si="269"/>
        <v>-1.5587980552514238</v>
      </c>
      <c r="Q3067" s="4">
        <f t="shared" ca="1" si="270"/>
        <v>1952.6767327010944</v>
      </c>
      <c r="R3067" s="4">
        <f t="shared" ca="1" si="271"/>
        <v>29.00668870109439</v>
      </c>
      <c r="S3067" s="4">
        <f t="shared" ca="1" si="272"/>
        <v>15.025973095652922</v>
      </c>
    </row>
    <row r="3068" spans="15:19" x14ac:dyDescent="0.2">
      <c r="O3068" s="4">
        <f t="shared" ca="1" si="268"/>
        <v>0.31796096954913555</v>
      </c>
      <c r="P3068" s="4">
        <f t="shared" ca="1" si="269"/>
        <v>-0.47340825842854634</v>
      </c>
      <c r="Q3068" s="4">
        <f t="shared" ca="1" si="270"/>
        <v>1932.1968691072941</v>
      </c>
      <c r="R3068" s="4">
        <f t="shared" ca="1" si="271"/>
        <v>8.5268251072941439</v>
      </c>
      <c r="S3068" s="4">
        <f t="shared" ca="1" si="272"/>
        <v>4.3459590677247455</v>
      </c>
    </row>
    <row r="3069" spans="15:19" x14ac:dyDescent="0.2">
      <c r="O3069" s="4">
        <f t="shared" ca="1" si="268"/>
        <v>0.28063163946047109</v>
      </c>
      <c r="P3069" s="4">
        <f t="shared" ca="1" si="269"/>
        <v>-0.58096613321424428</v>
      </c>
      <c r="Q3069" s="4">
        <f t="shared" ca="1" si="270"/>
        <v>1934.2263433206117</v>
      </c>
      <c r="R3069" s="4">
        <f t="shared" ca="1" si="271"/>
        <v>10.556299320611743</v>
      </c>
      <c r="S3069" s="4">
        <f t="shared" ca="1" si="272"/>
        <v>5.3890640585742906</v>
      </c>
    </row>
    <row r="3070" spans="15:19" x14ac:dyDescent="0.2">
      <c r="O3070" s="4">
        <f t="shared" ca="1" si="268"/>
        <v>0.97500053960233446</v>
      </c>
      <c r="P3070" s="4">
        <f t="shared" ca="1" si="269"/>
        <v>1.9599732172643634</v>
      </c>
      <c r="Q3070" s="4">
        <f t="shared" ca="1" si="270"/>
        <v>1886.2821932555887</v>
      </c>
      <c r="R3070" s="4">
        <f t="shared" ca="1" si="271"/>
        <v>-37.387850744411253</v>
      </c>
      <c r="S3070" s="4">
        <f t="shared" ca="1" si="272"/>
        <v>-18.357073977002088</v>
      </c>
    </row>
    <row r="3071" spans="15:19" x14ac:dyDescent="0.2">
      <c r="O3071" s="4">
        <f t="shared" ca="1" si="268"/>
        <v>0.47170276467432659</v>
      </c>
      <c r="P3071" s="4">
        <f t="shared" ca="1" si="269"/>
        <v>-7.0990232330843978E-2</v>
      </c>
      <c r="Q3071" s="4">
        <f t="shared" ca="1" si="270"/>
        <v>1924.6037755419306</v>
      </c>
      <c r="R3071" s="4">
        <f t="shared" ca="1" si="271"/>
        <v>0.93373154193068331</v>
      </c>
      <c r="S3071" s="4">
        <f t="shared" ca="1" si="272"/>
        <v>0.47301895751135914</v>
      </c>
    </row>
    <row r="3072" spans="15:19" x14ac:dyDescent="0.2">
      <c r="O3072" s="4">
        <f t="shared" ca="1" si="268"/>
        <v>0.25322735926777129</v>
      </c>
      <c r="P3072" s="4">
        <f t="shared" ca="1" si="269"/>
        <v>-0.66436814078300932</v>
      </c>
      <c r="Q3072" s="4">
        <f t="shared" ca="1" si="270"/>
        <v>1935.8000284090999</v>
      </c>
      <c r="R3072" s="4">
        <f t="shared" ca="1" si="271"/>
        <v>12.129984409099961</v>
      </c>
      <c r="S3072" s="4">
        <f t="shared" ca="1" si="272"/>
        <v>6.2002116699285086</v>
      </c>
    </row>
    <row r="3073" spans="15:19" x14ac:dyDescent="0.2">
      <c r="O3073" s="4">
        <f t="shared" ca="1" si="268"/>
        <v>0.4842060014610079</v>
      </c>
      <c r="P3073" s="4">
        <f t="shared" ca="1" si="269"/>
        <v>-3.9600030753341869E-2</v>
      </c>
      <c r="Q3073" s="4">
        <f t="shared" ca="1" si="270"/>
        <v>1924.0114841380766</v>
      </c>
      <c r="R3073" s="4">
        <f t="shared" ca="1" si="271"/>
        <v>0.34144013807667761</v>
      </c>
      <c r="S3073" s="4">
        <f t="shared" ca="1" si="272"/>
        <v>0.17288779895544557</v>
      </c>
    </row>
    <row r="3074" spans="15:19" x14ac:dyDescent="0.2">
      <c r="O3074" s="4">
        <f t="shared" ca="1" si="268"/>
        <v>0.74835027280844302</v>
      </c>
      <c r="P3074" s="4">
        <f t="shared" ca="1" si="269"/>
        <v>0.66930732616921329</v>
      </c>
      <c r="Q3074" s="4">
        <f t="shared" ca="1" si="270"/>
        <v>1910.6353440518944</v>
      </c>
      <c r="R3074" s="4">
        <f t="shared" ca="1" si="271"/>
        <v>-13.034699948105526</v>
      </c>
      <c r="S3074" s="4">
        <f t="shared" ca="1" si="272"/>
        <v>-6.529130340783257</v>
      </c>
    </row>
    <row r="3075" spans="15:19" x14ac:dyDescent="0.2">
      <c r="O3075" s="4">
        <f t="shared" ref="O3075:O3138" ca="1" si="273">RAND()</f>
        <v>0.53190431281661321</v>
      </c>
      <c r="P3075" s="4">
        <f t="shared" ref="P3075:P3138" ca="1" si="274">NORMSINV(O3075)</f>
        <v>8.0057688505396518E-2</v>
      </c>
      <c r="Q3075" s="4">
        <f t="shared" ref="Q3075:Q3138" ca="1" si="275">$B$4*(1+$B$17-$B$32*P3075)</f>
        <v>1921.7537019334368</v>
      </c>
      <c r="R3075" s="4">
        <f t="shared" ref="R3075:R3138" ca="1" si="276">Q3075-$B$4</f>
        <v>-1.9163420665631747</v>
      </c>
      <c r="S3075" s="4">
        <f t="shared" ref="S3075:S3138" ca="1" si="277">R3075*$B$12+0.5*$B$13*R3075^2</f>
        <v>-0.96857621692650342</v>
      </c>
    </row>
    <row r="3076" spans="15:19" x14ac:dyDescent="0.2">
      <c r="O3076" s="4">
        <f t="shared" ca="1" si="273"/>
        <v>0.77870415177047458</v>
      </c>
      <c r="P3076" s="4">
        <f t="shared" ca="1" si="274"/>
        <v>0.76782409685307662</v>
      </c>
      <c r="Q3076" s="4">
        <f t="shared" ca="1" si="275"/>
        <v>1908.7764634624389</v>
      </c>
      <c r="R3076" s="4">
        <f t="shared" ca="1" si="276"/>
        <v>-14.893580537561093</v>
      </c>
      <c r="S3076" s="4">
        <f t="shared" ca="1" si="277"/>
        <v>-7.4489807660818927</v>
      </c>
    </row>
    <row r="3077" spans="15:19" x14ac:dyDescent="0.2">
      <c r="O3077" s="4">
        <f t="shared" ca="1" si="273"/>
        <v>0.15629893918614346</v>
      </c>
      <c r="P3077" s="4">
        <f t="shared" ca="1" si="274"/>
        <v>-1.0097858969550229</v>
      </c>
      <c r="Q3077" s="4">
        <f t="shared" ca="1" si="275"/>
        <v>1942.3176026022481</v>
      </c>
      <c r="R3077" s="4">
        <f t="shared" ca="1" si="276"/>
        <v>18.647558602248182</v>
      </c>
      <c r="S3077" s="4">
        <f t="shared" ca="1" si="277"/>
        <v>9.5811275843173132</v>
      </c>
    </row>
    <row r="3078" spans="15:19" x14ac:dyDescent="0.2">
      <c r="O3078" s="4">
        <f t="shared" ca="1" si="273"/>
        <v>3.887063829329851E-2</v>
      </c>
      <c r="P3078" s="4">
        <f t="shared" ca="1" si="274"/>
        <v>-1.7639447800281953</v>
      </c>
      <c r="Q3078" s="4">
        <f t="shared" ca="1" si="275"/>
        <v>1956.5475788730789</v>
      </c>
      <c r="R3078" s="4">
        <f t="shared" ca="1" si="276"/>
        <v>32.877534873078957</v>
      </c>
      <c r="S3078" s="4">
        <f t="shared" ca="1" si="277"/>
        <v>17.082944459254669</v>
      </c>
    </row>
    <row r="3079" spans="15:19" x14ac:dyDescent="0.2">
      <c r="O3079" s="4">
        <f t="shared" ca="1" si="273"/>
        <v>6.2188056294836813E-2</v>
      </c>
      <c r="P3079" s="4">
        <f t="shared" ca="1" si="274"/>
        <v>-1.5366619536585404</v>
      </c>
      <c r="Q3079" s="4">
        <f t="shared" ca="1" si="275"/>
        <v>1952.2590538704585</v>
      </c>
      <c r="R3079" s="4">
        <f t="shared" ca="1" si="276"/>
        <v>28.58900987045854</v>
      </c>
      <c r="S3079" s="4">
        <f t="shared" ca="1" si="277"/>
        <v>14.804747317991501</v>
      </c>
    </row>
    <row r="3080" spans="15:19" x14ac:dyDescent="0.2">
      <c r="O3080" s="4">
        <f t="shared" ca="1" si="273"/>
        <v>0.67460566319824222</v>
      </c>
      <c r="P3080" s="4">
        <f t="shared" ca="1" si="274"/>
        <v>0.45266682219252802</v>
      </c>
      <c r="Q3080" s="4">
        <f t="shared" ca="1" si="275"/>
        <v>1914.723062568617</v>
      </c>
      <c r="R3080" s="4">
        <f t="shared" ca="1" si="276"/>
        <v>-8.9469814313829374</v>
      </c>
      <c r="S3080" s="4">
        <f t="shared" ca="1" si="277"/>
        <v>-4.4964643639583493</v>
      </c>
    </row>
    <row r="3081" spans="15:19" x14ac:dyDescent="0.2">
      <c r="O3081" s="4">
        <f t="shared" ca="1" si="273"/>
        <v>6.3304560208449212E-2</v>
      </c>
      <c r="P3081" s="4">
        <f t="shared" ca="1" si="274"/>
        <v>-1.5276111151017433</v>
      </c>
      <c r="Q3081" s="4">
        <f t="shared" ca="1" si="275"/>
        <v>1952.088276570363</v>
      </c>
      <c r="R3081" s="4">
        <f t="shared" ca="1" si="276"/>
        <v>28.418232570362989</v>
      </c>
      <c r="S3081" s="4">
        <f t="shared" ca="1" si="277"/>
        <v>14.714335136004921</v>
      </c>
    </row>
    <row r="3082" spans="15:19" x14ac:dyDescent="0.2">
      <c r="O3082" s="4">
        <f t="shared" ca="1" si="273"/>
        <v>0.98895314872361584</v>
      </c>
      <c r="P3082" s="4">
        <f t="shared" ca="1" si="274"/>
        <v>2.288753088289218</v>
      </c>
      <c r="Q3082" s="4">
        <f t="shared" ca="1" si="275"/>
        <v>1880.0785538527809</v>
      </c>
      <c r="R3082" s="4">
        <f t="shared" ca="1" si="276"/>
        <v>-43.591490147219019</v>
      </c>
      <c r="S3082" s="4">
        <f t="shared" ca="1" si="277"/>
        <v>-21.292919011670122</v>
      </c>
    </row>
    <row r="3083" spans="15:19" x14ac:dyDescent="0.2">
      <c r="O3083" s="4">
        <f t="shared" ca="1" si="273"/>
        <v>0.16193320516539189</v>
      </c>
      <c r="P3083" s="4">
        <f t="shared" ca="1" si="274"/>
        <v>-0.98654364220123114</v>
      </c>
      <c r="Q3083" s="4">
        <f t="shared" ca="1" si="275"/>
        <v>1941.8790521309213</v>
      </c>
      <c r="R3083" s="4">
        <f t="shared" ca="1" si="276"/>
        <v>18.209008130921347</v>
      </c>
      <c r="S3083" s="4">
        <f t="shared" ca="1" si="277"/>
        <v>9.3525493911056863</v>
      </c>
    </row>
    <row r="3084" spans="15:19" x14ac:dyDescent="0.2">
      <c r="O3084" s="4">
        <f t="shared" ca="1" si="273"/>
        <v>0.12969281184532988</v>
      </c>
      <c r="P3084" s="4">
        <f t="shared" ca="1" si="274"/>
        <v>-1.1278444349777959</v>
      </c>
      <c r="Q3084" s="4">
        <f t="shared" ca="1" si="275"/>
        <v>1944.545210381377</v>
      </c>
      <c r="R3084" s="4">
        <f t="shared" ca="1" si="276"/>
        <v>20.875166381377085</v>
      </c>
      <c r="S3084" s="4">
        <f t="shared" ca="1" si="277"/>
        <v>10.744603295789275</v>
      </c>
    </row>
    <row r="3085" spans="15:19" x14ac:dyDescent="0.2">
      <c r="O3085" s="4">
        <f t="shared" ca="1" si="273"/>
        <v>0.90087618410952908</v>
      </c>
      <c r="P3085" s="4">
        <f t="shared" ca="1" si="274"/>
        <v>1.2865601761649512</v>
      </c>
      <c r="Q3085" s="4">
        <f t="shared" ca="1" si="275"/>
        <v>1898.9886027541595</v>
      </c>
      <c r="R3085" s="4">
        <f t="shared" ca="1" si="276"/>
        <v>-24.68144124584046</v>
      </c>
      <c r="S3085" s="4">
        <f t="shared" ca="1" si="277"/>
        <v>-12.246011508961299</v>
      </c>
    </row>
    <row r="3086" spans="15:19" x14ac:dyDescent="0.2">
      <c r="O3086" s="4">
        <f t="shared" ca="1" si="273"/>
        <v>0.14216001590114213</v>
      </c>
      <c r="P3086" s="4">
        <f t="shared" ca="1" si="274"/>
        <v>-1.0706651193564709</v>
      </c>
      <c r="Q3086" s="4">
        <f t="shared" ca="1" si="275"/>
        <v>1943.4663126547364</v>
      </c>
      <c r="R3086" s="4">
        <f t="shared" ca="1" si="276"/>
        <v>19.796268654736423</v>
      </c>
      <c r="S3086" s="4">
        <f t="shared" ca="1" si="277"/>
        <v>10.180592371463916</v>
      </c>
    </row>
    <row r="3087" spans="15:19" x14ac:dyDescent="0.2">
      <c r="O3087" s="4">
        <f t="shared" ca="1" si="273"/>
        <v>0.93335516602755075</v>
      </c>
      <c r="P3087" s="4">
        <f t="shared" ca="1" si="274"/>
        <v>1.5012548116834896</v>
      </c>
      <c r="Q3087" s="4">
        <f t="shared" ca="1" si="275"/>
        <v>1894.9376001902781</v>
      </c>
      <c r="R3087" s="4">
        <f t="shared" ca="1" si="276"/>
        <v>-28.732443809721872</v>
      </c>
      <c r="S3087" s="4">
        <f t="shared" ca="1" si="277"/>
        <v>-14.208587134316337</v>
      </c>
    </row>
    <row r="3088" spans="15:19" x14ac:dyDescent="0.2">
      <c r="O3088" s="4">
        <f t="shared" ca="1" si="273"/>
        <v>0.91953076293748548</v>
      </c>
      <c r="P3088" s="4">
        <f t="shared" ca="1" si="274"/>
        <v>1.40192222090215</v>
      </c>
      <c r="Q3088" s="4">
        <f t="shared" ca="1" si="275"/>
        <v>1896.8118742212073</v>
      </c>
      <c r="R3088" s="4">
        <f t="shared" ca="1" si="276"/>
        <v>-26.858169778792671</v>
      </c>
      <c r="S3088" s="4">
        <f t="shared" ca="1" si="277"/>
        <v>-13.3022246359623</v>
      </c>
    </row>
    <row r="3089" spans="15:19" x14ac:dyDescent="0.2">
      <c r="O3089" s="4">
        <f t="shared" ca="1" si="273"/>
        <v>0.77341879326295837</v>
      </c>
      <c r="P3089" s="4">
        <f t="shared" ca="1" si="274"/>
        <v>0.75015324661434968</v>
      </c>
      <c r="Q3089" s="4">
        <f t="shared" ca="1" si="275"/>
        <v>1909.1098889318278</v>
      </c>
      <c r="R3089" s="4">
        <f t="shared" ca="1" si="276"/>
        <v>-14.560155068172207</v>
      </c>
      <c r="S3089" s="4">
        <f t="shared" ca="1" si="277"/>
        <v>-7.2841952020734588</v>
      </c>
    </row>
    <row r="3090" spans="15:19" x14ac:dyDescent="0.2">
      <c r="O3090" s="4">
        <f t="shared" ca="1" si="273"/>
        <v>0.13050084760741409</v>
      </c>
      <c r="P3090" s="4">
        <f t="shared" ca="1" si="274"/>
        <v>-1.1240267093286735</v>
      </c>
      <c r="Q3090" s="4">
        <f t="shared" ca="1" si="275"/>
        <v>1944.4731749699874</v>
      </c>
      <c r="R3090" s="4">
        <f t="shared" ca="1" si="276"/>
        <v>20.803130969987478</v>
      </c>
      <c r="S3090" s="4">
        <f t="shared" ca="1" si="277"/>
        <v>10.706916115615119</v>
      </c>
    </row>
    <row r="3091" spans="15:19" x14ac:dyDescent="0.2">
      <c r="O3091" s="4">
        <f t="shared" ca="1" si="273"/>
        <v>0.95910356348491221</v>
      </c>
      <c r="P3091" s="4">
        <f t="shared" ca="1" si="274"/>
        <v>1.7403768199158891</v>
      </c>
      <c r="Q3091" s="4">
        <f t="shared" ca="1" si="275"/>
        <v>1890.4256855535182</v>
      </c>
      <c r="R3091" s="4">
        <f t="shared" ca="1" si="276"/>
        <v>-33.244358446481783</v>
      </c>
      <c r="S3091" s="4">
        <f t="shared" ca="1" si="277"/>
        <v>-16.378732104566033</v>
      </c>
    </row>
    <row r="3092" spans="15:19" x14ac:dyDescent="0.2">
      <c r="O3092" s="4">
        <f t="shared" ca="1" si="273"/>
        <v>0.79586170951414115</v>
      </c>
      <c r="P3092" s="4">
        <f t="shared" ca="1" si="274"/>
        <v>0.82693027764434146</v>
      </c>
      <c r="Q3092" s="4">
        <f t="shared" ca="1" si="275"/>
        <v>1907.6612083497607</v>
      </c>
      <c r="R3092" s="4">
        <f t="shared" ca="1" si="276"/>
        <v>-16.008835650239234</v>
      </c>
      <c r="S3092" s="4">
        <f t="shared" ca="1" si="277"/>
        <v>-7.9995045625344154</v>
      </c>
    </row>
    <row r="3093" spans="15:19" x14ac:dyDescent="0.2">
      <c r="O3093" s="4">
        <f t="shared" ca="1" si="273"/>
        <v>4.399807016876478E-3</v>
      </c>
      <c r="P3093" s="4">
        <f t="shared" ca="1" si="274"/>
        <v>-2.6197426684976288</v>
      </c>
      <c r="Q3093" s="4">
        <f t="shared" ca="1" si="275"/>
        <v>1972.695348154695</v>
      </c>
      <c r="R3093" s="4">
        <f t="shared" ca="1" si="276"/>
        <v>49.02530415469505</v>
      </c>
      <c r="S3093" s="4">
        <f t="shared" ca="1" si="277"/>
        <v>25.795472086133817</v>
      </c>
    </row>
    <row r="3094" spans="15:19" x14ac:dyDescent="0.2">
      <c r="O3094" s="4">
        <f t="shared" ca="1" si="273"/>
        <v>0.65053117003306393</v>
      </c>
      <c r="P3094" s="4">
        <f t="shared" ca="1" si="274"/>
        <v>0.38675491147055929</v>
      </c>
      <c r="Q3094" s="4">
        <f t="shared" ca="1" si="275"/>
        <v>1915.9667327641025</v>
      </c>
      <c r="R3094" s="4">
        <f t="shared" ca="1" si="276"/>
        <v>-7.7033112358974449</v>
      </c>
      <c r="S3094" s="4">
        <f t="shared" ca="1" si="277"/>
        <v>-3.8753357042652796</v>
      </c>
    </row>
    <row r="3095" spans="15:19" x14ac:dyDescent="0.2">
      <c r="O3095" s="4">
        <f t="shared" ca="1" si="273"/>
        <v>0.53657440669873213</v>
      </c>
      <c r="P3095" s="4">
        <f t="shared" ca="1" si="274"/>
        <v>9.1807246378757507E-2</v>
      </c>
      <c r="Q3095" s="4">
        <f t="shared" ca="1" si="275"/>
        <v>1921.5320033849168</v>
      </c>
      <c r="R3095" s="4">
        <f t="shared" ca="1" si="276"/>
        <v>-2.1380406150831277</v>
      </c>
      <c r="S3095" s="4">
        <f t="shared" ca="1" si="277"/>
        <v>-1.0804362992224683</v>
      </c>
    </row>
    <row r="3096" spans="15:19" x14ac:dyDescent="0.2">
      <c r="O3096" s="4">
        <f t="shared" ca="1" si="273"/>
        <v>5.0305033194049109E-2</v>
      </c>
      <c r="P3096" s="4">
        <f t="shared" ca="1" si="274"/>
        <v>-1.6419032010102934</v>
      </c>
      <c r="Q3096" s="4">
        <f t="shared" ca="1" si="275"/>
        <v>1954.2448164015918</v>
      </c>
      <c r="R3096" s="4">
        <f t="shared" ca="1" si="276"/>
        <v>30.574772401591872</v>
      </c>
      <c r="S3096" s="4">
        <f t="shared" ca="1" si="277"/>
        <v>15.857784379976501</v>
      </c>
    </row>
    <row r="3097" spans="15:19" x14ac:dyDescent="0.2">
      <c r="O3097" s="4">
        <f t="shared" ca="1" si="273"/>
        <v>0.13722882766514899</v>
      </c>
      <c r="P3097" s="4">
        <f t="shared" ca="1" si="274"/>
        <v>-1.0928545750153507</v>
      </c>
      <c r="Q3097" s="4">
        <f t="shared" ca="1" si="275"/>
        <v>1943.8849982057197</v>
      </c>
      <c r="R3097" s="4">
        <f t="shared" ca="1" si="276"/>
        <v>20.214954205719778</v>
      </c>
      <c r="S3097" s="4">
        <f t="shared" ca="1" si="277"/>
        <v>10.399354371236658</v>
      </c>
    </row>
    <row r="3098" spans="15:19" x14ac:dyDescent="0.2">
      <c r="O3098" s="4">
        <f t="shared" ca="1" si="273"/>
        <v>0.15915801103984384</v>
      </c>
      <c r="P3098" s="4">
        <f t="shared" ca="1" si="274"/>
        <v>-0.99792439400324073</v>
      </c>
      <c r="Q3098" s="4">
        <f t="shared" ca="1" si="275"/>
        <v>1942.0937917988108</v>
      </c>
      <c r="R3098" s="4">
        <f t="shared" ca="1" si="276"/>
        <v>18.423747798810837</v>
      </c>
      <c r="S3098" s="4">
        <f t="shared" ca="1" si="277"/>
        <v>9.4644549267884965</v>
      </c>
    </row>
    <row r="3099" spans="15:19" x14ac:dyDescent="0.2">
      <c r="O3099" s="4">
        <f t="shared" ca="1" si="273"/>
        <v>0.34077202898569037</v>
      </c>
      <c r="P3099" s="4">
        <f t="shared" ca="1" si="274"/>
        <v>-0.41035703631677517</v>
      </c>
      <c r="Q3099" s="4">
        <f t="shared" ca="1" si="275"/>
        <v>1931.0071763056378</v>
      </c>
      <c r="R3099" s="4">
        <f t="shared" ca="1" si="276"/>
        <v>7.3371323056378515</v>
      </c>
      <c r="S3099" s="4">
        <f t="shared" ca="1" si="277"/>
        <v>3.7360422050567017</v>
      </c>
    </row>
    <row r="3100" spans="15:19" x14ac:dyDescent="0.2">
      <c r="O3100" s="4">
        <f t="shared" ca="1" si="273"/>
        <v>0.25912492777408791</v>
      </c>
      <c r="P3100" s="4">
        <f t="shared" ca="1" si="274"/>
        <v>-0.64604555177910905</v>
      </c>
      <c r="Q3100" s="4">
        <f t="shared" ca="1" si="275"/>
        <v>1935.4543054950061</v>
      </c>
      <c r="R3100" s="4">
        <f t="shared" ca="1" si="276"/>
        <v>11.784261495006149</v>
      </c>
      <c r="S3100" s="4">
        <f t="shared" ca="1" si="277"/>
        <v>6.0218378171207867</v>
      </c>
    </row>
    <row r="3101" spans="15:19" x14ac:dyDescent="0.2">
      <c r="O3101" s="4">
        <f t="shared" ca="1" si="273"/>
        <v>0.13102121679325174</v>
      </c>
      <c r="P3101" s="4">
        <f t="shared" ca="1" si="274"/>
        <v>-1.1215767691820862</v>
      </c>
      <c r="Q3101" s="4">
        <f t="shared" ca="1" si="275"/>
        <v>1944.426947854013</v>
      </c>
      <c r="R3101" s="4">
        <f t="shared" ca="1" si="276"/>
        <v>20.75690385401299</v>
      </c>
      <c r="S3101" s="4">
        <f t="shared" ca="1" si="277"/>
        <v>10.682733435098356</v>
      </c>
    </row>
    <row r="3102" spans="15:19" x14ac:dyDescent="0.2">
      <c r="O3102" s="4">
        <f t="shared" ca="1" si="273"/>
        <v>0.65715046625717422</v>
      </c>
      <c r="P3102" s="4">
        <f t="shared" ca="1" si="274"/>
        <v>0.40469860531471241</v>
      </c>
      <c r="Q3102" s="4">
        <f t="shared" ca="1" si="275"/>
        <v>1915.6281590983349</v>
      </c>
      <c r="R3102" s="4">
        <f t="shared" ca="1" si="276"/>
        <v>-8.0418849016650711</v>
      </c>
      <c r="S3102" s="4">
        <f t="shared" ca="1" si="277"/>
        <v>-4.0445549612666056</v>
      </c>
    </row>
    <row r="3103" spans="15:19" x14ac:dyDescent="0.2">
      <c r="O3103" s="4">
        <f t="shared" ca="1" si="273"/>
        <v>0.1561262412367751</v>
      </c>
      <c r="P3103" s="4">
        <f t="shared" ca="1" si="274"/>
        <v>-1.0105069268002256</v>
      </c>
      <c r="Q3103" s="4">
        <f t="shared" ca="1" si="275"/>
        <v>1942.3312074775843</v>
      </c>
      <c r="R3103" s="4">
        <f t="shared" ca="1" si="276"/>
        <v>18.661163477584296</v>
      </c>
      <c r="S3103" s="4">
        <f t="shared" ca="1" si="277"/>
        <v>9.5882211258772827</v>
      </c>
    </row>
    <row r="3104" spans="15:19" x14ac:dyDescent="0.2">
      <c r="O3104" s="4">
        <f t="shared" ca="1" si="273"/>
        <v>0.45699217373907064</v>
      </c>
      <c r="P3104" s="4">
        <f t="shared" ca="1" si="274"/>
        <v>-0.10801430168922176</v>
      </c>
      <c r="Q3104" s="4">
        <f t="shared" ca="1" si="275"/>
        <v>1925.3023705465696</v>
      </c>
      <c r="R3104" s="4">
        <f t="shared" ca="1" si="276"/>
        <v>1.6323265465696295</v>
      </c>
      <c r="S3104" s="4">
        <f t="shared" ca="1" si="277"/>
        <v>0.82738431822053859</v>
      </c>
    </row>
    <row r="3105" spans="15:19" x14ac:dyDescent="0.2">
      <c r="O3105" s="4">
        <f t="shared" ca="1" si="273"/>
        <v>0.87946487349565239</v>
      </c>
      <c r="P3105" s="4">
        <f t="shared" ca="1" si="274"/>
        <v>1.1723158932399846</v>
      </c>
      <c r="Q3105" s="4">
        <f t="shared" ca="1" si="275"/>
        <v>1901.1442406065917</v>
      </c>
      <c r="R3105" s="4">
        <f t="shared" ca="1" si="276"/>
        <v>-22.525803393408296</v>
      </c>
      <c r="S3105" s="4">
        <f t="shared" ca="1" si="277"/>
        <v>-11.19623057976645</v>
      </c>
    </row>
    <row r="3106" spans="15:19" x14ac:dyDescent="0.2">
      <c r="O3106" s="4">
        <f t="shared" ca="1" si="273"/>
        <v>0.87606919896994961</v>
      </c>
      <c r="P3106" s="4">
        <f t="shared" ca="1" si="274"/>
        <v>1.1555589620684834</v>
      </c>
      <c r="Q3106" s="4">
        <f t="shared" ca="1" si="275"/>
        <v>1901.4604216372661</v>
      </c>
      <c r="R3106" s="4">
        <f t="shared" ca="1" si="276"/>
        <v>-22.209622362733853</v>
      </c>
      <c r="S3106" s="4">
        <f t="shared" ca="1" si="277"/>
        <v>-11.041934432899078</v>
      </c>
    </row>
    <row r="3107" spans="15:19" x14ac:dyDescent="0.2">
      <c r="O3107" s="4">
        <f t="shared" ca="1" si="273"/>
        <v>0.61025842020477605</v>
      </c>
      <c r="P3107" s="4">
        <f t="shared" ca="1" si="274"/>
        <v>0.27999262955753967</v>
      </c>
      <c r="Q3107" s="4">
        <f t="shared" ca="1" si="275"/>
        <v>1917.9811951968081</v>
      </c>
      <c r="R3107" s="4">
        <f t="shared" ca="1" si="276"/>
        <v>-5.6888488031918314</v>
      </c>
      <c r="S3107" s="4">
        <f t="shared" ca="1" si="277"/>
        <v>-2.8665770042722949</v>
      </c>
    </row>
    <row r="3108" spans="15:19" x14ac:dyDescent="0.2">
      <c r="O3108" s="4">
        <f t="shared" ca="1" si="273"/>
        <v>0.88759120384586254</v>
      </c>
      <c r="P3108" s="4">
        <f t="shared" ca="1" si="274"/>
        <v>1.2138170545099478</v>
      </c>
      <c r="Q3108" s="4">
        <f t="shared" ca="1" si="275"/>
        <v>1900.3611688251165</v>
      </c>
      <c r="R3108" s="4">
        <f t="shared" ca="1" si="276"/>
        <v>-23.308875174883497</v>
      </c>
      <c r="S3108" s="4">
        <f t="shared" ca="1" si="277"/>
        <v>-11.57801872076042</v>
      </c>
    </row>
    <row r="3109" spans="15:19" x14ac:dyDescent="0.2">
      <c r="O3109" s="4">
        <f t="shared" ca="1" si="273"/>
        <v>0.32602420018609912</v>
      </c>
      <c r="P3109" s="4">
        <f t="shared" ca="1" si="274"/>
        <v>-0.45091834615860071</v>
      </c>
      <c r="Q3109" s="4">
        <f t="shared" ca="1" si="275"/>
        <v>1931.7725143391979</v>
      </c>
      <c r="R3109" s="4">
        <f t="shared" ca="1" si="276"/>
        <v>8.1024703391979074</v>
      </c>
      <c r="S3109" s="4">
        <f t="shared" ca="1" si="277"/>
        <v>4.1282739537221298</v>
      </c>
    </row>
    <row r="3110" spans="15:19" x14ac:dyDescent="0.2">
      <c r="O3110" s="4">
        <f t="shared" ca="1" si="273"/>
        <v>0.2675309281115491</v>
      </c>
      <c r="P3110" s="4">
        <f t="shared" ca="1" si="274"/>
        <v>-0.62029762810336952</v>
      </c>
      <c r="Q3110" s="4">
        <f t="shared" ca="1" si="275"/>
        <v>1934.9684763797463</v>
      </c>
      <c r="R3110" s="4">
        <f t="shared" ca="1" si="276"/>
        <v>11.298432379746373</v>
      </c>
      <c r="S3110" s="4">
        <f t="shared" ca="1" si="277"/>
        <v>5.7713413864013496</v>
      </c>
    </row>
    <row r="3111" spans="15:19" x14ac:dyDescent="0.2">
      <c r="O3111" s="4">
        <f t="shared" ca="1" si="273"/>
        <v>0.70338520484787581</v>
      </c>
      <c r="P3111" s="4">
        <f t="shared" ca="1" si="274"/>
        <v>0.53416180779863598</v>
      </c>
      <c r="Q3111" s="4">
        <f t="shared" ca="1" si="275"/>
        <v>1913.1853604512053</v>
      </c>
      <c r="R3111" s="4">
        <f t="shared" ca="1" si="276"/>
        <v>-10.484683548794692</v>
      </c>
      <c r="S3111" s="4">
        <f t="shared" ca="1" si="277"/>
        <v>-5.262700963225762</v>
      </c>
    </row>
    <row r="3112" spans="15:19" x14ac:dyDescent="0.2">
      <c r="O3112" s="4">
        <f t="shared" ca="1" si="273"/>
        <v>0.95145092499180273</v>
      </c>
      <c r="P3112" s="4">
        <f t="shared" ca="1" si="274"/>
        <v>1.6590875581482745</v>
      </c>
      <c r="Q3112" s="4">
        <f t="shared" ca="1" si="275"/>
        <v>1891.959505935389</v>
      </c>
      <c r="R3112" s="4">
        <f t="shared" ca="1" si="276"/>
        <v>-31.710538064611001</v>
      </c>
      <c r="S3112" s="4">
        <f t="shared" ca="1" si="277"/>
        <v>-15.642853162215404</v>
      </c>
    </row>
    <row r="3113" spans="15:19" x14ac:dyDescent="0.2">
      <c r="O3113" s="4">
        <f t="shared" ca="1" si="273"/>
        <v>0.73689062833543673</v>
      </c>
      <c r="P3113" s="4">
        <f t="shared" ca="1" si="274"/>
        <v>0.63378867758639901</v>
      </c>
      <c r="Q3113" s="4">
        <f t="shared" ca="1" si="275"/>
        <v>1911.3055337663559</v>
      </c>
      <c r="R3113" s="4">
        <f t="shared" ca="1" si="276"/>
        <v>-12.364510233644069</v>
      </c>
      <c r="S3113" s="4">
        <f t="shared" ca="1" si="277"/>
        <v>-6.1968029930520503</v>
      </c>
    </row>
    <row r="3114" spans="15:19" x14ac:dyDescent="0.2">
      <c r="O3114" s="4">
        <f t="shared" ca="1" si="273"/>
        <v>0.5678852526348771</v>
      </c>
      <c r="P3114" s="4">
        <f t="shared" ca="1" si="274"/>
        <v>0.1709927138462273</v>
      </c>
      <c r="Q3114" s="4">
        <f t="shared" ca="1" si="275"/>
        <v>1920.037878806731</v>
      </c>
      <c r="R3114" s="4">
        <f t="shared" ca="1" si="276"/>
        <v>-3.6321651932689747</v>
      </c>
      <c r="S3114" s="4">
        <f t="shared" ca="1" si="277"/>
        <v>-1.8332672863139456</v>
      </c>
    </row>
    <row r="3115" spans="15:19" x14ac:dyDescent="0.2">
      <c r="O3115" s="4">
        <f t="shared" ca="1" si="273"/>
        <v>6.8840603066099515E-2</v>
      </c>
      <c r="P3115" s="4">
        <f t="shared" ca="1" si="274"/>
        <v>-1.4844815806355072</v>
      </c>
      <c r="Q3115" s="4">
        <f t="shared" ca="1" si="275"/>
        <v>1951.2744795498656</v>
      </c>
      <c r="R3115" s="4">
        <f t="shared" ca="1" si="276"/>
        <v>27.604435549865684</v>
      </c>
      <c r="S3115" s="4">
        <f t="shared" ca="1" si="277"/>
        <v>14.28382438736703</v>
      </c>
    </row>
    <row r="3116" spans="15:19" x14ac:dyDescent="0.2">
      <c r="O3116" s="4">
        <f t="shared" ca="1" si="273"/>
        <v>6.5489784744079071E-2</v>
      </c>
      <c r="P3116" s="4">
        <f t="shared" ca="1" si="274"/>
        <v>-1.510250295033982</v>
      </c>
      <c r="Q3116" s="4">
        <f t="shared" ca="1" si="275"/>
        <v>1951.7607009584444</v>
      </c>
      <c r="R3116" s="4">
        <f t="shared" ca="1" si="276"/>
        <v>28.09065695844447</v>
      </c>
      <c r="S3116" s="4">
        <f t="shared" ca="1" si="277"/>
        <v>14.540977921081712</v>
      </c>
    </row>
    <row r="3117" spans="15:19" x14ac:dyDescent="0.2">
      <c r="O3117" s="4">
        <f t="shared" ca="1" si="273"/>
        <v>0.85487332814443584</v>
      </c>
      <c r="P3117" s="4">
        <f t="shared" ca="1" si="274"/>
        <v>1.05756601400761</v>
      </c>
      <c r="Q3117" s="4">
        <f t="shared" ca="1" si="275"/>
        <v>1903.3094183896915</v>
      </c>
      <c r="R3117" s="4">
        <f t="shared" ca="1" si="276"/>
        <v>-20.360625610308489</v>
      </c>
      <c r="S3117" s="4">
        <f t="shared" ca="1" si="277"/>
        <v>-10.137995500838688</v>
      </c>
    </row>
    <row r="3118" spans="15:19" x14ac:dyDescent="0.2">
      <c r="O3118" s="4">
        <f t="shared" ca="1" si="273"/>
        <v>0.93807124998976388</v>
      </c>
      <c r="P3118" s="4">
        <f t="shared" ca="1" si="274"/>
        <v>1.5387821049443924</v>
      </c>
      <c r="Q3118" s="4">
        <f t="shared" ca="1" si="275"/>
        <v>1894.2295100190995</v>
      </c>
      <c r="R3118" s="4">
        <f t="shared" ca="1" si="276"/>
        <v>-29.440533980900454</v>
      </c>
      <c r="S3118" s="4">
        <f t="shared" ca="1" si="277"/>
        <v>-14.550261435599394</v>
      </c>
    </row>
    <row r="3119" spans="15:19" x14ac:dyDescent="0.2">
      <c r="O3119" s="4">
        <f t="shared" ca="1" si="273"/>
        <v>0.53835765589863915</v>
      </c>
      <c r="P3119" s="4">
        <f t="shared" ca="1" si="274"/>
        <v>9.6297006882715391E-2</v>
      </c>
      <c r="Q3119" s="4">
        <f t="shared" ca="1" si="275"/>
        <v>1921.4472875685722</v>
      </c>
      <c r="R3119" s="4">
        <f t="shared" ca="1" si="276"/>
        <v>-2.222756431427797</v>
      </c>
      <c r="S3119" s="4">
        <f t="shared" ca="1" si="277"/>
        <v>-1.1231698922735389</v>
      </c>
    </row>
    <row r="3120" spans="15:19" x14ac:dyDescent="0.2">
      <c r="O3120" s="4">
        <f t="shared" ca="1" si="273"/>
        <v>0.2460833259067019</v>
      </c>
      <c r="P3120" s="4">
        <f t="shared" ca="1" si="274"/>
        <v>-0.68686682894234286</v>
      </c>
      <c r="Q3120" s="4">
        <f t="shared" ca="1" si="275"/>
        <v>1936.2245487665709</v>
      </c>
      <c r="R3120" s="4">
        <f t="shared" ca="1" si="276"/>
        <v>12.554504766570972</v>
      </c>
      <c r="S3120" s="4">
        <f t="shared" ca="1" si="277"/>
        <v>6.4193737391829755</v>
      </c>
    </row>
    <row r="3121" spans="15:19" x14ac:dyDescent="0.2">
      <c r="O3121" s="4">
        <f t="shared" ca="1" si="273"/>
        <v>0.56293229313570869</v>
      </c>
      <c r="P3121" s="4">
        <f t="shared" ca="1" si="274"/>
        <v>0.15840786871369608</v>
      </c>
      <c r="Q3121" s="4">
        <f t="shared" ca="1" si="275"/>
        <v>1920.2753381162047</v>
      </c>
      <c r="R3121" s="4">
        <f t="shared" ca="1" si="276"/>
        <v>-3.3947058837952682</v>
      </c>
      <c r="S3121" s="4">
        <f t="shared" ca="1" si="277"/>
        <v>-1.71374229202981</v>
      </c>
    </row>
    <row r="3122" spans="15:19" x14ac:dyDescent="0.2">
      <c r="O3122" s="4">
        <f t="shared" ca="1" si="273"/>
        <v>0.32621343004576631</v>
      </c>
      <c r="P3122" s="4">
        <f t="shared" ca="1" si="274"/>
        <v>-0.4503933209135092</v>
      </c>
      <c r="Q3122" s="4">
        <f t="shared" ca="1" si="275"/>
        <v>1931.762607810286</v>
      </c>
      <c r="R3122" s="4">
        <f t="shared" ca="1" si="276"/>
        <v>8.0925638102860376</v>
      </c>
      <c r="S3122" s="4">
        <f t="shared" ca="1" si="277"/>
        <v>4.1231938629614584</v>
      </c>
    </row>
    <row r="3123" spans="15:19" x14ac:dyDescent="0.2">
      <c r="O3123" s="4">
        <f t="shared" ca="1" si="273"/>
        <v>0.56041129924292754</v>
      </c>
      <c r="P3123" s="4">
        <f t="shared" ca="1" si="274"/>
        <v>0.1520120881186118</v>
      </c>
      <c r="Q3123" s="4">
        <f t="shared" ca="1" si="275"/>
        <v>1920.3960179996409</v>
      </c>
      <c r="R3123" s="4">
        <f t="shared" ca="1" si="276"/>
        <v>-3.274026000359072</v>
      </c>
      <c r="S3123" s="4">
        <f t="shared" ca="1" si="277"/>
        <v>-1.6529805548850511</v>
      </c>
    </row>
    <row r="3124" spans="15:19" x14ac:dyDescent="0.2">
      <c r="O3124" s="4">
        <f t="shared" ca="1" si="273"/>
        <v>0.20981867712780022</v>
      </c>
      <c r="P3124" s="4">
        <f t="shared" ca="1" si="274"/>
        <v>-0.80705056031172251</v>
      </c>
      <c r="Q3124" s="4">
        <f t="shared" ca="1" si="275"/>
        <v>1938.4922561209644</v>
      </c>
      <c r="R3124" s="4">
        <f t="shared" ca="1" si="276"/>
        <v>14.822212120964423</v>
      </c>
      <c r="S3124" s="4">
        <f t="shared" ca="1" si="277"/>
        <v>7.5925812412199649</v>
      </c>
    </row>
    <row r="3125" spans="15:19" x14ac:dyDescent="0.2">
      <c r="O3125" s="4">
        <f t="shared" ca="1" si="273"/>
        <v>0.16280443969133618</v>
      </c>
      <c r="P3125" s="4">
        <f t="shared" ca="1" si="274"/>
        <v>-0.98299707269615888</v>
      </c>
      <c r="Q3125" s="4">
        <f t="shared" ca="1" si="275"/>
        <v>1941.812133075756</v>
      </c>
      <c r="R3125" s="4">
        <f t="shared" ca="1" si="276"/>
        <v>18.142089075756076</v>
      </c>
      <c r="S3125" s="4">
        <f t="shared" ca="1" si="277"/>
        <v>9.3176840810187311</v>
      </c>
    </row>
    <row r="3126" spans="15:19" x14ac:dyDescent="0.2">
      <c r="O3126" s="4">
        <f t="shared" ca="1" si="273"/>
        <v>0.90281164583308082</v>
      </c>
      <c r="P3126" s="4">
        <f t="shared" ca="1" si="274"/>
        <v>1.2977399569292682</v>
      </c>
      <c r="Q3126" s="4">
        <f t="shared" ca="1" si="275"/>
        <v>1898.7776551427744</v>
      </c>
      <c r="R3126" s="4">
        <f t="shared" ca="1" si="276"/>
        <v>-24.892388857225569</v>
      </c>
      <c r="S3126" s="4">
        <f t="shared" ca="1" si="277"/>
        <v>-12.348538337343262</v>
      </c>
    </row>
    <row r="3127" spans="15:19" x14ac:dyDescent="0.2">
      <c r="O3127" s="4">
        <f t="shared" ca="1" si="273"/>
        <v>0.85945730265054554</v>
      </c>
      <c r="P3127" s="4">
        <f t="shared" ca="1" si="274"/>
        <v>1.077884295472213</v>
      </c>
      <c r="Q3127" s="4">
        <f t="shared" ca="1" si="275"/>
        <v>1902.9260394100165</v>
      </c>
      <c r="R3127" s="4">
        <f t="shared" ca="1" si="276"/>
        <v>-20.744004589983433</v>
      </c>
      <c r="S3127" s="4">
        <f t="shared" ca="1" si="277"/>
        <v>-10.325650833574102</v>
      </c>
    </row>
    <row r="3128" spans="15:19" x14ac:dyDescent="0.2">
      <c r="O3128" s="4">
        <f t="shared" ca="1" si="273"/>
        <v>0.30114304837530992</v>
      </c>
      <c r="P3128" s="4">
        <f t="shared" ca="1" si="274"/>
        <v>-0.5211158117507102</v>
      </c>
      <c r="Q3128" s="4">
        <f t="shared" ca="1" si="275"/>
        <v>1933.097047261992</v>
      </c>
      <c r="R3128" s="4">
        <f t="shared" ca="1" si="276"/>
        <v>9.427003261992013</v>
      </c>
      <c r="S3128" s="4">
        <f t="shared" ca="1" si="277"/>
        <v>4.8082169747394836</v>
      </c>
    </row>
    <row r="3129" spans="15:19" x14ac:dyDescent="0.2">
      <c r="O3129" s="4">
        <f t="shared" ca="1" si="273"/>
        <v>0.82286564828357178</v>
      </c>
      <c r="P3129" s="4">
        <f t="shared" ca="1" si="274"/>
        <v>0.92634117644620528</v>
      </c>
      <c r="Q3129" s="4">
        <f t="shared" ca="1" si="275"/>
        <v>1905.7854567505115</v>
      </c>
      <c r="R3129" s="4">
        <f t="shared" ca="1" si="276"/>
        <v>-17.884587249488504</v>
      </c>
      <c r="S3129" s="4">
        <f t="shared" ca="1" si="277"/>
        <v>-8.9231487074348923</v>
      </c>
    </row>
    <row r="3130" spans="15:19" x14ac:dyDescent="0.2">
      <c r="O3130" s="4">
        <f t="shared" ca="1" si="273"/>
        <v>4.5936314779555509E-2</v>
      </c>
      <c r="P3130" s="4">
        <f t="shared" ca="1" si="274"/>
        <v>-1.6856012434831391</v>
      </c>
      <c r="Q3130" s="4">
        <f t="shared" ca="1" si="275"/>
        <v>1955.0693404129468</v>
      </c>
      <c r="R3130" s="4">
        <f t="shared" ca="1" si="276"/>
        <v>31.399296412946796</v>
      </c>
      <c r="S3130" s="4">
        <f t="shared" ca="1" si="277"/>
        <v>16.295967384914519</v>
      </c>
    </row>
    <row r="3131" spans="15:19" x14ac:dyDescent="0.2">
      <c r="O3131" s="4">
        <f t="shared" ca="1" si="273"/>
        <v>0.55065157349188809</v>
      </c>
      <c r="P3131" s="4">
        <f t="shared" ca="1" si="274"/>
        <v>0.1273077166306926</v>
      </c>
      <c r="Q3131" s="4">
        <f t="shared" ca="1" si="275"/>
        <v>1920.8621566714103</v>
      </c>
      <c r="R3131" s="4">
        <f t="shared" ca="1" si="276"/>
        <v>-2.8078873285896861</v>
      </c>
      <c r="S3131" s="4">
        <f t="shared" ca="1" si="277"/>
        <v>-1.4181706408125536</v>
      </c>
    </row>
    <row r="3132" spans="15:19" x14ac:dyDescent="0.2">
      <c r="O3132" s="4">
        <f t="shared" ca="1" si="273"/>
        <v>0.77656686776877293</v>
      </c>
      <c r="P3132" s="4">
        <f t="shared" ca="1" si="274"/>
        <v>0.76064980293684614</v>
      </c>
      <c r="Q3132" s="4">
        <f t="shared" ca="1" si="275"/>
        <v>1908.9118328580387</v>
      </c>
      <c r="R3132" s="4">
        <f t="shared" ca="1" si="276"/>
        <v>-14.758211141961283</v>
      </c>
      <c r="S3132" s="4">
        <f t="shared" ca="1" si="277"/>
        <v>-7.382089405630194</v>
      </c>
    </row>
    <row r="3133" spans="15:19" x14ac:dyDescent="0.2">
      <c r="O3133" s="4">
        <f t="shared" ca="1" si="273"/>
        <v>3.2872723498893031E-2</v>
      </c>
      <c r="P3133" s="4">
        <f t="shared" ca="1" si="274"/>
        <v>-1.8401552551816154</v>
      </c>
      <c r="Q3133" s="4">
        <f t="shared" ca="1" si="275"/>
        <v>1957.985569298389</v>
      </c>
      <c r="R3133" s="4">
        <f t="shared" ca="1" si="276"/>
        <v>34.315525298389048</v>
      </c>
      <c r="S3133" s="4">
        <f t="shared" ca="1" si="277"/>
        <v>17.850201538032916</v>
      </c>
    </row>
    <row r="3134" spans="15:19" x14ac:dyDescent="0.2">
      <c r="O3134" s="4">
        <f t="shared" ca="1" si="273"/>
        <v>0.4474958117479737</v>
      </c>
      <c r="P3134" s="4">
        <f t="shared" ca="1" si="274"/>
        <v>-0.13199073061918282</v>
      </c>
      <c r="Q3134" s="4">
        <f t="shared" ca="1" si="275"/>
        <v>1925.7547739092965</v>
      </c>
      <c r="R3134" s="4">
        <f t="shared" ca="1" si="276"/>
        <v>2.0847299092965841</v>
      </c>
      <c r="S3134" s="4">
        <f t="shared" ca="1" si="277"/>
        <v>1.057079862889601</v>
      </c>
    </row>
    <row r="3135" spans="15:19" x14ac:dyDescent="0.2">
      <c r="O3135" s="4">
        <f t="shared" ca="1" si="273"/>
        <v>0.15960412307594096</v>
      </c>
      <c r="P3135" s="4">
        <f t="shared" ca="1" si="274"/>
        <v>-0.99608623748457725</v>
      </c>
      <c r="Q3135" s="4">
        <f t="shared" ca="1" si="275"/>
        <v>1942.059108227179</v>
      </c>
      <c r="R3135" s="4">
        <f t="shared" ca="1" si="276"/>
        <v>18.389064227179006</v>
      </c>
      <c r="S3135" s="4">
        <f t="shared" ca="1" si="277"/>
        <v>9.4463780171989882</v>
      </c>
    </row>
    <row r="3136" spans="15:19" x14ac:dyDescent="0.2">
      <c r="O3136" s="4">
        <f t="shared" ca="1" si="273"/>
        <v>0.21082245100153774</v>
      </c>
      <c r="P3136" s="4">
        <f t="shared" ca="1" si="274"/>
        <v>-0.80357078362838752</v>
      </c>
      <c r="Q3136" s="4">
        <f t="shared" ca="1" si="275"/>
        <v>1938.426597357615</v>
      </c>
      <c r="R3136" s="4">
        <f t="shared" ca="1" si="276"/>
        <v>14.756553357615076</v>
      </c>
      <c r="S3136" s="4">
        <f t="shared" ca="1" si="277"/>
        <v>7.5585535608462671</v>
      </c>
    </row>
    <row r="3137" spans="15:19" x14ac:dyDescent="0.2">
      <c r="O3137" s="4">
        <f t="shared" ca="1" si="273"/>
        <v>0.58005172891975953</v>
      </c>
      <c r="P3137" s="4">
        <f t="shared" ca="1" si="274"/>
        <v>0.2020258158355682</v>
      </c>
      <c r="Q3137" s="4">
        <f t="shared" ca="1" si="275"/>
        <v>1919.4523253977211</v>
      </c>
      <c r="R3137" s="4">
        <f t="shared" ca="1" si="276"/>
        <v>-4.2177186022788646</v>
      </c>
      <c r="S3137" s="4">
        <f t="shared" ca="1" si="277"/>
        <v>-2.1278090530268972</v>
      </c>
    </row>
    <row r="3138" spans="15:19" x14ac:dyDescent="0.2">
      <c r="O3138" s="4">
        <f t="shared" ca="1" si="273"/>
        <v>0.29368230857763467</v>
      </c>
      <c r="P3138" s="4">
        <f t="shared" ca="1" si="274"/>
        <v>-0.54265898718002736</v>
      </c>
      <c r="Q3138" s="4">
        <f t="shared" ca="1" si="275"/>
        <v>1933.5035383635864</v>
      </c>
      <c r="R3138" s="4">
        <f t="shared" ca="1" si="276"/>
        <v>9.8334943635863965</v>
      </c>
      <c r="S3138" s="4">
        <f t="shared" ca="1" si="277"/>
        <v>5.0171737867971213</v>
      </c>
    </row>
    <row r="3139" spans="15:19" x14ac:dyDescent="0.2">
      <c r="O3139" s="4">
        <f t="shared" ref="O3139:O3202" ca="1" si="278">RAND()</f>
        <v>0.43077803745062471</v>
      </c>
      <c r="P3139" s="4">
        <f t="shared" ref="P3139:P3202" ca="1" si="279">NORMSINV(O3139)</f>
        <v>-0.17439368756560245</v>
      </c>
      <c r="Q3139" s="4">
        <f t="shared" ref="Q3139:Q3202" ca="1" si="280">$B$4*(1+$B$17-$B$32*P3139)</f>
        <v>1926.5548613772075</v>
      </c>
      <c r="R3139" s="4">
        <f t="shared" ref="R3139:R3202" ca="1" si="281">Q3139-$B$4</f>
        <v>2.8848173772075825</v>
      </c>
      <c r="S3139" s="4">
        <f t="shared" ref="S3139:S3202" ca="1" si="282">R3139*$B$12+0.5*$B$13*R3139^2</f>
        <v>1.4637105126833621</v>
      </c>
    </row>
    <row r="3140" spans="15:19" x14ac:dyDescent="0.2">
      <c r="O3140" s="4">
        <f t="shared" ca="1" si="278"/>
        <v>0.25740547424511462</v>
      </c>
      <c r="P3140" s="4">
        <f t="shared" ca="1" si="279"/>
        <v>-0.65136492235196153</v>
      </c>
      <c r="Q3140" s="4">
        <f t="shared" ca="1" si="280"/>
        <v>1935.554674951266</v>
      </c>
      <c r="R3140" s="4">
        <f t="shared" ca="1" si="281"/>
        <v>11.88463095126599</v>
      </c>
      <c r="S3140" s="4">
        <f t="shared" ca="1" si="282"/>
        <v>6.0736128664269424</v>
      </c>
    </row>
    <row r="3141" spans="15:19" x14ac:dyDescent="0.2">
      <c r="O3141" s="4">
        <f t="shared" ca="1" si="278"/>
        <v>0.90158908321818942</v>
      </c>
      <c r="P3141" s="4">
        <f t="shared" ca="1" si="279"/>
        <v>1.29065932867146</v>
      </c>
      <c r="Q3141" s="4">
        <f t="shared" ca="1" si="280"/>
        <v>1898.9112571918288</v>
      </c>
      <c r="R3141" s="4">
        <f t="shared" ca="1" si="281"/>
        <v>-24.75878680817118</v>
      </c>
      <c r="S3141" s="4">
        <f t="shared" ca="1" si="282"/>
        <v>-12.283607964715689</v>
      </c>
    </row>
    <row r="3142" spans="15:19" x14ac:dyDescent="0.2">
      <c r="O3142" s="4">
        <f t="shared" ca="1" si="278"/>
        <v>0.58436167751613344</v>
      </c>
      <c r="P3142" s="4">
        <f t="shared" ca="1" si="279"/>
        <v>0.2130645112689542</v>
      </c>
      <c r="Q3142" s="4">
        <f t="shared" ca="1" si="280"/>
        <v>1919.2440398791075</v>
      </c>
      <c r="R3142" s="4">
        <f t="shared" ca="1" si="281"/>
        <v>-4.4260041208924576</v>
      </c>
      <c r="S3142" s="4">
        <f t="shared" ca="1" si="282"/>
        <v>-2.2325123506107145</v>
      </c>
    </row>
    <row r="3143" spans="15:19" x14ac:dyDescent="0.2">
      <c r="O3143" s="4">
        <f t="shared" ca="1" si="278"/>
        <v>0.41144589584806224</v>
      </c>
      <c r="P3143" s="4">
        <f t="shared" ca="1" si="279"/>
        <v>-0.22382716482192661</v>
      </c>
      <c r="Q3143" s="4">
        <f t="shared" ca="1" si="280"/>
        <v>1927.4876054237614</v>
      </c>
      <c r="R3143" s="4">
        <f t="shared" ca="1" si="281"/>
        <v>3.81756142376139</v>
      </c>
      <c r="S3143" s="4">
        <f t="shared" ca="1" si="282"/>
        <v>1.9384195207577111</v>
      </c>
    </row>
    <row r="3144" spans="15:19" x14ac:dyDescent="0.2">
      <c r="O3144" s="4">
        <f t="shared" ca="1" si="278"/>
        <v>0.52967648070415219</v>
      </c>
      <c r="P3144" s="4">
        <f t="shared" ca="1" si="279"/>
        <v>7.4456643809561796E-2</v>
      </c>
      <c r="Q3144" s="4">
        <f t="shared" ca="1" si="280"/>
        <v>1921.8593862062105</v>
      </c>
      <c r="R3144" s="4">
        <f t="shared" ca="1" si="281"/>
        <v>-1.8106577937894599</v>
      </c>
      <c r="S3144" s="4">
        <f t="shared" ca="1" si="282"/>
        <v>-0.91523814145282212</v>
      </c>
    </row>
    <row r="3145" spans="15:19" x14ac:dyDescent="0.2">
      <c r="O3145" s="4">
        <f t="shared" ca="1" si="278"/>
        <v>0.10220175117588148</v>
      </c>
      <c r="P3145" s="4">
        <f t="shared" ca="1" si="279"/>
        <v>-1.269105322145766</v>
      </c>
      <c r="Q3145" s="4">
        <f t="shared" ca="1" si="280"/>
        <v>1947.2106156660109</v>
      </c>
      <c r="R3145" s="4">
        <f t="shared" ca="1" si="281"/>
        <v>23.540571666010919</v>
      </c>
      <c r="S3145" s="4">
        <f t="shared" ca="1" si="282"/>
        <v>12.142048832382516</v>
      </c>
    </row>
    <row r="3146" spans="15:19" x14ac:dyDescent="0.2">
      <c r="O3146" s="4">
        <f t="shared" ca="1" si="278"/>
        <v>0.49538578108734543</v>
      </c>
      <c r="P3146" s="4">
        <f t="shared" ca="1" si="279"/>
        <v>-1.1566389481185275E-2</v>
      </c>
      <c r="Q3146" s="4">
        <f t="shared" ca="1" si="280"/>
        <v>1923.4825265682043</v>
      </c>
      <c r="R3146" s="4">
        <f t="shared" ca="1" si="281"/>
        <v>-0.18751743179564073</v>
      </c>
      <c r="S3146" s="4">
        <f t="shared" ca="1" si="282"/>
        <v>-9.4908847001897112E-2</v>
      </c>
    </row>
    <row r="3147" spans="15:19" x14ac:dyDescent="0.2">
      <c r="O3147" s="4">
        <f t="shared" ca="1" si="278"/>
        <v>0.11010705896639827</v>
      </c>
      <c r="P3147" s="4">
        <f t="shared" ca="1" si="279"/>
        <v>-1.2259589638389827</v>
      </c>
      <c r="Q3147" s="4">
        <f t="shared" ca="1" si="280"/>
        <v>1946.3965012019921</v>
      </c>
      <c r="R3147" s="4">
        <f t="shared" ca="1" si="281"/>
        <v>22.726457201992162</v>
      </c>
      <c r="S3147" s="4">
        <f t="shared" ca="1" si="282"/>
        <v>11.714603179454805</v>
      </c>
    </row>
    <row r="3148" spans="15:19" x14ac:dyDescent="0.2">
      <c r="O3148" s="4">
        <f t="shared" ca="1" si="278"/>
        <v>0.67909818773805009</v>
      </c>
      <c r="P3148" s="4">
        <f t="shared" ca="1" si="279"/>
        <v>0.4651785132474946</v>
      </c>
      <c r="Q3148" s="4">
        <f t="shared" ca="1" si="280"/>
        <v>1914.4869835794063</v>
      </c>
      <c r="R3148" s="4">
        <f t="shared" ca="1" si="281"/>
        <v>-9.1830604205936197</v>
      </c>
      <c r="S3148" s="4">
        <f t="shared" ca="1" si="282"/>
        <v>-4.6142275547380143</v>
      </c>
    </row>
    <row r="3149" spans="15:19" x14ac:dyDescent="0.2">
      <c r="O3149" s="4">
        <f t="shared" ca="1" si="278"/>
        <v>4.6669951547237742E-2</v>
      </c>
      <c r="P3149" s="4">
        <f t="shared" ca="1" si="279"/>
        <v>-1.6780368618986301</v>
      </c>
      <c r="Q3149" s="4">
        <f t="shared" ca="1" si="280"/>
        <v>1954.9266105812535</v>
      </c>
      <c r="R3149" s="4">
        <f t="shared" ca="1" si="281"/>
        <v>31.256566581253537</v>
      </c>
      <c r="S3149" s="4">
        <f t="shared" ca="1" si="282"/>
        <v>16.220075782672748</v>
      </c>
    </row>
    <row r="3150" spans="15:19" x14ac:dyDescent="0.2">
      <c r="O3150" s="4">
        <f t="shared" ca="1" si="278"/>
        <v>1.8597891392176824E-2</v>
      </c>
      <c r="P3150" s="4">
        <f t="shared" ca="1" si="279"/>
        <v>-2.0836086144958625</v>
      </c>
      <c r="Q3150" s="4">
        <f t="shared" ca="1" si="280"/>
        <v>1962.5792107761356</v>
      </c>
      <c r="R3150" s="4">
        <f t="shared" ca="1" si="281"/>
        <v>38.909166776135635</v>
      </c>
      <c r="S3150" s="4">
        <f t="shared" ca="1" si="282"/>
        <v>20.31247290263428</v>
      </c>
    </row>
    <row r="3151" spans="15:19" x14ac:dyDescent="0.2">
      <c r="O3151" s="4">
        <f t="shared" ca="1" si="278"/>
        <v>0.73288853259826336</v>
      </c>
      <c r="P3151" s="4">
        <f t="shared" ca="1" si="279"/>
        <v>0.62157261177170775</v>
      </c>
      <c r="Q3151" s="4">
        <f t="shared" ca="1" si="280"/>
        <v>1911.5360347000023</v>
      </c>
      <c r="R3151" s="4">
        <f t="shared" ca="1" si="281"/>
        <v>-12.134009299997615</v>
      </c>
      <c r="S3151" s="4">
        <f t="shared" ca="1" si="282"/>
        <v>-6.0824198547898982</v>
      </c>
    </row>
    <row r="3152" spans="15:19" x14ac:dyDescent="0.2">
      <c r="O3152" s="4">
        <f t="shared" ca="1" si="278"/>
        <v>0.76937462757930564</v>
      </c>
      <c r="P3152" s="4">
        <f t="shared" ca="1" si="279"/>
        <v>0.7367888828449588</v>
      </c>
      <c r="Q3152" s="4">
        <f t="shared" ca="1" si="280"/>
        <v>1909.3620567224375</v>
      </c>
      <c r="R3152" s="4">
        <f t="shared" ca="1" si="281"/>
        <v>-14.307987277562461</v>
      </c>
      <c r="S3152" s="4">
        <f t="shared" ca="1" si="282"/>
        <v>-7.1595087040233105</v>
      </c>
    </row>
    <row r="3153" spans="15:19" x14ac:dyDescent="0.2">
      <c r="O3153" s="4">
        <f t="shared" ca="1" si="278"/>
        <v>0.74620055680810726</v>
      </c>
      <c r="P3153" s="4">
        <f t="shared" ca="1" si="279"/>
        <v>0.6625810870376464</v>
      </c>
      <c r="Q3153" s="4">
        <f t="shared" ca="1" si="280"/>
        <v>1910.7622592489204</v>
      </c>
      <c r="R3153" s="4">
        <f t="shared" ca="1" si="281"/>
        <v>-12.907784751079589</v>
      </c>
      <c r="S3153" s="4">
        <f t="shared" ca="1" si="282"/>
        <v>-6.4662248985434596</v>
      </c>
    </row>
    <row r="3154" spans="15:19" x14ac:dyDescent="0.2">
      <c r="O3154" s="4">
        <f t="shared" ca="1" si="278"/>
        <v>0.88484032448217342</v>
      </c>
      <c r="P3154" s="4">
        <f t="shared" ca="1" si="279"/>
        <v>1.1995366285280706</v>
      </c>
      <c r="Q3154" s="4">
        <f t="shared" ca="1" si="280"/>
        <v>1900.6306214927445</v>
      </c>
      <c r="R3154" s="4">
        <f t="shared" ca="1" si="281"/>
        <v>-23.039422507255495</v>
      </c>
      <c r="S3154" s="4">
        <f t="shared" ca="1" si="282"/>
        <v>-11.446702895368549</v>
      </c>
    </row>
    <row r="3155" spans="15:19" x14ac:dyDescent="0.2">
      <c r="O3155" s="4">
        <f t="shared" ca="1" si="278"/>
        <v>0.40080526225230229</v>
      </c>
      <c r="P3155" s="4">
        <f t="shared" ca="1" si="279"/>
        <v>-0.25126332972831106</v>
      </c>
      <c r="Q3155" s="4">
        <f t="shared" ca="1" si="280"/>
        <v>1928.0052894083212</v>
      </c>
      <c r="R3155" s="4">
        <f t="shared" ca="1" si="281"/>
        <v>4.3352454083212706</v>
      </c>
      <c r="S3155" s="4">
        <f t="shared" ca="1" si="282"/>
        <v>2.2021942916333268</v>
      </c>
    </row>
    <row r="3156" spans="15:19" x14ac:dyDescent="0.2">
      <c r="O3156" s="4">
        <f t="shared" ca="1" si="278"/>
        <v>0.71608455703241414</v>
      </c>
      <c r="P3156" s="4">
        <f t="shared" ca="1" si="279"/>
        <v>0.57124897244063266</v>
      </c>
      <c r="Q3156" s="4">
        <f t="shared" ca="1" si="280"/>
        <v>1912.4855749223821</v>
      </c>
      <c r="R3156" s="4">
        <f t="shared" ca="1" si="281"/>
        <v>-11.184469077617905</v>
      </c>
      <c r="S3156" s="4">
        <f t="shared" ca="1" si="282"/>
        <v>-5.6107665524388866</v>
      </c>
    </row>
    <row r="3157" spans="15:19" x14ac:dyDescent="0.2">
      <c r="O3157" s="4">
        <f t="shared" ca="1" si="278"/>
        <v>0.446321061697878</v>
      </c>
      <c r="P3157" s="4">
        <f t="shared" ca="1" si="279"/>
        <v>-0.13496174147047785</v>
      </c>
      <c r="Q3157" s="4">
        <f t="shared" ca="1" si="280"/>
        <v>1925.810832937259</v>
      </c>
      <c r="R3157" s="4">
        <f t="shared" ca="1" si="281"/>
        <v>2.1407889372590034</v>
      </c>
      <c r="S3157" s="4">
        <f t="shared" ca="1" si="282"/>
        <v>1.0855539178761666</v>
      </c>
    </row>
    <row r="3158" spans="15:19" x14ac:dyDescent="0.2">
      <c r="O3158" s="4">
        <f t="shared" ca="1" si="278"/>
        <v>0.64478409854519847</v>
      </c>
      <c r="P3158" s="4">
        <f t="shared" ca="1" si="279"/>
        <v>0.37127622669979593</v>
      </c>
      <c r="Q3158" s="4">
        <f t="shared" ca="1" si="280"/>
        <v>1916.258794983265</v>
      </c>
      <c r="R3158" s="4">
        <f t="shared" ca="1" si="281"/>
        <v>-7.4112490167349279</v>
      </c>
      <c r="S3158" s="4">
        <f t="shared" ca="1" si="282"/>
        <v>-3.7292879113405895</v>
      </c>
    </row>
    <row r="3159" spans="15:19" x14ac:dyDescent="0.2">
      <c r="O3159" s="4">
        <f t="shared" ca="1" si="278"/>
        <v>0.44201951170791365</v>
      </c>
      <c r="P3159" s="4">
        <f t="shared" ca="1" si="279"/>
        <v>-0.14585098827534335</v>
      </c>
      <c r="Q3159" s="4">
        <f t="shared" ca="1" si="280"/>
        <v>1926.0162985587858</v>
      </c>
      <c r="R3159" s="4">
        <f t="shared" ca="1" si="281"/>
        <v>2.3462545587858585</v>
      </c>
      <c r="S3159" s="4">
        <f t="shared" ca="1" si="282"/>
        <v>1.1899379186354542</v>
      </c>
    </row>
    <row r="3160" spans="15:19" x14ac:dyDescent="0.2">
      <c r="O3160" s="4">
        <f t="shared" ca="1" si="278"/>
        <v>0.8914560281813052</v>
      </c>
      <c r="P3160" s="4">
        <f t="shared" ca="1" si="279"/>
        <v>1.234308570166156</v>
      </c>
      <c r="Q3160" s="4">
        <f t="shared" ca="1" si="280"/>
        <v>1899.9745211463767</v>
      </c>
      <c r="R3160" s="4">
        <f t="shared" ca="1" si="281"/>
        <v>-23.695522853623288</v>
      </c>
      <c r="S3160" s="4">
        <f t="shared" ca="1" si="282"/>
        <v>-11.766345429252699</v>
      </c>
    </row>
    <row r="3161" spans="15:19" x14ac:dyDescent="0.2">
      <c r="O3161" s="4">
        <f t="shared" ca="1" si="278"/>
        <v>0.49225415335039469</v>
      </c>
      <c r="P3161" s="4">
        <f t="shared" ca="1" si="279"/>
        <v>-1.9417178286662739E-2</v>
      </c>
      <c r="Q3161" s="4">
        <f t="shared" ca="1" si="280"/>
        <v>1923.6306605236834</v>
      </c>
      <c r="R3161" s="4">
        <f t="shared" ca="1" si="281"/>
        <v>-3.9383476316515953E-2</v>
      </c>
      <c r="S3161" s="4">
        <f t="shared" ca="1" si="282"/>
        <v>-1.9935670080783948E-2</v>
      </c>
    </row>
    <row r="3162" spans="15:19" x14ac:dyDescent="0.2">
      <c r="O3162" s="4">
        <f t="shared" ca="1" si="278"/>
        <v>0.60259362120930182</v>
      </c>
      <c r="P3162" s="4">
        <f t="shared" ca="1" si="279"/>
        <v>0.26006613774124993</v>
      </c>
      <c r="Q3162" s="4">
        <f t="shared" ca="1" si="280"/>
        <v>1918.357181626287</v>
      </c>
      <c r="R3162" s="4">
        <f t="shared" ca="1" si="281"/>
        <v>-5.3128623737129601</v>
      </c>
      <c r="S3162" s="4">
        <f t="shared" ca="1" si="282"/>
        <v>-2.6779328303705423</v>
      </c>
    </row>
    <row r="3163" spans="15:19" x14ac:dyDescent="0.2">
      <c r="O3163" s="4">
        <f t="shared" ca="1" si="278"/>
        <v>0.51407730885113756</v>
      </c>
      <c r="P3163" s="4">
        <f t="shared" ca="1" si="279"/>
        <v>3.5293906394965199E-2</v>
      </c>
      <c r="Q3163" s="4">
        <f t="shared" ca="1" si="280"/>
        <v>1922.5983350359845</v>
      </c>
      <c r="R3163" s="4">
        <f t="shared" ca="1" si="281"/>
        <v>-1.0717089640154427</v>
      </c>
      <c r="S3163" s="4">
        <f t="shared" ca="1" si="282"/>
        <v>-0.54204203140053253</v>
      </c>
    </row>
    <row r="3164" spans="15:19" x14ac:dyDescent="0.2">
      <c r="O3164" s="4">
        <f t="shared" ca="1" si="278"/>
        <v>2.418568309600666E-2</v>
      </c>
      <c r="P3164" s="4">
        <f t="shared" ca="1" si="279"/>
        <v>-1.9740912668313153</v>
      </c>
      <c r="Q3164" s="4">
        <f t="shared" ca="1" si="280"/>
        <v>1960.5127639126308</v>
      </c>
      <c r="R3164" s="4">
        <f t="shared" ca="1" si="281"/>
        <v>36.842719912630855</v>
      </c>
      <c r="S3164" s="4">
        <f t="shared" ca="1" si="282"/>
        <v>19.202695763069386</v>
      </c>
    </row>
    <row r="3165" spans="15:19" x14ac:dyDescent="0.2">
      <c r="O3165" s="4">
        <f t="shared" ca="1" si="278"/>
        <v>0.43388163297119453</v>
      </c>
      <c r="P3165" s="4">
        <f t="shared" ca="1" si="279"/>
        <v>-0.16650027605588932</v>
      </c>
      <c r="Q3165" s="4">
        <f t="shared" ca="1" si="280"/>
        <v>1926.4059231879212</v>
      </c>
      <c r="R3165" s="4">
        <f t="shared" ca="1" si="281"/>
        <v>2.7358791879212276</v>
      </c>
      <c r="S3165" s="4">
        <f t="shared" ca="1" si="282"/>
        <v>1.3879757699775916</v>
      </c>
    </row>
    <row r="3166" spans="15:19" x14ac:dyDescent="0.2">
      <c r="O3166" s="4">
        <f t="shared" ca="1" si="278"/>
        <v>0.46220582612022076</v>
      </c>
      <c r="P3166" s="4">
        <f t="shared" ca="1" si="279"/>
        <v>-9.4878099323939133E-2</v>
      </c>
      <c r="Q3166" s="4">
        <f t="shared" ca="1" si="280"/>
        <v>1925.0545078585574</v>
      </c>
      <c r="R3166" s="4">
        <f t="shared" ca="1" si="281"/>
        <v>1.3844638585574103</v>
      </c>
      <c r="S3166" s="4">
        <f t="shared" ca="1" si="282"/>
        <v>0.70160941183358727</v>
      </c>
    </row>
    <row r="3167" spans="15:19" x14ac:dyDescent="0.2">
      <c r="O3167" s="4">
        <f t="shared" ca="1" si="278"/>
        <v>7.9086066163381319E-2</v>
      </c>
      <c r="P3167" s="4">
        <f t="shared" ca="1" si="279"/>
        <v>-1.4112458592797075</v>
      </c>
      <c r="Q3167" s="4">
        <f t="shared" ca="1" si="280"/>
        <v>1949.892618776943</v>
      </c>
      <c r="R3167" s="4">
        <f t="shared" ca="1" si="281"/>
        <v>26.22257477694302</v>
      </c>
      <c r="S3167" s="4">
        <f t="shared" ca="1" si="282"/>
        <v>13.554034536132393</v>
      </c>
    </row>
    <row r="3168" spans="15:19" x14ac:dyDescent="0.2">
      <c r="O3168" s="4">
        <f t="shared" ca="1" si="278"/>
        <v>0.32923302621996353</v>
      </c>
      <c r="P3168" s="4">
        <f t="shared" ca="1" si="279"/>
        <v>-0.44203199647772295</v>
      </c>
      <c r="Q3168" s="4">
        <f t="shared" ca="1" si="280"/>
        <v>1931.6048407256774</v>
      </c>
      <c r="R3168" s="4">
        <f t="shared" ca="1" si="281"/>
        <v>7.9347967256774155</v>
      </c>
      <c r="S3168" s="4">
        <f t="shared" ca="1" si="282"/>
        <v>4.0423013082674961</v>
      </c>
    </row>
    <row r="3169" spans="15:19" x14ac:dyDescent="0.2">
      <c r="O3169" s="4">
        <f t="shared" ca="1" si="278"/>
        <v>0.92461038290608299</v>
      </c>
      <c r="P3169" s="4">
        <f t="shared" ca="1" si="279"/>
        <v>1.4367845062161817</v>
      </c>
      <c r="Q3169" s="4">
        <f t="shared" ca="1" si="280"/>
        <v>1896.1540692096903</v>
      </c>
      <c r="R3169" s="4">
        <f t="shared" ca="1" si="281"/>
        <v>-27.515974790309656</v>
      </c>
      <c r="S3169" s="4">
        <f t="shared" ca="1" si="282"/>
        <v>-13.620652092881508</v>
      </c>
    </row>
    <row r="3170" spans="15:19" x14ac:dyDescent="0.2">
      <c r="O3170" s="4">
        <f t="shared" ca="1" si="278"/>
        <v>0.29139969820028278</v>
      </c>
      <c r="P3170" s="4">
        <f t="shared" ca="1" si="279"/>
        <v>-0.54930027831919681</v>
      </c>
      <c r="Q3170" s="4">
        <f t="shared" ca="1" si="280"/>
        <v>1933.6288507048437</v>
      </c>
      <c r="R3170" s="4">
        <f t="shared" ca="1" si="281"/>
        <v>9.9588067048437097</v>
      </c>
      <c r="S3170" s="4">
        <f t="shared" ca="1" si="282"/>
        <v>5.0816177424305247</v>
      </c>
    </row>
    <row r="3171" spans="15:19" x14ac:dyDescent="0.2">
      <c r="O3171" s="4">
        <f t="shared" ca="1" si="278"/>
        <v>0.77997838060873137</v>
      </c>
      <c r="P3171" s="4">
        <f t="shared" ca="1" si="279"/>
        <v>0.77212020084755506</v>
      </c>
      <c r="Q3171" s="4">
        <f t="shared" ca="1" si="280"/>
        <v>1908.6954016871678</v>
      </c>
      <c r="R3171" s="4">
        <f t="shared" ca="1" si="281"/>
        <v>-14.974642312832202</v>
      </c>
      <c r="S3171" s="4">
        <f t="shared" ca="1" si="282"/>
        <v>-7.4890294464436495</v>
      </c>
    </row>
    <row r="3172" spans="15:19" x14ac:dyDescent="0.2">
      <c r="O3172" s="4">
        <f t="shared" ca="1" si="278"/>
        <v>0.26064971615908439</v>
      </c>
      <c r="P3172" s="4">
        <f t="shared" ca="1" si="279"/>
        <v>-0.64134365460999232</v>
      </c>
      <c r="Q3172" s="4">
        <f t="shared" ca="1" si="280"/>
        <v>1935.3655869416004</v>
      </c>
      <c r="R3172" s="4">
        <f t="shared" ca="1" si="281"/>
        <v>11.695542941600479</v>
      </c>
      <c r="S3172" s="4">
        <f t="shared" ca="1" si="282"/>
        <v>5.9760796528197355</v>
      </c>
    </row>
    <row r="3173" spans="15:19" x14ac:dyDescent="0.2">
      <c r="O3173" s="4">
        <f t="shared" ca="1" si="278"/>
        <v>0.27007767362538704</v>
      </c>
      <c r="P3173" s="4">
        <f t="shared" ca="1" si="279"/>
        <v>-0.61257809282190645</v>
      </c>
      <c r="Q3173" s="4">
        <f t="shared" ca="1" si="280"/>
        <v>1934.8228190039033</v>
      </c>
      <c r="R3173" s="4">
        <f t="shared" ca="1" si="281"/>
        <v>11.152775003903344</v>
      </c>
      <c r="S3173" s="4">
        <f t="shared" ca="1" si="282"/>
        <v>5.6962770048000397</v>
      </c>
    </row>
    <row r="3174" spans="15:19" x14ac:dyDescent="0.2">
      <c r="O3174" s="4">
        <f t="shared" ca="1" si="278"/>
        <v>0.24317200136764561</v>
      </c>
      <c r="P3174" s="4">
        <f t="shared" ca="1" si="279"/>
        <v>-0.69613545785166553</v>
      </c>
      <c r="Q3174" s="4">
        <f t="shared" ca="1" si="280"/>
        <v>1936.3994354812978</v>
      </c>
      <c r="R3174" s="4">
        <f t="shared" ca="1" si="281"/>
        <v>12.729391481297853</v>
      </c>
      <c r="S3174" s="4">
        <f t="shared" ca="1" si="282"/>
        <v>6.5097030930230781</v>
      </c>
    </row>
    <row r="3175" spans="15:19" x14ac:dyDescent="0.2">
      <c r="O3175" s="4">
        <f t="shared" ca="1" si="278"/>
        <v>0.60927337732526543</v>
      </c>
      <c r="P3175" s="4">
        <f t="shared" ca="1" si="279"/>
        <v>0.27742570610846456</v>
      </c>
      <c r="Q3175" s="4">
        <f t="shared" ca="1" si="280"/>
        <v>1918.0296296322952</v>
      </c>
      <c r="R3175" s="4">
        <f t="shared" ca="1" si="281"/>
        <v>-5.6404143677048069</v>
      </c>
      <c r="S3175" s="4">
        <f t="shared" ca="1" si="282"/>
        <v>-2.842282388275768</v>
      </c>
    </row>
    <row r="3176" spans="15:19" x14ac:dyDescent="0.2">
      <c r="O3176" s="4">
        <f t="shared" ca="1" si="278"/>
        <v>0.93469249869435378</v>
      </c>
      <c r="P3176" s="4">
        <f t="shared" ca="1" si="279"/>
        <v>1.5116811249873412</v>
      </c>
      <c r="Q3176" s="4">
        <f t="shared" ca="1" si="280"/>
        <v>1894.7408695089375</v>
      </c>
      <c r="R3176" s="4">
        <f t="shared" ca="1" si="281"/>
        <v>-28.92917449106244</v>
      </c>
      <c r="S3176" s="4">
        <f t="shared" ca="1" si="282"/>
        <v>-14.303556416437456</v>
      </c>
    </row>
    <row r="3177" spans="15:19" x14ac:dyDescent="0.2">
      <c r="O3177" s="4">
        <f t="shared" ca="1" si="278"/>
        <v>0.65234416656055882</v>
      </c>
      <c r="P3177" s="4">
        <f t="shared" ca="1" si="279"/>
        <v>0.39165699849077568</v>
      </c>
      <c r="Q3177" s="4">
        <f t="shared" ca="1" si="280"/>
        <v>1915.874236894146</v>
      </c>
      <c r="R3177" s="4">
        <f t="shared" ca="1" si="281"/>
        <v>-7.7958071058540099</v>
      </c>
      <c r="S3177" s="4">
        <f t="shared" ca="1" si="282"/>
        <v>-3.9215744433784039</v>
      </c>
    </row>
    <row r="3178" spans="15:19" x14ac:dyDescent="0.2">
      <c r="O3178" s="4">
        <f t="shared" ca="1" si="278"/>
        <v>0.27860865069354368</v>
      </c>
      <c r="P3178" s="4">
        <f t="shared" ca="1" si="279"/>
        <v>-0.58697975823953952</v>
      </c>
      <c r="Q3178" s="4">
        <f t="shared" ca="1" si="280"/>
        <v>1934.3398124361156</v>
      </c>
      <c r="R3178" s="4">
        <f t="shared" ca="1" si="281"/>
        <v>10.669768436115646</v>
      </c>
      <c r="S3178" s="4">
        <f t="shared" ca="1" si="282"/>
        <v>5.4474836637675459</v>
      </c>
    </row>
    <row r="3179" spans="15:19" x14ac:dyDescent="0.2">
      <c r="O3179" s="4">
        <f t="shared" ca="1" si="278"/>
        <v>0.55505648348780479</v>
      </c>
      <c r="P3179" s="4">
        <f t="shared" ca="1" si="279"/>
        <v>0.13844715308316854</v>
      </c>
      <c r="Q3179" s="4">
        <f t="shared" ca="1" si="280"/>
        <v>1920.6519703035945</v>
      </c>
      <c r="R3179" s="4">
        <f t="shared" ca="1" si="281"/>
        <v>-3.0180736964055086</v>
      </c>
      <c r="S3179" s="4">
        <f t="shared" ca="1" si="282"/>
        <v>-1.5240705673891526</v>
      </c>
    </row>
    <row r="3180" spans="15:19" x14ac:dyDescent="0.2">
      <c r="O3180" s="4">
        <f t="shared" ca="1" si="278"/>
        <v>0.45406194262408572</v>
      </c>
      <c r="P3180" s="4">
        <f t="shared" ca="1" si="279"/>
        <v>-0.11540529115831681</v>
      </c>
      <c r="Q3180" s="4">
        <f t="shared" ca="1" si="280"/>
        <v>1925.4418286993857</v>
      </c>
      <c r="R3180" s="4">
        <f t="shared" ca="1" si="281"/>
        <v>1.771784699385762</v>
      </c>
      <c r="S3180" s="4">
        <f t="shared" ca="1" si="282"/>
        <v>0.89817264956309251</v>
      </c>
    </row>
    <row r="3181" spans="15:19" x14ac:dyDescent="0.2">
      <c r="O3181" s="4">
        <f t="shared" ca="1" si="278"/>
        <v>1.2529373644192598E-2</v>
      </c>
      <c r="P3181" s="4">
        <f t="shared" ca="1" si="279"/>
        <v>-2.2404958902479994</v>
      </c>
      <c r="Q3181" s="4">
        <f t="shared" ca="1" si="280"/>
        <v>1965.5394652546756</v>
      </c>
      <c r="R3181" s="4">
        <f t="shared" ca="1" si="281"/>
        <v>41.869421254675672</v>
      </c>
      <c r="S3181" s="4">
        <f t="shared" ca="1" si="282"/>
        <v>21.90832321573351</v>
      </c>
    </row>
    <row r="3182" spans="15:19" x14ac:dyDescent="0.2">
      <c r="O3182" s="4">
        <f t="shared" ca="1" si="278"/>
        <v>0.45359755986207717</v>
      </c>
      <c r="P3182" s="4">
        <f t="shared" ca="1" si="279"/>
        <v>-0.11657718302679304</v>
      </c>
      <c r="Q3182" s="4">
        <f t="shared" ca="1" si="280"/>
        <v>1925.4639407421591</v>
      </c>
      <c r="R3182" s="4">
        <f t="shared" ca="1" si="281"/>
        <v>1.7938967421591769</v>
      </c>
      <c r="S3182" s="4">
        <f t="shared" ca="1" si="282"/>
        <v>0.90939807737015621</v>
      </c>
    </row>
    <row r="3183" spans="15:19" x14ac:dyDescent="0.2">
      <c r="O3183" s="4">
        <f t="shared" ca="1" si="278"/>
        <v>0.2832164021951511</v>
      </c>
      <c r="P3183" s="4">
        <f t="shared" ca="1" si="279"/>
        <v>-0.57331297110211987</v>
      </c>
      <c r="Q3183" s="4">
        <f t="shared" ca="1" si="280"/>
        <v>1934.0819383183016</v>
      </c>
      <c r="R3183" s="4">
        <f t="shared" ca="1" si="281"/>
        <v>10.41189431830162</v>
      </c>
      <c r="S3183" s="4">
        <f t="shared" ca="1" si="282"/>
        <v>5.3147322621574329</v>
      </c>
    </row>
    <row r="3184" spans="15:19" x14ac:dyDescent="0.2">
      <c r="O3184" s="4">
        <f t="shared" ca="1" si="278"/>
        <v>1.9304095173976132E-2</v>
      </c>
      <c r="P3184" s="4">
        <f t="shared" ca="1" si="279"/>
        <v>-2.0683386439095686</v>
      </c>
      <c r="Q3184" s="4">
        <f t="shared" ca="1" si="280"/>
        <v>1962.29108671637</v>
      </c>
      <c r="R3184" s="4">
        <f t="shared" ca="1" si="281"/>
        <v>38.621042716370084</v>
      </c>
      <c r="S3184" s="4">
        <f t="shared" ca="1" si="282"/>
        <v>20.157528439330211</v>
      </c>
    </row>
    <row r="3185" spans="15:19" x14ac:dyDescent="0.2">
      <c r="O3185" s="4">
        <f t="shared" ca="1" si="278"/>
        <v>0.75283994563668788</v>
      </c>
      <c r="P3185" s="4">
        <f t="shared" ca="1" si="279"/>
        <v>0.68345384020596067</v>
      </c>
      <c r="Q3185" s="4">
        <f t="shared" ca="1" si="280"/>
        <v>1910.3684181247775</v>
      </c>
      <c r="R3185" s="4">
        <f t="shared" ca="1" si="281"/>
        <v>-13.301625875222499</v>
      </c>
      <c r="S3185" s="4">
        <f t="shared" ca="1" si="282"/>
        <v>-6.6613892247454949</v>
      </c>
    </row>
    <row r="3186" spans="15:19" x14ac:dyDescent="0.2">
      <c r="O3186" s="4">
        <f t="shared" ca="1" si="278"/>
        <v>0.12964516750468191</v>
      </c>
      <c r="P3186" s="4">
        <f t="shared" ca="1" si="279"/>
        <v>-1.1280700536220016</v>
      </c>
      <c r="Q3186" s="4">
        <f t="shared" ca="1" si="280"/>
        <v>1944.5494675054733</v>
      </c>
      <c r="R3186" s="4">
        <f t="shared" ca="1" si="281"/>
        <v>20.879423505473369</v>
      </c>
      <c r="S3186" s="4">
        <f t="shared" ca="1" si="282"/>
        <v>10.746830652079716</v>
      </c>
    </row>
    <row r="3187" spans="15:19" x14ac:dyDescent="0.2">
      <c r="O3187" s="4">
        <f t="shared" ca="1" si="278"/>
        <v>0.49896770100421495</v>
      </c>
      <c r="P3187" s="4">
        <f t="shared" ca="1" si="279"/>
        <v>-2.5875927383016933E-3</v>
      </c>
      <c r="Q3187" s="4">
        <f t="shared" ca="1" si="280"/>
        <v>1923.3131086014344</v>
      </c>
      <c r="R3187" s="4">
        <f t="shared" ca="1" si="281"/>
        <v>-0.35693539856561074</v>
      </c>
      <c r="S3187" s="4">
        <f t="shared" ca="1" si="282"/>
        <v>-0.18063233311118496</v>
      </c>
    </row>
    <row r="3188" spans="15:19" x14ac:dyDescent="0.2">
      <c r="O3188" s="4">
        <f t="shared" ca="1" si="278"/>
        <v>0.31712621180470124</v>
      </c>
      <c r="P3188" s="4">
        <f t="shared" ca="1" si="279"/>
        <v>-0.47575010016418301</v>
      </c>
      <c r="Q3188" s="4">
        <f t="shared" ca="1" si="280"/>
        <v>1932.2410565498558</v>
      </c>
      <c r="R3188" s="4">
        <f t="shared" ca="1" si="281"/>
        <v>8.5710125498558227</v>
      </c>
      <c r="S3188" s="4">
        <f t="shared" ca="1" si="282"/>
        <v>4.3686347287178</v>
      </c>
    </row>
    <row r="3189" spans="15:19" x14ac:dyDescent="0.2">
      <c r="O3189" s="4">
        <f t="shared" ca="1" si="278"/>
        <v>0.72701863888592855</v>
      </c>
      <c r="P3189" s="4">
        <f t="shared" ca="1" si="279"/>
        <v>0.60382090054236703</v>
      </c>
      <c r="Q3189" s="4">
        <f t="shared" ca="1" si="280"/>
        <v>1911.8709859088651</v>
      </c>
      <c r="R3189" s="4">
        <f t="shared" ca="1" si="281"/>
        <v>-11.799058091134839</v>
      </c>
      <c r="S3189" s="4">
        <f t="shared" ca="1" si="282"/>
        <v>-5.9161275058007377</v>
      </c>
    </row>
    <row r="3190" spans="15:19" x14ac:dyDescent="0.2">
      <c r="O3190" s="4">
        <f t="shared" ca="1" si="278"/>
        <v>0.60486866301154119</v>
      </c>
      <c r="P3190" s="4">
        <f t="shared" ca="1" si="279"/>
        <v>0.26596953211123225</v>
      </c>
      <c r="Q3190" s="4">
        <f t="shared" ca="1" si="280"/>
        <v>1918.2457924168148</v>
      </c>
      <c r="R3190" s="4">
        <f t="shared" ca="1" si="281"/>
        <v>-5.4242515831851961</v>
      </c>
      <c r="S3190" s="4">
        <f t="shared" ca="1" si="282"/>
        <v>-2.7338322850135643</v>
      </c>
    </row>
    <row r="3191" spans="15:19" x14ac:dyDescent="0.2">
      <c r="O3191" s="4">
        <f t="shared" ca="1" si="278"/>
        <v>0.19523032173139765</v>
      </c>
      <c r="P3191" s="4">
        <f t="shared" ca="1" si="279"/>
        <v>-0.85878228395408951</v>
      </c>
      <c r="Q3191" s="4">
        <f t="shared" ca="1" si="280"/>
        <v>1939.4683650237464</v>
      </c>
      <c r="R3191" s="4">
        <f t="shared" ca="1" si="281"/>
        <v>15.798321023746439</v>
      </c>
      <c r="S3191" s="4">
        <f t="shared" ca="1" si="282"/>
        <v>8.0988640106180583</v>
      </c>
    </row>
    <row r="3192" spans="15:19" x14ac:dyDescent="0.2">
      <c r="O3192" s="4">
        <f t="shared" ca="1" si="278"/>
        <v>5.6409835839119737E-2</v>
      </c>
      <c r="P3192" s="4">
        <f t="shared" ca="1" si="279"/>
        <v>-1.5856458390665227</v>
      </c>
      <c r="Q3192" s="4">
        <f t="shared" ca="1" si="280"/>
        <v>1953.1833147160887</v>
      </c>
      <c r="R3192" s="4">
        <f t="shared" ca="1" si="281"/>
        <v>29.513270716088755</v>
      </c>
      <c r="S3192" s="4">
        <f t="shared" ca="1" si="282"/>
        <v>15.294477505470113</v>
      </c>
    </row>
    <row r="3193" spans="15:19" x14ac:dyDescent="0.2">
      <c r="O3193" s="4">
        <f t="shared" ca="1" si="278"/>
        <v>0.49198952185488365</v>
      </c>
      <c r="P3193" s="4">
        <f t="shared" ca="1" si="279"/>
        <v>-2.0080640456781311E-2</v>
      </c>
      <c r="Q3193" s="4">
        <f t="shared" ca="1" si="280"/>
        <v>1923.6431791734656</v>
      </c>
      <c r="R3193" s="4">
        <f t="shared" ca="1" si="281"/>
        <v>-2.6864826534392705E-2</v>
      </c>
      <c r="S3193" s="4">
        <f t="shared" ca="1" si="282"/>
        <v>-1.3598944540589717E-2</v>
      </c>
    </row>
    <row r="3194" spans="15:19" x14ac:dyDescent="0.2">
      <c r="O3194" s="4">
        <f t="shared" ca="1" si="278"/>
        <v>0.65742578407288499</v>
      </c>
      <c r="P3194" s="4">
        <f t="shared" ca="1" si="279"/>
        <v>0.40544773102909298</v>
      </c>
      <c r="Q3194" s="4">
        <f t="shared" ca="1" si="280"/>
        <v>1915.6140240912709</v>
      </c>
      <c r="R3194" s="4">
        <f t="shared" ca="1" si="281"/>
        <v>-8.056019908729013</v>
      </c>
      <c r="S3194" s="4">
        <f t="shared" ca="1" si="282"/>
        <v>-4.0516176141342601</v>
      </c>
    </row>
    <row r="3195" spans="15:19" x14ac:dyDescent="0.2">
      <c r="O3195" s="4">
        <f t="shared" ca="1" si="278"/>
        <v>0.77974920379582768</v>
      </c>
      <c r="P3195" s="4">
        <f t="shared" ca="1" si="279"/>
        <v>0.77134647428731296</v>
      </c>
      <c r="Q3195" s="4">
        <f t="shared" ca="1" si="280"/>
        <v>1908.7100008795123</v>
      </c>
      <c r="R3195" s="4">
        <f t="shared" ca="1" si="281"/>
        <v>-14.960043120487626</v>
      </c>
      <c r="S3195" s="4">
        <f t="shared" ca="1" si="282"/>
        <v>-7.48181709058208</v>
      </c>
    </row>
    <row r="3196" spans="15:19" x14ac:dyDescent="0.2">
      <c r="O3196" s="4">
        <f t="shared" ca="1" si="278"/>
        <v>0.9765632771077547</v>
      </c>
      <c r="P3196" s="4">
        <f t="shared" ca="1" si="279"/>
        <v>1.987441923130973</v>
      </c>
      <c r="Q3196" s="4">
        <f t="shared" ca="1" si="280"/>
        <v>1885.7638952663383</v>
      </c>
      <c r="R3196" s="4">
        <f t="shared" ca="1" si="281"/>
        <v>-37.906148733661666</v>
      </c>
      <c r="S3196" s="4">
        <f t="shared" ca="1" si="282"/>
        <v>-18.603555729812506</v>
      </c>
    </row>
    <row r="3197" spans="15:19" x14ac:dyDescent="0.2">
      <c r="O3197" s="4">
        <f t="shared" ca="1" si="278"/>
        <v>2.0878348361756505E-2</v>
      </c>
      <c r="P3197" s="4">
        <f t="shared" ca="1" si="279"/>
        <v>-2.0359368518833203</v>
      </c>
      <c r="Q3197" s="4">
        <f t="shared" ca="1" si="280"/>
        <v>1961.6797079445823</v>
      </c>
      <c r="R3197" s="4">
        <f t="shared" ca="1" si="281"/>
        <v>38.009663944582371</v>
      </c>
      <c r="S3197" s="4">
        <f t="shared" ca="1" si="282"/>
        <v>19.828971165762599</v>
      </c>
    </row>
    <row r="3198" spans="15:19" x14ac:dyDescent="0.2">
      <c r="O3198" s="4">
        <f t="shared" ca="1" si="278"/>
        <v>0.68193881300362369</v>
      </c>
      <c r="P3198" s="4">
        <f t="shared" ca="1" si="279"/>
        <v>0.4731272816507881</v>
      </c>
      <c r="Q3198" s="4">
        <f t="shared" ca="1" si="280"/>
        <v>1914.3370008790764</v>
      </c>
      <c r="R3198" s="4">
        <f t="shared" ca="1" si="281"/>
        <v>-9.3330431209235485</v>
      </c>
      <c r="S3198" s="4">
        <f t="shared" ca="1" si="282"/>
        <v>-4.6890197967149874</v>
      </c>
    </row>
    <row r="3199" spans="15:19" x14ac:dyDescent="0.2">
      <c r="O3199" s="4">
        <f t="shared" ca="1" si="278"/>
        <v>0.93205655441312385</v>
      </c>
      <c r="P3199" s="4">
        <f t="shared" ca="1" si="279"/>
        <v>1.4912842159416051</v>
      </c>
      <c r="Q3199" s="4">
        <f t="shared" ca="1" si="280"/>
        <v>1895.1257320866166</v>
      </c>
      <c r="R3199" s="4">
        <f t="shared" ca="1" si="281"/>
        <v>-28.544311913383353</v>
      </c>
      <c r="S3199" s="4">
        <f t="shared" ca="1" si="282"/>
        <v>-14.117739334564186</v>
      </c>
    </row>
    <row r="3200" spans="15:19" x14ac:dyDescent="0.2">
      <c r="O3200" s="4">
        <f t="shared" ca="1" si="278"/>
        <v>0.20805993174342796</v>
      </c>
      <c r="P3200" s="4">
        <f t="shared" ca="1" si="279"/>
        <v>-0.81317127963520885</v>
      </c>
      <c r="Q3200" s="4">
        <f t="shared" ca="1" si="280"/>
        <v>1938.6077459636067</v>
      </c>
      <c r="R3200" s="4">
        <f t="shared" ca="1" si="281"/>
        <v>14.937701963606742</v>
      </c>
      <c r="S3200" s="4">
        <f t="shared" ca="1" si="282"/>
        <v>7.6524424145966385</v>
      </c>
    </row>
    <row r="3201" spans="15:19" x14ac:dyDescent="0.2">
      <c r="O3201" s="4">
        <f t="shared" ca="1" si="278"/>
        <v>0.38230679817470747</v>
      </c>
      <c r="P3201" s="4">
        <f t="shared" ca="1" si="279"/>
        <v>-0.29942787462041626</v>
      </c>
      <c r="Q3201" s="4">
        <f t="shared" ca="1" si="280"/>
        <v>1928.9140903868592</v>
      </c>
      <c r="R3201" s="4">
        <f t="shared" ca="1" si="281"/>
        <v>5.2440463868592815</v>
      </c>
      <c r="S3201" s="4">
        <f t="shared" ca="1" si="282"/>
        <v>2.6657820588364474</v>
      </c>
    </row>
    <row r="3202" spans="15:19" x14ac:dyDescent="0.2">
      <c r="O3202" s="4">
        <f t="shared" ca="1" si="278"/>
        <v>0.42296615729642195</v>
      </c>
      <c r="P3202" s="4">
        <f t="shared" ca="1" si="279"/>
        <v>-0.19431107463757893</v>
      </c>
      <c r="Q3202" s="4">
        <f t="shared" ca="1" si="280"/>
        <v>1926.9306760122565</v>
      </c>
      <c r="R3202" s="4">
        <f t="shared" ca="1" si="281"/>
        <v>3.2606320122565648</v>
      </c>
      <c r="S3202" s="4">
        <f t="shared" ca="1" si="282"/>
        <v>1.6548917086707917</v>
      </c>
    </row>
    <row r="3203" spans="15:19" x14ac:dyDescent="0.2">
      <c r="O3203" s="4">
        <f t="shared" ref="O3203:O3266" ca="1" si="283">RAND()</f>
        <v>0.69053541082651027</v>
      </c>
      <c r="P3203" s="4">
        <f t="shared" ref="P3203:P3266" ca="1" si="284">NORMSINV(O3203)</f>
        <v>0.49736855149037318</v>
      </c>
      <c r="Q3203" s="4">
        <f t="shared" ref="Q3203:Q3266" ca="1" si="285">$B$4*(1+$B$17-$B$32*P3203)</f>
        <v>1913.8796003202094</v>
      </c>
      <c r="R3203" s="4">
        <f t="shared" ref="R3203:R3266" ca="1" si="286">Q3203-$B$4</f>
        <v>-9.7904436797905419</v>
      </c>
      <c r="S3203" s="4">
        <f t="shared" ref="S3203:S3266" ca="1" si="287">R3203*$B$12+0.5*$B$13*R3203^2</f>
        <v>-4.916999767209834</v>
      </c>
    </row>
    <row r="3204" spans="15:19" x14ac:dyDescent="0.2">
      <c r="O3204" s="4">
        <f t="shared" ca="1" si="283"/>
        <v>0.12214405792997807</v>
      </c>
      <c r="P3204" s="4">
        <f t="shared" ca="1" si="284"/>
        <v>-1.1643353999863699</v>
      </c>
      <c r="Q3204" s="4">
        <f t="shared" ca="1" si="285"/>
        <v>1945.2337464151312</v>
      </c>
      <c r="R3204" s="4">
        <f t="shared" ca="1" si="286"/>
        <v>21.563702415131274</v>
      </c>
      <c r="S3204" s="4">
        <f t="shared" ca="1" si="287"/>
        <v>11.105041824036714</v>
      </c>
    </row>
    <row r="3205" spans="15:19" x14ac:dyDescent="0.2">
      <c r="O3205" s="4">
        <f t="shared" ca="1" si="283"/>
        <v>0.72982069338861277</v>
      </c>
      <c r="P3205" s="4">
        <f t="shared" ca="1" si="284"/>
        <v>0.61227078850059413</v>
      </c>
      <c r="Q3205" s="4">
        <f t="shared" ca="1" si="285"/>
        <v>1911.7115477482396</v>
      </c>
      <c r="R3205" s="4">
        <f t="shared" ca="1" si="286"/>
        <v>-11.95849625176038</v>
      </c>
      <c r="S3205" s="4">
        <f t="shared" ca="1" si="287"/>
        <v>-5.9952947428421481</v>
      </c>
    </row>
    <row r="3206" spans="15:19" x14ac:dyDescent="0.2">
      <c r="O3206" s="4">
        <f t="shared" ca="1" si="283"/>
        <v>4.2898711347083562E-2</v>
      </c>
      <c r="P3206" s="4">
        <f t="shared" ca="1" si="284"/>
        <v>-1.7179955733802561</v>
      </c>
      <c r="Q3206" s="4">
        <f t="shared" ca="1" si="285"/>
        <v>1955.6805783842703</v>
      </c>
      <c r="R3206" s="4">
        <f t="shared" ca="1" si="286"/>
        <v>32.010534384270386</v>
      </c>
      <c r="S3206" s="4">
        <f t="shared" ca="1" si="287"/>
        <v>16.621159424111671</v>
      </c>
    </row>
    <row r="3207" spans="15:19" x14ac:dyDescent="0.2">
      <c r="O3207" s="4">
        <f t="shared" ca="1" si="283"/>
        <v>4.8851916465712075E-2</v>
      </c>
      <c r="P3207" s="4">
        <f t="shared" ca="1" si="284"/>
        <v>-1.6560888207633597</v>
      </c>
      <c r="Q3207" s="4">
        <f t="shared" ca="1" si="285"/>
        <v>1954.5124802016264</v>
      </c>
      <c r="R3207" s="4">
        <f t="shared" ca="1" si="286"/>
        <v>30.842436201626469</v>
      </c>
      <c r="S3207" s="4">
        <f t="shared" ca="1" si="287"/>
        <v>15.999970294829737</v>
      </c>
    </row>
    <row r="3208" spans="15:19" x14ac:dyDescent="0.2">
      <c r="O3208" s="4">
        <f t="shared" ca="1" si="283"/>
        <v>0.18699423201433529</v>
      </c>
      <c r="P3208" s="4">
        <f t="shared" ca="1" si="284"/>
        <v>-0.88902719587754053</v>
      </c>
      <c r="Q3208" s="4">
        <f t="shared" ca="1" si="285"/>
        <v>1940.039046333274</v>
      </c>
      <c r="R3208" s="4">
        <f t="shared" ca="1" si="286"/>
        <v>16.369002333274011</v>
      </c>
      <c r="S3208" s="4">
        <f t="shared" ca="1" si="287"/>
        <v>8.3952211671857011</v>
      </c>
    </row>
    <row r="3209" spans="15:19" x14ac:dyDescent="0.2">
      <c r="O3209" s="4">
        <f t="shared" ca="1" si="283"/>
        <v>0.85104804602316386</v>
      </c>
      <c r="P3209" s="4">
        <f t="shared" ca="1" si="284"/>
        <v>1.0409388964582911</v>
      </c>
      <c r="Q3209" s="4">
        <f t="shared" ca="1" si="285"/>
        <v>1903.6231500097645</v>
      </c>
      <c r="R3209" s="4">
        <f t="shared" ca="1" si="286"/>
        <v>-20.046893990235503</v>
      </c>
      <c r="S3209" s="4">
        <f t="shared" ca="1" si="287"/>
        <v>-9.9843419458199296</v>
      </c>
    </row>
    <row r="3210" spans="15:19" x14ac:dyDescent="0.2">
      <c r="O3210" s="4">
        <f t="shared" ca="1" si="283"/>
        <v>0.45088731425227313</v>
      </c>
      <c r="P3210" s="4">
        <f t="shared" ca="1" si="284"/>
        <v>-0.12341986352480623</v>
      </c>
      <c r="Q3210" s="4">
        <f t="shared" ca="1" si="285"/>
        <v>1925.5930530330847</v>
      </c>
      <c r="R3210" s="4">
        <f t="shared" ca="1" si="286"/>
        <v>1.9230090330847815</v>
      </c>
      <c r="S3210" s="4">
        <f t="shared" ca="1" si="287"/>
        <v>0.97495133547614188</v>
      </c>
    </row>
    <row r="3211" spans="15:19" x14ac:dyDescent="0.2">
      <c r="O3211" s="4">
        <f t="shared" ca="1" si="283"/>
        <v>0.8442970537498341</v>
      </c>
      <c r="P3211" s="4">
        <f t="shared" ca="1" si="284"/>
        <v>1.012276448223836</v>
      </c>
      <c r="Q3211" s="4">
        <f t="shared" ca="1" si="285"/>
        <v>1904.1639723316844</v>
      </c>
      <c r="R3211" s="4">
        <f t="shared" ca="1" si="286"/>
        <v>-19.506071668315599</v>
      </c>
      <c r="S3211" s="4">
        <f t="shared" ca="1" si="287"/>
        <v>-9.7192800585545509</v>
      </c>
    </row>
    <row r="3212" spans="15:19" x14ac:dyDescent="0.2">
      <c r="O3212" s="4">
        <f t="shared" ca="1" si="283"/>
        <v>0.95709089167499362</v>
      </c>
      <c r="P3212" s="4">
        <f t="shared" ca="1" si="284"/>
        <v>1.7178815834411183</v>
      </c>
      <c r="Q3212" s="4">
        <f t="shared" ca="1" si="285"/>
        <v>1890.8501407822866</v>
      </c>
      <c r="R3212" s="4">
        <f t="shared" ca="1" si="286"/>
        <v>-32.819903217713318</v>
      </c>
      <c r="S3212" s="4">
        <f t="shared" ca="1" si="287"/>
        <v>-16.175283469213902</v>
      </c>
    </row>
    <row r="3213" spans="15:19" x14ac:dyDescent="0.2">
      <c r="O3213" s="4">
        <f t="shared" ca="1" si="283"/>
        <v>0.4628348112010513</v>
      </c>
      <c r="P3213" s="4">
        <f t="shared" ca="1" si="284"/>
        <v>-9.3294473552636481E-2</v>
      </c>
      <c r="Q3213" s="4">
        <f t="shared" ca="1" si="285"/>
        <v>1925.0246269440006</v>
      </c>
      <c r="R3213" s="4">
        <f t="shared" ca="1" si="286"/>
        <v>1.3545829440006401</v>
      </c>
      <c r="S3213" s="4">
        <f t="shared" ca="1" si="287"/>
        <v>0.68645008353246784</v>
      </c>
    </row>
    <row r="3214" spans="15:19" x14ac:dyDescent="0.2">
      <c r="O3214" s="4">
        <f t="shared" ca="1" si="283"/>
        <v>0.38929933437623165</v>
      </c>
      <c r="P3214" s="4">
        <f t="shared" ca="1" si="284"/>
        <v>-0.28114567632801601</v>
      </c>
      <c r="Q3214" s="4">
        <f t="shared" ca="1" si="285"/>
        <v>1928.569129591835</v>
      </c>
      <c r="R3214" s="4">
        <f t="shared" ca="1" si="286"/>
        <v>4.8990855918350462</v>
      </c>
      <c r="S3214" s="4">
        <f t="shared" ca="1" si="287"/>
        <v>2.4897351972884971</v>
      </c>
    </row>
    <row r="3215" spans="15:19" x14ac:dyDescent="0.2">
      <c r="O3215" s="4">
        <f t="shared" ca="1" si="283"/>
        <v>0.9065933588751417</v>
      </c>
      <c r="P3215" s="4">
        <f t="shared" ca="1" si="284"/>
        <v>1.3200651043980103</v>
      </c>
      <c r="Q3215" s="4">
        <f t="shared" ca="1" si="285"/>
        <v>1898.356409267597</v>
      </c>
      <c r="R3215" s="4">
        <f t="shared" ca="1" si="286"/>
        <v>-25.313634732402988</v>
      </c>
      <c r="S3215" s="4">
        <f t="shared" ca="1" si="287"/>
        <v>-12.553167985660135</v>
      </c>
    </row>
    <row r="3216" spans="15:19" x14ac:dyDescent="0.2">
      <c r="O3216" s="4">
        <f t="shared" ca="1" si="283"/>
        <v>0.22322427589925631</v>
      </c>
      <c r="P3216" s="4">
        <f t="shared" ca="1" si="284"/>
        <v>-0.76134914868439296</v>
      </c>
      <c r="Q3216" s="4">
        <f t="shared" ca="1" si="285"/>
        <v>1937.6299311950147</v>
      </c>
      <c r="R3216" s="4">
        <f t="shared" ca="1" si="286"/>
        <v>13.959887195014744</v>
      </c>
      <c r="S3216" s="4">
        <f t="shared" ca="1" si="287"/>
        <v>7.1459606538474185</v>
      </c>
    </row>
    <row r="3217" spans="15:19" x14ac:dyDescent="0.2">
      <c r="O3217" s="4">
        <f t="shared" ca="1" si="283"/>
        <v>0.32762060915358149</v>
      </c>
      <c r="P3217" s="4">
        <f t="shared" ca="1" si="284"/>
        <v>-0.44649293022079056</v>
      </c>
      <c r="Q3217" s="4">
        <f t="shared" ca="1" si="285"/>
        <v>1931.6890126193387</v>
      </c>
      <c r="R3217" s="4">
        <f t="shared" ca="1" si="286"/>
        <v>8.0189686193386933</v>
      </c>
      <c r="S3217" s="4">
        <f t="shared" ca="1" si="287"/>
        <v>4.0854565817214752</v>
      </c>
    </row>
    <row r="3218" spans="15:19" x14ac:dyDescent="0.2">
      <c r="O3218" s="4">
        <f t="shared" ca="1" si="283"/>
        <v>0.79706921299734246</v>
      </c>
      <c r="P3218" s="4">
        <f t="shared" ca="1" si="284"/>
        <v>0.83119837263342899</v>
      </c>
      <c r="Q3218" s="4">
        <f t="shared" ca="1" si="285"/>
        <v>1907.580675067213</v>
      </c>
      <c r="R3218" s="4">
        <f t="shared" ca="1" si="286"/>
        <v>-16.089368932787011</v>
      </c>
      <c r="S3218" s="4">
        <f t="shared" ca="1" si="287"/>
        <v>-8.0392190357012492</v>
      </c>
    </row>
    <row r="3219" spans="15:19" x14ac:dyDescent="0.2">
      <c r="O3219" s="4">
        <f t="shared" ca="1" si="283"/>
        <v>0.47495593679943393</v>
      </c>
      <c r="P3219" s="4">
        <f t="shared" ca="1" si="284"/>
        <v>-6.2817445758011528E-2</v>
      </c>
      <c r="Q3219" s="4">
        <f t="shared" ca="1" si="285"/>
        <v>1924.4495659163351</v>
      </c>
      <c r="R3219" s="4">
        <f t="shared" ca="1" si="286"/>
        <v>0.77952191633517032</v>
      </c>
      <c r="S3219" s="4">
        <f t="shared" ca="1" si="287"/>
        <v>0.39484898680579761</v>
      </c>
    </row>
    <row r="3220" spans="15:19" x14ac:dyDescent="0.2">
      <c r="O3220" s="4">
        <f t="shared" ca="1" si="283"/>
        <v>0.32540563488221375</v>
      </c>
      <c r="P3220" s="4">
        <f t="shared" ca="1" si="284"/>
        <v>-0.4526354469885665</v>
      </c>
      <c r="Q3220" s="4">
        <f t="shared" ca="1" si="285"/>
        <v>1931.8049137507985</v>
      </c>
      <c r="R3220" s="4">
        <f t="shared" ca="1" si="286"/>
        <v>8.1348697507985435</v>
      </c>
      <c r="S3220" s="4">
        <f t="shared" ca="1" si="287"/>
        <v>4.1448890043096407</v>
      </c>
    </row>
    <row r="3221" spans="15:19" x14ac:dyDescent="0.2">
      <c r="O3221" s="4">
        <f t="shared" ca="1" si="283"/>
        <v>0.47557553530037622</v>
      </c>
      <c r="P3221" s="4">
        <f t="shared" ca="1" si="284"/>
        <v>-6.1261350743288284E-2</v>
      </c>
      <c r="Q3221" s="4">
        <f t="shared" ca="1" si="285"/>
        <v>1924.4202044705821</v>
      </c>
      <c r="R3221" s="4">
        <f t="shared" ca="1" si="286"/>
        <v>0.75016047058215918</v>
      </c>
      <c r="S3221" s="4">
        <f t="shared" ca="1" si="287"/>
        <v>0.3799676523934814</v>
      </c>
    </row>
    <row r="3222" spans="15:19" x14ac:dyDescent="0.2">
      <c r="O3222" s="4">
        <f t="shared" ca="1" si="283"/>
        <v>0.28460512104083457</v>
      </c>
      <c r="P3222" s="4">
        <f t="shared" ca="1" si="284"/>
        <v>-0.5692150003869989</v>
      </c>
      <c r="Q3222" s="4">
        <f t="shared" ca="1" si="285"/>
        <v>1934.0046150548044</v>
      </c>
      <c r="R3222" s="4">
        <f t="shared" ca="1" si="286"/>
        <v>10.334571054804428</v>
      </c>
      <c r="S3222" s="4">
        <f t="shared" ca="1" si="287"/>
        <v>5.2749374546959276</v>
      </c>
    </row>
    <row r="3223" spans="15:19" x14ac:dyDescent="0.2">
      <c r="O3223" s="4">
        <f t="shared" ca="1" si="283"/>
        <v>0.95214792751605193</v>
      </c>
      <c r="P3223" s="4">
        <f t="shared" ca="1" si="284"/>
        <v>1.6660465410167673</v>
      </c>
      <c r="Q3223" s="4">
        <f t="shared" ca="1" si="285"/>
        <v>1891.8281991732326</v>
      </c>
      <c r="R3223" s="4">
        <f t="shared" ca="1" si="286"/>
        <v>-31.841844826767328</v>
      </c>
      <c r="S3223" s="4">
        <f t="shared" ca="1" si="287"/>
        <v>-15.705924996624098</v>
      </c>
    </row>
    <row r="3224" spans="15:19" x14ac:dyDescent="0.2">
      <c r="O3224" s="4">
        <f t="shared" ca="1" si="283"/>
        <v>0.31828537656016853</v>
      </c>
      <c r="P3224" s="4">
        <f t="shared" ca="1" si="284"/>
        <v>-0.47249886298628968</v>
      </c>
      <c r="Q3224" s="4">
        <f t="shared" ca="1" si="285"/>
        <v>1932.1797100233737</v>
      </c>
      <c r="R3224" s="4">
        <f t="shared" ca="1" si="286"/>
        <v>8.5096660233737111</v>
      </c>
      <c r="S3224" s="4">
        <f t="shared" ca="1" si="287"/>
        <v>4.337153972589344</v>
      </c>
    </row>
    <row r="3225" spans="15:19" x14ac:dyDescent="0.2">
      <c r="O3225" s="4">
        <f t="shared" ca="1" si="283"/>
        <v>0.15545414806445923</v>
      </c>
      <c r="P3225" s="4">
        <f t="shared" ca="1" si="284"/>
        <v>-1.0133179924309863</v>
      </c>
      <c r="Q3225" s="4">
        <f t="shared" ca="1" si="285"/>
        <v>1942.3842485517123</v>
      </c>
      <c r="R3225" s="4">
        <f t="shared" ca="1" si="286"/>
        <v>18.714204551712328</v>
      </c>
      <c r="S3225" s="4">
        <f t="shared" ca="1" si="287"/>
        <v>9.6158780232424874</v>
      </c>
    </row>
    <row r="3226" spans="15:19" x14ac:dyDescent="0.2">
      <c r="O3226" s="4">
        <f t="shared" ca="1" si="283"/>
        <v>0.56208188526164848</v>
      </c>
      <c r="P3226" s="4">
        <f t="shared" ca="1" si="284"/>
        <v>0.15624966621166905</v>
      </c>
      <c r="Q3226" s="4">
        <f t="shared" ca="1" si="285"/>
        <v>1920.3160605303815</v>
      </c>
      <c r="R3226" s="4">
        <f t="shared" ca="1" si="286"/>
        <v>-3.3539834696184698</v>
      </c>
      <c r="S3226" s="4">
        <f t="shared" ca="1" si="287"/>
        <v>-1.6932400790557971</v>
      </c>
    </row>
    <row r="3227" spans="15:19" x14ac:dyDescent="0.2">
      <c r="O3227" s="4">
        <f t="shared" ca="1" si="283"/>
        <v>0.40059033932675747</v>
      </c>
      <c r="P3227" s="4">
        <f t="shared" ca="1" si="284"/>
        <v>-0.25181937768835555</v>
      </c>
      <c r="Q3227" s="4">
        <f t="shared" ca="1" si="285"/>
        <v>1928.0157812946525</v>
      </c>
      <c r="R3227" s="4">
        <f t="shared" ca="1" si="286"/>
        <v>4.3457372946525084</v>
      </c>
      <c r="S3227" s="4">
        <f t="shared" ca="1" si="287"/>
        <v>2.207542463078997</v>
      </c>
    </row>
    <row r="3228" spans="15:19" x14ac:dyDescent="0.2">
      <c r="O3228" s="4">
        <f t="shared" ca="1" si="283"/>
        <v>0.4496971140095436</v>
      </c>
      <c r="P3228" s="4">
        <f t="shared" ca="1" si="284"/>
        <v>-0.12642662439548707</v>
      </c>
      <c r="Q3228" s="4">
        <f t="shared" ca="1" si="285"/>
        <v>1925.6497866164214</v>
      </c>
      <c r="R3228" s="4">
        <f t="shared" ca="1" si="286"/>
        <v>1.9797426164213903</v>
      </c>
      <c r="S3228" s="4">
        <f t="shared" ca="1" si="287"/>
        <v>1.0037605631429589</v>
      </c>
    </row>
    <row r="3229" spans="15:19" x14ac:dyDescent="0.2">
      <c r="O3229" s="4">
        <f t="shared" ca="1" si="283"/>
        <v>0.92796559283800673</v>
      </c>
      <c r="P3229" s="4">
        <f t="shared" ca="1" si="284"/>
        <v>1.4608055426561295</v>
      </c>
      <c r="Q3229" s="4">
        <f t="shared" ca="1" si="285"/>
        <v>1895.7008241625083</v>
      </c>
      <c r="R3229" s="4">
        <f t="shared" ca="1" si="286"/>
        <v>-27.969219837491664</v>
      </c>
      <c r="S3229" s="4">
        <f t="shared" ca="1" si="287"/>
        <v>-13.839852039751367</v>
      </c>
    </row>
    <row r="3230" spans="15:19" x14ac:dyDescent="0.2">
      <c r="O3230" s="4">
        <f t="shared" ca="1" si="283"/>
        <v>0.29306232195329507</v>
      </c>
      <c r="P3230" s="4">
        <f t="shared" ca="1" si="284"/>
        <v>-0.54446046951025695</v>
      </c>
      <c r="Q3230" s="4">
        <f t="shared" ca="1" si="285"/>
        <v>1933.5375299420016</v>
      </c>
      <c r="R3230" s="4">
        <f t="shared" ca="1" si="286"/>
        <v>9.8674859420016219</v>
      </c>
      <c r="S3230" s="4">
        <f t="shared" ca="1" si="287"/>
        <v>5.0346532577321055</v>
      </c>
    </row>
    <row r="3231" spans="15:19" x14ac:dyDescent="0.2">
      <c r="O3231" s="4">
        <f t="shared" ca="1" si="283"/>
        <v>0.85051726538721684</v>
      </c>
      <c r="P3231" s="4">
        <f t="shared" ca="1" si="284"/>
        <v>1.0386544571338114</v>
      </c>
      <c r="Q3231" s="4">
        <f t="shared" ca="1" si="285"/>
        <v>1903.6662543450832</v>
      </c>
      <c r="R3231" s="4">
        <f t="shared" ca="1" si="286"/>
        <v>-20.003789654916773</v>
      </c>
      <c r="S3231" s="4">
        <f t="shared" ca="1" si="287"/>
        <v>-9.9632248563328183</v>
      </c>
    </row>
    <row r="3232" spans="15:19" x14ac:dyDescent="0.2">
      <c r="O3232" s="4">
        <f t="shared" ca="1" si="283"/>
        <v>0.76562071516475061</v>
      </c>
      <c r="P3232" s="4">
        <f t="shared" ca="1" si="284"/>
        <v>0.72450041958264932</v>
      </c>
      <c r="Q3232" s="4">
        <f t="shared" ca="1" si="285"/>
        <v>1909.5939236997447</v>
      </c>
      <c r="R3232" s="4">
        <f t="shared" ca="1" si="286"/>
        <v>-14.076120300255297</v>
      </c>
      <c r="S3232" s="4">
        <f t="shared" ca="1" si="287"/>
        <v>-7.0448144288448331</v>
      </c>
    </row>
    <row r="3233" spans="15:19" x14ac:dyDescent="0.2">
      <c r="O3233" s="4">
        <f t="shared" ca="1" si="283"/>
        <v>0.91191615595690978</v>
      </c>
      <c r="P3233" s="4">
        <f t="shared" ca="1" si="284"/>
        <v>1.3526493205324472</v>
      </c>
      <c r="Q3233" s="4">
        <f t="shared" ca="1" si="285"/>
        <v>1897.7415883952267</v>
      </c>
      <c r="R3233" s="4">
        <f t="shared" ca="1" si="286"/>
        <v>-25.928455604773262</v>
      </c>
      <c r="S3233" s="4">
        <f t="shared" ca="1" si="287"/>
        <v>-12.851571736809866</v>
      </c>
    </row>
    <row r="3234" spans="15:19" x14ac:dyDescent="0.2">
      <c r="O3234" s="4">
        <f t="shared" ca="1" si="283"/>
        <v>0.58129651746899724</v>
      </c>
      <c r="P3234" s="4">
        <f t="shared" ca="1" si="284"/>
        <v>0.20521139744892564</v>
      </c>
      <c r="Q3234" s="4">
        <f t="shared" ca="1" si="285"/>
        <v>1919.3922177045224</v>
      </c>
      <c r="R3234" s="4">
        <f t="shared" ca="1" si="286"/>
        <v>-4.2778262954775528</v>
      </c>
      <c r="S3234" s="4">
        <f t="shared" ca="1" si="287"/>
        <v>-2.1580282871475389</v>
      </c>
    </row>
    <row r="3235" spans="15:19" x14ac:dyDescent="0.2">
      <c r="O3235" s="4">
        <f t="shared" ca="1" si="283"/>
        <v>0.20535351889391962</v>
      </c>
      <c r="P3235" s="4">
        <f t="shared" ca="1" si="284"/>
        <v>-0.82265003274847059</v>
      </c>
      <c r="Q3235" s="4">
        <f t="shared" ca="1" si="285"/>
        <v>1938.7865974429255</v>
      </c>
      <c r="R3235" s="4">
        <f t="shared" ca="1" si="286"/>
        <v>15.116553442925579</v>
      </c>
      <c r="S3235" s="4">
        <f t="shared" ca="1" si="287"/>
        <v>7.7451668833186291</v>
      </c>
    </row>
    <row r="3236" spans="15:19" x14ac:dyDescent="0.2">
      <c r="O3236" s="4">
        <f t="shared" ca="1" si="283"/>
        <v>3.4876671749867638E-2</v>
      </c>
      <c r="P3236" s="4">
        <f t="shared" ca="1" si="284"/>
        <v>-1.813509053623553</v>
      </c>
      <c r="Q3236" s="4">
        <f t="shared" ca="1" si="285"/>
        <v>1957.4827908727955</v>
      </c>
      <c r="R3236" s="4">
        <f t="shared" ca="1" si="286"/>
        <v>33.812746872795515</v>
      </c>
      <c r="S3236" s="4">
        <f t="shared" ca="1" si="287"/>
        <v>17.581746658965702</v>
      </c>
    </row>
    <row r="3237" spans="15:19" x14ac:dyDescent="0.2">
      <c r="O3237" s="4">
        <f t="shared" ca="1" si="283"/>
        <v>0.81514929882390974</v>
      </c>
      <c r="P3237" s="4">
        <f t="shared" ca="1" si="284"/>
        <v>0.89703282365827608</v>
      </c>
      <c r="Q3237" s="4">
        <f t="shared" ca="1" si="285"/>
        <v>1906.3384664333119</v>
      </c>
      <c r="R3237" s="4">
        <f t="shared" ca="1" si="286"/>
        <v>-17.331577566688111</v>
      </c>
      <c r="S3237" s="4">
        <f t="shared" ca="1" si="287"/>
        <v>-8.6511374137013153</v>
      </c>
    </row>
    <row r="3238" spans="15:19" x14ac:dyDescent="0.2">
      <c r="O3238" s="4">
        <f t="shared" ca="1" si="283"/>
        <v>0.98698570398498886</v>
      </c>
      <c r="P3238" s="4">
        <f t="shared" ca="1" si="284"/>
        <v>2.2257849103651441</v>
      </c>
      <c r="Q3238" s="4">
        <f t="shared" ca="1" si="285"/>
        <v>1881.2666797209345</v>
      </c>
      <c r="R3238" s="4">
        <f t="shared" ca="1" si="286"/>
        <v>-42.403364279065499</v>
      </c>
      <c r="S3238" s="4">
        <f t="shared" ca="1" si="287"/>
        <v>-20.733069426017209</v>
      </c>
    </row>
    <row r="3239" spans="15:19" x14ac:dyDescent="0.2">
      <c r="O3239" s="4">
        <f t="shared" ca="1" si="283"/>
        <v>0.75118539075127488</v>
      </c>
      <c r="P3239" s="4">
        <f t="shared" ca="1" si="284"/>
        <v>0.67822472425394242</v>
      </c>
      <c r="Q3239" s="4">
        <f t="shared" ca="1" si="285"/>
        <v>1910.4670845962394</v>
      </c>
      <c r="R3239" s="4">
        <f t="shared" ca="1" si="286"/>
        <v>-13.202959403760588</v>
      </c>
      <c r="S3239" s="4">
        <f t="shared" ca="1" si="287"/>
        <v>-6.6125078228560534</v>
      </c>
    </row>
    <row r="3240" spans="15:19" x14ac:dyDescent="0.2">
      <c r="O3240" s="4">
        <f t="shared" ca="1" si="283"/>
        <v>0.67679281732899355</v>
      </c>
      <c r="P3240" s="4">
        <f t="shared" ca="1" si="284"/>
        <v>0.4587490791533359</v>
      </c>
      <c r="Q3240" s="4">
        <f t="shared" ca="1" si="285"/>
        <v>1914.6082984596635</v>
      </c>
      <c r="R3240" s="4">
        <f t="shared" ca="1" si="286"/>
        <v>-9.0617455403364602</v>
      </c>
      <c r="S3240" s="4">
        <f t="shared" ca="1" si="287"/>
        <v>-4.5537177674513094</v>
      </c>
    </row>
    <row r="3241" spans="15:19" x14ac:dyDescent="0.2">
      <c r="O3241" s="4">
        <f t="shared" ca="1" si="283"/>
        <v>0.367808897331527</v>
      </c>
      <c r="P3241" s="4">
        <f t="shared" ca="1" si="284"/>
        <v>-0.33766215844714337</v>
      </c>
      <c r="Q3241" s="4">
        <f t="shared" ca="1" si="285"/>
        <v>1929.6355205308223</v>
      </c>
      <c r="R3241" s="4">
        <f t="shared" ca="1" si="286"/>
        <v>5.9654765308223432</v>
      </c>
      <c r="S3241" s="4">
        <f t="shared" ca="1" si="287"/>
        <v>3.034268987178347</v>
      </c>
    </row>
    <row r="3242" spans="15:19" x14ac:dyDescent="0.2">
      <c r="O3242" s="4">
        <f t="shared" ca="1" si="283"/>
        <v>1.7459148112225487E-3</v>
      </c>
      <c r="P3242" s="4">
        <f t="shared" ca="1" si="284"/>
        <v>-2.9207561993412692</v>
      </c>
      <c r="Q3242" s="4">
        <f t="shared" ca="1" si="285"/>
        <v>1978.3750736041245</v>
      </c>
      <c r="R3242" s="4">
        <f t="shared" ca="1" si="286"/>
        <v>54.705029604124547</v>
      </c>
      <c r="S3242" s="4">
        <f t="shared" ca="1" si="287"/>
        <v>28.910433571354819</v>
      </c>
    </row>
    <row r="3243" spans="15:19" x14ac:dyDescent="0.2">
      <c r="O3243" s="4">
        <f t="shared" ca="1" si="283"/>
        <v>0.74852418548012511</v>
      </c>
      <c r="P3243" s="4">
        <f t="shared" ca="1" si="284"/>
        <v>0.66985280312374296</v>
      </c>
      <c r="Q3243" s="4">
        <f t="shared" ca="1" si="285"/>
        <v>1910.6250516263945</v>
      </c>
      <c r="R3243" s="4">
        <f t="shared" ca="1" si="286"/>
        <v>-13.04499237360551</v>
      </c>
      <c r="S3243" s="4">
        <f t="shared" ca="1" si="287"/>
        <v>-6.5342312005237391</v>
      </c>
    </row>
    <row r="3244" spans="15:19" x14ac:dyDescent="0.2">
      <c r="O3244" s="4">
        <f t="shared" ca="1" si="283"/>
        <v>0.57659475460333631</v>
      </c>
      <c r="P3244" s="4">
        <f t="shared" ca="1" si="284"/>
        <v>0.19318959044812162</v>
      </c>
      <c r="Q3244" s="4">
        <f t="shared" ca="1" si="285"/>
        <v>1919.6190532324113</v>
      </c>
      <c r="R3244" s="4">
        <f t="shared" ca="1" si="286"/>
        <v>-4.0509907675887007</v>
      </c>
      <c r="S3244" s="4">
        <f t="shared" ca="1" si="287"/>
        <v>-2.0439709854312453</v>
      </c>
    </row>
    <row r="3245" spans="15:19" x14ac:dyDescent="0.2">
      <c r="O3245" s="4">
        <f t="shared" ca="1" si="283"/>
        <v>0.15619147789942867</v>
      </c>
      <c r="P3245" s="4">
        <f t="shared" ca="1" si="284"/>
        <v>-1.0102344959988641</v>
      </c>
      <c r="Q3245" s="4">
        <f t="shared" ca="1" si="285"/>
        <v>1942.32606707027</v>
      </c>
      <c r="R3245" s="4">
        <f t="shared" ca="1" si="286"/>
        <v>18.656023070270066</v>
      </c>
      <c r="S3245" s="4">
        <f t="shared" ca="1" si="287"/>
        <v>9.5855409150715118</v>
      </c>
    </row>
    <row r="3246" spans="15:19" x14ac:dyDescent="0.2">
      <c r="O3246" s="4">
        <f t="shared" ca="1" si="283"/>
        <v>0.15730761115767555</v>
      </c>
      <c r="P3246" s="4">
        <f t="shared" ca="1" si="284"/>
        <v>-1.005585041810384</v>
      </c>
      <c r="Q3246" s="4">
        <f t="shared" ca="1" si="285"/>
        <v>1942.2383380462413</v>
      </c>
      <c r="R3246" s="4">
        <f t="shared" ca="1" si="286"/>
        <v>18.568294046241363</v>
      </c>
      <c r="S3246" s="4">
        <f t="shared" ca="1" si="287"/>
        <v>9.5398022769680839</v>
      </c>
    </row>
    <row r="3247" spans="15:19" x14ac:dyDescent="0.2">
      <c r="O3247" s="4">
        <f t="shared" ca="1" si="283"/>
        <v>0.72317598053668086</v>
      </c>
      <c r="P3247" s="4">
        <f t="shared" ca="1" si="284"/>
        <v>0.59230250477085833</v>
      </c>
      <c r="Q3247" s="4">
        <f t="shared" ca="1" si="285"/>
        <v>1912.0883227356073</v>
      </c>
      <c r="R3247" s="4">
        <f t="shared" ca="1" si="286"/>
        <v>-11.581721264392627</v>
      </c>
      <c r="S3247" s="4">
        <f t="shared" ca="1" si="287"/>
        <v>-5.8081779993685183</v>
      </c>
    </row>
    <row r="3248" spans="15:19" x14ac:dyDescent="0.2">
      <c r="O3248" s="4">
        <f t="shared" ca="1" si="283"/>
        <v>0.33819026689819431</v>
      </c>
      <c r="P3248" s="4">
        <f t="shared" ca="1" si="284"/>
        <v>-0.41740727600490329</v>
      </c>
      <c r="Q3248" s="4">
        <f t="shared" ca="1" si="285"/>
        <v>1931.1402049627516</v>
      </c>
      <c r="R3248" s="4">
        <f t="shared" ca="1" si="286"/>
        <v>7.4701609627516063</v>
      </c>
      <c r="S3248" s="4">
        <f t="shared" ca="1" si="287"/>
        <v>3.804184456947223</v>
      </c>
    </row>
    <row r="3249" spans="15:19" x14ac:dyDescent="0.2">
      <c r="O3249" s="4">
        <f t="shared" ca="1" si="283"/>
        <v>0.95187843243251169</v>
      </c>
      <c r="P3249" s="4">
        <f t="shared" ca="1" si="284"/>
        <v>1.6633463029228073</v>
      </c>
      <c r="Q3249" s="4">
        <f t="shared" ca="1" si="285"/>
        <v>1891.8791490789688</v>
      </c>
      <c r="R3249" s="4">
        <f t="shared" ca="1" si="286"/>
        <v>-31.790894921031168</v>
      </c>
      <c r="S3249" s="4">
        <f t="shared" ca="1" si="287"/>
        <v>-15.681453407137845</v>
      </c>
    </row>
    <row r="3250" spans="15:19" x14ac:dyDescent="0.2">
      <c r="O3250" s="4">
        <f t="shared" ca="1" si="283"/>
        <v>0.64019631975501601</v>
      </c>
      <c r="P3250" s="4">
        <f t="shared" ca="1" si="284"/>
        <v>0.35898359665532481</v>
      </c>
      <c r="Q3250" s="4">
        <f t="shared" ca="1" si="285"/>
        <v>1916.4907405822166</v>
      </c>
      <c r="R3250" s="4">
        <f t="shared" ca="1" si="286"/>
        <v>-7.1793034177833306</v>
      </c>
      <c r="S3250" s="4">
        <f t="shared" ca="1" si="287"/>
        <v>-3.6132523868111459</v>
      </c>
    </row>
    <row r="3251" spans="15:19" x14ac:dyDescent="0.2">
      <c r="O3251" s="4">
        <f t="shared" ca="1" si="283"/>
        <v>0.33752924084428071</v>
      </c>
      <c r="P3251" s="4">
        <f t="shared" ca="1" si="284"/>
        <v>-0.41921572374847654</v>
      </c>
      <c r="Q3251" s="4">
        <f t="shared" ca="1" si="285"/>
        <v>1931.1743279692637</v>
      </c>
      <c r="R3251" s="4">
        <f t="shared" ca="1" si="286"/>
        <v>7.5042839692637244</v>
      </c>
      <c r="S3251" s="4">
        <f t="shared" ca="1" si="287"/>
        <v>3.821665858492111</v>
      </c>
    </row>
    <row r="3252" spans="15:19" x14ac:dyDescent="0.2">
      <c r="O3252" s="4">
        <f t="shared" ca="1" si="283"/>
        <v>0.71115561755376544</v>
      </c>
      <c r="P3252" s="4">
        <f t="shared" ca="1" si="284"/>
        <v>0.55676388064876692</v>
      </c>
      <c r="Q3252" s="4">
        <f t="shared" ca="1" si="285"/>
        <v>1912.7588893619588</v>
      </c>
      <c r="R3252" s="4">
        <f t="shared" ca="1" si="286"/>
        <v>-10.911154638041126</v>
      </c>
      <c r="S3252" s="4">
        <f t="shared" ca="1" si="287"/>
        <v>-5.4748704186701582</v>
      </c>
    </row>
    <row r="3253" spans="15:19" x14ac:dyDescent="0.2">
      <c r="O3253" s="4">
        <f t="shared" ca="1" si="283"/>
        <v>0.76687107760475104</v>
      </c>
      <c r="P3253" s="4">
        <f t="shared" ca="1" si="284"/>
        <v>0.72858126067922213</v>
      </c>
      <c r="Q3253" s="4">
        <f t="shared" ca="1" si="285"/>
        <v>1909.5169236493939</v>
      </c>
      <c r="R3253" s="4">
        <f t="shared" ca="1" si="286"/>
        <v>-14.153120350606059</v>
      </c>
      <c r="S3253" s="4">
        <f t="shared" ca="1" si="287"/>
        <v>-7.0829077813166332</v>
      </c>
    </row>
    <row r="3254" spans="15:19" x14ac:dyDescent="0.2">
      <c r="O3254" s="4">
        <f t="shared" ca="1" si="283"/>
        <v>0.17387589170330409</v>
      </c>
      <c r="P3254" s="4">
        <f t="shared" ca="1" si="284"/>
        <v>-0.93895902288746791</v>
      </c>
      <c r="Q3254" s="4">
        <f t="shared" ca="1" si="285"/>
        <v>1940.981193577652</v>
      </c>
      <c r="R3254" s="4">
        <f t="shared" ca="1" si="286"/>
        <v>17.311149577652031</v>
      </c>
      <c r="S3254" s="4">
        <f t="shared" ca="1" si="287"/>
        <v>8.8850623137420044</v>
      </c>
    </row>
    <row r="3255" spans="15:19" x14ac:dyDescent="0.2">
      <c r="O3255" s="4">
        <f t="shared" ca="1" si="283"/>
        <v>0.95814648942708625</v>
      </c>
      <c r="P3255" s="4">
        <f t="shared" ca="1" si="284"/>
        <v>1.7295706080474826</v>
      </c>
      <c r="Q3255" s="4">
        <f t="shared" ca="1" si="285"/>
        <v>1890.6295844161004</v>
      </c>
      <c r="R3255" s="4">
        <f t="shared" ca="1" si="286"/>
        <v>-33.040459583899519</v>
      </c>
      <c r="S3255" s="4">
        <f t="shared" ca="1" si="287"/>
        <v>-16.281018206164362</v>
      </c>
    </row>
    <row r="3256" spans="15:19" x14ac:dyDescent="0.2">
      <c r="O3256" s="4">
        <f t="shared" ca="1" si="283"/>
        <v>0.90644919719738348</v>
      </c>
      <c r="P3256" s="4">
        <f t="shared" ca="1" si="284"/>
        <v>1.3192019528626144</v>
      </c>
      <c r="Q3256" s="4">
        <f t="shared" ca="1" si="285"/>
        <v>1898.3726957904273</v>
      </c>
      <c r="R3256" s="4">
        <f t="shared" ca="1" si="286"/>
        <v>-25.297348209572647</v>
      </c>
      <c r="S3256" s="4">
        <f t="shared" ca="1" si="287"/>
        <v>-12.545259126049801</v>
      </c>
    </row>
    <row r="3257" spans="15:19" x14ac:dyDescent="0.2">
      <c r="O3257" s="4">
        <f t="shared" ca="1" si="283"/>
        <v>0.69493369241058767</v>
      </c>
      <c r="P3257" s="4">
        <f t="shared" ca="1" si="284"/>
        <v>0.50988416661663927</v>
      </c>
      <c r="Q3257" s="4">
        <f t="shared" ca="1" si="285"/>
        <v>1913.6434472889862</v>
      </c>
      <c r="R3257" s="4">
        <f t="shared" ca="1" si="286"/>
        <v>-10.026596711013781</v>
      </c>
      <c r="S3257" s="4">
        <f t="shared" ca="1" si="287"/>
        <v>-5.0346377201029515</v>
      </c>
    </row>
    <row r="3258" spans="15:19" x14ac:dyDescent="0.2">
      <c r="O3258" s="4">
        <f t="shared" ca="1" si="283"/>
        <v>0.40763631828882818</v>
      </c>
      <c r="P3258" s="4">
        <f t="shared" ca="1" si="284"/>
        <v>-0.23362948349115373</v>
      </c>
      <c r="Q3258" s="4">
        <f t="shared" ca="1" si="285"/>
        <v>1927.6725621552841</v>
      </c>
      <c r="R3258" s="4">
        <f t="shared" ca="1" si="286"/>
        <v>4.0025181552841786</v>
      </c>
      <c r="S3258" s="4">
        <f t="shared" ca="1" si="287"/>
        <v>2.0326352051928955</v>
      </c>
    </row>
    <row r="3259" spans="15:19" x14ac:dyDescent="0.2">
      <c r="O3259" s="4">
        <f t="shared" ca="1" si="283"/>
        <v>0.60683514806536965</v>
      </c>
      <c r="P3259" s="4">
        <f t="shared" ca="1" si="284"/>
        <v>0.27107973953603626</v>
      </c>
      <c r="Q3259" s="4">
        <f t="shared" ca="1" si="285"/>
        <v>1918.1493695912984</v>
      </c>
      <c r="R3259" s="4">
        <f t="shared" ca="1" si="286"/>
        <v>-5.5206744087015522</v>
      </c>
      <c r="S3259" s="4">
        <f t="shared" ca="1" si="287"/>
        <v>-2.7822128670251658</v>
      </c>
    </row>
    <row r="3260" spans="15:19" x14ac:dyDescent="0.2">
      <c r="O3260" s="4">
        <f t="shared" ca="1" si="283"/>
        <v>0.73958998704928991</v>
      </c>
      <c r="P3260" s="4">
        <f t="shared" ca="1" si="284"/>
        <v>0.64208187152782281</v>
      </c>
      <c r="Q3260" s="4">
        <f t="shared" ca="1" si="285"/>
        <v>1911.1490522136692</v>
      </c>
      <c r="R3260" s="4">
        <f t="shared" ca="1" si="286"/>
        <v>-12.520991786330796</v>
      </c>
      <c r="S3260" s="4">
        <f t="shared" ca="1" si="287"/>
        <v>-6.2744303105184835</v>
      </c>
    </row>
    <row r="3261" spans="15:19" x14ac:dyDescent="0.2">
      <c r="O3261" s="4">
        <f t="shared" ca="1" si="283"/>
        <v>0.27145287667177342</v>
      </c>
      <c r="P3261" s="4">
        <f t="shared" ca="1" si="284"/>
        <v>-0.60842482110629992</v>
      </c>
      <c r="Q3261" s="4">
        <f t="shared" ca="1" si="285"/>
        <v>1934.7444522839908</v>
      </c>
      <c r="R3261" s="4">
        <f t="shared" ca="1" si="286"/>
        <v>11.074408283990806</v>
      </c>
      <c r="S3261" s="4">
        <f t="shared" ca="1" si="287"/>
        <v>5.6558979413243788</v>
      </c>
    </row>
    <row r="3262" spans="15:19" x14ac:dyDescent="0.2">
      <c r="O3262" s="4">
        <f t="shared" ca="1" si="283"/>
        <v>9.3125241231615918E-2</v>
      </c>
      <c r="P3262" s="4">
        <f t="shared" ca="1" si="284"/>
        <v>-1.3217527934305806</v>
      </c>
      <c r="Q3262" s="4">
        <f t="shared" ca="1" si="285"/>
        <v>1948.204003510293</v>
      </c>
      <c r="R3262" s="4">
        <f t="shared" ca="1" si="286"/>
        <v>24.533959510293016</v>
      </c>
      <c r="S3262" s="4">
        <f t="shared" ca="1" si="287"/>
        <v>12.664351753827759</v>
      </c>
    </row>
    <row r="3263" spans="15:19" x14ac:dyDescent="0.2">
      <c r="O3263" s="4">
        <f t="shared" ca="1" si="283"/>
        <v>0.54551780905792824</v>
      </c>
      <c r="P3263" s="4">
        <f t="shared" ca="1" si="284"/>
        <v>0.11434491128522817</v>
      </c>
      <c r="Q3263" s="4">
        <f t="shared" ca="1" si="285"/>
        <v>1921.1067475880056</v>
      </c>
      <c r="R3263" s="4">
        <f t="shared" ca="1" si="286"/>
        <v>-2.5632964119943153</v>
      </c>
      <c r="S3263" s="4">
        <f t="shared" ca="1" si="287"/>
        <v>-1.2948911073328826</v>
      </c>
    </row>
    <row r="3264" spans="15:19" x14ac:dyDescent="0.2">
      <c r="O3264" s="4">
        <f t="shared" ca="1" si="283"/>
        <v>0.43475551377866639</v>
      </c>
      <c r="P3264" s="4">
        <f t="shared" ca="1" si="284"/>
        <v>-0.16427961624978368</v>
      </c>
      <c r="Q3264" s="4">
        <f t="shared" ca="1" si="285"/>
        <v>1926.3640222873873</v>
      </c>
      <c r="R3264" s="4">
        <f t="shared" ca="1" si="286"/>
        <v>2.693978287387381</v>
      </c>
      <c r="S3264" s="4">
        <f t="shared" ca="1" si="287"/>
        <v>1.3666725089834235</v>
      </c>
    </row>
    <row r="3265" spans="15:19" x14ac:dyDescent="0.2">
      <c r="O3265" s="4">
        <f t="shared" ca="1" si="283"/>
        <v>0.75910516611328349</v>
      </c>
      <c r="P3265" s="4">
        <f t="shared" ca="1" si="284"/>
        <v>0.70342702791720746</v>
      </c>
      <c r="Q3265" s="4">
        <f t="shared" ca="1" si="285"/>
        <v>1909.9915506057928</v>
      </c>
      <c r="R3265" s="4">
        <f t="shared" ca="1" si="286"/>
        <v>-13.67849339420718</v>
      </c>
      <c r="S3265" s="4">
        <f t="shared" ca="1" si="287"/>
        <v>-6.8480242025961537</v>
      </c>
    </row>
    <row r="3266" spans="15:19" x14ac:dyDescent="0.2">
      <c r="O3266" s="4">
        <f t="shared" ca="1" si="283"/>
        <v>0.54434553139603037</v>
      </c>
      <c r="P3266" s="4">
        <f t="shared" ca="1" si="284"/>
        <v>0.11138766990187531</v>
      </c>
      <c r="Q3266" s="4">
        <f t="shared" ca="1" si="285"/>
        <v>1921.1625468043997</v>
      </c>
      <c r="R3266" s="4">
        <f t="shared" ca="1" si="286"/>
        <v>-2.5074971956003083</v>
      </c>
      <c r="S3266" s="4">
        <f t="shared" ca="1" si="287"/>
        <v>-1.2667601761814409</v>
      </c>
    </row>
    <row r="3267" spans="15:19" x14ac:dyDescent="0.2">
      <c r="O3267" s="4">
        <f t="shared" ref="O3267:O3330" ca="1" si="288">RAND()</f>
        <v>0.33607874693385598</v>
      </c>
      <c r="P3267" s="4">
        <f t="shared" ref="P3267:P3330" ca="1" si="289">NORMSINV(O3267)</f>
        <v>-0.4231888326232851</v>
      </c>
      <c r="Q3267" s="4">
        <f t="shared" ref="Q3267:Q3330" ca="1" si="290">$B$4*(1+$B$17-$B$32*P3267)</f>
        <v>1931.2492952557054</v>
      </c>
      <c r="R3267" s="4">
        <f t="shared" ref="R3267:R3330" ca="1" si="291">Q3267-$B$4</f>
        <v>7.5792512557054579</v>
      </c>
      <c r="S3267" s="4">
        <f t="shared" ref="S3267:S3330" ca="1" si="292">R3267*$B$12+0.5*$B$13*R3267^2</f>
        <v>3.8600753355491433</v>
      </c>
    </row>
    <row r="3268" spans="15:19" x14ac:dyDescent="0.2">
      <c r="O3268" s="4">
        <f t="shared" ca="1" si="288"/>
        <v>6.7395850091384046E-2</v>
      </c>
      <c r="P3268" s="4">
        <f t="shared" ca="1" si="289"/>
        <v>-1.4954704735824427</v>
      </c>
      <c r="Q3268" s="4">
        <f t="shared" ca="1" si="290"/>
        <v>1951.4818253617195</v>
      </c>
      <c r="R3268" s="4">
        <f t="shared" ca="1" si="291"/>
        <v>27.811781361719568</v>
      </c>
      <c r="S3268" s="4">
        <f t="shared" ca="1" si="292"/>
        <v>14.393462224123487</v>
      </c>
    </row>
    <row r="3269" spans="15:19" x14ac:dyDescent="0.2">
      <c r="O3269" s="4">
        <f t="shared" ca="1" si="288"/>
        <v>0.78242514877472691</v>
      </c>
      <c r="P3269" s="4">
        <f t="shared" ca="1" si="289"/>
        <v>0.78040979808334221</v>
      </c>
      <c r="Q3269" s="4">
        <f t="shared" ca="1" si="290"/>
        <v>1908.5389879995382</v>
      </c>
      <c r="R3269" s="4">
        <f t="shared" ca="1" si="291"/>
        <v>-15.13105600046174</v>
      </c>
      <c r="S3269" s="4">
        <f t="shared" ca="1" si="292"/>
        <v>-7.566290721279179</v>
      </c>
    </row>
    <row r="3270" spans="15:19" x14ac:dyDescent="0.2">
      <c r="O3270" s="4">
        <f t="shared" ca="1" si="288"/>
        <v>0.59961324878593047</v>
      </c>
      <c r="P3270" s="4">
        <f t="shared" ca="1" si="289"/>
        <v>0.25234617206964838</v>
      </c>
      <c r="Q3270" s="4">
        <f t="shared" ca="1" si="290"/>
        <v>1918.50284712302</v>
      </c>
      <c r="R3270" s="4">
        <f t="shared" ca="1" si="291"/>
        <v>-5.167196876979915</v>
      </c>
      <c r="S3270" s="4">
        <f t="shared" ca="1" si="292"/>
        <v>-2.6048169541192077</v>
      </c>
    </row>
    <row r="3271" spans="15:19" x14ac:dyDescent="0.2">
      <c r="O3271" s="4">
        <f t="shared" ca="1" si="288"/>
        <v>0.14433304296619043</v>
      </c>
      <c r="P3271" s="4">
        <f t="shared" ca="1" si="289"/>
        <v>-1.0610524051736716</v>
      </c>
      <c r="Q3271" s="4">
        <f t="shared" ca="1" si="290"/>
        <v>1943.2849335079943</v>
      </c>
      <c r="R3271" s="4">
        <f t="shared" ca="1" si="291"/>
        <v>19.614889507994349</v>
      </c>
      <c r="S3271" s="4">
        <f t="shared" ca="1" si="292"/>
        <v>10.085866592509333</v>
      </c>
    </row>
    <row r="3272" spans="15:19" x14ac:dyDescent="0.2">
      <c r="O3272" s="4">
        <f t="shared" ca="1" si="288"/>
        <v>0.42986737218148607</v>
      </c>
      <c r="P3272" s="4">
        <f t="shared" ca="1" si="289"/>
        <v>-0.17671183478574279</v>
      </c>
      <c r="Q3272" s="4">
        <f t="shared" ca="1" si="290"/>
        <v>1926.5986017357384</v>
      </c>
      <c r="R3272" s="4">
        <f t="shared" ca="1" si="291"/>
        <v>2.9285577357384227</v>
      </c>
      <c r="S3272" s="4">
        <f t="shared" ca="1" si="292"/>
        <v>1.4859558198054748</v>
      </c>
    </row>
    <row r="3273" spans="15:19" x14ac:dyDescent="0.2">
      <c r="O3273" s="4">
        <f t="shared" ca="1" si="288"/>
        <v>5.5751582509592557E-2</v>
      </c>
      <c r="P3273" s="4">
        <f t="shared" ca="1" si="289"/>
        <v>-1.5914730091534399</v>
      </c>
      <c r="Q3273" s="4">
        <f t="shared" ca="1" si="290"/>
        <v>1953.2932656745988</v>
      </c>
      <c r="R3273" s="4">
        <f t="shared" ca="1" si="291"/>
        <v>29.623221674598881</v>
      </c>
      <c r="S3273" s="4">
        <f t="shared" ca="1" si="292"/>
        <v>15.352782568147441</v>
      </c>
    </row>
    <row r="3274" spans="15:19" x14ac:dyDescent="0.2">
      <c r="O3274" s="4">
        <f t="shared" ca="1" si="288"/>
        <v>0.38309723019151076</v>
      </c>
      <c r="P3274" s="4">
        <f t="shared" ca="1" si="289"/>
        <v>-0.29735635594679327</v>
      </c>
      <c r="Q3274" s="4">
        <f t="shared" ca="1" si="290"/>
        <v>1928.8750035813703</v>
      </c>
      <c r="R3274" s="4">
        <f t="shared" ca="1" si="291"/>
        <v>5.2049595813703036</v>
      </c>
      <c r="S3274" s="4">
        <f t="shared" ca="1" si="292"/>
        <v>2.6458296805399293</v>
      </c>
    </row>
    <row r="3275" spans="15:19" x14ac:dyDescent="0.2">
      <c r="O3275" s="4">
        <f t="shared" ca="1" si="288"/>
        <v>0.39628922732698357</v>
      </c>
      <c r="P3275" s="4">
        <f t="shared" ca="1" si="289"/>
        <v>-0.26296383395611123</v>
      </c>
      <c r="Q3275" s="4">
        <f t="shared" ca="1" si="290"/>
        <v>1928.2260623797138</v>
      </c>
      <c r="R3275" s="4">
        <f t="shared" ca="1" si="291"/>
        <v>4.5560183797138052</v>
      </c>
      <c r="S3275" s="4">
        <f t="shared" ca="1" si="292"/>
        <v>2.3147507890347572</v>
      </c>
    </row>
    <row r="3276" spans="15:19" x14ac:dyDescent="0.2">
      <c r="O3276" s="4">
        <f t="shared" ca="1" si="288"/>
        <v>0.60766939693659239</v>
      </c>
      <c r="P3276" s="4">
        <f t="shared" ca="1" si="289"/>
        <v>0.27324979348942019</v>
      </c>
      <c r="Q3276" s="4">
        <f t="shared" ca="1" si="290"/>
        <v>1918.1084235559788</v>
      </c>
      <c r="R3276" s="4">
        <f t="shared" ca="1" si="291"/>
        <v>-5.5616204440211732</v>
      </c>
      <c r="S3276" s="4">
        <f t="shared" ca="1" si="292"/>
        <v>-2.8027554329066842</v>
      </c>
    </row>
    <row r="3277" spans="15:19" x14ac:dyDescent="0.2">
      <c r="O3277" s="4">
        <f t="shared" ca="1" si="288"/>
        <v>0.24873083990196132</v>
      </c>
      <c r="P3277" s="4">
        <f t="shared" ca="1" si="289"/>
        <v>-0.67848902554589419</v>
      </c>
      <c r="Q3277" s="4">
        <f t="shared" ca="1" si="290"/>
        <v>1936.0664707458661</v>
      </c>
      <c r="R3277" s="4">
        <f t="shared" ca="1" si="291"/>
        <v>12.396426745866165</v>
      </c>
      <c r="S3277" s="4">
        <f t="shared" ca="1" si="292"/>
        <v>6.3377475367988616</v>
      </c>
    </row>
    <row r="3278" spans="15:19" x14ac:dyDescent="0.2">
      <c r="O3278" s="4">
        <f t="shared" ca="1" si="288"/>
        <v>0.57014303149972045</v>
      </c>
      <c r="P3278" s="4">
        <f t="shared" ca="1" si="289"/>
        <v>0.17673832337684128</v>
      </c>
      <c r="Q3278" s="4">
        <f t="shared" ca="1" si="290"/>
        <v>1919.9294667875702</v>
      </c>
      <c r="R3278" s="4">
        <f t="shared" ca="1" si="291"/>
        <v>-3.7405772124297982</v>
      </c>
      <c r="S3278" s="4">
        <f t="shared" ca="1" si="292"/>
        <v>-1.8878211443533093</v>
      </c>
    </row>
    <row r="3279" spans="15:19" x14ac:dyDescent="0.2">
      <c r="O3279" s="4">
        <f t="shared" ca="1" si="288"/>
        <v>0.57230874301384138</v>
      </c>
      <c r="P3279" s="4">
        <f t="shared" ca="1" si="289"/>
        <v>0.18225512484878048</v>
      </c>
      <c r="Q3279" s="4">
        <f t="shared" ca="1" si="290"/>
        <v>1919.8253720725193</v>
      </c>
      <c r="R3279" s="4">
        <f t="shared" ca="1" si="291"/>
        <v>-3.8446719274807037</v>
      </c>
      <c r="S3279" s="4">
        <f t="shared" ca="1" si="292"/>
        <v>-1.9401934932208573</v>
      </c>
    </row>
    <row r="3280" spans="15:19" x14ac:dyDescent="0.2">
      <c r="O3280" s="4">
        <f t="shared" ca="1" si="288"/>
        <v>0.54578709281492188</v>
      </c>
      <c r="P3280" s="4">
        <f t="shared" ca="1" si="289"/>
        <v>0.11502435915851246</v>
      </c>
      <c r="Q3280" s="4">
        <f t="shared" ca="1" si="290"/>
        <v>1921.0939273092404</v>
      </c>
      <c r="R3280" s="4">
        <f t="shared" ca="1" si="291"/>
        <v>-2.5761166907595907</v>
      </c>
      <c r="S3280" s="4">
        <f t="shared" ca="1" si="292"/>
        <v>-1.3013540367516616</v>
      </c>
    </row>
    <row r="3281" spans="15:19" x14ac:dyDescent="0.2">
      <c r="O3281" s="4">
        <f t="shared" ca="1" si="288"/>
        <v>7.7774462794592547E-2</v>
      </c>
      <c r="P3281" s="4">
        <f t="shared" ca="1" si="289"/>
        <v>-1.4202018487833992</v>
      </c>
      <c r="Q3281" s="4">
        <f t="shared" ca="1" si="290"/>
        <v>1950.0616064014075</v>
      </c>
      <c r="R3281" s="4">
        <f t="shared" ca="1" si="291"/>
        <v>26.391562401407555</v>
      </c>
      <c r="S3281" s="4">
        <f t="shared" ca="1" si="292"/>
        <v>13.643197035538073</v>
      </c>
    </row>
    <row r="3282" spans="15:19" x14ac:dyDescent="0.2">
      <c r="O3282" s="4">
        <f t="shared" ca="1" si="288"/>
        <v>0.56347185862280813</v>
      </c>
      <c r="P3282" s="4">
        <f t="shared" ca="1" si="289"/>
        <v>0.15977758378398671</v>
      </c>
      <c r="Q3282" s="4">
        <f t="shared" ca="1" si="290"/>
        <v>1920.2494934124088</v>
      </c>
      <c r="R3282" s="4">
        <f t="shared" ca="1" si="291"/>
        <v>-3.4205505875911513</v>
      </c>
      <c r="S3282" s="4">
        <f t="shared" ca="1" si="292"/>
        <v>-1.7267534337625026</v>
      </c>
    </row>
    <row r="3283" spans="15:19" x14ac:dyDescent="0.2">
      <c r="O3283" s="4">
        <f t="shared" ca="1" si="288"/>
        <v>6.6367659733717277E-2</v>
      </c>
      <c r="P3283" s="4">
        <f t="shared" ca="1" si="289"/>
        <v>-1.5034023558230314</v>
      </c>
      <c r="Q3283" s="4">
        <f t="shared" ca="1" si="290"/>
        <v>1951.6314894425914</v>
      </c>
      <c r="R3283" s="4">
        <f t="shared" ca="1" si="291"/>
        <v>27.961445442591412</v>
      </c>
      <c r="S3283" s="4">
        <f t="shared" ca="1" si="292"/>
        <v>14.472621555882592</v>
      </c>
    </row>
    <row r="3284" spans="15:19" x14ac:dyDescent="0.2">
      <c r="O3284" s="4">
        <f t="shared" ca="1" si="288"/>
        <v>0.94598387910338433</v>
      </c>
      <c r="P3284" s="4">
        <f t="shared" ca="1" si="289"/>
        <v>1.6071008732227061</v>
      </c>
      <c r="Q3284" s="4">
        <f t="shared" ca="1" si="290"/>
        <v>1892.9404256188852</v>
      </c>
      <c r="R3284" s="4">
        <f t="shared" ca="1" si="291"/>
        <v>-30.729618381114733</v>
      </c>
      <c r="S3284" s="4">
        <f t="shared" ca="1" si="292"/>
        <v>-15.171234503254293</v>
      </c>
    </row>
    <row r="3285" spans="15:19" x14ac:dyDescent="0.2">
      <c r="O3285" s="4">
        <f t="shared" ca="1" si="288"/>
        <v>0.59884737243205988</v>
      </c>
      <c r="P3285" s="4">
        <f t="shared" ca="1" si="289"/>
        <v>0.25036479134899398</v>
      </c>
      <c r="Q3285" s="4">
        <f t="shared" ca="1" si="290"/>
        <v>1918.5402331450791</v>
      </c>
      <c r="R3285" s="4">
        <f t="shared" ca="1" si="291"/>
        <v>-5.1298108549208337</v>
      </c>
      <c r="S3285" s="4">
        <f t="shared" ca="1" si="292"/>
        <v>-2.586048490622165</v>
      </c>
    </row>
    <row r="3286" spans="15:19" x14ac:dyDescent="0.2">
      <c r="O3286" s="4">
        <f t="shared" ca="1" si="288"/>
        <v>0.84607200406315175</v>
      </c>
      <c r="P3286" s="4">
        <f t="shared" ca="1" si="289"/>
        <v>1.0197311335689514</v>
      </c>
      <c r="Q3286" s="4">
        <f t="shared" ca="1" si="290"/>
        <v>1904.023312322304</v>
      </c>
      <c r="R3286" s="4">
        <f t="shared" ca="1" si="291"/>
        <v>-19.646731677695925</v>
      </c>
      <c r="S3286" s="4">
        <f t="shared" ca="1" si="292"/>
        <v>-9.7882417077019177</v>
      </c>
    </row>
    <row r="3287" spans="15:19" x14ac:dyDescent="0.2">
      <c r="O3287" s="4">
        <f t="shared" ca="1" si="288"/>
        <v>0.39884136273795123</v>
      </c>
      <c r="P3287" s="4">
        <f t="shared" ca="1" si="289"/>
        <v>-0.25634723716593583</v>
      </c>
      <c r="Q3287" s="4">
        <f t="shared" ca="1" si="290"/>
        <v>1928.101215988017</v>
      </c>
      <c r="R3287" s="4">
        <f t="shared" ca="1" si="291"/>
        <v>4.4311719880170131</v>
      </c>
      <c r="S3287" s="4">
        <f t="shared" ca="1" si="292"/>
        <v>2.2510955835831186</v>
      </c>
    </row>
    <row r="3288" spans="15:19" x14ac:dyDescent="0.2">
      <c r="O3288" s="4">
        <f t="shared" ca="1" si="288"/>
        <v>0.18680759118522805</v>
      </c>
      <c r="P3288" s="4">
        <f t="shared" ca="1" si="289"/>
        <v>-0.889721991817918</v>
      </c>
      <c r="Q3288" s="4">
        <f t="shared" ca="1" si="290"/>
        <v>1940.0521562096762</v>
      </c>
      <c r="R3288" s="4">
        <f t="shared" ca="1" si="291"/>
        <v>16.382112209676279</v>
      </c>
      <c r="S3288" s="4">
        <f t="shared" ca="1" si="292"/>
        <v>8.4020322955204243</v>
      </c>
    </row>
    <row r="3289" spans="15:19" x14ac:dyDescent="0.2">
      <c r="O3289" s="4">
        <f t="shared" ca="1" si="288"/>
        <v>0.2035831923189475</v>
      </c>
      <c r="P3289" s="4">
        <f t="shared" ca="1" si="289"/>
        <v>-0.82889047679657146</v>
      </c>
      <c r="Q3289" s="4">
        <f t="shared" ca="1" si="290"/>
        <v>1938.9043463320745</v>
      </c>
      <c r="R3289" s="4">
        <f t="shared" ca="1" si="291"/>
        <v>15.234302332074549</v>
      </c>
      <c r="S3289" s="4">
        <f t="shared" ca="1" si="292"/>
        <v>7.8062273000203337</v>
      </c>
    </row>
    <row r="3290" spans="15:19" x14ac:dyDescent="0.2">
      <c r="O3290" s="4">
        <f t="shared" ca="1" si="288"/>
        <v>0.9947582512048998</v>
      </c>
      <c r="P3290" s="4">
        <f t="shared" ca="1" si="289"/>
        <v>2.5594598132973188</v>
      </c>
      <c r="Q3290" s="4">
        <f t="shared" ca="1" si="290"/>
        <v>1874.970677568778</v>
      </c>
      <c r="R3290" s="4">
        <f t="shared" ca="1" si="291"/>
        <v>-48.699366431221961</v>
      </c>
      <c r="S3290" s="4">
        <f t="shared" ca="1" si="292"/>
        <v>-23.686679401114649</v>
      </c>
    </row>
    <row r="3291" spans="15:19" x14ac:dyDescent="0.2">
      <c r="O3291" s="4">
        <f t="shared" ca="1" si="288"/>
        <v>0.70803184480072556</v>
      </c>
      <c r="P3291" s="4">
        <f t="shared" ca="1" si="289"/>
        <v>0.54764408817136401</v>
      </c>
      <c r="Q3291" s="4">
        <f t="shared" ca="1" si="290"/>
        <v>1912.9309677309352</v>
      </c>
      <c r="R3291" s="4">
        <f t="shared" ca="1" si="291"/>
        <v>-10.739076269064753</v>
      </c>
      <c r="S3291" s="4">
        <f t="shared" ca="1" si="292"/>
        <v>-5.3892792140298873</v>
      </c>
    </row>
    <row r="3292" spans="15:19" x14ac:dyDescent="0.2">
      <c r="O3292" s="4">
        <f t="shared" ca="1" si="288"/>
        <v>1.8368414194408267E-2</v>
      </c>
      <c r="P3292" s="4">
        <f t="shared" ca="1" si="289"/>
        <v>-2.0886767804747279</v>
      </c>
      <c r="Q3292" s="4">
        <f t="shared" ca="1" si="290"/>
        <v>1962.6748403354159</v>
      </c>
      <c r="R3292" s="4">
        <f t="shared" ca="1" si="291"/>
        <v>39.004796335415904</v>
      </c>
      <c r="S3292" s="4">
        <f t="shared" ca="1" si="292"/>
        <v>20.363914545344254</v>
      </c>
    </row>
    <row r="3293" spans="15:19" x14ac:dyDescent="0.2">
      <c r="O3293" s="4">
        <f t="shared" ca="1" si="288"/>
        <v>0.44270259798831302</v>
      </c>
      <c r="P3293" s="4">
        <f t="shared" ca="1" si="289"/>
        <v>-0.1441206533336532</v>
      </c>
      <c r="Q3293" s="4">
        <f t="shared" ca="1" si="290"/>
        <v>1925.9836494370772</v>
      </c>
      <c r="R3293" s="4">
        <f t="shared" ca="1" si="291"/>
        <v>2.3136054370772854</v>
      </c>
      <c r="S3293" s="4">
        <f t="shared" ca="1" si="292"/>
        <v>1.173348681782675</v>
      </c>
    </row>
    <row r="3294" spans="15:19" x14ac:dyDescent="0.2">
      <c r="O3294" s="4">
        <f t="shared" ca="1" si="288"/>
        <v>0.17674129305633413</v>
      </c>
      <c r="P3294" s="4">
        <f t="shared" ca="1" si="289"/>
        <v>-0.92785539234308212</v>
      </c>
      <c r="Q3294" s="4">
        <f t="shared" ca="1" si="290"/>
        <v>1940.7716828197561</v>
      </c>
      <c r="R3294" s="4">
        <f t="shared" ca="1" si="291"/>
        <v>17.10163881975609</v>
      </c>
      <c r="S3294" s="4">
        <f t="shared" ca="1" si="292"/>
        <v>8.7760710081528863</v>
      </c>
    </row>
    <row r="3295" spans="15:19" x14ac:dyDescent="0.2">
      <c r="O3295" s="4">
        <f t="shared" ca="1" si="288"/>
        <v>9.2767864070296024E-2</v>
      </c>
      <c r="P3295" s="4">
        <f t="shared" ca="1" si="289"/>
        <v>-1.3239015959125275</v>
      </c>
      <c r="Q3295" s="4">
        <f t="shared" ca="1" si="290"/>
        <v>1948.2445485585779</v>
      </c>
      <c r="R3295" s="4">
        <f t="shared" ca="1" si="291"/>
        <v>24.574504558577928</v>
      </c>
      <c r="S3295" s="4">
        <f t="shared" ca="1" si="292"/>
        <v>12.685686571994276</v>
      </c>
    </row>
    <row r="3296" spans="15:19" x14ac:dyDescent="0.2">
      <c r="O3296" s="4">
        <f t="shared" ca="1" si="288"/>
        <v>0.20490410051340613</v>
      </c>
      <c r="P3296" s="4">
        <f t="shared" ca="1" si="289"/>
        <v>-0.82423120226264779</v>
      </c>
      <c r="Q3296" s="4">
        <f t="shared" ca="1" si="290"/>
        <v>1938.8164320111734</v>
      </c>
      <c r="R3296" s="4">
        <f t="shared" ca="1" si="291"/>
        <v>15.146388011173485</v>
      </c>
      <c r="S3296" s="4">
        <f t="shared" ca="1" si="292"/>
        <v>7.7606369693845707</v>
      </c>
    </row>
    <row r="3297" spans="15:19" x14ac:dyDescent="0.2">
      <c r="O3297" s="4">
        <f t="shared" ca="1" si="288"/>
        <v>0.79243135126571351</v>
      </c>
      <c r="P3297" s="4">
        <f t="shared" ca="1" si="289"/>
        <v>0.81488647185518492</v>
      </c>
      <c r="Q3297" s="4">
        <f t="shared" ca="1" si="290"/>
        <v>1907.8884589655615</v>
      </c>
      <c r="R3297" s="4">
        <f t="shared" ca="1" si="291"/>
        <v>-15.781585034438422</v>
      </c>
      <c r="S3297" s="4">
        <f t="shared" ca="1" si="292"/>
        <v>-7.8874089028512184</v>
      </c>
    </row>
    <row r="3298" spans="15:19" x14ac:dyDescent="0.2">
      <c r="O3298" s="4">
        <f t="shared" ca="1" si="288"/>
        <v>0.58440254015363147</v>
      </c>
      <c r="P3298" s="4">
        <f t="shared" ca="1" si="289"/>
        <v>0.21316929139085716</v>
      </c>
      <c r="Q3298" s="4">
        <f t="shared" ca="1" si="290"/>
        <v>1919.2420628174009</v>
      </c>
      <c r="R3298" s="4">
        <f t="shared" ca="1" si="291"/>
        <v>-4.4279811825990691</v>
      </c>
      <c r="S3298" s="4">
        <f t="shared" ca="1" si="292"/>
        <v>-2.233506032915701</v>
      </c>
    </row>
    <row r="3299" spans="15:19" x14ac:dyDescent="0.2">
      <c r="O3299" s="4">
        <f t="shared" ca="1" si="288"/>
        <v>0.73440922911058881</v>
      </c>
      <c r="P3299" s="4">
        <f t="shared" ca="1" si="289"/>
        <v>0.62620339334643838</v>
      </c>
      <c r="Q3299" s="4">
        <f t="shared" ca="1" si="290"/>
        <v>1911.4486580033899</v>
      </c>
      <c r="R3299" s="4">
        <f t="shared" ca="1" si="291"/>
        <v>-12.221385996610024</v>
      </c>
      <c r="S3299" s="4">
        <f t="shared" ca="1" si="292"/>
        <v>-6.1257845128905357</v>
      </c>
    </row>
    <row r="3300" spans="15:19" x14ac:dyDescent="0.2">
      <c r="O3300" s="4">
        <f t="shared" ca="1" si="288"/>
        <v>0.28473661381864002</v>
      </c>
      <c r="P3300" s="4">
        <f t="shared" ca="1" si="289"/>
        <v>-0.56882747434557868</v>
      </c>
      <c r="Q3300" s="4">
        <f t="shared" ca="1" si="290"/>
        <v>1933.9973029532068</v>
      </c>
      <c r="R3300" s="4">
        <f t="shared" ca="1" si="291"/>
        <v>10.327258953206865</v>
      </c>
      <c r="S3300" s="4">
        <f t="shared" ca="1" si="292"/>
        <v>5.2711744966572915</v>
      </c>
    </row>
    <row r="3301" spans="15:19" x14ac:dyDescent="0.2">
      <c r="O3301" s="4">
        <f t="shared" ca="1" si="288"/>
        <v>0.3728702246734148</v>
      </c>
      <c r="P3301" s="4">
        <f t="shared" ca="1" si="289"/>
        <v>-0.32426099204532438</v>
      </c>
      <c r="Q3301" s="4">
        <f t="shared" ca="1" si="290"/>
        <v>1929.3826583234288</v>
      </c>
      <c r="R3301" s="4">
        <f t="shared" ca="1" si="291"/>
        <v>5.712614323428852</v>
      </c>
      <c r="S3301" s="4">
        <f t="shared" ca="1" si="292"/>
        <v>2.9050656068469349</v>
      </c>
    </row>
    <row r="3302" spans="15:19" x14ac:dyDescent="0.2">
      <c r="O3302" s="4">
        <f t="shared" ca="1" si="288"/>
        <v>0.96115323842491385</v>
      </c>
      <c r="P3302" s="4">
        <f t="shared" ca="1" si="289"/>
        <v>1.7642284589885515</v>
      </c>
      <c r="Q3302" s="4">
        <f t="shared" ca="1" si="290"/>
        <v>1889.975636809623</v>
      </c>
      <c r="R3302" s="4">
        <f t="shared" ca="1" si="291"/>
        <v>-33.694407190376978</v>
      </c>
      <c r="S3302" s="4">
        <f t="shared" ca="1" si="292"/>
        <v>-16.594287938527692</v>
      </c>
    </row>
    <row r="3303" spans="15:19" x14ac:dyDescent="0.2">
      <c r="O3303" s="4">
        <f t="shared" ca="1" si="288"/>
        <v>0.54302745249627749</v>
      </c>
      <c r="P3303" s="4">
        <f t="shared" ca="1" si="289"/>
        <v>0.10806378532181075</v>
      </c>
      <c r="Q3303" s="4">
        <f t="shared" ca="1" si="290"/>
        <v>1921.2252640908534</v>
      </c>
      <c r="R3303" s="4">
        <f t="shared" ca="1" si="291"/>
        <v>-2.4447799091465185</v>
      </c>
      <c r="S3303" s="4">
        <f t="shared" ca="1" si="292"/>
        <v>-1.2351385044760788</v>
      </c>
    </row>
    <row r="3304" spans="15:19" x14ac:dyDescent="0.2">
      <c r="O3304" s="4">
        <f t="shared" ca="1" si="288"/>
        <v>0.79109342476551048</v>
      </c>
      <c r="P3304" s="4">
        <f t="shared" ca="1" si="289"/>
        <v>0.81022103409255042</v>
      </c>
      <c r="Q3304" s="4">
        <f t="shared" ca="1" si="290"/>
        <v>1907.9764895784012</v>
      </c>
      <c r="R3304" s="4">
        <f t="shared" ca="1" si="291"/>
        <v>-15.693554421598719</v>
      </c>
      <c r="S3304" s="4">
        <f t="shared" ca="1" si="292"/>
        <v>-7.8439748419461353</v>
      </c>
    </row>
    <row r="3305" spans="15:19" x14ac:dyDescent="0.2">
      <c r="O3305" s="4">
        <f t="shared" ca="1" si="288"/>
        <v>0.40411438031430957</v>
      </c>
      <c r="P3305" s="4">
        <f t="shared" ca="1" si="289"/>
        <v>-0.24271167743242941</v>
      </c>
      <c r="Q3305" s="4">
        <f t="shared" ca="1" si="290"/>
        <v>1927.8439310898314</v>
      </c>
      <c r="R3305" s="4">
        <f t="shared" ca="1" si="291"/>
        <v>4.1738870898313962</v>
      </c>
      <c r="S3305" s="4">
        <f t="shared" ca="1" si="292"/>
        <v>2.1199542164161467</v>
      </c>
    </row>
    <row r="3306" spans="15:19" x14ac:dyDescent="0.2">
      <c r="O3306" s="4">
        <f t="shared" ca="1" si="288"/>
        <v>0.15793359878326796</v>
      </c>
      <c r="P3306" s="4">
        <f t="shared" ca="1" si="289"/>
        <v>-1.0029868675400058</v>
      </c>
      <c r="Q3306" s="4">
        <f t="shared" ca="1" si="290"/>
        <v>1942.1893139492711</v>
      </c>
      <c r="R3306" s="4">
        <f t="shared" ca="1" si="291"/>
        <v>18.51926994927112</v>
      </c>
      <c r="S3306" s="4">
        <f t="shared" ca="1" si="292"/>
        <v>9.5142456720063944</v>
      </c>
    </row>
    <row r="3307" spans="15:19" x14ac:dyDescent="0.2">
      <c r="O3307" s="4">
        <f t="shared" ca="1" si="288"/>
        <v>6.9684185359931594E-2</v>
      </c>
      <c r="P3307" s="4">
        <f t="shared" ca="1" si="289"/>
        <v>-1.4781472451529407</v>
      </c>
      <c r="Q3307" s="4">
        <f t="shared" ca="1" si="290"/>
        <v>1951.1549590540769</v>
      </c>
      <c r="R3307" s="4">
        <f t="shared" ca="1" si="291"/>
        <v>27.484915054076964</v>
      </c>
      <c r="S3307" s="4">
        <f t="shared" ca="1" si="292"/>
        <v>14.220641673159168</v>
      </c>
    </row>
    <row r="3308" spans="15:19" x14ac:dyDescent="0.2">
      <c r="O3308" s="4">
        <f t="shared" ca="1" si="288"/>
        <v>0.91401496039912811</v>
      </c>
      <c r="P3308" s="4">
        <f t="shared" ca="1" si="289"/>
        <v>1.3659008714240788</v>
      </c>
      <c r="Q3308" s="4">
        <f t="shared" ca="1" si="290"/>
        <v>1897.4915492337557</v>
      </c>
      <c r="R3308" s="4">
        <f t="shared" ca="1" si="291"/>
        <v>-26.178494766244285</v>
      </c>
      <c r="S3308" s="4">
        <f t="shared" ca="1" si="292"/>
        <v>-12.972840394811469</v>
      </c>
    </row>
    <row r="3309" spans="15:19" x14ac:dyDescent="0.2">
      <c r="O3309" s="4">
        <f t="shared" ca="1" si="288"/>
        <v>0.10800823156585215</v>
      </c>
      <c r="P3309" s="4">
        <f t="shared" ca="1" si="289"/>
        <v>-1.2371902425377885</v>
      </c>
      <c r="Q3309" s="4">
        <f t="shared" ca="1" si="290"/>
        <v>1946.6084205109892</v>
      </c>
      <c r="R3309" s="4">
        <f t="shared" ca="1" si="291"/>
        <v>22.938376510989201</v>
      </c>
      <c r="S3309" s="4">
        <f t="shared" ca="1" si="292"/>
        <v>11.825818124136511</v>
      </c>
    </row>
    <row r="3310" spans="15:19" x14ac:dyDescent="0.2">
      <c r="O3310" s="4">
        <f t="shared" ca="1" si="288"/>
        <v>0.95727903716191498</v>
      </c>
      <c r="P3310" s="4">
        <f t="shared" ca="1" si="289"/>
        <v>1.719947827136038</v>
      </c>
      <c r="Q3310" s="4">
        <f t="shared" ca="1" si="290"/>
        <v>1890.8111535086389</v>
      </c>
      <c r="R3310" s="4">
        <f t="shared" ca="1" si="291"/>
        <v>-32.85889049136108</v>
      </c>
      <c r="S3310" s="4">
        <f t="shared" ca="1" si="292"/>
        <v>-16.193976852448085</v>
      </c>
    </row>
    <row r="3311" spans="15:19" x14ac:dyDescent="0.2">
      <c r="O3311" s="4">
        <f t="shared" ca="1" si="288"/>
        <v>0.60877883940662869</v>
      </c>
      <c r="P3311" s="4">
        <f t="shared" ca="1" si="289"/>
        <v>0.27613767961144786</v>
      </c>
      <c r="Q3311" s="4">
        <f t="shared" ca="1" si="290"/>
        <v>1918.0539329812316</v>
      </c>
      <c r="R3311" s="4">
        <f t="shared" ca="1" si="291"/>
        <v>-5.6161110187683789</v>
      </c>
      <c r="S3311" s="4">
        <f t="shared" ca="1" si="292"/>
        <v>-2.8300911574378755</v>
      </c>
    </row>
    <row r="3312" spans="15:19" x14ac:dyDescent="0.2">
      <c r="O3312" s="4">
        <f t="shared" ca="1" si="288"/>
        <v>0.13724581510416733</v>
      </c>
      <c r="P3312" s="4">
        <f t="shared" ca="1" si="289"/>
        <v>-1.0927772098971147</v>
      </c>
      <c r="Q3312" s="4">
        <f t="shared" ca="1" si="290"/>
        <v>1943.8835384287133</v>
      </c>
      <c r="R3312" s="4">
        <f t="shared" ca="1" si="291"/>
        <v>20.213494428713375</v>
      </c>
      <c r="S3312" s="4">
        <f t="shared" ca="1" si="292"/>
        <v>10.398591394008651</v>
      </c>
    </row>
    <row r="3313" spans="15:19" x14ac:dyDescent="0.2">
      <c r="O3313" s="4">
        <f t="shared" ca="1" si="288"/>
        <v>0.20365853078324769</v>
      </c>
      <c r="P3313" s="4">
        <f t="shared" ca="1" si="289"/>
        <v>-0.82862424995419104</v>
      </c>
      <c r="Q3313" s="4">
        <f t="shared" ca="1" si="290"/>
        <v>1938.8993229852247</v>
      </c>
      <c r="R3313" s="4">
        <f t="shared" ca="1" si="291"/>
        <v>15.22927898522471</v>
      </c>
      <c r="S3313" s="4">
        <f t="shared" ca="1" si="292"/>
        <v>7.8036221391901401</v>
      </c>
    </row>
    <row r="3314" spans="15:19" x14ac:dyDescent="0.2">
      <c r="O3314" s="4">
        <f t="shared" ca="1" si="288"/>
        <v>0.99800657685939453</v>
      </c>
      <c r="P3314" s="4">
        <f t="shared" ca="1" si="289"/>
        <v>2.8792006188020078</v>
      </c>
      <c r="Q3314" s="4">
        <f t="shared" ca="1" si="290"/>
        <v>1868.937593324504</v>
      </c>
      <c r="R3314" s="4">
        <f t="shared" ca="1" si="291"/>
        <v>-54.732450675496011</v>
      </c>
      <c r="S3314" s="4">
        <f t="shared" ca="1" si="292"/>
        <v>-26.486669304788588</v>
      </c>
    </row>
    <row r="3315" spans="15:19" x14ac:dyDescent="0.2">
      <c r="O3315" s="4">
        <f t="shared" ca="1" si="288"/>
        <v>0.52622016556109419</v>
      </c>
      <c r="P3315" s="4">
        <f t="shared" ca="1" si="289"/>
        <v>6.5771597866162532E-2</v>
      </c>
      <c r="Q3315" s="4">
        <f t="shared" ca="1" si="290"/>
        <v>1922.0232614856238</v>
      </c>
      <c r="R3315" s="4">
        <f t="shared" ca="1" si="291"/>
        <v>-1.6467825143761274</v>
      </c>
      <c r="S3315" s="4">
        <f t="shared" ca="1" si="292"/>
        <v>-0.8325135108150612</v>
      </c>
    </row>
    <row r="3316" spans="15:19" x14ac:dyDescent="0.2">
      <c r="O3316" s="4">
        <f t="shared" ca="1" si="288"/>
        <v>0.42221878226533904</v>
      </c>
      <c r="P3316" s="4">
        <f t="shared" ca="1" si="289"/>
        <v>-0.19622052393651937</v>
      </c>
      <c r="Q3316" s="4">
        <f t="shared" ca="1" si="290"/>
        <v>1926.9667047839441</v>
      </c>
      <c r="R3316" s="4">
        <f t="shared" ca="1" si="291"/>
        <v>3.2966607839441622</v>
      </c>
      <c r="S3316" s="4">
        <f t="shared" ca="1" si="292"/>
        <v>1.6732259963925808</v>
      </c>
    </row>
    <row r="3317" spans="15:19" x14ac:dyDescent="0.2">
      <c r="O3317" s="4">
        <f t="shared" ca="1" si="288"/>
        <v>0.25542449220096997</v>
      </c>
      <c r="P3317" s="4">
        <f t="shared" ca="1" si="289"/>
        <v>-0.65751631436448088</v>
      </c>
      <c r="Q3317" s="4">
        <f t="shared" ca="1" si="290"/>
        <v>1935.670743546804</v>
      </c>
      <c r="R3317" s="4">
        <f t="shared" ca="1" si="291"/>
        <v>12.000699546804071</v>
      </c>
      <c r="S3317" s="4">
        <f t="shared" ca="1" si="292"/>
        <v>6.1334964593495824</v>
      </c>
    </row>
    <row r="3318" spans="15:19" x14ac:dyDescent="0.2">
      <c r="O3318" s="4">
        <f t="shared" ca="1" si="288"/>
        <v>2.0331179517053322E-2</v>
      </c>
      <c r="P3318" s="4">
        <f t="shared" ca="1" si="289"/>
        <v>-2.0469564671244611</v>
      </c>
      <c r="Q3318" s="4">
        <f t="shared" ca="1" si="290"/>
        <v>1961.8876334453153</v>
      </c>
      <c r="R3318" s="4">
        <f t="shared" ca="1" si="291"/>
        <v>38.217589445315298</v>
      </c>
      <c r="S3318" s="4">
        <f t="shared" ca="1" si="292"/>
        <v>19.940676971104722</v>
      </c>
    </row>
    <row r="3319" spans="15:19" x14ac:dyDescent="0.2">
      <c r="O3319" s="4">
        <f t="shared" ca="1" si="288"/>
        <v>0.13090179030872884</v>
      </c>
      <c r="P3319" s="4">
        <f t="shared" ca="1" si="289"/>
        <v>-1.1221384432683039</v>
      </c>
      <c r="Q3319" s="4">
        <f t="shared" ca="1" si="290"/>
        <v>1944.4375458978711</v>
      </c>
      <c r="R3319" s="4">
        <f t="shared" ca="1" si="291"/>
        <v>20.767501897871171</v>
      </c>
      <c r="S3319" s="4">
        <f t="shared" ca="1" si="292"/>
        <v>10.688277410702542</v>
      </c>
    </row>
    <row r="3320" spans="15:19" x14ac:dyDescent="0.2">
      <c r="O3320" s="4">
        <f t="shared" ca="1" si="288"/>
        <v>0.77750055227222192</v>
      </c>
      <c r="P3320" s="4">
        <f t="shared" ca="1" si="289"/>
        <v>0.7637790970291507</v>
      </c>
      <c r="Q3320" s="4">
        <f t="shared" ca="1" si="290"/>
        <v>1908.852787235588</v>
      </c>
      <c r="R3320" s="4">
        <f t="shared" ca="1" si="291"/>
        <v>-14.817256764411923</v>
      </c>
      <c r="S3320" s="4">
        <f t="shared" ca="1" si="292"/>
        <v>-7.4112680122938679</v>
      </c>
    </row>
    <row r="3321" spans="15:19" x14ac:dyDescent="0.2">
      <c r="O3321" s="4">
        <f t="shared" ca="1" si="288"/>
        <v>0.16609387451137159</v>
      </c>
      <c r="P3321" s="4">
        <f t="shared" ca="1" si="289"/>
        <v>-0.96971664964774507</v>
      </c>
      <c r="Q3321" s="4">
        <f t="shared" ca="1" si="290"/>
        <v>1941.5615491350409</v>
      </c>
      <c r="R3321" s="4">
        <f t="shared" ca="1" si="291"/>
        <v>17.891505135040916</v>
      </c>
      <c r="S3321" s="4">
        <f t="shared" ca="1" si="292"/>
        <v>9.1871604286186823</v>
      </c>
    </row>
    <row r="3322" spans="15:19" x14ac:dyDescent="0.2">
      <c r="O3322" s="4">
        <f t="shared" ca="1" si="288"/>
        <v>0.53797913686682408</v>
      </c>
      <c r="P3322" s="4">
        <f t="shared" ca="1" si="289"/>
        <v>9.5343834567223951E-2</v>
      </c>
      <c r="Q3322" s="4">
        <f t="shared" ca="1" si="290"/>
        <v>1921.4652726639358</v>
      </c>
      <c r="R3322" s="4">
        <f t="shared" ca="1" si="291"/>
        <v>-2.204771336064141</v>
      </c>
      <c r="S3322" s="4">
        <f t="shared" ca="1" si="292"/>
        <v>-1.1140980755607719</v>
      </c>
    </row>
    <row r="3323" spans="15:19" x14ac:dyDescent="0.2">
      <c r="O3323" s="4">
        <f t="shared" ca="1" si="288"/>
        <v>0.28683303230889989</v>
      </c>
      <c r="P3323" s="4">
        <f t="shared" ca="1" si="289"/>
        <v>-0.56266053193831689</v>
      </c>
      <c r="Q3323" s="4">
        <f t="shared" ca="1" si="290"/>
        <v>1933.8809409423779</v>
      </c>
      <c r="R3323" s="4">
        <f t="shared" ca="1" si="291"/>
        <v>10.210896942377985</v>
      </c>
      <c r="S3323" s="4">
        <f t="shared" ca="1" si="292"/>
        <v>5.211298068105612</v>
      </c>
    </row>
    <row r="3324" spans="15:19" x14ac:dyDescent="0.2">
      <c r="O3324" s="4">
        <f t="shared" ca="1" si="288"/>
        <v>0.24914926667306592</v>
      </c>
      <c r="P3324" s="4">
        <f t="shared" ca="1" si="289"/>
        <v>-0.67716931638306255</v>
      </c>
      <c r="Q3324" s="4">
        <f t="shared" ca="1" si="290"/>
        <v>1936.0415695871145</v>
      </c>
      <c r="R3324" s="4">
        <f t="shared" ca="1" si="291"/>
        <v>12.371525587114547</v>
      </c>
      <c r="S3324" s="4">
        <f t="shared" ca="1" si="292"/>
        <v>6.3248912660990886</v>
      </c>
    </row>
    <row r="3325" spans="15:19" x14ac:dyDescent="0.2">
      <c r="O3325" s="4">
        <f t="shared" ca="1" si="288"/>
        <v>9.2093169644047457E-2</v>
      </c>
      <c r="P3325" s="4">
        <f t="shared" ca="1" si="289"/>
        <v>-1.3279750807360926</v>
      </c>
      <c r="Q3325" s="4">
        <f t="shared" ca="1" si="290"/>
        <v>1948.3214098058297</v>
      </c>
      <c r="R3325" s="4">
        <f t="shared" ca="1" si="291"/>
        <v>24.651365805829755</v>
      </c>
      <c r="S3325" s="4">
        <f t="shared" ca="1" si="292"/>
        <v>12.726134659771491</v>
      </c>
    </row>
    <row r="3326" spans="15:19" x14ac:dyDescent="0.2">
      <c r="O3326" s="4">
        <f t="shared" ca="1" si="288"/>
        <v>0.6657021915365734</v>
      </c>
      <c r="P3326" s="4">
        <f t="shared" ca="1" si="289"/>
        <v>0.42807623685915996</v>
      </c>
      <c r="Q3326" s="4">
        <f t="shared" ca="1" si="290"/>
        <v>1915.187054246808</v>
      </c>
      <c r="R3326" s="4">
        <f t="shared" ca="1" si="291"/>
        <v>-8.4829897531919869</v>
      </c>
      <c r="S3326" s="4">
        <f t="shared" ca="1" si="292"/>
        <v>-4.2648793477203579</v>
      </c>
    </row>
    <row r="3327" spans="15:19" x14ac:dyDescent="0.2">
      <c r="O3327" s="4">
        <f t="shared" ca="1" si="288"/>
        <v>6.7241768024384307E-2</v>
      </c>
      <c r="P3327" s="4">
        <f t="shared" ca="1" si="289"/>
        <v>-1.4966531369754414</v>
      </c>
      <c r="Q3327" s="4">
        <f t="shared" ca="1" si="290"/>
        <v>1951.504140648851</v>
      </c>
      <c r="R3327" s="4">
        <f t="shared" ca="1" si="291"/>
        <v>27.834096648851073</v>
      </c>
      <c r="S3327" s="4">
        <f t="shared" ca="1" si="292"/>
        <v>14.405263920781309</v>
      </c>
    </row>
    <row r="3328" spans="15:19" x14ac:dyDescent="0.2">
      <c r="O3328" s="4">
        <f t="shared" ca="1" si="288"/>
        <v>3.0640588411271819E-2</v>
      </c>
      <c r="P3328" s="4">
        <f t="shared" ca="1" si="289"/>
        <v>-1.8714612445468266</v>
      </c>
      <c r="Q3328" s="4">
        <f t="shared" ca="1" si="290"/>
        <v>1958.5762717296682</v>
      </c>
      <c r="R3328" s="4">
        <f t="shared" ca="1" si="291"/>
        <v>34.906227729668217</v>
      </c>
      <c r="S3328" s="4">
        <f t="shared" ca="1" si="292"/>
        <v>18.165865734552629</v>
      </c>
    </row>
    <row r="3329" spans="15:19" x14ac:dyDescent="0.2">
      <c r="O3329" s="4">
        <f t="shared" ca="1" si="288"/>
        <v>0.41239667413483416</v>
      </c>
      <c r="P3329" s="4">
        <f t="shared" ca="1" si="289"/>
        <v>-0.22138413004833563</v>
      </c>
      <c r="Q3329" s="4">
        <f t="shared" ca="1" si="290"/>
        <v>1927.4415086030024</v>
      </c>
      <c r="R3329" s="4">
        <f t="shared" ca="1" si="291"/>
        <v>3.7714646030024142</v>
      </c>
      <c r="S3329" s="4">
        <f t="shared" ca="1" si="292"/>
        <v>1.9149424535594772</v>
      </c>
    </row>
    <row r="3330" spans="15:19" x14ac:dyDescent="0.2">
      <c r="O3330" s="4">
        <f t="shared" ca="1" si="288"/>
        <v>0.64587400023397079</v>
      </c>
      <c r="P3330" s="4">
        <f t="shared" ca="1" si="289"/>
        <v>0.37420473761215617</v>
      </c>
      <c r="Q3330" s="4">
        <f t="shared" ca="1" si="290"/>
        <v>1916.2035378726921</v>
      </c>
      <c r="R3330" s="4">
        <f t="shared" ca="1" si="291"/>
        <v>-7.4665061273078663</v>
      </c>
      <c r="S3330" s="4">
        <f t="shared" ca="1" si="292"/>
        <v>-3.7569249496234325</v>
      </c>
    </row>
    <row r="3331" spans="15:19" x14ac:dyDescent="0.2">
      <c r="O3331" s="4">
        <f t="shared" ref="O3331:O3394" ca="1" si="293">RAND()</f>
        <v>0.89137560972475638</v>
      </c>
      <c r="P3331" s="4">
        <f t="shared" ref="P3331:P3394" ca="1" si="294">NORMSINV(O3331)</f>
        <v>1.2338768944393388</v>
      </c>
      <c r="Q3331" s="4">
        <f t="shared" ref="Q3331:Q3394" ca="1" si="295">$B$4*(1+$B$17-$B$32*P3331)</f>
        <v>1899.9826662938876</v>
      </c>
      <c r="R3331" s="4">
        <f t="shared" ref="R3331:R3394" ca="1" si="296">Q3331-$B$4</f>
        <v>-23.687377706112329</v>
      </c>
      <c r="S3331" s="4">
        <f t="shared" ref="S3331:S3394" ca="1" si="297">R3331*$B$12+0.5*$B$13*R3331^2</f>
        <v>-11.762379380389554</v>
      </c>
    </row>
    <row r="3332" spans="15:19" x14ac:dyDescent="0.2">
      <c r="O3332" s="4">
        <f t="shared" ca="1" si="293"/>
        <v>0.79551866708287233</v>
      </c>
      <c r="P3332" s="4">
        <f t="shared" ca="1" si="294"/>
        <v>0.82572049073069087</v>
      </c>
      <c r="Q3332" s="4">
        <f t="shared" ca="1" si="295"/>
        <v>1907.6840354216952</v>
      </c>
      <c r="R3332" s="4">
        <f t="shared" ca="1" si="296"/>
        <v>-15.986008578304791</v>
      </c>
      <c r="S3332" s="4">
        <f t="shared" ca="1" si="297"/>
        <v>-7.9882465775756737</v>
      </c>
    </row>
    <row r="3333" spans="15:19" x14ac:dyDescent="0.2">
      <c r="O3333" s="4">
        <f t="shared" ca="1" si="293"/>
        <v>0.74023093205828971</v>
      </c>
      <c r="P3333" s="4">
        <f t="shared" ca="1" si="294"/>
        <v>0.64405751929908872</v>
      </c>
      <c r="Q3333" s="4">
        <f t="shared" ca="1" si="295"/>
        <v>1911.1117743647494</v>
      </c>
      <c r="R3333" s="4">
        <f t="shared" ca="1" si="296"/>
        <v>-12.558269635250554</v>
      </c>
      <c r="S3333" s="4">
        <f t="shared" ca="1" si="297"/>
        <v>-6.2929201533817256</v>
      </c>
    </row>
    <row r="3334" spans="15:19" x14ac:dyDescent="0.2">
      <c r="O3334" s="4">
        <f t="shared" ca="1" si="293"/>
        <v>0.49317533799069579</v>
      </c>
      <c r="P3334" s="4">
        <f t="shared" ca="1" si="294"/>
        <v>-1.7107725219163782E-2</v>
      </c>
      <c r="Q3334" s="4">
        <f t="shared" ca="1" si="295"/>
        <v>1923.5870842122631</v>
      </c>
      <c r="R3334" s="4">
        <f t="shared" ca="1" si="296"/>
        <v>-8.2959787736854196E-2</v>
      </c>
      <c r="S3334" s="4">
        <f t="shared" ca="1" si="297"/>
        <v>-4.1992255552401457E-2</v>
      </c>
    </row>
    <row r="3335" spans="15:19" x14ac:dyDescent="0.2">
      <c r="O3335" s="4">
        <f t="shared" ca="1" si="293"/>
        <v>0.68289181694173862</v>
      </c>
      <c r="P3335" s="4">
        <f t="shared" ca="1" si="294"/>
        <v>0.47580070702513644</v>
      </c>
      <c r="Q3335" s="4">
        <f t="shared" ca="1" si="295"/>
        <v>1914.2865568937405</v>
      </c>
      <c r="R3335" s="4">
        <f t="shared" ca="1" si="296"/>
        <v>-9.3834871062595084</v>
      </c>
      <c r="S3335" s="4">
        <f t="shared" ca="1" si="297"/>
        <v>-4.7141707073224239</v>
      </c>
    </row>
    <row r="3336" spans="15:19" x14ac:dyDescent="0.2">
      <c r="O3336" s="4">
        <f t="shared" ca="1" si="293"/>
        <v>0.23884207328908613</v>
      </c>
      <c r="P3336" s="4">
        <f t="shared" ca="1" si="294"/>
        <v>-0.71003223539346283</v>
      </c>
      <c r="Q3336" s="4">
        <f t="shared" ca="1" si="295"/>
        <v>1936.6616492125147</v>
      </c>
      <c r="R3336" s="4">
        <f t="shared" ca="1" si="296"/>
        <v>12.991605212514742</v>
      </c>
      <c r="S3336" s="4">
        <f t="shared" ca="1" si="297"/>
        <v>6.64518368920477</v>
      </c>
    </row>
    <row r="3337" spans="15:19" x14ac:dyDescent="0.2">
      <c r="O3337" s="4">
        <f t="shared" ca="1" si="293"/>
        <v>0.25299836984692048</v>
      </c>
      <c r="P3337" s="4">
        <f t="shared" ca="1" si="294"/>
        <v>-0.66508404382340369</v>
      </c>
      <c r="Q3337" s="4">
        <f t="shared" ca="1" si="295"/>
        <v>1935.81353654844</v>
      </c>
      <c r="R3337" s="4">
        <f t="shared" ca="1" si="296"/>
        <v>12.143492548440008</v>
      </c>
      <c r="S3337" s="4">
        <f t="shared" ca="1" si="297"/>
        <v>6.2071830961019456</v>
      </c>
    </row>
    <row r="3338" spans="15:19" x14ac:dyDescent="0.2">
      <c r="O3338" s="4">
        <f t="shared" ca="1" si="293"/>
        <v>0.60126252162124394</v>
      </c>
      <c r="P3338" s="4">
        <f t="shared" ca="1" si="294"/>
        <v>0.25661634396951816</v>
      </c>
      <c r="Q3338" s="4">
        <f t="shared" ca="1" si="295"/>
        <v>1918.4222746519251</v>
      </c>
      <c r="R3338" s="4">
        <f t="shared" ca="1" si="296"/>
        <v>-5.2477693480748258</v>
      </c>
      <c r="S3338" s="4">
        <f t="shared" ca="1" si="297"/>
        <v>-2.645261932152748</v>
      </c>
    </row>
    <row r="3339" spans="15:19" x14ac:dyDescent="0.2">
      <c r="O3339" s="4">
        <f t="shared" ca="1" si="293"/>
        <v>0.55847975471532163</v>
      </c>
      <c r="P3339" s="4">
        <f t="shared" ca="1" si="294"/>
        <v>0.14711596268357591</v>
      </c>
      <c r="Q3339" s="4">
        <f t="shared" ca="1" si="295"/>
        <v>1920.4884013824044</v>
      </c>
      <c r="R3339" s="4">
        <f t="shared" ca="1" si="296"/>
        <v>-3.1816426175955712</v>
      </c>
      <c r="S3339" s="4">
        <f t="shared" ca="1" si="297"/>
        <v>-1.6064579563071573</v>
      </c>
    </row>
    <row r="3340" spans="15:19" x14ac:dyDescent="0.2">
      <c r="O3340" s="4">
        <f t="shared" ca="1" si="293"/>
        <v>0.36579133899422811</v>
      </c>
      <c r="P3340" s="4">
        <f t="shared" ca="1" si="294"/>
        <v>-0.34302097854123026</v>
      </c>
      <c r="Q3340" s="4">
        <f t="shared" ca="1" si="295"/>
        <v>1929.7366343471415</v>
      </c>
      <c r="R3340" s="4">
        <f t="shared" ca="1" si="296"/>
        <v>6.0665903471415277</v>
      </c>
      <c r="S3340" s="4">
        <f t="shared" ca="1" si="297"/>
        <v>3.0859490351574785</v>
      </c>
    </row>
    <row r="3341" spans="15:19" x14ac:dyDescent="0.2">
      <c r="O3341" s="4">
        <f t="shared" ca="1" si="293"/>
        <v>5.1905279008761518E-3</v>
      </c>
      <c r="P3341" s="4">
        <f t="shared" ca="1" si="294"/>
        <v>-2.5628711780969615</v>
      </c>
      <c r="Q3341" s="4">
        <f t="shared" ca="1" si="295"/>
        <v>1971.6222586810416</v>
      </c>
      <c r="R3341" s="4">
        <f t="shared" ca="1" si="296"/>
        <v>47.952214681041596</v>
      </c>
      <c r="S3341" s="4">
        <f t="shared" ca="1" si="297"/>
        <v>25.209901799006399</v>
      </c>
    </row>
    <row r="3342" spans="15:19" x14ac:dyDescent="0.2">
      <c r="O3342" s="4">
        <f t="shared" ca="1" si="293"/>
        <v>0.87182593278617626</v>
      </c>
      <c r="P3342" s="4">
        <f t="shared" ca="1" si="294"/>
        <v>1.1350648818153719</v>
      </c>
      <c r="Q3342" s="4">
        <f t="shared" ca="1" si="295"/>
        <v>1901.8471177065423</v>
      </c>
      <c r="R3342" s="4">
        <f t="shared" ca="1" si="296"/>
        <v>-21.822926293457613</v>
      </c>
      <c r="S3342" s="4">
        <f t="shared" ca="1" si="297"/>
        <v>-10.853116349589941</v>
      </c>
    </row>
    <row r="3343" spans="15:19" x14ac:dyDescent="0.2">
      <c r="O3343" s="4">
        <f t="shared" ca="1" si="293"/>
        <v>0.650245144183213</v>
      </c>
      <c r="P3343" s="4">
        <f t="shared" ca="1" si="294"/>
        <v>0.38598238898788906</v>
      </c>
      <c r="Q3343" s="4">
        <f t="shared" ca="1" si="295"/>
        <v>1915.9813092371028</v>
      </c>
      <c r="R3343" s="4">
        <f t="shared" ca="1" si="296"/>
        <v>-7.6887347628971838</v>
      </c>
      <c r="S3343" s="4">
        <f t="shared" ca="1" si="297"/>
        <v>-3.8680482816183464</v>
      </c>
    </row>
    <row r="3344" spans="15:19" x14ac:dyDescent="0.2">
      <c r="O3344" s="4">
        <f t="shared" ca="1" si="293"/>
        <v>0.44407538967822235</v>
      </c>
      <c r="P3344" s="4">
        <f t="shared" ca="1" si="294"/>
        <v>-0.14064451562709232</v>
      </c>
      <c r="Q3344" s="4">
        <f t="shared" ca="1" si="295"/>
        <v>1925.9180593363856</v>
      </c>
      <c r="R3344" s="4">
        <f t="shared" ca="1" si="296"/>
        <v>2.2480153363856061</v>
      </c>
      <c r="S3344" s="4">
        <f t="shared" ca="1" si="297"/>
        <v>1.1400245364050692</v>
      </c>
    </row>
    <row r="3345" spans="15:19" x14ac:dyDescent="0.2">
      <c r="O3345" s="4">
        <f t="shared" ca="1" si="293"/>
        <v>0.30296745626424582</v>
      </c>
      <c r="P3345" s="4">
        <f t="shared" ca="1" si="294"/>
        <v>-0.5158847402918848</v>
      </c>
      <c r="Q3345" s="4">
        <f t="shared" ca="1" si="295"/>
        <v>1932.998343892714</v>
      </c>
      <c r="R3345" s="4">
        <f t="shared" ca="1" si="296"/>
        <v>9.3282998927140852</v>
      </c>
      <c r="S3345" s="4">
        <f t="shared" ca="1" si="297"/>
        <v>4.757498791142778</v>
      </c>
    </row>
    <row r="3346" spans="15:19" x14ac:dyDescent="0.2">
      <c r="O3346" s="4">
        <f t="shared" ca="1" si="293"/>
        <v>0.76900098168391062</v>
      </c>
      <c r="P3346" s="4">
        <f t="shared" ca="1" si="294"/>
        <v>0.7355607825248317</v>
      </c>
      <c r="Q3346" s="4">
        <f t="shared" ca="1" si="295"/>
        <v>1909.3852293440239</v>
      </c>
      <c r="R3346" s="4">
        <f t="shared" ca="1" si="296"/>
        <v>-14.284814655976106</v>
      </c>
      <c r="S3346" s="4">
        <f t="shared" ca="1" si="297"/>
        <v>-7.1480482079325407</v>
      </c>
    </row>
    <row r="3347" spans="15:19" x14ac:dyDescent="0.2">
      <c r="O3347" s="4">
        <f t="shared" ca="1" si="293"/>
        <v>0.77418508276376385</v>
      </c>
      <c r="P3347" s="4">
        <f t="shared" ca="1" si="294"/>
        <v>0.7527006246999387</v>
      </c>
      <c r="Q3347" s="4">
        <f t="shared" ca="1" si="295"/>
        <v>1909.0618232913848</v>
      </c>
      <c r="R3347" s="4">
        <f t="shared" ca="1" si="296"/>
        <v>-14.608220708615136</v>
      </c>
      <c r="S3347" s="4">
        <f t="shared" ca="1" si="297"/>
        <v>-7.3079557903682346</v>
      </c>
    </row>
    <row r="3348" spans="15:19" x14ac:dyDescent="0.2">
      <c r="O3348" s="4">
        <f t="shared" ca="1" si="293"/>
        <v>0.44669614658873769</v>
      </c>
      <c r="P3348" s="4">
        <f t="shared" ca="1" si="294"/>
        <v>-0.13401300186505194</v>
      </c>
      <c r="Q3348" s="4">
        <f t="shared" ca="1" si="295"/>
        <v>1925.7929314812454</v>
      </c>
      <c r="R3348" s="4">
        <f t="shared" ca="1" si="296"/>
        <v>2.1228874812454706</v>
      </c>
      <c r="S3348" s="4">
        <f t="shared" ca="1" si="297"/>
        <v>1.0764609555268672</v>
      </c>
    </row>
    <row r="3349" spans="15:19" x14ac:dyDescent="0.2">
      <c r="O3349" s="4">
        <f t="shared" ca="1" si="293"/>
        <v>0.98482053855295093</v>
      </c>
      <c r="P3349" s="4">
        <f t="shared" ca="1" si="294"/>
        <v>2.1653757330024508</v>
      </c>
      <c r="Q3349" s="4">
        <f t="shared" ca="1" si="295"/>
        <v>1882.4065206479663</v>
      </c>
      <c r="R3349" s="4">
        <f t="shared" ca="1" si="296"/>
        <v>-41.263523352033644</v>
      </c>
      <c r="S3349" s="4">
        <f t="shared" ca="1" si="297"/>
        <v>-20.194891731668978</v>
      </c>
    </row>
    <row r="3350" spans="15:19" x14ac:dyDescent="0.2">
      <c r="O3350" s="4">
        <f t="shared" ca="1" si="293"/>
        <v>0.68901730706582054</v>
      </c>
      <c r="P3350" s="4">
        <f t="shared" ca="1" si="294"/>
        <v>0.49306680362930005</v>
      </c>
      <c r="Q3350" s="4">
        <f t="shared" ca="1" si="295"/>
        <v>1913.9607685877459</v>
      </c>
      <c r="R3350" s="4">
        <f t="shared" ca="1" si="296"/>
        <v>-9.709275412254101</v>
      </c>
      <c r="S3350" s="4">
        <f t="shared" ca="1" si="297"/>
        <v>-4.8765558873903627</v>
      </c>
    </row>
    <row r="3351" spans="15:19" x14ac:dyDescent="0.2">
      <c r="O3351" s="4">
        <f t="shared" ca="1" si="293"/>
        <v>7.2702309263473097E-2</v>
      </c>
      <c r="P3351" s="4">
        <f t="shared" ca="1" si="294"/>
        <v>-1.455956596323716</v>
      </c>
      <c r="Q3351" s="4">
        <f t="shared" ca="1" si="295"/>
        <v>1950.7362509895543</v>
      </c>
      <c r="R3351" s="4">
        <f t="shared" ca="1" si="296"/>
        <v>27.066206989554303</v>
      </c>
      <c r="S3351" s="4">
        <f t="shared" ca="1" si="297"/>
        <v>13.999389683652856</v>
      </c>
    </row>
    <row r="3352" spans="15:19" x14ac:dyDescent="0.2">
      <c r="O3352" s="4">
        <f t="shared" ca="1" si="293"/>
        <v>0.24351190857809069</v>
      </c>
      <c r="P3352" s="4">
        <f t="shared" ca="1" si="294"/>
        <v>-0.69505024010477789</v>
      </c>
      <c r="Q3352" s="4">
        <f t="shared" ca="1" si="295"/>
        <v>1936.3789588640579</v>
      </c>
      <c r="R3352" s="4">
        <f t="shared" ca="1" si="296"/>
        <v>12.708914864057988</v>
      </c>
      <c r="S3352" s="4">
        <f t="shared" ca="1" si="297"/>
        <v>6.4991255903325644</v>
      </c>
    </row>
    <row r="3353" spans="15:19" x14ac:dyDescent="0.2">
      <c r="O3353" s="4">
        <f t="shared" ca="1" si="293"/>
        <v>0.11285892332019409</v>
      </c>
      <c r="P3353" s="4">
        <f t="shared" ca="1" si="294"/>
        <v>-1.2114634183105497</v>
      </c>
      <c r="Q3353" s="4">
        <f t="shared" ca="1" si="295"/>
        <v>1946.1229895142931</v>
      </c>
      <c r="R3353" s="4">
        <f t="shared" ca="1" si="296"/>
        <v>22.452945514293106</v>
      </c>
      <c r="S3353" s="4">
        <f t="shared" ca="1" si="297"/>
        <v>11.571118691154233</v>
      </c>
    </row>
    <row r="3354" spans="15:19" x14ac:dyDescent="0.2">
      <c r="O3354" s="4">
        <f t="shared" ca="1" si="293"/>
        <v>0.32894111423760231</v>
      </c>
      <c r="P3354" s="4">
        <f t="shared" ca="1" si="294"/>
        <v>-0.44283894950135649</v>
      </c>
      <c r="Q3354" s="4">
        <f t="shared" ca="1" si="295"/>
        <v>1931.6200668572469</v>
      </c>
      <c r="R3354" s="4">
        <f t="shared" ca="1" si="296"/>
        <v>7.9500228572469496</v>
      </c>
      <c r="S3354" s="4">
        <f t="shared" ca="1" si="297"/>
        <v>4.050107380741391</v>
      </c>
    </row>
    <row r="3355" spans="15:19" x14ac:dyDescent="0.2">
      <c r="O3355" s="4">
        <f t="shared" ca="1" si="293"/>
        <v>0.61974323721097646</v>
      </c>
      <c r="P3355" s="4">
        <f t="shared" ca="1" si="294"/>
        <v>0.30480650669891185</v>
      </c>
      <c r="Q3355" s="4">
        <f t="shared" ca="1" si="295"/>
        <v>1917.5129902988292</v>
      </c>
      <c r="R3355" s="4">
        <f t="shared" ca="1" si="296"/>
        <v>-6.1570537011707529</v>
      </c>
      <c r="S3355" s="4">
        <f t="shared" ca="1" si="297"/>
        <v>-3.1013291777081724</v>
      </c>
    </row>
    <row r="3356" spans="15:19" x14ac:dyDescent="0.2">
      <c r="O3356" s="4">
        <f t="shared" ca="1" si="293"/>
        <v>0.44269068007855439</v>
      </c>
      <c r="P3356" s="4">
        <f t="shared" ca="1" si="294"/>
        <v>-0.14415083903600892</v>
      </c>
      <c r="Q3356" s="4">
        <f t="shared" ca="1" si="295"/>
        <v>1925.9842190011807</v>
      </c>
      <c r="R3356" s="4">
        <f t="shared" ca="1" si="296"/>
        <v>2.3141750011807289</v>
      </c>
      <c r="S3356" s="4">
        <f t="shared" ca="1" si="297"/>
        <v>1.1736380736709009</v>
      </c>
    </row>
    <row r="3357" spans="15:19" x14ac:dyDescent="0.2">
      <c r="O3357" s="4">
        <f t="shared" ca="1" si="293"/>
        <v>0.62817270140095105</v>
      </c>
      <c r="P3357" s="4">
        <f t="shared" ca="1" si="294"/>
        <v>0.3270175687412773</v>
      </c>
      <c r="Q3357" s="4">
        <f t="shared" ca="1" si="295"/>
        <v>1917.0938970640923</v>
      </c>
      <c r="R3357" s="4">
        <f t="shared" ca="1" si="296"/>
        <v>-6.5761469359076727</v>
      </c>
      <c r="S3357" s="4">
        <f t="shared" ca="1" si="297"/>
        <v>-3.3113059946094148</v>
      </c>
    </row>
    <row r="3358" spans="15:19" x14ac:dyDescent="0.2">
      <c r="O3358" s="4">
        <f t="shared" ca="1" si="293"/>
        <v>0.17477050009178496</v>
      </c>
      <c r="P3358" s="4">
        <f t="shared" ca="1" si="294"/>
        <v>-0.93547997181451725</v>
      </c>
      <c r="Q3358" s="4">
        <f t="shared" ca="1" si="295"/>
        <v>1940.9155485056067</v>
      </c>
      <c r="R3358" s="4">
        <f t="shared" ca="1" si="296"/>
        <v>17.245504505606732</v>
      </c>
      <c r="S3358" s="4">
        <f t="shared" ca="1" si="297"/>
        <v>8.8509087093115184</v>
      </c>
    </row>
    <row r="3359" spans="15:19" x14ac:dyDescent="0.2">
      <c r="O3359" s="4">
        <f t="shared" ca="1" si="293"/>
        <v>0.38745920869819228</v>
      </c>
      <c r="P3359" s="4">
        <f t="shared" ca="1" si="294"/>
        <v>-0.28594738874234887</v>
      </c>
      <c r="Q3359" s="4">
        <f t="shared" ca="1" si="295"/>
        <v>1928.6597315263198</v>
      </c>
      <c r="R3359" s="4">
        <f t="shared" ca="1" si="296"/>
        <v>4.9896875263198126</v>
      </c>
      <c r="S3359" s="4">
        <f t="shared" ca="1" si="297"/>
        <v>2.5359634943677998</v>
      </c>
    </row>
    <row r="3360" spans="15:19" x14ac:dyDescent="0.2">
      <c r="O3360" s="4">
        <f t="shared" ca="1" si="293"/>
        <v>0.31408027200260824</v>
      </c>
      <c r="P3360" s="4">
        <f t="shared" ca="1" si="294"/>
        <v>-0.48431751991091876</v>
      </c>
      <c r="Q3360" s="4">
        <f t="shared" ca="1" si="295"/>
        <v>1932.4027123791971</v>
      </c>
      <c r="R3360" s="4">
        <f t="shared" ca="1" si="296"/>
        <v>8.7326683791970936</v>
      </c>
      <c r="S3360" s="4">
        <f t="shared" ca="1" si="297"/>
        <v>4.4516051636176979</v>
      </c>
    </row>
    <row r="3361" spans="15:19" x14ac:dyDescent="0.2">
      <c r="O3361" s="4">
        <f t="shared" ca="1" si="293"/>
        <v>0.84372514569540358</v>
      </c>
      <c r="P3361" s="4">
        <f t="shared" ca="1" si="294"/>
        <v>1.0098864220492025</v>
      </c>
      <c r="Q3361" s="4">
        <f t="shared" ca="1" si="295"/>
        <v>1904.2090689505999</v>
      </c>
      <c r="R3361" s="4">
        <f t="shared" ca="1" si="296"/>
        <v>-19.460975049400076</v>
      </c>
      <c r="S3361" s="4">
        <f t="shared" ca="1" si="297"/>
        <v>-9.6971670437883617</v>
      </c>
    </row>
    <row r="3362" spans="15:19" x14ac:dyDescent="0.2">
      <c r="O3362" s="4">
        <f t="shared" ca="1" si="293"/>
        <v>0.79570393802123096</v>
      </c>
      <c r="P3362" s="4">
        <f t="shared" ca="1" si="294"/>
        <v>0.82637372428972466</v>
      </c>
      <c r="Q3362" s="4">
        <f t="shared" ca="1" si="295"/>
        <v>1907.671709772216</v>
      </c>
      <c r="R3362" s="4">
        <f t="shared" ca="1" si="296"/>
        <v>-15.998334227783971</v>
      </c>
      <c r="S3362" s="4">
        <f t="shared" ca="1" si="297"/>
        <v>-7.9943254640660113</v>
      </c>
    </row>
    <row r="3363" spans="15:19" x14ac:dyDescent="0.2">
      <c r="O3363" s="4">
        <f t="shared" ca="1" si="293"/>
        <v>0.70122647376676994</v>
      </c>
      <c r="P3363" s="4">
        <f t="shared" ca="1" si="294"/>
        <v>0.52793125232629501</v>
      </c>
      <c r="Q3363" s="4">
        <f t="shared" ca="1" si="295"/>
        <v>1913.3029227560662</v>
      </c>
      <c r="R3363" s="4">
        <f t="shared" ca="1" si="296"/>
        <v>-10.367121243933752</v>
      </c>
      <c r="S3363" s="4">
        <f t="shared" ca="1" si="297"/>
        <v>-5.2041876568888998</v>
      </c>
    </row>
    <row r="3364" spans="15:19" x14ac:dyDescent="0.2">
      <c r="O3364" s="4">
        <f t="shared" ca="1" si="293"/>
        <v>0.39238525319517992</v>
      </c>
      <c r="P3364" s="4">
        <f t="shared" ca="1" si="294"/>
        <v>-0.27310759790575229</v>
      </c>
      <c r="Q3364" s="4">
        <f t="shared" ca="1" si="295"/>
        <v>1928.4174617300896</v>
      </c>
      <c r="R3364" s="4">
        <f t="shared" ca="1" si="296"/>
        <v>4.7474177300896372</v>
      </c>
      <c r="S3364" s="4">
        <f t="shared" ca="1" si="297"/>
        <v>2.4123638715543052</v>
      </c>
    </row>
    <row r="3365" spans="15:19" x14ac:dyDescent="0.2">
      <c r="O3365" s="4">
        <f t="shared" ca="1" si="293"/>
        <v>0.12359808037722153</v>
      </c>
      <c r="P3365" s="4">
        <f t="shared" ca="1" si="294"/>
        <v>-1.1571865277264204</v>
      </c>
      <c r="Q3365" s="4">
        <f t="shared" ca="1" si="295"/>
        <v>1945.0988566924143</v>
      </c>
      <c r="R3365" s="4">
        <f t="shared" ca="1" si="296"/>
        <v>21.42881269241434</v>
      </c>
      <c r="S3365" s="4">
        <f t="shared" ca="1" si="297"/>
        <v>11.034398629592308</v>
      </c>
    </row>
    <row r="3366" spans="15:19" x14ac:dyDescent="0.2">
      <c r="O3366" s="4">
        <f t="shared" ca="1" si="293"/>
        <v>2.8810783072220625E-3</v>
      </c>
      <c r="P3366" s="4">
        <f t="shared" ca="1" si="294"/>
        <v>-2.7610176281519307</v>
      </c>
      <c r="Q3366" s="4">
        <f t="shared" ca="1" si="295"/>
        <v>1975.3610189684516</v>
      </c>
      <c r="R3366" s="4">
        <f t="shared" ca="1" si="296"/>
        <v>51.690974968451656</v>
      </c>
      <c r="S3366" s="4">
        <f t="shared" ca="1" si="297"/>
        <v>27.254149260940913</v>
      </c>
    </row>
    <row r="3367" spans="15:19" x14ac:dyDescent="0.2">
      <c r="O3367" s="4">
        <f t="shared" ca="1" si="293"/>
        <v>1.2644101353772697E-2</v>
      </c>
      <c r="P3367" s="4">
        <f t="shared" ca="1" si="294"/>
        <v>-2.2369715014298128</v>
      </c>
      <c r="Q3367" s="4">
        <f t="shared" ca="1" si="295"/>
        <v>1965.4729647196059</v>
      </c>
      <c r="R3367" s="4">
        <f t="shared" ca="1" si="296"/>
        <v>41.802920719605936</v>
      </c>
      <c r="S3367" s="4">
        <f t="shared" ca="1" si="297"/>
        <v>21.872394956331782</v>
      </c>
    </row>
    <row r="3368" spans="15:19" x14ac:dyDescent="0.2">
      <c r="O3368" s="4">
        <f t="shared" ca="1" si="293"/>
        <v>2.4843645612171783E-2</v>
      </c>
      <c r="P3368" s="4">
        <f t="shared" ca="1" si="294"/>
        <v>-1.962646262563803</v>
      </c>
      <c r="Q3368" s="4">
        <f t="shared" ca="1" si="295"/>
        <v>1960.2968118860729</v>
      </c>
      <c r="R3368" s="4">
        <f t="shared" ca="1" si="296"/>
        <v>36.626767886072912</v>
      </c>
      <c r="S3368" s="4">
        <f t="shared" ca="1" si="297"/>
        <v>19.086920218563009</v>
      </c>
    </row>
    <row r="3369" spans="15:19" x14ac:dyDescent="0.2">
      <c r="O3369" s="4">
        <f t="shared" ca="1" si="293"/>
        <v>0.42211881585503552</v>
      </c>
      <c r="P3369" s="4">
        <f t="shared" ca="1" si="294"/>
        <v>-0.19647597965627014</v>
      </c>
      <c r="Q3369" s="4">
        <f t="shared" ca="1" si="295"/>
        <v>1926.971524894019</v>
      </c>
      <c r="R3369" s="4">
        <f t="shared" ca="1" si="296"/>
        <v>3.3014808940190505</v>
      </c>
      <c r="S3369" s="4">
        <f t="shared" ca="1" si="297"/>
        <v>1.6756789296607062</v>
      </c>
    </row>
    <row r="3370" spans="15:19" x14ac:dyDescent="0.2">
      <c r="O3370" s="4">
        <f t="shared" ca="1" si="293"/>
        <v>0.43135725843572781</v>
      </c>
      <c r="P3370" s="4">
        <f t="shared" ca="1" si="294"/>
        <v>-0.17291973775920091</v>
      </c>
      <c r="Q3370" s="4">
        <f t="shared" ca="1" si="295"/>
        <v>1926.5270499024107</v>
      </c>
      <c r="R3370" s="4">
        <f t="shared" ca="1" si="296"/>
        <v>2.8570059024107195</v>
      </c>
      <c r="S3370" s="4">
        <f t="shared" ca="1" si="297"/>
        <v>1.4495670674264798</v>
      </c>
    </row>
    <row r="3371" spans="15:19" x14ac:dyDescent="0.2">
      <c r="O3371" s="4">
        <f t="shared" ca="1" si="293"/>
        <v>0.82667850593161163</v>
      </c>
      <c r="P3371" s="4">
        <f t="shared" ca="1" si="294"/>
        <v>0.94112074017890568</v>
      </c>
      <c r="Q3371" s="4">
        <f t="shared" ca="1" si="295"/>
        <v>1905.5065860165985</v>
      </c>
      <c r="R3371" s="4">
        <f t="shared" ca="1" si="296"/>
        <v>-18.163457983401486</v>
      </c>
      <c r="S3371" s="4">
        <f t="shared" ca="1" si="297"/>
        <v>-9.0602236413996007</v>
      </c>
    </row>
    <row r="3372" spans="15:19" x14ac:dyDescent="0.2">
      <c r="O3372" s="4">
        <f t="shared" ca="1" si="293"/>
        <v>0.95866986942010934</v>
      </c>
      <c r="P3372" s="4">
        <f t="shared" ca="1" si="294"/>
        <v>1.735454911431024</v>
      </c>
      <c r="Q3372" s="4">
        <f t="shared" ca="1" si="295"/>
        <v>1890.5185554281809</v>
      </c>
      <c r="R3372" s="4">
        <f t="shared" ca="1" si="296"/>
        <v>-33.151488571819073</v>
      </c>
      <c r="S3372" s="4">
        <f t="shared" ca="1" si="297"/>
        <v>-16.334230524032254</v>
      </c>
    </row>
    <row r="3373" spans="15:19" x14ac:dyDescent="0.2">
      <c r="O3373" s="4">
        <f t="shared" ca="1" si="293"/>
        <v>0.74953775129916489</v>
      </c>
      <c r="P3373" s="4">
        <f t="shared" ca="1" si="294"/>
        <v>0.67303582851934329</v>
      </c>
      <c r="Q3373" s="4">
        <f t="shared" ca="1" si="295"/>
        <v>1910.5649921656288</v>
      </c>
      <c r="R3373" s="4">
        <f t="shared" ca="1" si="296"/>
        <v>-13.105051834371125</v>
      </c>
      <c r="S3373" s="4">
        <f t="shared" ca="1" si="297"/>
        <v>-6.5639945621925069</v>
      </c>
    </row>
    <row r="3374" spans="15:19" x14ac:dyDescent="0.2">
      <c r="O3374" s="4">
        <f t="shared" ca="1" si="293"/>
        <v>0.24485673379509298</v>
      </c>
      <c r="P3374" s="4">
        <f t="shared" ca="1" si="294"/>
        <v>-0.69076462820773121</v>
      </c>
      <c r="Q3374" s="4">
        <f t="shared" ca="1" si="295"/>
        <v>1936.2980950607271</v>
      </c>
      <c r="R3374" s="4">
        <f t="shared" ca="1" si="296"/>
        <v>12.628051060727103</v>
      </c>
      <c r="S3374" s="4">
        <f t="shared" ca="1" si="297"/>
        <v>6.4573575199246527</v>
      </c>
    </row>
    <row r="3375" spans="15:19" x14ac:dyDescent="0.2">
      <c r="O3375" s="4">
        <f t="shared" ca="1" si="293"/>
        <v>0.41665858114356791</v>
      </c>
      <c r="P3375" s="4">
        <f t="shared" ca="1" si="294"/>
        <v>-0.2104491154194966</v>
      </c>
      <c r="Q3375" s="4">
        <f t="shared" ca="1" si="295"/>
        <v>1927.2351794034366</v>
      </c>
      <c r="R3375" s="4">
        <f t="shared" ca="1" si="296"/>
        <v>3.5651354034366705</v>
      </c>
      <c r="S3375" s="4">
        <f t="shared" ca="1" si="297"/>
        <v>1.8098803887671193</v>
      </c>
    </row>
    <row r="3376" spans="15:19" x14ac:dyDescent="0.2">
      <c r="O3376" s="4">
        <f t="shared" ca="1" si="293"/>
        <v>0.38603905883780032</v>
      </c>
      <c r="P3376" s="4">
        <f t="shared" ca="1" si="294"/>
        <v>-0.28965770312968137</v>
      </c>
      <c r="Q3376" s="4">
        <f t="shared" ca="1" si="295"/>
        <v>1928.7297402298886</v>
      </c>
      <c r="R3376" s="4">
        <f t="shared" ca="1" si="296"/>
        <v>5.0596962298886865</v>
      </c>
      <c r="S3376" s="4">
        <f t="shared" ca="1" si="297"/>
        <v>2.5716889770880411</v>
      </c>
    </row>
    <row r="3377" spans="15:19" x14ac:dyDescent="0.2">
      <c r="O3377" s="4">
        <f t="shared" ca="1" si="293"/>
        <v>0.44051238010354743</v>
      </c>
      <c r="P3377" s="4">
        <f t="shared" ca="1" si="294"/>
        <v>-0.14967027610984385</v>
      </c>
      <c r="Q3377" s="4">
        <f t="shared" ca="1" si="295"/>
        <v>1926.0883634465386</v>
      </c>
      <c r="R3377" s="4">
        <f t="shared" ca="1" si="296"/>
        <v>2.4183194465385895</v>
      </c>
      <c r="S3377" s="4">
        <f t="shared" ca="1" si="297"/>
        <v>1.2265576413596806</v>
      </c>
    </row>
    <row r="3378" spans="15:19" x14ac:dyDescent="0.2">
      <c r="O3378" s="4">
        <f t="shared" ca="1" si="293"/>
        <v>0.41264863269271124</v>
      </c>
      <c r="P3378" s="4">
        <f t="shared" ca="1" si="294"/>
        <v>-0.22073694190139648</v>
      </c>
      <c r="Q3378" s="4">
        <f t="shared" ca="1" si="295"/>
        <v>1927.4292970224183</v>
      </c>
      <c r="R3378" s="4">
        <f t="shared" ca="1" si="296"/>
        <v>3.7592530224183065</v>
      </c>
      <c r="S3378" s="4">
        <f t="shared" ca="1" si="297"/>
        <v>1.9087233969705788</v>
      </c>
    </row>
    <row r="3379" spans="15:19" x14ac:dyDescent="0.2">
      <c r="O3379" s="4">
        <f t="shared" ca="1" si="293"/>
        <v>0.84441905997702482</v>
      </c>
      <c r="P3379" s="4">
        <f t="shared" ca="1" si="294"/>
        <v>1.0127870657854976</v>
      </c>
      <c r="Q3379" s="4">
        <f t="shared" ca="1" si="295"/>
        <v>1904.1543376566194</v>
      </c>
      <c r="R3379" s="4">
        <f t="shared" ca="1" si="296"/>
        <v>-19.515706343380543</v>
      </c>
      <c r="S3379" s="4">
        <f t="shared" ca="1" si="297"/>
        <v>-9.7240041828212025</v>
      </c>
    </row>
    <row r="3380" spans="15:19" x14ac:dyDescent="0.2">
      <c r="O3380" s="4">
        <f t="shared" ca="1" si="293"/>
        <v>0.25169331532350947</v>
      </c>
      <c r="P3380" s="4">
        <f t="shared" ca="1" si="294"/>
        <v>-0.669170643240664</v>
      </c>
      <c r="Q3380" s="4">
        <f t="shared" ca="1" si="295"/>
        <v>1935.8906452506528</v>
      </c>
      <c r="R3380" s="4">
        <f t="shared" ca="1" si="296"/>
        <v>12.220601250652862</v>
      </c>
      <c r="S3380" s="4">
        <f t="shared" ca="1" si="297"/>
        <v>6.24698103073474</v>
      </c>
    </row>
    <row r="3381" spans="15:19" x14ac:dyDescent="0.2">
      <c r="O3381" s="4">
        <f t="shared" ca="1" si="293"/>
        <v>0.99909401715497603</v>
      </c>
      <c r="P3381" s="4">
        <f t="shared" ca="1" si="294"/>
        <v>3.1194377083817901</v>
      </c>
      <c r="Q3381" s="4">
        <f t="shared" ca="1" si="295"/>
        <v>1864.4046385840347</v>
      </c>
      <c r="R3381" s="4">
        <f t="shared" ca="1" si="296"/>
        <v>-59.265405415965233</v>
      </c>
      <c r="S3381" s="4">
        <f t="shared" ca="1" si="297"/>
        <v>-28.570943543355263</v>
      </c>
    </row>
    <row r="3382" spans="15:19" x14ac:dyDescent="0.2">
      <c r="O3382" s="4">
        <f t="shared" ca="1" si="293"/>
        <v>0.5774646776765654</v>
      </c>
      <c r="P3382" s="4">
        <f t="shared" ca="1" si="294"/>
        <v>0.1954117169260865</v>
      </c>
      <c r="Q3382" s="4">
        <f t="shared" ca="1" si="295"/>
        <v>1919.5771246577276</v>
      </c>
      <c r="R3382" s="4">
        <f t="shared" ca="1" si="296"/>
        <v>-4.0929193422723529</v>
      </c>
      <c r="S3382" s="4">
        <f t="shared" ca="1" si="297"/>
        <v>-2.0650566417294343</v>
      </c>
    </row>
    <row r="3383" spans="15:19" x14ac:dyDescent="0.2">
      <c r="O3383" s="4">
        <f t="shared" ca="1" si="293"/>
        <v>0.43560124625908714</v>
      </c>
      <c r="P3383" s="4">
        <f t="shared" ca="1" si="294"/>
        <v>-0.16213125672050446</v>
      </c>
      <c r="Q3383" s="4">
        <f t="shared" ca="1" si="295"/>
        <v>1926.3234855970304</v>
      </c>
      <c r="R3383" s="4">
        <f t="shared" ca="1" si="296"/>
        <v>2.6534415970304508</v>
      </c>
      <c r="S3383" s="4">
        <f t="shared" ca="1" si="297"/>
        <v>1.3460642002173087</v>
      </c>
    </row>
    <row r="3384" spans="15:19" x14ac:dyDescent="0.2">
      <c r="O3384" s="4">
        <f t="shared" ca="1" si="293"/>
        <v>0.19176146250450687</v>
      </c>
      <c r="P3384" s="4">
        <f t="shared" ca="1" si="294"/>
        <v>-0.87142356243397667</v>
      </c>
      <c r="Q3384" s="4">
        <f t="shared" ca="1" si="295"/>
        <v>1939.7068891555166</v>
      </c>
      <c r="R3384" s="4">
        <f t="shared" ca="1" si="296"/>
        <v>16.03684515551663</v>
      </c>
      <c r="S3384" s="4">
        <f t="shared" ca="1" si="297"/>
        <v>8.2226983244406249</v>
      </c>
    </row>
    <row r="3385" spans="15:19" x14ac:dyDescent="0.2">
      <c r="O3385" s="4">
        <f t="shared" ca="1" si="293"/>
        <v>0.99981190413381138</v>
      </c>
      <c r="P3385" s="4">
        <f t="shared" ca="1" si="294"/>
        <v>3.5562460779127938</v>
      </c>
      <c r="Q3385" s="4">
        <f t="shared" ca="1" si="295"/>
        <v>1856.162644923498</v>
      </c>
      <c r="R3385" s="4">
        <f t="shared" ca="1" si="296"/>
        <v>-67.507399076501997</v>
      </c>
      <c r="S3385" s="4">
        <f t="shared" ca="1" si="297"/>
        <v>-32.317790847685991</v>
      </c>
    </row>
    <row r="3386" spans="15:19" x14ac:dyDescent="0.2">
      <c r="O3386" s="4">
        <f t="shared" ca="1" si="293"/>
        <v>0.36573225780272589</v>
      </c>
      <c r="P3386" s="4">
        <f t="shared" ca="1" si="294"/>
        <v>-0.34317805140494267</v>
      </c>
      <c r="Q3386" s="4">
        <f t="shared" ca="1" si="295"/>
        <v>1929.7395981034183</v>
      </c>
      <c r="R3386" s="4">
        <f t="shared" ca="1" si="296"/>
        <v>6.0695541034183407</v>
      </c>
      <c r="S3386" s="4">
        <f t="shared" ca="1" si="297"/>
        <v>3.0874639593142015</v>
      </c>
    </row>
    <row r="3387" spans="15:19" x14ac:dyDescent="0.2">
      <c r="O3387" s="4">
        <f t="shared" ca="1" si="293"/>
        <v>0.71769206514482853</v>
      </c>
      <c r="P3387" s="4">
        <f t="shared" ca="1" si="294"/>
        <v>0.5759989819561131</v>
      </c>
      <c r="Q3387" s="4">
        <f t="shared" ca="1" si="295"/>
        <v>1912.3959485529147</v>
      </c>
      <c r="R3387" s="4">
        <f t="shared" ca="1" si="296"/>
        <v>-11.274095447085301</v>
      </c>
      <c r="S3387" s="4">
        <f t="shared" ca="1" si="297"/>
        <v>-5.6553169172041038</v>
      </c>
    </row>
    <row r="3388" spans="15:19" x14ac:dyDescent="0.2">
      <c r="O3388" s="4">
        <f t="shared" ca="1" si="293"/>
        <v>0.91591951006022543</v>
      </c>
      <c r="P3388" s="4">
        <f t="shared" ca="1" si="294"/>
        <v>1.3781370451165063</v>
      </c>
      <c r="Q3388" s="4">
        <f t="shared" ca="1" si="295"/>
        <v>1897.2606688911687</v>
      </c>
      <c r="R3388" s="4">
        <f t="shared" ca="1" si="296"/>
        <v>-26.409375108831227</v>
      </c>
      <c r="S3388" s="4">
        <f t="shared" ca="1" si="297"/>
        <v>-13.084771852472553</v>
      </c>
    </row>
    <row r="3389" spans="15:19" x14ac:dyDescent="0.2">
      <c r="O3389" s="4">
        <f t="shared" ca="1" si="293"/>
        <v>0.8529323360359532</v>
      </c>
      <c r="P3389" s="4">
        <f t="shared" ca="1" si="294"/>
        <v>1.0490929774026767</v>
      </c>
      <c r="Q3389" s="4">
        <f t="shared" ca="1" si="295"/>
        <v>1903.4692933345289</v>
      </c>
      <c r="R3389" s="4">
        <f t="shared" ca="1" si="296"/>
        <v>-20.200750665471105</v>
      </c>
      <c r="S3389" s="4">
        <f t="shared" ca="1" si="297"/>
        <v>-10.059704979065854</v>
      </c>
    </row>
    <row r="3390" spans="15:19" x14ac:dyDescent="0.2">
      <c r="O3390" s="4">
        <f t="shared" ca="1" si="293"/>
        <v>0.31296160974808784</v>
      </c>
      <c r="P3390" s="4">
        <f t="shared" ca="1" si="294"/>
        <v>-0.48747293322893193</v>
      </c>
      <c r="Q3390" s="4">
        <f t="shared" ca="1" si="295"/>
        <v>1932.4622508367393</v>
      </c>
      <c r="R3390" s="4">
        <f t="shared" ca="1" si="296"/>
        <v>8.7922068367392967</v>
      </c>
      <c r="S3390" s="4">
        <f t="shared" ca="1" si="297"/>
        <v>4.4821688516733946</v>
      </c>
    </row>
    <row r="3391" spans="15:19" x14ac:dyDescent="0.2">
      <c r="O3391" s="4">
        <f t="shared" ca="1" si="293"/>
        <v>0.99082297650621798</v>
      </c>
      <c r="P3391" s="4">
        <f t="shared" ca="1" si="294"/>
        <v>2.3583971101827403</v>
      </c>
      <c r="Q3391" s="4">
        <f t="shared" ca="1" si="295"/>
        <v>1878.7644636773637</v>
      </c>
      <c r="R3391" s="4">
        <f t="shared" ca="1" si="296"/>
        <v>-44.905580322636297</v>
      </c>
      <c r="S3391" s="4">
        <f t="shared" ca="1" si="297"/>
        <v>-21.910784975119267</v>
      </c>
    </row>
    <row r="3392" spans="15:19" x14ac:dyDescent="0.2">
      <c r="O3392" s="4">
        <f t="shared" ca="1" si="293"/>
        <v>0.16636234130972416</v>
      </c>
      <c r="P3392" s="4">
        <f t="shared" ca="1" si="294"/>
        <v>-0.96864031225848324</v>
      </c>
      <c r="Q3392" s="4">
        <f t="shared" ca="1" si="295"/>
        <v>1941.5412400783525</v>
      </c>
      <c r="R3392" s="4">
        <f t="shared" ca="1" si="296"/>
        <v>17.871196078352568</v>
      </c>
      <c r="S3392" s="4">
        <f t="shared" ca="1" si="297"/>
        <v>9.1765841280810445</v>
      </c>
    </row>
    <row r="3393" spans="15:19" x14ac:dyDescent="0.2">
      <c r="O3393" s="4">
        <f t="shared" ca="1" si="293"/>
        <v>0.33247299466674263</v>
      </c>
      <c r="P3393" s="4">
        <f t="shared" ca="1" si="294"/>
        <v>-0.43309467751236463</v>
      </c>
      <c r="Q3393" s="4">
        <f t="shared" ca="1" si="295"/>
        <v>1931.4362053894686</v>
      </c>
      <c r="R3393" s="4">
        <f t="shared" ca="1" si="296"/>
        <v>7.766161389468607</v>
      </c>
      <c r="S3393" s="4">
        <f t="shared" ca="1" si="297"/>
        <v>3.9558586373252647</v>
      </c>
    </row>
    <row r="3394" spans="15:19" x14ac:dyDescent="0.2">
      <c r="O3394" s="4">
        <f t="shared" ca="1" si="293"/>
        <v>0.32688181835928076</v>
      </c>
      <c r="P3394" s="4">
        <f t="shared" ca="1" si="294"/>
        <v>-0.44853984493152865</v>
      </c>
      <c r="Q3394" s="4">
        <f t="shared" ca="1" si="295"/>
        <v>1931.7276351807325</v>
      </c>
      <c r="R3394" s="4">
        <f t="shared" ca="1" si="296"/>
        <v>8.0575911807325156</v>
      </c>
      <c r="S3394" s="4">
        <f t="shared" ca="1" si="297"/>
        <v>4.1052604571794378</v>
      </c>
    </row>
    <row r="3395" spans="15:19" x14ac:dyDescent="0.2">
      <c r="O3395" s="4">
        <f t="shared" ref="O3395:O3458" ca="1" si="298">RAND()</f>
        <v>0.37684983388649429</v>
      </c>
      <c r="P3395" s="4">
        <f t="shared" ref="P3395:P3458" ca="1" si="299">NORMSINV(O3395)</f>
        <v>-0.3137648170998219</v>
      </c>
      <c r="Q3395" s="4">
        <f t="shared" ref="Q3395:Q3458" ca="1" si="300">$B$4*(1+$B$17-$B$32*P3395)</f>
        <v>1929.1846094457167</v>
      </c>
      <c r="R3395" s="4">
        <f t="shared" ref="R3395:R3458" ca="1" si="301">Q3395-$B$4</f>
        <v>5.5145654457166984</v>
      </c>
      <c r="S3395" s="4">
        <f t="shared" ref="S3395:S3458" ca="1" si="302">R3395*$B$12+0.5*$B$13*R3395^2</f>
        <v>2.803906194299763</v>
      </c>
    </row>
    <row r="3396" spans="15:19" x14ac:dyDescent="0.2">
      <c r="O3396" s="4">
        <f t="shared" ca="1" si="298"/>
        <v>0.2751825058551014</v>
      </c>
      <c r="P3396" s="4">
        <f t="shared" ca="1" si="299"/>
        <v>-0.59721325338771736</v>
      </c>
      <c r="Q3396" s="4">
        <f t="shared" ca="1" si="300"/>
        <v>1934.5329048950055</v>
      </c>
      <c r="R3396" s="4">
        <f t="shared" ca="1" si="301"/>
        <v>10.862860895005497</v>
      </c>
      <c r="S3396" s="4">
        <f t="shared" ca="1" si="302"/>
        <v>5.5469214654618773</v>
      </c>
    </row>
    <row r="3397" spans="15:19" x14ac:dyDescent="0.2">
      <c r="O3397" s="4">
        <f t="shared" ca="1" si="298"/>
        <v>0.25552671658343562</v>
      </c>
      <c r="P3397" s="4">
        <f t="shared" ca="1" si="299"/>
        <v>-0.65719827725639202</v>
      </c>
      <c r="Q3397" s="4">
        <f t="shared" ca="1" si="300"/>
        <v>1935.6647426090667</v>
      </c>
      <c r="R3397" s="4">
        <f t="shared" ca="1" si="301"/>
        <v>11.994698609066745</v>
      </c>
      <c r="S3397" s="4">
        <f t="shared" ca="1" si="302"/>
        <v>6.1304001099998198</v>
      </c>
    </row>
    <row r="3398" spans="15:19" x14ac:dyDescent="0.2">
      <c r="O3398" s="4">
        <f t="shared" ca="1" si="298"/>
        <v>1.4082834815708711E-2</v>
      </c>
      <c r="P3398" s="4">
        <f t="shared" ca="1" si="299"/>
        <v>-2.194971117572639</v>
      </c>
      <c r="Q3398" s="4">
        <f t="shared" ca="1" si="300"/>
        <v>1964.6804732710955</v>
      </c>
      <c r="R3398" s="4">
        <f t="shared" ca="1" si="301"/>
        <v>41.010429271095518</v>
      </c>
      <c r="S3398" s="4">
        <f t="shared" ca="1" si="302"/>
        <v>21.444512528732474</v>
      </c>
    </row>
    <row r="3399" spans="15:19" x14ac:dyDescent="0.2">
      <c r="O3399" s="4">
        <f t="shared" ca="1" si="298"/>
        <v>4.4715905644344467E-2</v>
      </c>
      <c r="P3399" s="4">
        <f t="shared" ca="1" si="299"/>
        <v>-1.6984025492853361</v>
      </c>
      <c r="Q3399" s="4">
        <f t="shared" ca="1" si="300"/>
        <v>1955.3108840477025</v>
      </c>
      <c r="R3399" s="4">
        <f t="shared" ca="1" si="301"/>
        <v>31.640840047702568</v>
      </c>
      <c r="S3399" s="4">
        <f t="shared" ca="1" si="302"/>
        <v>16.424437558905627</v>
      </c>
    </row>
    <row r="3400" spans="15:19" x14ac:dyDescent="0.2">
      <c r="O3400" s="4">
        <f t="shared" ca="1" si="298"/>
        <v>0.42671395105833698</v>
      </c>
      <c r="P3400" s="4">
        <f t="shared" ca="1" si="299"/>
        <v>-0.18474646183228724</v>
      </c>
      <c r="Q3400" s="4">
        <f t="shared" ca="1" si="300"/>
        <v>1926.7502044746088</v>
      </c>
      <c r="R3400" s="4">
        <f t="shared" ca="1" si="301"/>
        <v>3.0801604746088742</v>
      </c>
      <c r="S3400" s="4">
        <f t="shared" ca="1" si="302"/>
        <v>1.5630694260386298</v>
      </c>
    </row>
    <row r="3401" spans="15:19" x14ac:dyDescent="0.2">
      <c r="O3401" s="4">
        <f t="shared" ca="1" si="298"/>
        <v>0.46648867685345141</v>
      </c>
      <c r="P3401" s="4">
        <f t="shared" ca="1" si="299"/>
        <v>-8.4099460346239968E-2</v>
      </c>
      <c r="Q3401" s="4">
        <f t="shared" ca="1" si="300"/>
        <v>1924.8511292597939</v>
      </c>
      <c r="R3401" s="4">
        <f t="shared" ca="1" si="301"/>
        <v>1.1810852597939174</v>
      </c>
      <c r="S3401" s="4">
        <f t="shared" ca="1" si="302"/>
        <v>0.5984447733865198</v>
      </c>
    </row>
    <row r="3402" spans="15:19" x14ac:dyDescent="0.2">
      <c r="O3402" s="4">
        <f t="shared" ca="1" si="298"/>
        <v>0.95560732224753786</v>
      </c>
      <c r="P3402" s="4">
        <f t="shared" ca="1" si="299"/>
        <v>1.7018400551416961</v>
      </c>
      <c r="Q3402" s="4">
        <f t="shared" ca="1" si="300"/>
        <v>1891.1528231111329</v>
      </c>
      <c r="R3402" s="4">
        <f t="shared" ca="1" si="301"/>
        <v>-32.517220888867087</v>
      </c>
      <c r="S3402" s="4">
        <f t="shared" ca="1" si="302"/>
        <v>-16.030113070546481</v>
      </c>
    </row>
    <row r="3403" spans="15:19" x14ac:dyDescent="0.2">
      <c r="O3403" s="4">
        <f t="shared" ca="1" si="298"/>
        <v>0.72370184538731697</v>
      </c>
      <c r="P3403" s="4">
        <f t="shared" ca="1" si="299"/>
        <v>0.59387412084432079</v>
      </c>
      <c r="Q3403" s="4">
        <f t="shared" ca="1" si="300"/>
        <v>1912.0586684280945</v>
      </c>
      <c r="R3403" s="4">
        <f t="shared" ca="1" si="301"/>
        <v>-11.611375571905455</v>
      </c>
      <c r="S3403" s="4">
        <f t="shared" ca="1" si="302"/>
        <v>-5.8229093281640232</v>
      </c>
    </row>
    <row r="3404" spans="15:19" x14ac:dyDescent="0.2">
      <c r="O3404" s="4">
        <f t="shared" ca="1" si="298"/>
        <v>6.0357931199402692E-2</v>
      </c>
      <c r="P3404" s="4">
        <f t="shared" ca="1" si="299"/>
        <v>-1.5517758664810775</v>
      </c>
      <c r="Q3404" s="4">
        <f t="shared" ca="1" si="300"/>
        <v>1952.544233327535</v>
      </c>
      <c r="R3404" s="4">
        <f t="shared" ca="1" si="301"/>
        <v>28.874189327535078</v>
      </c>
      <c r="S3404" s="4">
        <f t="shared" ca="1" si="302"/>
        <v>14.95577872774126</v>
      </c>
    </row>
    <row r="3405" spans="15:19" x14ac:dyDescent="0.2">
      <c r="O3405" s="4">
        <f t="shared" ca="1" si="298"/>
        <v>0.13134942559762319</v>
      </c>
      <c r="P3405" s="4">
        <f t="shared" ca="1" si="299"/>
        <v>-1.1200349914162313</v>
      </c>
      <c r="Q3405" s="4">
        <f t="shared" ca="1" si="300"/>
        <v>1944.3978565557263</v>
      </c>
      <c r="R3405" s="4">
        <f t="shared" ca="1" si="301"/>
        <v>20.727812555726359</v>
      </c>
      <c r="S3405" s="4">
        <f t="shared" ca="1" si="302"/>
        <v>10.667515865800889</v>
      </c>
    </row>
    <row r="3406" spans="15:19" x14ac:dyDescent="0.2">
      <c r="O3406" s="4">
        <f t="shared" ca="1" si="298"/>
        <v>0.90842971030555775</v>
      </c>
      <c r="P3406" s="4">
        <f t="shared" ca="1" si="299"/>
        <v>1.3311472042569292</v>
      </c>
      <c r="Q3406" s="4">
        <f t="shared" ca="1" si="300"/>
        <v>1898.1473047651334</v>
      </c>
      <c r="R3406" s="4">
        <f t="shared" ca="1" si="301"/>
        <v>-25.522739234866549</v>
      </c>
      <c r="S3406" s="4">
        <f t="shared" ca="1" si="302"/>
        <v>-12.654691540411566</v>
      </c>
    </row>
    <row r="3407" spans="15:19" x14ac:dyDescent="0.2">
      <c r="O3407" s="4">
        <f t="shared" ca="1" si="298"/>
        <v>6.9767270443712781E-2</v>
      </c>
      <c r="P3407" s="4">
        <f t="shared" ca="1" si="299"/>
        <v>-1.4775265719706572</v>
      </c>
      <c r="Q3407" s="4">
        <f t="shared" ca="1" si="300"/>
        <v>1951.1432477756525</v>
      </c>
      <c r="R3407" s="4">
        <f t="shared" ca="1" si="301"/>
        <v>27.473203775652564</v>
      </c>
      <c r="S3407" s="4">
        <f t="shared" ca="1" si="302"/>
        <v>14.214451307412789</v>
      </c>
    </row>
    <row r="3408" spans="15:19" x14ac:dyDescent="0.2">
      <c r="O3408" s="4">
        <f t="shared" ca="1" si="298"/>
        <v>0.53763129877082494</v>
      </c>
      <c r="P3408" s="4">
        <f t="shared" ca="1" si="299"/>
        <v>9.4467998214526047E-2</v>
      </c>
      <c r="Q3408" s="4">
        <f t="shared" ca="1" si="300"/>
        <v>1921.4817985324178</v>
      </c>
      <c r="R3408" s="4">
        <f t="shared" ca="1" si="301"/>
        <v>-2.1882454675821918</v>
      </c>
      <c r="S3408" s="4">
        <f t="shared" ca="1" si="302"/>
        <v>-1.1057620716476686</v>
      </c>
    </row>
    <row r="3409" spans="15:19" x14ac:dyDescent="0.2">
      <c r="O3409" s="4">
        <f t="shared" ca="1" si="298"/>
        <v>5.4390025483272875E-2</v>
      </c>
      <c r="P3409" s="4">
        <f t="shared" ca="1" si="299"/>
        <v>-1.6037006572469916</v>
      </c>
      <c r="Q3409" s="4">
        <f t="shared" ca="1" si="300"/>
        <v>1953.5239851504609</v>
      </c>
      <c r="R3409" s="4">
        <f t="shared" ca="1" si="301"/>
        <v>29.853941150460969</v>
      </c>
      <c r="S3409" s="4">
        <f t="shared" ca="1" si="302"/>
        <v>15.475161050369072</v>
      </c>
    </row>
    <row r="3410" spans="15:19" x14ac:dyDescent="0.2">
      <c r="O3410" s="4">
        <f t="shared" ca="1" si="298"/>
        <v>0.18275507123696477</v>
      </c>
      <c r="P3410" s="4">
        <f t="shared" ca="1" si="299"/>
        <v>-0.90491552335542058</v>
      </c>
      <c r="Q3410" s="4">
        <f t="shared" ca="1" si="300"/>
        <v>1940.3388379661358</v>
      </c>
      <c r="R3410" s="4">
        <f t="shared" ca="1" si="301"/>
        <v>16.668793966135809</v>
      </c>
      <c r="S3410" s="4">
        <f t="shared" ca="1" si="302"/>
        <v>8.5510104269579692</v>
      </c>
    </row>
    <row r="3411" spans="15:19" x14ac:dyDescent="0.2">
      <c r="O3411" s="4">
        <f t="shared" ca="1" si="298"/>
        <v>0.17496246671072724</v>
      </c>
      <c r="P3411" s="4">
        <f t="shared" ca="1" si="299"/>
        <v>-0.93473490567348883</v>
      </c>
      <c r="Q3411" s="4">
        <f t="shared" ca="1" si="300"/>
        <v>1940.9014900972988</v>
      </c>
      <c r="R3411" s="4">
        <f t="shared" ca="1" si="301"/>
        <v>17.231446097298885</v>
      </c>
      <c r="S3411" s="4">
        <f t="shared" ca="1" si="302"/>
        <v>8.843594902515358</v>
      </c>
    </row>
    <row r="3412" spans="15:19" x14ac:dyDescent="0.2">
      <c r="O3412" s="4">
        <f t="shared" ca="1" si="298"/>
        <v>0.91189549581987561</v>
      </c>
      <c r="P3412" s="4">
        <f t="shared" ca="1" si="299"/>
        <v>1.3525200525935142</v>
      </c>
      <c r="Q3412" s="4">
        <f t="shared" ca="1" si="300"/>
        <v>1897.7440275095103</v>
      </c>
      <c r="R3412" s="4">
        <f t="shared" ca="1" si="301"/>
        <v>-25.926016490489701</v>
      </c>
      <c r="S3412" s="4">
        <f t="shared" ca="1" si="302"/>
        <v>-12.85038851897054</v>
      </c>
    </row>
    <row r="3413" spans="15:19" x14ac:dyDescent="0.2">
      <c r="O3413" s="4">
        <f t="shared" ca="1" si="298"/>
        <v>0.33242238984793138</v>
      </c>
      <c r="P3413" s="4">
        <f t="shared" ca="1" si="299"/>
        <v>-0.43323400135291612</v>
      </c>
      <c r="Q3413" s="4">
        <f t="shared" ca="1" si="300"/>
        <v>1931.4388342452569</v>
      </c>
      <c r="R3413" s="4">
        <f t="shared" ca="1" si="301"/>
        <v>7.7687902452569233</v>
      </c>
      <c r="S3413" s="4">
        <f t="shared" ca="1" si="302"/>
        <v>3.9572060142348673</v>
      </c>
    </row>
    <row r="3414" spans="15:19" x14ac:dyDescent="0.2">
      <c r="O3414" s="4">
        <f t="shared" ca="1" si="298"/>
        <v>0.33517910156591413</v>
      </c>
      <c r="P3414" s="4">
        <f t="shared" ca="1" si="299"/>
        <v>-0.42565644590466306</v>
      </c>
      <c r="Q3414" s="4">
        <f t="shared" ca="1" si="300"/>
        <v>1931.2958558402556</v>
      </c>
      <c r="R3414" s="4">
        <f t="shared" ca="1" si="301"/>
        <v>7.6258118402556647</v>
      </c>
      <c r="S3414" s="4">
        <f t="shared" ca="1" si="302"/>
        <v>3.8839329468605261</v>
      </c>
    </row>
    <row r="3415" spans="15:19" x14ac:dyDescent="0.2">
      <c r="O3415" s="4">
        <f t="shared" ca="1" si="298"/>
        <v>0.26580403044178602</v>
      </c>
      <c r="P3415" s="4">
        <f t="shared" ca="1" si="299"/>
        <v>-0.62555317362652085</v>
      </c>
      <c r="Q3415" s="4">
        <f t="shared" ca="1" si="300"/>
        <v>1935.0676415421058</v>
      </c>
      <c r="R3415" s="4">
        <f t="shared" ca="1" si="301"/>
        <v>11.397597542105814</v>
      </c>
      <c r="S3415" s="4">
        <f t="shared" ca="1" si="302"/>
        <v>5.8224559354896517</v>
      </c>
    </row>
    <row r="3416" spans="15:19" x14ac:dyDescent="0.2">
      <c r="O3416" s="4">
        <f t="shared" ca="1" si="298"/>
        <v>0.41903245241252418</v>
      </c>
      <c r="P3416" s="4">
        <f t="shared" ca="1" si="299"/>
        <v>-0.20436931804994604</v>
      </c>
      <c r="Q3416" s="4">
        <f t="shared" ca="1" si="300"/>
        <v>1927.1204617037026</v>
      </c>
      <c r="R3416" s="4">
        <f t="shared" ca="1" si="301"/>
        <v>3.4504177037026693</v>
      </c>
      <c r="S3416" s="4">
        <f t="shared" ca="1" si="302"/>
        <v>1.7514815528965864</v>
      </c>
    </row>
    <row r="3417" spans="15:19" x14ac:dyDescent="0.2">
      <c r="O3417" s="4">
        <f t="shared" ca="1" si="298"/>
        <v>0.47290053069916982</v>
      </c>
      <c r="P3417" s="4">
        <f t="shared" ca="1" si="299"/>
        <v>-6.7980620240440368E-2</v>
      </c>
      <c r="Q3417" s="4">
        <f t="shared" ca="1" si="300"/>
        <v>1924.5469881598651</v>
      </c>
      <c r="R3417" s="4">
        <f t="shared" ca="1" si="301"/>
        <v>0.87694415986516105</v>
      </c>
      <c r="S3417" s="4">
        <f t="shared" ca="1" si="302"/>
        <v>0.44423077218683937</v>
      </c>
    </row>
    <row r="3418" spans="15:19" x14ac:dyDescent="0.2">
      <c r="O3418" s="4">
        <f t="shared" ca="1" si="298"/>
        <v>2.7747473282404012E-2</v>
      </c>
      <c r="P3418" s="4">
        <f t="shared" ca="1" si="299"/>
        <v>-1.9149808444296605</v>
      </c>
      <c r="Q3418" s="4">
        <f t="shared" ca="1" si="300"/>
        <v>1959.3974287663989</v>
      </c>
      <c r="R3418" s="4">
        <f t="shared" ca="1" si="301"/>
        <v>35.727384766398927</v>
      </c>
      <c r="S3418" s="4">
        <f t="shared" ca="1" si="302"/>
        <v>18.605154009070692</v>
      </c>
    </row>
    <row r="3419" spans="15:19" x14ac:dyDescent="0.2">
      <c r="O3419" s="4">
        <f t="shared" ca="1" si="298"/>
        <v>0.41231290272982635</v>
      </c>
      <c r="P3419" s="4">
        <f t="shared" ca="1" si="299"/>
        <v>-0.22159932826649278</v>
      </c>
      <c r="Q3419" s="4">
        <f t="shared" ca="1" si="300"/>
        <v>1927.4455691075016</v>
      </c>
      <c r="R3419" s="4">
        <f t="shared" ca="1" si="301"/>
        <v>3.7755251075016076</v>
      </c>
      <c r="S3419" s="4">
        <f t="shared" ca="1" si="302"/>
        <v>1.9170103951769899</v>
      </c>
    </row>
    <row r="3420" spans="15:19" x14ac:dyDescent="0.2">
      <c r="O3420" s="4">
        <f t="shared" ca="1" si="298"/>
        <v>0.93013788462902391</v>
      </c>
      <c r="P3420" s="4">
        <f t="shared" ca="1" si="299"/>
        <v>1.4768187438813709</v>
      </c>
      <c r="Q3420" s="4">
        <f t="shared" ca="1" si="300"/>
        <v>1895.3986763279211</v>
      </c>
      <c r="R3420" s="4">
        <f t="shared" ca="1" si="301"/>
        <v>-28.271367672078895</v>
      </c>
      <c r="S3420" s="4">
        <f t="shared" ca="1" si="302"/>
        <v>-13.985884917283105</v>
      </c>
    </row>
    <row r="3421" spans="15:19" x14ac:dyDescent="0.2">
      <c r="O3421" s="4">
        <f t="shared" ca="1" si="298"/>
        <v>0.36073817955204579</v>
      </c>
      <c r="P3421" s="4">
        <f t="shared" ca="1" si="299"/>
        <v>-0.35648636813512274</v>
      </c>
      <c r="Q3421" s="4">
        <f t="shared" ca="1" si="300"/>
        <v>1929.9907083608528</v>
      </c>
      <c r="R3421" s="4">
        <f t="shared" ca="1" si="301"/>
        <v>6.3206643608527884</v>
      </c>
      <c r="S3421" s="4">
        <f t="shared" ca="1" si="302"/>
        <v>3.2158449501674551</v>
      </c>
    </row>
    <row r="3422" spans="15:19" x14ac:dyDescent="0.2">
      <c r="O3422" s="4">
        <f t="shared" ca="1" si="298"/>
        <v>0.22422156232425938</v>
      </c>
      <c r="P3422" s="4">
        <f t="shared" ca="1" si="299"/>
        <v>-0.75801312634400664</v>
      </c>
      <c r="Q3422" s="4">
        <f t="shared" ca="1" si="300"/>
        <v>1937.5669848851478</v>
      </c>
      <c r="R3422" s="4">
        <f t="shared" ca="1" si="301"/>
        <v>13.896940885147842</v>
      </c>
      <c r="S3422" s="4">
        <f t="shared" ca="1" si="302"/>
        <v>7.1133828256487668</v>
      </c>
    </row>
    <row r="3423" spans="15:19" x14ac:dyDescent="0.2">
      <c r="O3423" s="4">
        <f t="shared" ca="1" si="298"/>
        <v>0.12331260950542255</v>
      </c>
      <c r="P3423" s="4">
        <f t="shared" ca="1" si="299"/>
        <v>-1.1585854094985444</v>
      </c>
      <c r="Q3423" s="4">
        <f t="shared" ca="1" si="300"/>
        <v>1945.1252517331279</v>
      </c>
      <c r="R3423" s="4">
        <f t="shared" ca="1" si="301"/>
        <v>21.455207733127963</v>
      </c>
      <c r="S3423" s="4">
        <f t="shared" ca="1" si="302"/>
        <v>11.048220829761135</v>
      </c>
    </row>
    <row r="3424" spans="15:19" x14ac:dyDescent="0.2">
      <c r="O3424" s="4">
        <f t="shared" ca="1" si="298"/>
        <v>0.12775389974220264</v>
      </c>
      <c r="P3424" s="4">
        <f t="shared" ca="1" si="299"/>
        <v>-1.1370729293180133</v>
      </c>
      <c r="Q3424" s="4">
        <f t="shared" ca="1" si="300"/>
        <v>1944.7193398101017</v>
      </c>
      <c r="R3424" s="4">
        <f t="shared" ca="1" si="301"/>
        <v>21.049295810101739</v>
      </c>
      <c r="S3424" s="4">
        <f t="shared" ca="1" si="302"/>
        <v>10.835721038597345</v>
      </c>
    </row>
    <row r="3425" spans="15:19" x14ac:dyDescent="0.2">
      <c r="O3425" s="4">
        <f t="shared" ca="1" si="298"/>
        <v>9.4052042045935202E-2</v>
      </c>
      <c r="P3425" s="4">
        <f t="shared" ca="1" si="299"/>
        <v>-1.3162084626398154</v>
      </c>
      <c r="Q3425" s="4">
        <f t="shared" ca="1" si="300"/>
        <v>1948.0993893535669</v>
      </c>
      <c r="R3425" s="4">
        <f t="shared" ca="1" si="301"/>
        <v>24.429345353566987</v>
      </c>
      <c r="S3425" s="4">
        <f t="shared" ca="1" si="302"/>
        <v>12.609309930691948</v>
      </c>
    </row>
    <row r="3426" spans="15:19" x14ac:dyDescent="0.2">
      <c r="O3426" s="4">
        <f t="shared" ca="1" si="298"/>
        <v>0.66857572660974718</v>
      </c>
      <c r="P3426" s="4">
        <f t="shared" ca="1" si="299"/>
        <v>0.43598371258485386</v>
      </c>
      <c r="Q3426" s="4">
        <f t="shared" ca="1" si="300"/>
        <v>1915.0378506844495</v>
      </c>
      <c r="R3426" s="4">
        <f t="shared" ca="1" si="301"/>
        <v>-8.6321933155504667</v>
      </c>
      <c r="S3426" s="4">
        <f t="shared" ca="1" si="302"/>
        <v>-4.3393681416052763</v>
      </c>
    </row>
    <row r="3427" spans="15:19" x14ac:dyDescent="0.2">
      <c r="O3427" s="4">
        <f t="shared" ca="1" si="298"/>
        <v>0.11503150727056344</v>
      </c>
      <c r="P3427" s="4">
        <f t="shared" ca="1" si="299"/>
        <v>-1.2001965509425956</v>
      </c>
      <c r="Q3427" s="4">
        <f t="shared" ca="1" si="300"/>
        <v>1945.9103986943862</v>
      </c>
      <c r="R3427" s="4">
        <f t="shared" ca="1" si="301"/>
        <v>22.240354694386269</v>
      </c>
      <c r="S3427" s="4">
        <f t="shared" ca="1" si="302"/>
        <v>11.459635414238431</v>
      </c>
    </row>
    <row r="3428" spans="15:19" x14ac:dyDescent="0.2">
      <c r="O3428" s="4">
        <f t="shared" ca="1" si="298"/>
        <v>0.75964676089440963</v>
      </c>
      <c r="P3428" s="4">
        <f t="shared" ca="1" si="299"/>
        <v>0.70516673795249718</v>
      </c>
      <c r="Q3428" s="4">
        <f t="shared" ca="1" si="300"/>
        <v>1909.9587245885225</v>
      </c>
      <c r="R3428" s="4">
        <f t="shared" ca="1" si="301"/>
        <v>-13.711319411477461</v>
      </c>
      <c r="S3428" s="4">
        <f t="shared" ca="1" si="302"/>
        <v>-6.8642750587488033</v>
      </c>
    </row>
    <row r="3429" spans="15:19" x14ac:dyDescent="0.2">
      <c r="O3429" s="4">
        <f t="shared" ca="1" si="298"/>
        <v>5.6249556971992298E-2</v>
      </c>
      <c r="P3429" s="4">
        <f t="shared" ca="1" si="299"/>
        <v>-1.587059744852529</v>
      </c>
      <c r="Q3429" s="4">
        <f t="shared" ca="1" si="300"/>
        <v>1953.2099932399854</v>
      </c>
      <c r="R3429" s="4">
        <f t="shared" ca="1" si="301"/>
        <v>29.53994923998539</v>
      </c>
      <c r="S3429" s="4">
        <f t="shared" ca="1" si="302"/>
        <v>15.308623753907161</v>
      </c>
    </row>
    <row r="3430" spans="15:19" x14ac:dyDescent="0.2">
      <c r="O3430" s="4">
        <f t="shared" ca="1" si="298"/>
        <v>0.29089978127097149</v>
      </c>
      <c r="P3430" s="4">
        <f t="shared" ca="1" si="299"/>
        <v>-0.55075802415252251</v>
      </c>
      <c r="Q3430" s="4">
        <f t="shared" ca="1" si="300"/>
        <v>1933.6563564321948</v>
      </c>
      <c r="R3430" s="4">
        <f t="shared" ca="1" si="301"/>
        <v>9.9863124321948362</v>
      </c>
      <c r="S3430" s="4">
        <f t="shared" ca="1" si="302"/>
        <v>5.0957647312478977</v>
      </c>
    </row>
    <row r="3431" spans="15:19" x14ac:dyDescent="0.2">
      <c r="O3431" s="4">
        <f t="shared" ca="1" si="298"/>
        <v>0.60473087435713357</v>
      </c>
      <c r="P3431" s="4">
        <f t="shared" ca="1" si="299"/>
        <v>0.265611729349647</v>
      </c>
      <c r="Q3431" s="4">
        <f t="shared" ca="1" si="300"/>
        <v>1918.2525436796072</v>
      </c>
      <c r="R3431" s="4">
        <f t="shared" ca="1" si="301"/>
        <v>-5.417500320392719</v>
      </c>
      <c r="S3431" s="4">
        <f t="shared" ca="1" si="302"/>
        <v>-2.730444525302151</v>
      </c>
    </row>
    <row r="3432" spans="15:19" x14ac:dyDescent="0.2">
      <c r="O3432" s="4">
        <f t="shared" ca="1" si="298"/>
        <v>0.92887404237188376</v>
      </c>
      <c r="P3432" s="4">
        <f t="shared" ca="1" si="299"/>
        <v>1.4674564966699128</v>
      </c>
      <c r="Q3432" s="4">
        <f t="shared" ca="1" si="300"/>
        <v>1895.5753294956435</v>
      </c>
      <c r="R3432" s="4">
        <f t="shared" ca="1" si="301"/>
        <v>-28.094714504356489</v>
      </c>
      <c r="S3432" s="4">
        <f t="shared" ca="1" si="302"/>
        <v>-13.900514642294857</v>
      </c>
    </row>
    <row r="3433" spans="15:19" x14ac:dyDescent="0.2">
      <c r="O3433" s="4">
        <f t="shared" ca="1" si="298"/>
        <v>0.93592470941297179</v>
      </c>
      <c r="P3433" s="4">
        <f t="shared" ca="1" si="299"/>
        <v>1.5214355188865922</v>
      </c>
      <c r="Q3433" s="4">
        <f t="shared" ca="1" si="300"/>
        <v>1894.556817054159</v>
      </c>
      <c r="R3433" s="4">
        <f t="shared" ca="1" si="301"/>
        <v>-29.113226945841006</v>
      </c>
      <c r="S3433" s="4">
        <f t="shared" ca="1" si="302"/>
        <v>-14.392376913783357</v>
      </c>
    </row>
    <row r="3434" spans="15:19" x14ac:dyDescent="0.2">
      <c r="O3434" s="4">
        <f t="shared" ca="1" si="298"/>
        <v>0.85526781870298874</v>
      </c>
      <c r="P3434" s="4">
        <f t="shared" ca="1" si="299"/>
        <v>1.0592973914153416</v>
      </c>
      <c r="Q3434" s="4">
        <f t="shared" ca="1" si="300"/>
        <v>1903.2767495980336</v>
      </c>
      <c r="R3434" s="4">
        <f t="shared" ca="1" si="301"/>
        <v>-20.393294401966386</v>
      </c>
      <c r="S3434" s="4">
        <f t="shared" ca="1" si="302"/>
        <v>-10.15399079879969</v>
      </c>
    </row>
    <row r="3435" spans="15:19" x14ac:dyDescent="0.2">
      <c r="O3435" s="4">
        <f t="shared" ca="1" si="298"/>
        <v>0.20034324018538707</v>
      </c>
      <c r="P3435" s="4">
        <f t="shared" ca="1" si="299"/>
        <v>-0.84039584082469287</v>
      </c>
      <c r="Q3435" s="4">
        <f t="shared" ca="1" si="300"/>
        <v>1939.1214372671311</v>
      </c>
      <c r="R3435" s="4">
        <f t="shared" ca="1" si="301"/>
        <v>15.451393267131152</v>
      </c>
      <c r="S3435" s="4">
        <f t="shared" ca="1" si="302"/>
        <v>7.9188325845290084</v>
      </c>
    </row>
    <row r="3436" spans="15:19" x14ac:dyDescent="0.2">
      <c r="O3436" s="4">
        <f t="shared" ca="1" si="298"/>
        <v>0.70643061128641538</v>
      </c>
      <c r="P3436" s="4">
        <f t="shared" ca="1" si="299"/>
        <v>0.54298696478463859</v>
      </c>
      <c r="Q3436" s="4">
        <f t="shared" ca="1" si="300"/>
        <v>1913.0188414625466</v>
      </c>
      <c r="R3436" s="4">
        <f t="shared" ca="1" si="301"/>
        <v>-10.651202537453401</v>
      </c>
      <c r="S3436" s="4">
        <f t="shared" ca="1" si="302"/>
        <v>-5.3455618154459392</v>
      </c>
    </row>
    <row r="3437" spans="15:19" x14ac:dyDescent="0.2">
      <c r="O3437" s="4">
        <f t="shared" ca="1" si="298"/>
        <v>0.91734427897663084</v>
      </c>
      <c r="P3437" s="4">
        <f t="shared" ca="1" si="299"/>
        <v>1.3874275072919926</v>
      </c>
      <c r="Q3437" s="4">
        <f t="shared" ca="1" si="300"/>
        <v>1897.0853702117133</v>
      </c>
      <c r="R3437" s="4">
        <f t="shared" ca="1" si="301"/>
        <v>-26.584673788286636</v>
      </c>
      <c r="S3437" s="4">
        <f t="shared" ca="1" si="302"/>
        <v>-13.169728174730789</v>
      </c>
    </row>
    <row r="3438" spans="15:19" x14ac:dyDescent="0.2">
      <c r="O3438" s="4">
        <f t="shared" ca="1" si="298"/>
        <v>0.40809140587065951</v>
      </c>
      <c r="P3438" s="4">
        <f t="shared" ca="1" si="299"/>
        <v>-0.23245734738836887</v>
      </c>
      <c r="Q3438" s="4">
        <f t="shared" ca="1" si="300"/>
        <v>1927.650445504134</v>
      </c>
      <c r="R3438" s="4">
        <f t="shared" ca="1" si="301"/>
        <v>3.980401504134079</v>
      </c>
      <c r="S3438" s="4">
        <f t="shared" ca="1" si="302"/>
        <v>2.0213676694601768</v>
      </c>
    </row>
    <row r="3439" spans="15:19" x14ac:dyDescent="0.2">
      <c r="O3439" s="4">
        <f t="shared" ca="1" si="298"/>
        <v>0.88042334845837533</v>
      </c>
      <c r="P3439" s="4">
        <f t="shared" ca="1" si="299"/>
        <v>1.1771057431890808</v>
      </c>
      <c r="Q3439" s="4">
        <f t="shared" ca="1" si="300"/>
        <v>1901.0538625010672</v>
      </c>
      <c r="R3439" s="4">
        <f t="shared" ca="1" si="301"/>
        <v>-22.616181498932747</v>
      </c>
      <c r="S3439" s="4">
        <f t="shared" ca="1" si="302"/>
        <v>-11.240320081838334</v>
      </c>
    </row>
    <row r="3440" spans="15:19" x14ac:dyDescent="0.2">
      <c r="O3440" s="4">
        <f t="shared" ca="1" si="298"/>
        <v>0.58448104551172231</v>
      </c>
      <c r="P3440" s="4">
        <f t="shared" ca="1" si="299"/>
        <v>0.21337060168069275</v>
      </c>
      <c r="Q3440" s="4">
        <f t="shared" ca="1" si="300"/>
        <v>1919.23826435966</v>
      </c>
      <c r="R3440" s="4">
        <f t="shared" ca="1" si="301"/>
        <v>-4.4317796403399825</v>
      </c>
      <c r="S3440" s="4">
        <f t="shared" ca="1" si="302"/>
        <v>-2.2354151501551813</v>
      </c>
    </row>
    <row r="3441" spans="15:19" x14ac:dyDescent="0.2">
      <c r="O3441" s="4">
        <f t="shared" ca="1" si="298"/>
        <v>0.78053876770678521</v>
      </c>
      <c r="P3441" s="4">
        <f t="shared" ca="1" si="299"/>
        <v>0.7740140806071476</v>
      </c>
      <c r="Q3441" s="4">
        <f t="shared" ca="1" si="300"/>
        <v>1908.6596666920047</v>
      </c>
      <c r="R3441" s="4">
        <f t="shared" ca="1" si="301"/>
        <v>-15.010377307995213</v>
      </c>
      <c r="S3441" s="4">
        <f t="shared" ca="1" si="302"/>
        <v>-7.5066826704255254</v>
      </c>
    </row>
    <row r="3442" spans="15:19" x14ac:dyDescent="0.2">
      <c r="O3442" s="4">
        <f t="shared" ca="1" si="298"/>
        <v>0.95742894359283648</v>
      </c>
      <c r="P3442" s="4">
        <f t="shared" ca="1" si="299"/>
        <v>1.7215993953140676</v>
      </c>
      <c r="Q3442" s="4">
        <f t="shared" ca="1" si="300"/>
        <v>1890.779990611124</v>
      </c>
      <c r="R3442" s="4">
        <f t="shared" ca="1" si="301"/>
        <v>-32.890053388875913</v>
      </c>
      <c r="S3442" s="4">
        <f t="shared" ca="1" si="302"/>
        <v>-16.208917761036076</v>
      </c>
    </row>
    <row r="3443" spans="15:19" x14ac:dyDescent="0.2">
      <c r="O3443" s="4">
        <f t="shared" ca="1" si="298"/>
        <v>0.97246813653892727</v>
      </c>
      <c r="P3443" s="4">
        <f t="shared" ca="1" si="299"/>
        <v>1.9183730408222051</v>
      </c>
      <c r="Q3443" s="4">
        <f t="shared" ca="1" si="300"/>
        <v>1887.0671333218281</v>
      </c>
      <c r="R3443" s="4">
        <f t="shared" ca="1" si="301"/>
        <v>-36.602910678171838</v>
      </c>
      <c r="S3443" s="4">
        <f t="shared" ca="1" si="302"/>
        <v>-17.983371521032737</v>
      </c>
    </row>
    <row r="3444" spans="15:19" x14ac:dyDescent="0.2">
      <c r="O3444" s="4">
        <f t="shared" ca="1" si="298"/>
        <v>0.49255715562036206</v>
      </c>
      <c r="P3444" s="4">
        <f t="shared" ca="1" si="299"/>
        <v>-1.8657526566913975E-2</v>
      </c>
      <c r="Q3444" s="4">
        <f t="shared" ca="1" si="300"/>
        <v>1923.6163269048814</v>
      </c>
      <c r="R3444" s="4">
        <f t="shared" ca="1" si="301"/>
        <v>-5.37170951185999E-2</v>
      </c>
      <c r="S3444" s="4">
        <f t="shared" ca="1" si="302"/>
        <v>-2.7190945093943063E-2</v>
      </c>
    </row>
    <row r="3445" spans="15:19" x14ac:dyDescent="0.2">
      <c r="O3445" s="4">
        <f t="shared" ca="1" si="298"/>
        <v>0.33131437586972556</v>
      </c>
      <c r="P3445" s="4">
        <f t="shared" ca="1" si="299"/>
        <v>-0.43628667046575753</v>
      </c>
      <c r="Q3445" s="4">
        <f t="shared" ca="1" si="300"/>
        <v>1931.4964340561369</v>
      </c>
      <c r="R3445" s="4">
        <f t="shared" ca="1" si="301"/>
        <v>7.8263900561369155</v>
      </c>
      <c r="S3445" s="4">
        <f t="shared" ca="1" si="302"/>
        <v>3.9867292646015238</v>
      </c>
    </row>
    <row r="3446" spans="15:19" x14ac:dyDescent="0.2">
      <c r="O3446" s="4">
        <f t="shared" ca="1" si="298"/>
        <v>2.6764234765302874E-2</v>
      </c>
      <c r="P3446" s="4">
        <f t="shared" ca="1" si="299"/>
        <v>-1.930632873533398</v>
      </c>
      <c r="Q3446" s="4">
        <f t="shared" ca="1" si="300"/>
        <v>1959.6927617628478</v>
      </c>
      <c r="R3446" s="4">
        <f t="shared" ca="1" si="301"/>
        <v>36.022717762847833</v>
      </c>
      <c r="S3446" s="4">
        <f t="shared" ca="1" si="302"/>
        <v>18.76328033185673</v>
      </c>
    </row>
    <row r="3447" spans="15:19" x14ac:dyDescent="0.2">
      <c r="O3447" s="4">
        <f t="shared" ca="1" si="298"/>
        <v>0.58050577037936602</v>
      </c>
      <c r="P3447" s="4">
        <f t="shared" ca="1" si="299"/>
        <v>0.20318752989820082</v>
      </c>
      <c r="Q3447" s="4">
        <f t="shared" ca="1" si="300"/>
        <v>1919.4304053966234</v>
      </c>
      <c r="R3447" s="4">
        <f t="shared" ca="1" si="301"/>
        <v>-4.2396386033765339</v>
      </c>
      <c r="S3447" s="4">
        <f t="shared" ca="1" si="302"/>
        <v>-2.1388297076447969</v>
      </c>
    </row>
    <row r="3448" spans="15:19" x14ac:dyDescent="0.2">
      <c r="O3448" s="4">
        <f t="shared" ca="1" si="298"/>
        <v>4.3576121288625536E-2</v>
      </c>
      <c r="P3448" s="4">
        <f t="shared" ca="1" si="299"/>
        <v>-1.7106148133552199</v>
      </c>
      <c r="Q3448" s="4">
        <f t="shared" ca="1" si="300"/>
        <v>1955.5413132474746</v>
      </c>
      <c r="R3448" s="4">
        <f t="shared" ca="1" si="301"/>
        <v>31.871269247474629</v>
      </c>
      <c r="S3448" s="4">
        <f t="shared" ca="1" si="302"/>
        <v>16.547040553104065</v>
      </c>
    </row>
    <row r="3449" spans="15:19" x14ac:dyDescent="0.2">
      <c r="O3449" s="4">
        <f t="shared" ca="1" si="298"/>
        <v>0.92879817936685716</v>
      </c>
      <c r="P3449" s="4">
        <f t="shared" ca="1" si="299"/>
        <v>1.4668986006246827</v>
      </c>
      <c r="Q3449" s="4">
        <f t="shared" ca="1" si="300"/>
        <v>1895.585856252887</v>
      </c>
      <c r="R3449" s="4">
        <f t="shared" ca="1" si="301"/>
        <v>-28.084187747112992</v>
      </c>
      <c r="S3449" s="4">
        <f t="shared" ca="1" si="302"/>
        <v>-13.895426627946582</v>
      </c>
    </row>
    <row r="3450" spans="15:19" x14ac:dyDescent="0.2">
      <c r="O3450" s="4">
        <f t="shared" ca="1" si="298"/>
        <v>0.1094252957183407</v>
      </c>
      <c r="P3450" s="4">
        <f t="shared" ca="1" si="299"/>
        <v>-1.2295902273347712</v>
      </c>
      <c r="Q3450" s="4">
        <f t="shared" ca="1" si="300"/>
        <v>1946.4650183202516</v>
      </c>
      <c r="R3450" s="4">
        <f t="shared" ca="1" si="301"/>
        <v>22.79497432025164</v>
      </c>
      <c r="S3450" s="4">
        <f t="shared" ca="1" si="302"/>
        <v>11.750556863655246</v>
      </c>
    </row>
    <row r="3451" spans="15:19" x14ac:dyDescent="0.2">
      <c r="O3451" s="4">
        <f t="shared" ca="1" si="298"/>
        <v>0.18057688281303863</v>
      </c>
      <c r="P3451" s="4">
        <f t="shared" ca="1" si="299"/>
        <v>-0.91316880906713549</v>
      </c>
      <c r="Q3451" s="4">
        <f t="shared" ca="1" si="300"/>
        <v>1940.4945665035432</v>
      </c>
      <c r="R3451" s="4">
        <f t="shared" ca="1" si="301"/>
        <v>16.824522503543221</v>
      </c>
      <c r="S3451" s="4">
        <f t="shared" ca="1" si="302"/>
        <v>8.6319649561429905</v>
      </c>
    </row>
    <row r="3452" spans="15:19" x14ac:dyDescent="0.2">
      <c r="O3452" s="4">
        <f t="shared" ca="1" si="298"/>
        <v>0.76899254674626005</v>
      </c>
      <c r="P3452" s="4">
        <f t="shared" ca="1" si="299"/>
        <v>0.73553307135712376</v>
      </c>
      <c r="Q3452" s="4">
        <f t="shared" ca="1" si="300"/>
        <v>1909.3857522169462</v>
      </c>
      <c r="R3452" s="4">
        <f t="shared" ca="1" si="301"/>
        <v>-14.284291783053732</v>
      </c>
      <c r="S3452" s="4">
        <f t="shared" ca="1" si="302"/>
        <v>-7.1477896053427932</v>
      </c>
    </row>
    <row r="3453" spans="15:19" x14ac:dyDescent="0.2">
      <c r="O3453" s="4">
        <f t="shared" ca="1" si="298"/>
        <v>0.57824928055999092</v>
      </c>
      <c r="P3453" s="4">
        <f t="shared" ca="1" si="299"/>
        <v>0.19741672963151718</v>
      </c>
      <c r="Q3453" s="4">
        <f t="shared" ca="1" si="300"/>
        <v>1919.5392927315097</v>
      </c>
      <c r="R3453" s="4">
        <f t="shared" ca="1" si="301"/>
        <v>-4.1307512684902576</v>
      </c>
      <c r="S3453" s="4">
        <f t="shared" ca="1" si="302"/>
        <v>-2.0840808870627421</v>
      </c>
    </row>
    <row r="3454" spans="15:19" x14ac:dyDescent="0.2">
      <c r="O3454" s="4">
        <f t="shared" ca="1" si="298"/>
        <v>0.82085648396421829</v>
      </c>
      <c r="P3454" s="4">
        <f t="shared" ca="1" si="299"/>
        <v>0.91863401881161466</v>
      </c>
      <c r="Q3454" s="4">
        <f t="shared" ca="1" si="300"/>
        <v>1905.9308805766009</v>
      </c>
      <c r="R3454" s="4">
        <f t="shared" ca="1" si="301"/>
        <v>-17.739163423399077</v>
      </c>
      <c r="S3454" s="4">
        <f t="shared" ca="1" si="302"/>
        <v>-8.8516425815264768</v>
      </c>
    </row>
    <row r="3455" spans="15:19" x14ac:dyDescent="0.2">
      <c r="O3455" s="4">
        <f t="shared" ca="1" si="298"/>
        <v>3.0363932745956834E-2</v>
      </c>
      <c r="P3455" s="4">
        <f t="shared" ca="1" si="299"/>
        <v>-1.8754716545789143</v>
      </c>
      <c r="Q3455" s="4">
        <f t="shared" ca="1" si="300"/>
        <v>1958.6519428393951</v>
      </c>
      <c r="R3455" s="4">
        <f t="shared" ca="1" si="301"/>
        <v>34.981898839395171</v>
      </c>
      <c r="S3455" s="4">
        <f t="shared" ca="1" si="302"/>
        <v>18.206323982011245</v>
      </c>
    </row>
    <row r="3456" spans="15:19" x14ac:dyDescent="0.2">
      <c r="O3456" s="4">
        <f t="shared" ca="1" si="298"/>
        <v>0.45826784570606471</v>
      </c>
      <c r="P3456" s="4">
        <f t="shared" ca="1" si="299"/>
        <v>-0.10479851122962675</v>
      </c>
      <c r="Q3456" s="4">
        <f t="shared" ca="1" si="300"/>
        <v>1925.2416928525729</v>
      </c>
      <c r="R3456" s="4">
        <f t="shared" ca="1" si="301"/>
        <v>1.5716488525729346</v>
      </c>
      <c r="S3456" s="4">
        <f t="shared" ca="1" si="302"/>
        <v>0.79658953692456391</v>
      </c>
    </row>
    <row r="3457" spans="15:19" x14ac:dyDescent="0.2">
      <c r="O3457" s="4">
        <f t="shared" ca="1" si="298"/>
        <v>0.55584442415287183</v>
      </c>
      <c r="P3457" s="4">
        <f t="shared" ca="1" si="299"/>
        <v>0.14044152379392111</v>
      </c>
      <c r="Q3457" s="4">
        <f t="shared" ca="1" si="300"/>
        <v>1920.6143391776789</v>
      </c>
      <c r="R3457" s="4">
        <f t="shared" ca="1" si="301"/>
        <v>-3.0557048223211041</v>
      </c>
      <c r="S3457" s="4">
        <f t="shared" ca="1" si="302"/>
        <v>-1.5430267709069396</v>
      </c>
    </row>
    <row r="3458" spans="15:19" x14ac:dyDescent="0.2">
      <c r="O3458" s="4">
        <f t="shared" ca="1" si="298"/>
        <v>0.41466737686295996</v>
      </c>
      <c r="P3458" s="4">
        <f t="shared" ca="1" si="299"/>
        <v>-0.21555484886937576</v>
      </c>
      <c r="Q3458" s="4">
        <f t="shared" ca="1" si="300"/>
        <v>1927.3315178109895</v>
      </c>
      <c r="R3458" s="4">
        <f t="shared" ca="1" si="301"/>
        <v>3.6614738109894915</v>
      </c>
      <c r="S3458" s="4">
        <f t="shared" ca="1" si="302"/>
        <v>1.8589312359005623</v>
      </c>
    </row>
    <row r="3459" spans="15:19" x14ac:dyDescent="0.2">
      <c r="O3459" s="4">
        <f t="shared" ref="O3459:O3522" ca="1" si="303">RAND()</f>
        <v>0.17467579889021789</v>
      </c>
      <c r="P3459" s="4">
        <f t="shared" ref="P3459:P3522" ca="1" si="304">NORMSINV(O3459)</f>
        <v>-0.93584772007836792</v>
      </c>
      <c r="Q3459" s="4">
        <f t="shared" ref="Q3459:Q3522" ca="1" si="305">$B$4*(1+$B$17-$B$32*P3459)</f>
        <v>1940.9224874268148</v>
      </c>
      <c r="R3459" s="4">
        <f t="shared" ref="R3459:R3522" ca="1" si="306">Q3459-$B$4</f>
        <v>17.252443426814807</v>
      </c>
      <c r="S3459" s="4">
        <f t="shared" ref="S3459:S3522" ca="1" si="307">R3459*$B$12+0.5*$B$13*R3459^2</f>
        <v>8.8545187028310952</v>
      </c>
    </row>
    <row r="3460" spans="15:19" x14ac:dyDescent="0.2">
      <c r="O3460" s="4">
        <f t="shared" ca="1" si="303"/>
        <v>0.98715858224006381</v>
      </c>
      <c r="P3460" s="4">
        <f t="shared" ca="1" si="304"/>
        <v>2.2309742382510063</v>
      </c>
      <c r="Q3460" s="4">
        <f t="shared" ca="1" si="305"/>
        <v>1881.1687639974245</v>
      </c>
      <c r="R3460" s="4">
        <f t="shared" ca="1" si="306"/>
        <v>-42.501280002575413</v>
      </c>
      <c r="S3460" s="4">
        <f t="shared" ca="1" si="307"/>
        <v>-20.779251154457693</v>
      </c>
    </row>
    <row r="3461" spans="15:19" x14ac:dyDescent="0.2">
      <c r="O3461" s="4">
        <f t="shared" ca="1" si="303"/>
        <v>3.3357866509731382E-2</v>
      </c>
      <c r="P3461" s="4">
        <f t="shared" ca="1" si="304"/>
        <v>-1.8335842426472</v>
      </c>
      <c r="Q3461" s="4">
        <f t="shared" ca="1" si="305"/>
        <v>1957.8615830210426</v>
      </c>
      <c r="R3461" s="4">
        <f t="shared" ca="1" si="306"/>
        <v>34.191539021042672</v>
      </c>
      <c r="S3461" s="4">
        <f t="shared" ca="1" si="307"/>
        <v>17.783980850105497</v>
      </c>
    </row>
    <row r="3462" spans="15:19" x14ac:dyDescent="0.2">
      <c r="O3462" s="4">
        <f t="shared" ca="1" si="303"/>
        <v>0.28889321311026706</v>
      </c>
      <c r="P3462" s="4">
        <f t="shared" ca="1" si="304"/>
        <v>-0.55662096562165775</v>
      </c>
      <c r="Q3462" s="4">
        <f t="shared" ca="1" si="305"/>
        <v>1933.7669823491676</v>
      </c>
      <c r="R3462" s="4">
        <f t="shared" ca="1" si="306"/>
        <v>10.096938349167658</v>
      </c>
      <c r="S3462" s="4">
        <f t="shared" ca="1" si="307"/>
        <v>5.1526690511003119</v>
      </c>
    </row>
    <row r="3463" spans="15:19" x14ac:dyDescent="0.2">
      <c r="O3463" s="4">
        <f t="shared" ca="1" si="303"/>
        <v>0.99087562447113975</v>
      </c>
      <c r="P3463" s="4">
        <f t="shared" ca="1" si="304"/>
        <v>2.3605318532412389</v>
      </c>
      <c r="Q3463" s="4">
        <f t="shared" ca="1" si="305"/>
        <v>1878.7241839117221</v>
      </c>
      <c r="R3463" s="4">
        <f t="shared" ca="1" si="306"/>
        <v>-44.945860088277868</v>
      </c>
      <c r="S3463" s="4">
        <f t="shared" ca="1" si="307"/>
        <v>-21.92970172413245</v>
      </c>
    </row>
    <row r="3464" spans="15:19" x14ac:dyDescent="0.2">
      <c r="O3464" s="4">
        <f t="shared" ca="1" si="303"/>
        <v>0.82242143319466832</v>
      </c>
      <c r="P3464" s="4">
        <f t="shared" ca="1" si="304"/>
        <v>0.92463243847983878</v>
      </c>
      <c r="Q3464" s="4">
        <f t="shared" ca="1" si="305"/>
        <v>1905.8176983659855</v>
      </c>
      <c r="R3464" s="4">
        <f t="shared" ca="1" si="306"/>
        <v>-17.852345634014455</v>
      </c>
      <c r="S3464" s="4">
        <f t="shared" ca="1" si="307"/>
        <v>-8.907296717735818</v>
      </c>
    </row>
    <row r="3465" spans="15:19" x14ac:dyDescent="0.2">
      <c r="O3465" s="4">
        <f t="shared" ca="1" si="303"/>
        <v>0.4527787348470379</v>
      </c>
      <c r="P3465" s="4">
        <f t="shared" ca="1" si="304"/>
        <v>-0.11864391779395754</v>
      </c>
      <c r="Q3465" s="4">
        <f t="shared" ca="1" si="305"/>
        <v>1925.5029372816878</v>
      </c>
      <c r="R3465" s="4">
        <f t="shared" ca="1" si="306"/>
        <v>1.8328932816878023</v>
      </c>
      <c r="S3465" s="4">
        <f t="shared" ca="1" si="307"/>
        <v>0.92919608036775014</v>
      </c>
    </row>
    <row r="3466" spans="15:19" x14ac:dyDescent="0.2">
      <c r="O3466" s="4">
        <f t="shared" ca="1" si="303"/>
        <v>0.66335469808330505</v>
      </c>
      <c r="P3466" s="4">
        <f t="shared" ca="1" si="304"/>
        <v>0.42163616634997209</v>
      </c>
      <c r="Q3466" s="4">
        <f t="shared" ca="1" si="305"/>
        <v>1915.3085698220866</v>
      </c>
      <c r="R3466" s="4">
        <f t="shared" ca="1" si="306"/>
        <v>-8.361474177913351</v>
      </c>
      <c r="S3466" s="4">
        <f t="shared" ca="1" si="307"/>
        <v>-4.2042001889194633</v>
      </c>
    </row>
    <row r="3467" spans="15:19" x14ac:dyDescent="0.2">
      <c r="O3467" s="4">
        <f t="shared" ca="1" si="303"/>
        <v>0.73779577016986608</v>
      </c>
      <c r="P3467" s="4">
        <f t="shared" ca="1" si="304"/>
        <v>0.63656464636664267</v>
      </c>
      <c r="Q3467" s="4">
        <f t="shared" ca="1" si="305"/>
        <v>1911.2531549231733</v>
      </c>
      <c r="R3467" s="4">
        <f t="shared" ca="1" si="306"/>
        <v>-12.416889076826692</v>
      </c>
      <c r="S3467" s="4">
        <f t="shared" ca="1" si="307"/>
        <v>-6.2227892921019254</v>
      </c>
    </row>
    <row r="3468" spans="15:19" x14ac:dyDescent="0.2">
      <c r="O3468" s="4">
        <f t="shared" ca="1" si="303"/>
        <v>0.33342929963492574</v>
      </c>
      <c r="P3468" s="4">
        <f t="shared" ca="1" si="304"/>
        <v>-0.43046338040741239</v>
      </c>
      <c r="Q3468" s="4">
        <f t="shared" ca="1" si="305"/>
        <v>1931.3865563086113</v>
      </c>
      <c r="R3468" s="4">
        <f t="shared" ca="1" si="306"/>
        <v>7.7165123086112999</v>
      </c>
      <c r="S3468" s="4">
        <f t="shared" ca="1" si="307"/>
        <v>3.9304128719624298</v>
      </c>
    </row>
    <row r="3469" spans="15:19" x14ac:dyDescent="0.2">
      <c r="O3469" s="4">
        <f t="shared" ca="1" si="303"/>
        <v>0.97188376686342393</v>
      </c>
      <c r="P3469" s="4">
        <f t="shared" ca="1" si="304"/>
        <v>1.9092297020367799</v>
      </c>
      <c r="Q3469" s="4">
        <f t="shared" ca="1" si="305"/>
        <v>1887.239655978357</v>
      </c>
      <c r="R3469" s="4">
        <f t="shared" ca="1" si="306"/>
        <v>-36.430388021643012</v>
      </c>
      <c r="S3469" s="4">
        <f t="shared" ca="1" si="307"/>
        <v>-17.901167893465587</v>
      </c>
    </row>
    <row r="3470" spans="15:19" x14ac:dyDescent="0.2">
      <c r="O3470" s="4">
        <f t="shared" ca="1" si="303"/>
        <v>0.88028393623418111</v>
      </c>
      <c r="P3470" s="4">
        <f t="shared" ca="1" si="304"/>
        <v>1.1764073713309864</v>
      </c>
      <c r="Q3470" s="4">
        <f t="shared" ca="1" si="305"/>
        <v>1901.0670398502864</v>
      </c>
      <c r="R3470" s="4">
        <f t="shared" ca="1" si="306"/>
        <v>-22.60300414971357</v>
      </c>
      <c r="S3470" s="4">
        <f t="shared" ca="1" si="307"/>
        <v>-11.23389213852545</v>
      </c>
    </row>
    <row r="3471" spans="15:19" x14ac:dyDescent="0.2">
      <c r="O3471" s="4">
        <f t="shared" ca="1" si="303"/>
        <v>0.84907404653097163</v>
      </c>
      <c r="P3471" s="4">
        <f t="shared" ca="1" si="304"/>
        <v>1.0324701868638653</v>
      </c>
      <c r="Q3471" s="4">
        <f t="shared" ca="1" si="305"/>
        <v>1903.782943309662</v>
      </c>
      <c r="R3471" s="4">
        <f t="shared" ca="1" si="306"/>
        <v>-19.887100690338002</v>
      </c>
      <c r="S3471" s="4">
        <f t="shared" ca="1" si="307"/>
        <v>-9.9060505962024905</v>
      </c>
    </row>
    <row r="3472" spans="15:19" x14ac:dyDescent="0.2">
      <c r="O3472" s="4">
        <f t="shared" ca="1" si="303"/>
        <v>0.18808086812622515</v>
      </c>
      <c r="P3472" s="4">
        <f t="shared" ca="1" si="304"/>
        <v>-0.88499053501889502</v>
      </c>
      <c r="Q3472" s="4">
        <f t="shared" ca="1" si="305"/>
        <v>1939.9628799053223</v>
      </c>
      <c r="R3472" s="4">
        <f t="shared" ca="1" si="306"/>
        <v>16.292835905322363</v>
      </c>
      <c r="S3472" s="4">
        <f t="shared" ca="1" si="307"/>
        <v>8.3556522947298735</v>
      </c>
    </row>
    <row r="3473" spans="15:19" x14ac:dyDescent="0.2">
      <c r="O3473" s="4">
        <f t="shared" ca="1" si="303"/>
        <v>0.9846740344004753</v>
      </c>
      <c r="P3473" s="4">
        <f t="shared" ca="1" si="304"/>
        <v>2.161562284598654</v>
      </c>
      <c r="Q3473" s="4">
        <f t="shared" ca="1" si="305"/>
        <v>1882.4784753534191</v>
      </c>
      <c r="R3473" s="4">
        <f t="shared" ca="1" si="306"/>
        <v>-41.19156864658089</v>
      </c>
      <c r="S3473" s="4">
        <f t="shared" ca="1" si="307"/>
        <v>-20.160882709663866</v>
      </c>
    </row>
    <row r="3474" spans="15:19" x14ac:dyDescent="0.2">
      <c r="O3474" s="4">
        <f t="shared" ca="1" si="303"/>
        <v>0.9287131821229504</v>
      </c>
      <c r="P3474" s="4">
        <f t="shared" ca="1" si="304"/>
        <v>1.4662740732971173</v>
      </c>
      <c r="Q3474" s="4">
        <f t="shared" ca="1" si="305"/>
        <v>1895.5976402539127</v>
      </c>
      <c r="R3474" s="4">
        <f t="shared" ca="1" si="306"/>
        <v>-28.072403746087275</v>
      </c>
      <c r="S3474" s="4">
        <f t="shared" ca="1" si="307"/>
        <v>-13.889730828992294</v>
      </c>
    </row>
    <row r="3475" spans="15:19" x14ac:dyDescent="0.2">
      <c r="O3475" s="4">
        <f t="shared" ca="1" si="303"/>
        <v>3.9249865692732033E-2</v>
      </c>
      <c r="P3475" s="4">
        <f t="shared" ca="1" si="304"/>
        <v>-1.7594580978470595</v>
      </c>
      <c r="Q3475" s="4">
        <f t="shared" ca="1" si="305"/>
        <v>1956.4629211405968</v>
      </c>
      <c r="R3475" s="4">
        <f t="shared" ca="1" si="306"/>
        <v>32.792877140596829</v>
      </c>
      <c r="S3475" s="4">
        <f t="shared" ca="1" si="307"/>
        <v>17.037826781170608</v>
      </c>
    </row>
    <row r="3476" spans="15:19" x14ac:dyDescent="0.2">
      <c r="O3476" s="4">
        <f t="shared" ca="1" si="303"/>
        <v>0.61534266703882179</v>
      </c>
      <c r="P3476" s="4">
        <f t="shared" ca="1" si="304"/>
        <v>0.29327146097539941</v>
      </c>
      <c r="Q3476" s="4">
        <f t="shared" ca="1" si="305"/>
        <v>1917.7306412880473</v>
      </c>
      <c r="R3476" s="4">
        <f t="shared" ca="1" si="306"/>
        <v>-5.9394027119526527</v>
      </c>
      <c r="S3476" s="4">
        <f t="shared" ca="1" si="307"/>
        <v>-2.99222384927468</v>
      </c>
    </row>
    <row r="3477" spans="15:19" x14ac:dyDescent="0.2">
      <c r="O3477" s="4">
        <f t="shared" ca="1" si="303"/>
        <v>0.12572794993670411</v>
      </c>
      <c r="P3477" s="4">
        <f t="shared" ca="1" si="304"/>
        <v>-1.1468202943177495</v>
      </c>
      <c r="Q3477" s="4">
        <f t="shared" ca="1" si="305"/>
        <v>1944.9032596388838</v>
      </c>
      <c r="R3477" s="4">
        <f t="shared" ca="1" si="306"/>
        <v>21.233215638883848</v>
      </c>
      <c r="S3477" s="4">
        <f t="shared" ca="1" si="307"/>
        <v>10.931988668796803</v>
      </c>
    </row>
    <row r="3478" spans="15:19" x14ac:dyDescent="0.2">
      <c r="O3478" s="4">
        <f t="shared" ca="1" si="303"/>
        <v>0.27068419283685041</v>
      </c>
      <c r="P3478" s="4">
        <f t="shared" ca="1" si="304"/>
        <v>-0.61074503652654877</v>
      </c>
      <c r="Q3478" s="4">
        <f t="shared" ca="1" si="305"/>
        <v>1934.7882316667101</v>
      </c>
      <c r="R3478" s="4">
        <f t="shared" ca="1" si="306"/>
        <v>11.118187666710128</v>
      </c>
      <c r="S3478" s="4">
        <f t="shared" ca="1" si="307"/>
        <v>5.6784549932377493</v>
      </c>
    </row>
    <row r="3479" spans="15:19" x14ac:dyDescent="0.2">
      <c r="O3479" s="4">
        <f t="shared" ca="1" si="303"/>
        <v>0.13174547852262686</v>
      </c>
      <c r="P3479" s="4">
        <f t="shared" ca="1" si="304"/>
        <v>-1.1181780499308305</v>
      </c>
      <c r="Q3479" s="4">
        <f t="shared" ca="1" si="305"/>
        <v>1944.3628185367272</v>
      </c>
      <c r="R3479" s="4">
        <f t="shared" ca="1" si="306"/>
        <v>20.692774536727256</v>
      </c>
      <c r="S3479" s="4">
        <f t="shared" ca="1" si="307"/>
        <v>10.649188499728258</v>
      </c>
    </row>
    <row r="3480" spans="15:19" x14ac:dyDescent="0.2">
      <c r="O3480" s="4">
        <f t="shared" ca="1" si="303"/>
        <v>0.4087283509389128</v>
      </c>
      <c r="P3480" s="4">
        <f t="shared" ca="1" si="304"/>
        <v>-0.23081734990436276</v>
      </c>
      <c r="Q3480" s="4">
        <f t="shared" ca="1" si="305"/>
        <v>1927.6195009302446</v>
      </c>
      <c r="R3480" s="4">
        <f t="shared" ca="1" si="306"/>
        <v>3.9494569302446507</v>
      </c>
      <c r="S3480" s="4">
        <f t="shared" ca="1" si="307"/>
        <v>2.0056033339324073</v>
      </c>
    </row>
    <row r="3481" spans="15:19" x14ac:dyDescent="0.2">
      <c r="O3481" s="4">
        <f t="shared" ca="1" si="303"/>
        <v>9.8417692059153072E-2</v>
      </c>
      <c r="P3481" s="4">
        <f t="shared" ca="1" si="304"/>
        <v>-1.2906202688489925</v>
      </c>
      <c r="Q3481" s="4">
        <f t="shared" ca="1" si="305"/>
        <v>1947.6165741290442</v>
      </c>
      <c r="R3481" s="4">
        <f t="shared" ca="1" si="306"/>
        <v>23.946530129044277</v>
      </c>
      <c r="S3481" s="4">
        <f t="shared" ca="1" si="307"/>
        <v>12.355396378093397</v>
      </c>
    </row>
    <row r="3482" spans="15:19" x14ac:dyDescent="0.2">
      <c r="O3482" s="4">
        <f t="shared" ca="1" si="303"/>
        <v>0.88161758151455871</v>
      </c>
      <c r="P3482" s="4">
        <f t="shared" ca="1" si="304"/>
        <v>1.1831118123938289</v>
      </c>
      <c r="Q3482" s="4">
        <f t="shared" ca="1" si="305"/>
        <v>1900.9405359538598</v>
      </c>
      <c r="R3482" s="4">
        <f t="shared" ca="1" si="306"/>
        <v>-22.729508046140154</v>
      </c>
      <c r="S3482" s="4">
        <f t="shared" ca="1" si="307"/>
        <v>-11.295595214051733</v>
      </c>
    </row>
    <row r="3483" spans="15:19" x14ac:dyDescent="0.2">
      <c r="O3483" s="4">
        <f t="shared" ca="1" si="303"/>
        <v>0.98235097554368322</v>
      </c>
      <c r="P3483" s="4">
        <f t="shared" ca="1" si="304"/>
        <v>2.1049225673545586</v>
      </c>
      <c r="Q3483" s="4">
        <f t="shared" ca="1" si="305"/>
        <v>1883.5471915755043</v>
      </c>
      <c r="R3483" s="4">
        <f t="shared" ca="1" si="306"/>
        <v>-40.122852424495704</v>
      </c>
      <c r="S3483" s="4">
        <f t="shared" ca="1" si="307"/>
        <v>-19.655263236568803</v>
      </c>
    </row>
    <row r="3484" spans="15:19" x14ac:dyDescent="0.2">
      <c r="O3484" s="4">
        <f t="shared" ca="1" si="303"/>
        <v>0.31405149048382752</v>
      </c>
      <c r="P3484" s="4">
        <f t="shared" ca="1" si="304"/>
        <v>-0.48439864346740924</v>
      </c>
      <c r="Q3484" s="4">
        <f t="shared" ca="1" si="305"/>
        <v>1932.4042430729407</v>
      </c>
      <c r="R3484" s="4">
        <f t="shared" ca="1" si="306"/>
        <v>8.7341990729407826</v>
      </c>
      <c r="S3484" s="4">
        <f t="shared" ca="1" si="307"/>
        <v>4.4523908993594681</v>
      </c>
    </row>
    <row r="3485" spans="15:19" x14ac:dyDescent="0.2">
      <c r="O3485" s="4">
        <f t="shared" ca="1" si="303"/>
        <v>1.2136165345636774E-2</v>
      </c>
      <c r="P3485" s="4">
        <f t="shared" ca="1" si="304"/>
        <v>-2.2527909879923205</v>
      </c>
      <c r="Q3485" s="4">
        <f t="shared" ca="1" si="305"/>
        <v>1965.7714574158451</v>
      </c>
      <c r="R3485" s="4">
        <f t="shared" ca="1" si="306"/>
        <v>42.101413415845172</v>
      </c>
      <c r="S3485" s="4">
        <f t="shared" ca="1" si="307"/>
        <v>22.033689862807918</v>
      </c>
    </row>
    <row r="3486" spans="15:19" x14ac:dyDescent="0.2">
      <c r="O3486" s="4">
        <f t="shared" ca="1" si="303"/>
        <v>0.45527938893270803</v>
      </c>
      <c r="P3486" s="4">
        <f t="shared" ca="1" si="304"/>
        <v>-0.11233375586939436</v>
      </c>
      <c r="Q3486" s="4">
        <f t="shared" ca="1" si="305"/>
        <v>1925.3838729088257</v>
      </c>
      <c r="R3486" s="4">
        <f t="shared" ca="1" si="306"/>
        <v>1.7138289088256897</v>
      </c>
      <c r="S3486" s="4">
        <f t="shared" ca="1" si="307"/>
        <v>0.86875262804835551</v>
      </c>
    </row>
    <row r="3487" spans="15:19" x14ac:dyDescent="0.2">
      <c r="O3487" s="4">
        <f t="shared" ca="1" si="303"/>
        <v>0.30404811450973812</v>
      </c>
      <c r="P3487" s="4">
        <f t="shared" ca="1" si="304"/>
        <v>-0.5127928539622737</v>
      </c>
      <c r="Q3487" s="4">
        <f t="shared" ca="1" si="305"/>
        <v>1932.9400041050515</v>
      </c>
      <c r="R3487" s="4">
        <f t="shared" ca="1" si="306"/>
        <v>9.2699601050514957</v>
      </c>
      <c r="S3487" s="4">
        <f t="shared" ca="1" si="307"/>
        <v>4.7275249415386291</v>
      </c>
    </row>
    <row r="3488" spans="15:19" x14ac:dyDescent="0.2">
      <c r="O3488" s="4">
        <f t="shared" ca="1" si="303"/>
        <v>0.1315426505359556</v>
      </c>
      <c r="P3488" s="4">
        <f t="shared" ca="1" si="304"/>
        <v>-1.1191285510987325</v>
      </c>
      <c r="Q3488" s="4">
        <f t="shared" ca="1" si="305"/>
        <v>1944.3807532310846</v>
      </c>
      <c r="R3488" s="4">
        <f t="shared" ca="1" si="306"/>
        <v>20.710709231084593</v>
      </c>
      <c r="S3488" s="4">
        <f t="shared" ca="1" si="307"/>
        <v>10.658569490527226</v>
      </c>
    </row>
    <row r="3489" spans="15:19" x14ac:dyDescent="0.2">
      <c r="O3489" s="4">
        <f t="shared" ca="1" si="303"/>
        <v>0.46151280767805547</v>
      </c>
      <c r="P3489" s="4">
        <f t="shared" ca="1" si="304"/>
        <v>-9.6623220657395967E-2</v>
      </c>
      <c r="Q3489" s="4">
        <f t="shared" ca="1" si="305"/>
        <v>1925.0874359798356</v>
      </c>
      <c r="R3489" s="4">
        <f t="shared" ca="1" si="306"/>
        <v>1.4173919798356565</v>
      </c>
      <c r="S3489" s="4">
        <f t="shared" ca="1" si="307"/>
        <v>0.71831550549770795</v>
      </c>
    </row>
    <row r="3490" spans="15:19" x14ac:dyDescent="0.2">
      <c r="O3490" s="4">
        <f t="shared" ca="1" si="303"/>
        <v>0.46422373876083811</v>
      </c>
      <c r="P3490" s="4">
        <f t="shared" ca="1" si="304"/>
        <v>-8.9798327200796543E-2</v>
      </c>
      <c r="Q3490" s="4">
        <f t="shared" ca="1" si="305"/>
        <v>1924.9586593067522</v>
      </c>
      <c r="R3490" s="4">
        <f t="shared" ca="1" si="306"/>
        <v>1.2886153067522628</v>
      </c>
      <c r="S3490" s="4">
        <f t="shared" ca="1" si="307"/>
        <v>0.65298564056383113</v>
      </c>
    </row>
    <row r="3491" spans="15:19" x14ac:dyDescent="0.2">
      <c r="O3491" s="4">
        <f t="shared" ca="1" si="303"/>
        <v>0.62557794052819693</v>
      </c>
      <c r="P3491" s="4">
        <f t="shared" ca="1" si="304"/>
        <v>0.3201638586581701</v>
      </c>
      <c r="Q3491" s="4">
        <f t="shared" ca="1" si="305"/>
        <v>1917.2232174686367</v>
      </c>
      <c r="R3491" s="4">
        <f t="shared" ca="1" si="306"/>
        <v>-6.4468265313632855</v>
      </c>
      <c r="S3491" s="4">
        <f t="shared" ca="1" si="307"/>
        <v>-3.2465282991657141</v>
      </c>
    </row>
    <row r="3492" spans="15:19" x14ac:dyDescent="0.2">
      <c r="O3492" s="4">
        <f t="shared" ca="1" si="303"/>
        <v>0.78475494191065209</v>
      </c>
      <c r="P3492" s="4">
        <f t="shared" ca="1" si="304"/>
        <v>0.78835323631168253</v>
      </c>
      <c r="Q3492" s="4">
        <f t="shared" ca="1" si="305"/>
        <v>1908.3891058725287</v>
      </c>
      <c r="R3492" s="4">
        <f t="shared" ca="1" si="306"/>
        <v>-15.280938127471245</v>
      </c>
      <c r="S3492" s="4">
        <f t="shared" ca="1" si="307"/>
        <v>-7.6403070132597666</v>
      </c>
    </row>
    <row r="3493" spans="15:19" x14ac:dyDescent="0.2">
      <c r="O3493" s="4">
        <f t="shared" ca="1" si="303"/>
        <v>0.55665616460455658</v>
      </c>
      <c r="P3493" s="4">
        <f t="shared" ca="1" si="304"/>
        <v>0.14249671899363076</v>
      </c>
      <c r="Q3493" s="4">
        <f t="shared" ca="1" si="305"/>
        <v>1920.5755603744583</v>
      </c>
      <c r="R3493" s="4">
        <f t="shared" ca="1" si="306"/>
        <v>-3.0944836255416703</v>
      </c>
      <c r="S3493" s="4">
        <f t="shared" ca="1" si="307"/>
        <v>-1.562559896164107</v>
      </c>
    </row>
    <row r="3494" spans="15:19" x14ac:dyDescent="0.2">
      <c r="O3494" s="4">
        <f t="shared" ca="1" si="303"/>
        <v>0.9772296042514782</v>
      </c>
      <c r="P3494" s="4">
        <f t="shared" ca="1" si="304"/>
        <v>1.9996248224369073</v>
      </c>
      <c r="Q3494" s="4">
        <f t="shared" ca="1" si="305"/>
        <v>1885.5340201406525</v>
      </c>
      <c r="R3494" s="4">
        <f t="shared" ca="1" si="306"/>
        <v>-38.136023859347461</v>
      </c>
      <c r="S3494" s="4">
        <f t="shared" ca="1" si="307"/>
        <v>-18.712805116939098</v>
      </c>
    </row>
    <row r="3495" spans="15:19" x14ac:dyDescent="0.2">
      <c r="O3495" s="4">
        <f t="shared" ca="1" si="303"/>
        <v>0.95101807495511559</v>
      </c>
      <c r="P3495" s="4">
        <f t="shared" ca="1" si="304"/>
        <v>1.6548060316947391</v>
      </c>
      <c r="Q3495" s="4">
        <f t="shared" ca="1" si="305"/>
        <v>1892.0402926518277</v>
      </c>
      <c r="R3495" s="4">
        <f t="shared" ca="1" si="306"/>
        <v>-31.629751348172249</v>
      </c>
      <c r="S3495" s="4">
        <f t="shared" ca="1" si="307"/>
        <v>-15.604041130265639</v>
      </c>
    </row>
    <row r="3496" spans="15:19" x14ac:dyDescent="0.2">
      <c r="O3496" s="4">
        <f t="shared" ca="1" si="303"/>
        <v>0.90612514822139623</v>
      </c>
      <c r="P3496" s="4">
        <f t="shared" ca="1" si="304"/>
        <v>1.3172653259251401</v>
      </c>
      <c r="Q3496" s="4">
        <f t="shared" ca="1" si="305"/>
        <v>1898.4092373680501</v>
      </c>
      <c r="R3496" s="4">
        <f t="shared" ca="1" si="306"/>
        <v>-25.26080663194989</v>
      </c>
      <c r="S3496" s="4">
        <f t="shared" ca="1" si="307"/>
        <v>-12.527513471647675</v>
      </c>
    </row>
    <row r="3497" spans="15:19" x14ac:dyDescent="0.2">
      <c r="O3497" s="4">
        <f t="shared" ca="1" si="303"/>
        <v>0.50927305108108489</v>
      </c>
      <c r="P3497" s="4">
        <f t="shared" ca="1" si="304"/>
        <v>2.3246185511121183E-2</v>
      </c>
      <c r="Q3497" s="4">
        <f t="shared" ca="1" si="305"/>
        <v>1922.8256595244213</v>
      </c>
      <c r="R3497" s="4">
        <f t="shared" ca="1" si="306"/>
        <v>-0.84438447557863583</v>
      </c>
      <c r="S3497" s="4">
        <f t="shared" ca="1" si="307"/>
        <v>-0.42714545789405289</v>
      </c>
    </row>
    <row r="3498" spans="15:19" x14ac:dyDescent="0.2">
      <c r="O3498" s="4">
        <f t="shared" ca="1" si="303"/>
        <v>0.9980653245209723</v>
      </c>
      <c r="P3498" s="4">
        <f t="shared" ca="1" si="304"/>
        <v>2.8886210264710663</v>
      </c>
      <c r="Q3498" s="4">
        <f t="shared" ca="1" si="305"/>
        <v>1868.7598427462094</v>
      </c>
      <c r="R3498" s="4">
        <f t="shared" ca="1" si="306"/>
        <v>-54.910201253790547</v>
      </c>
      <c r="S3498" s="4">
        <f t="shared" ca="1" si="307"/>
        <v>-26.568714998200036</v>
      </c>
    </row>
    <row r="3499" spans="15:19" x14ac:dyDescent="0.2">
      <c r="O3499" s="4">
        <f t="shared" ca="1" si="303"/>
        <v>0.92958790005638559</v>
      </c>
      <c r="P3499" s="4">
        <f t="shared" ca="1" si="304"/>
        <v>1.472728717412459</v>
      </c>
      <c r="Q3499" s="4">
        <f t="shared" ca="1" si="305"/>
        <v>1895.475849694046</v>
      </c>
      <c r="R3499" s="4">
        <f t="shared" ca="1" si="306"/>
        <v>-28.194194305953943</v>
      </c>
      <c r="S3499" s="4">
        <f t="shared" ca="1" si="307"/>
        <v>-13.948592863563078</v>
      </c>
    </row>
    <row r="3500" spans="15:19" x14ac:dyDescent="0.2">
      <c r="O3500" s="4">
        <f t="shared" ca="1" si="303"/>
        <v>0.21586858770540995</v>
      </c>
      <c r="P3500" s="4">
        <f t="shared" ca="1" si="304"/>
        <v>-0.78622245086903275</v>
      </c>
      <c r="Q3500" s="4">
        <f t="shared" ca="1" si="305"/>
        <v>1938.0992573646174</v>
      </c>
      <c r="R3500" s="4">
        <f t="shared" ca="1" si="306"/>
        <v>14.429213364617453</v>
      </c>
      <c r="S3500" s="4">
        <f t="shared" ca="1" si="307"/>
        <v>7.3889618456163717</v>
      </c>
    </row>
    <row r="3501" spans="15:19" x14ac:dyDescent="0.2">
      <c r="O3501" s="4">
        <f t="shared" ca="1" si="303"/>
        <v>0.15862005900826881</v>
      </c>
      <c r="P3501" s="4">
        <f t="shared" ca="1" si="304"/>
        <v>-1.0001454617421244</v>
      </c>
      <c r="Q3501" s="4">
        <f t="shared" ca="1" si="305"/>
        <v>1942.1357003964943</v>
      </c>
      <c r="R3501" s="4">
        <f t="shared" ca="1" si="306"/>
        <v>18.465656396494296</v>
      </c>
      <c r="S3501" s="4">
        <f t="shared" ca="1" si="307"/>
        <v>9.4862987916105084</v>
      </c>
    </row>
    <row r="3502" spans="15:19" x14ac:dyDescent="0.2">
      <c r="O3502" s="4">
        <f t="shared" ca="1" si="303"/>
        <v>0.46353806374815743</v>
      </c>
      <c r="P3502" s="4">
        <f t="shared" ca="1" si="304"/>
        <v>-9.1524137846908549E-2</v>
      </c>
      <c r="Q3502" s="4">
        <f t="shared" ca="1" si="305"/>
        <v>1924.9912230610134</v>
      </c>
      <c r="R3502" s="4">
        <f t="shared" ca="1" si="306"/>
        <v>1.3211790610134813</v>
      </c>
      <c r="S3502" s="4">
        <f t="shared" ca="1" si="307"/>
        <v>0.66950432658678516</v>
      </c>
    </row>
    <row r="3503" spans="15:19" x14ac:dyDescent="0.2">
      <c r="O3503" s="4">
        <f t="shared" ca="1" si="303"/>
        <v>0.3302889871103557</v>
      </c>
      <c r="P3503" s="4">
        <f t="shared" ca="1" si="304"/>
        <v>-0.4391153265101343</v>
      </c>
      <c r="Q3503" s="4">
        <f t="shared" ca="1" si="305"/>
        <v>1931.5498070380022</v>
      </c>
      <c r="R3503" s="4">
        <f t="shared" ca="1" si="306"/>
        <v>7.8797630380022383</v>
      </c>
      <c r="S3503" s="4">
        <f t="shared" ca="1" si="307"/>
        <v>4.0140884305151765</v>
      </c>
    </row>
    <row r="3504" spans="15:19" x14ac:dyDescent="0.2">
      <c r="O3504" s="4">
        <f t="shared" ca="1" si="303"/>
        <v>0.28861826697164272</v>
      </c>
      <c r="P3504" s="4">
        <f t="shared" ca="1" si="304"/>
        <v>-0.55742581189836349</v>
      </c>
      <c r="Q3504" s="4">
        <f t="shared" ca="1" si="305"/>
        <v>1933.782168729221</v>
      </c>
      <c r="R3504" s="4">
        <f t="shared" ca="1" si="306"/>
        <v>10.112124729221023</v>
      </c>
      <c r="S3504" s="4">
        <f t="shared" ca="1" si="307"/>
        <v>5.1604814760005935</v>
      </c>
    </row>
    <row r="3505" spans="15:19" x14ac:dyDescent="0.2">
      <c r="O3505" s="4">
        <f t="shared" ca="1" si="303"/>
        <v>0.34841044937593046</v>
      </c>
      <c r="P3505" s="4">
        <f t="shared" ca="1" si="304"/>
        <v>-0.38961548658262407</v>
      </c>
      <c r="Q3505" s="4">
        <f t="shared" ca="1" si="305"/>
        <v>1930.6158108160018</v>
      </c>
      <c r="R3505" s="4">
        <f t="shared" ca="1" si="306"/>
        <v>6.9457668160018784</v>
      </c>
      <c r="S3505" s="4">
        <f t="shared" ca="1" si="307"/>
        <v>3.5356537114947488</v>
      </c>
    </row>
    <row r="3506" spans="15:19" x14ac:dyDescent="0.2">
      <c r="O3506" s="4">
        <f t="shared" ca="1" si="303"/>
        <v>0.14056804530597444</v>
      </c>
      <c r="P3506" s="4">
        <f t="shared" ca="1" si="304"/>
        <v>-1.0777707171439304</v>
      </c>
      <c r="Q3506" s="4">
        <f t="shared" ca="1" si="305"/>
        <v>1943.6003858456447</v>
      </c>
      <c r="R3506" s="4">
        <f t="shared" ca="1" si="306"/>
        <v>19.930341845644762</v>
      </c>
      <c r="S3506" s="4">
        <f t="shared" ca="1" si="307"/>
        <v>10.25062969593866</v>
      </c>
    </row>
    <row r="3507" spans="15:19" x14ac:dyDescent="0.2">
      <c r="O3507" s="4">
        <f t="shared" ca="1" si="303"/>
        <v>4.7843974491509789E-2</v>
      </c>
      <c r="P3507" s="4">
        <f t="shared" ca="1" si="304"/>
        <v>-1.6661278680117515</v>
      </c>
      <c r="Q3507" s="4">
        <f t="shared" ca="1" si="305"/>
        <v>1954.7019036869592</v>
      </c>
      <c r="R3507" s="4">
        <f t="shared" ca="1" si="306"/>
        <v>31.031859686959251</v>
      </c>
      <c r="S3507" s="4">
        <f t="shared" ca="1" si="307"/>
        <v>16.100629350872033</v>
      </c>
    </row>
    <row r="3508" spans="15:19" x14ac:dyDescent="0.2">
      <c r="O3508" s="4">
        <f t="shared" ca="1" si="303"/>
        <v>0.95429413357300641</v>
      </c>
      <c r="P3508" s="4">
        <f t="shared" ca="1" si="304"/>
        <v>1.6879973749256636</v>
      </c>
      <c r="Q3508" s="4">
        <f t="shared" ca="1" si="305"/>
        <v>1891.4140160976774</v>
      </c>
      <c r="R3508" s="4">
        <f t="shared" ca="1" si="306"/>
        <v>-32.256027902322558</v>
      </c>
      <c r="S3508" s="4">
        <f t="shared" ca="1" si="307"/>
        <v>-15.904781549128078</v>
      </c>
    </row>
    <row r="3509" spans="15:19" x14ac:dyDescent="0.2">
      <c r="O3509" s="4">
        <f t="shared" ca="1" si="303"/>
        <v>0.41698581606646512</v>
      </c>
      <c r="P3509" s="4">
        <f t="shared" ca="1" si="304"/>
        <v>-0.20961056629992084</v>
      </c>
      <c r="Q3509" s="4">
        <f t="shared" ca="1" si="305"/>
        <v>1927.2193570955103</v>
      </c>
      <c r="R3509" s="4">
        <f t="shared" ca="1" si="306"/>
        <v>3.5493130955103425</v>
      </c>
      <c r="S3509" s="4">
        <f t="shared" ca="1" si="307"/>
        <v>1.8018251589573546</v>
      </c>
    </row>
    <row r="3510" spans="15:19" x14ac:dyDescent="0.2">
      <c r="O3510" s="4">
        <f t="shared" ca="1" si="303"/>
        <v>0.98587539434768856</v>
      </c>
      <c r="P3510" s="4">
        <f t="shared" ca="1" si="304"/>
        <v>2.1938080577882433</v>
      </c>
      <c r="Q3510" s="4">
        <f t="shared" ca="1" si="305"/>
        <v>1881.8700404498181</v>
      </c>
      <c r="R3510" s="4">
        <f t="shared" ca="1" si="306"/>
        <v>-41.800003550181827</v>
      </c>
      <c r="S3510" s="4">
        <f t="shared" ca="1" si="307"/>
        <v>-20.44832346940154</v>
      </c>
    </row>
    <row r="3511" spans="15:19" x14ac:dyDescent="0.2">
      <c r="O3511" s="4">
        <f t="shared" ca="1" si="303"/>
        <v>0.19222353130726133</v>
      </c>
      <c r="P3511" s="4">
        <f t="shared" ca="1" si="304"/>
        <v>-0.86973166646000311</v>
      </c>
      <c r="Q3511" s="4">
        <f t="shared" ca="1" si="305"/>
        <v>1939.6749653260654</v>
      </c>
      <c r="R3511" s="4">
        <f t="shared" ca="1" si="306"/>
        <v>16.004921326065414</v>
      </c>
      <c r="S3511" s="4">
        <f t="shared" ca="1" si="307"/>
        <v>8.206121779844203</v>
      </c>
    </row>
    <row r="3512" spans="15:19" x14ac:dyDescent="0.2">
      <c r="O3512" s="4">
        <f t="shared" ca="1" si="303"/>
        <v>0.19229662047910612</v>
      </c>
      <c r="P3512" s="4">
        <f t="shared" ca="1" si="304"/>
        <v>-0.86946427356959555</v>
      </c>
      <c r="Q3512" s="4">
        <f t="shared" ca="1" si="305"/>
        <v>1939.6699199774384</v>
      </c>
      <c r="R3512" s="4">
        <f t="shared" ca="1" si="306"/>
        <v>15.999875977438478</v>
      </c>
      <c r="S3512" s="4">
        <f t="shared" ca="1" si="307"/>
        <v>8.2035020433007126</v>
      </c>
    </row>
    <row r="3513" spans="15:19" x14ac:dyDescent="0.2">
      <c r="O3513" s="4">
        <f t="shared" ca="1" si="303"/>
        <v>0.61042727286983578</v>
      </c>
      <c r="P3513" s="4">
        <f t="shared" ca="1" si="304"/>
        <v>0.28043282757157195</v>
      </c>
      <c r="Q3513" s="4">
        <f t="shared" ca="1" si="305"/>
        <v>1917.9728892450585</v>
      </c>
      <c r="R3513" s="4">
        <f t="shared" ca="1" si="306"/>
        <v>-5.6971547549414936</v>
      </c>
      <c r="S3513" s="4">
        <f t="shared" ca="1" si="307"/>
        <v>-2.8707430612175551</v>
      </c>
    </row>
    <row r="3514" spans="15:19" x14ac:dyDescent="0.2">
      <c r="O3514" s="4">
        <f t="shared" ca="1" si="303"/>
        <v>5.8510355411743875E-2</v>
      </c>
      <c r="P3514" s="4">
        <f t="shared" ca="1" si="304"/>
        <v>-1.5674021967501326</v>
      </c>
      <c r="Q3514" s="4">
        <f t="shared" ca="1" si="305"/>
        <v>1952.8390814211127</v>
      </c>
      <c r="R3514" s="4">
        <f t="shared" ca="1" si="306"/>
        <v>29.169037421112762</v>
      </c>
      <c r="S3514" s="4">
        <f t="shared" ca="1" si="307"/>
        <v>15.112000276888171</v>
      </c>
    </row>
    <row r="3515" spans="15:19" x14ac:dyDescent="0.2">
      <c r="O3515" s="4">
        <f t="shared" ca="1" si="303"/>
        <v>0.40728160815413939</v>
      </c>
      <c r="P3515" s="4">
        <f t="shared" ca="1" si="304"/>
        <v>-0.23454330724217329</v>
      </c>
      <c r="Q3515" s="4">
        <f t="shared" ca="1" si="305"/>
        <v>1927.6898047955085</v>
      </c>
      <c r="R3515" s="4">
        <f t="shared" ca="1" si="306"/>
        <v>4.0197607955085459</v>
      </c>
      <c r="S3515" s="4">
        <f t="shared" ca="1" si="307"/>
        <v>2.0414199065249483</v>
      </c>
    </row>
    <row r="3516" spans="15:19" x14ac:dyDescent="0.2">
      <c r="O3516" s="4">
        <f t="shared" ca="1" si="303"/>
        <v>0.88604107294392176</v>
      </c>
      <c r="P3516" s="4">
        <f t="shared" ca="1" si="304"/>
        <v>1.205739747364118</v>
      </c>
      <c r="Q3516" s="4">
        <f t="shared" ca="1" si="305"/>
        <v>1900.5135768807625</v>
      </c>
      <c r="R3516" s="4">
        <f t="shared" ca="1" si="306"/>
        <v>-23.156467119237504</v>
      </c>
      <c r="S3516" s="4">
        <f t="shared" ca="1" si="307"/>
        <v>-11.503751009242173</v>
      </c>
    </row>
    <row r="3517" spans="15:19" x14ac:dyDescent="0.2">
      <c r="O3517" s="4">
        <f t="shared" ca="1" si="303"/>
        <v>0.26913387270807188</v>
      </c>
      <c r="P3517" s="4">
        <f t="shared" ca="1" si="304"/>
        <v>-0.61543460286445095</v>
      </c>
      <c r="Q3517" s="4">
        <f t="shared" ca="1" si="305"/>
        <v>1934.8767175537116</v>
      </c>
      <c r="R3517" s="4">
        <f t="shared" ca="1" si="306"/>
        <v>11.206673553711653</v>
      </c>
      <c r="S3517" s="4">
        <f t="shared" ca="1" si="307"/>
        <v>5.724051554804702</v>
      </c>
    </row>
    <row r="3518" spans="15:19" x14ac:dyDescent="0.2">
      <c r="O3518" s="4">
        <f t="shared" ca="1" si="303"/>
        <v>0.46257309850047312</v>
      </c>
      <c r="P3518" s="4">
        <f t="shared" ca="1" si="304"/>
        <v>-9.395337146528833E-2</v>
      </c>
      <c r="Q3518" s="4">
        <f t="shared" ca="1" si="305"/>
        <v>1925.0370594723079</v>
      </c>
      <c r="R3518" s="4">
        <f t="shared" ca="1" si="306"/>
        <v>1.3670154723079122</v>
      </c>
      <c r="S3518" s="4">
        <f t="shared" ca="1" si="307"/>
        <v>0.69275732487358055</v>
      </c>
    </row>
    <row r="3519" spans="15:19" x14ac:dyDescent="0.2">
      <c r="O3519" s="4">
        <f t="shared" ca="1" si="303"/>
        <v>0.32926623377054531</v>
      </c>
      <c r="P3519" s="4">
        <f t="shared" ca="1" si="304"/>
        <v>-0.44194021672911138</v>
      </c>
      <c r="Q3519" s="4">
        <f t="shared" ca="1" si="305"/>
        <v>1931.6031089637447</v>
      </c>
      <c r="R3519" s="4">
        <f t="shared" ca="1" si="306"/>
        <v>7.933064963744755</v>
      </c>
      <c r="S3519" s="4">
        <f t="shared" ca="1" si="307"/>
        <v>4.0414134874134175</v>
      </c>
    </row>
    <row r="3520" spans="15:19" x14ac:dyDescent="0.2">
      <c r="O3520" s="4">
        <f t="shared" ca="1" si="303"/>
        <v>0.21559536056201267</v>
      </c>
      <c r="P3520" s="4">
        <f t="shared" ca="1" si="304"/>
        <v>-0.78715570904419008</v>
      </c>
      <c r="Q3520" s="4">
        <f t="shared" ca="1" si="305"/>
        <v>1938.1168667066077</v>
      </c>
      <c r="R3520" s="4">
        <f t="shared" ca="1" si="306"/>
        <v>14.446822706607691</v>
      </c>
      <c r="S3520" s="4">
        <f t="shared" ca="1" si="307"/>
        <v>7.3980828568278847</v>
      </c>
    </row>
    <row r="3521" spans="15:19" x14ac:dyDescent="0.2">
      <c r="O3521" s="4">
        <f t="shared" ca="1" si="303"/>
        <v>0.87724036074503187</v>
      </c>
      <c r="P3521" s="4">
        <f t="shared" ca="1" si="304"/>
        <v>1.1613015767968198</v>
      </c>
      <c r="Q3521" s="4">
        <f t="shared" ca="1" si="305"/>
        <v>1901.3520661260457</v>
      </c>
      <c r="R3521" s="4">
        <f t="shared" ca="1" si="306"/>
        <v>-22.317977873954305</v>
      </c>
      <c r="S3521" s="4">
        <f t="shared" ca="1" si="307"/>
        <v>-11.09482102197876</v>
      </c>
    </row>
    <row r="3522" spans="15:19" x14ac:dyDescent="0.2">
      <c r="O3522" s="4">
        <f t="shared" ca="1" si="303"/>
        <v>0.28216083242672763</v>
      </c>
      <c r="P3522" s="4">
        <f t="shared" ca="1" si="304"/>
        <v>-0.57643430156042375</v>
      </c>
      <c r="Q3522" s="4">
        <f t="shared" ca="1" si="305"/>
        <v>1934.1408336775585</v>
      </c>
      <c r="R3522" s="4">
        <f t="shared" ca="1" si="306"/>
        <v>10.470789677558514</v>
      </c>
      <c r="S3522" s="4">
        <f t="shared" ca="1" si="307"/>
        <v>5.3450463215507096</v>
      </c>
    </row>
    <row r="3523" spans="15:19" x14ac:dyDescent="0.2">
      <c r="O3523" s="4">
        <f t="shared" ref="O3523:O3586" ca="1" si="308">RAND()</f>
        <v>0.20337176513678223</v>
      </c>
      <c r="P3523" s="4">
        <f t="shared" ref="P3523:P3586" ca="1" si="309">NORMSINV(O3523)</f>
        <v>-0.82963792031577877</v>
      </c>
      <c r="Q3523" s="4">
        <f t="shared" ref="Q3523:Q3586" ca="1" si="310">$B$4*(1+$B$17-$B$32*P3523)</f>
        <v>1938.9184495983502</v>
      </c>
      <c r="R3523" s="4">
        <f t="shared" ref="R3523:R3586" ca="1" si="311">Q3523-$B$4</f>
        <v>15.248405598350246</v>
      </c>
      <c r="S3523" s="4">
        <f t="shared" ref="S3523:S3586" ca="1" si="312">R3523*$B$12+0.5*$B$13*R3523^2</f>
        <v>7.8135415129487171</v>
      </c>
    </row>
    <row r="3524" spans="15:19" x14ac:dyDescent="0.2">
      <c r="O3524" s="4">
        <f t="shared" ca="1" si="308"/>
        <v>0.85807359334742417</v>
      </c>
      <c r="P3524" s="4">
        <f t="shared" ca="1" si="309"/>
        <v>1.071704423604033</v>
      </c>
      <c r="Q3524" s="4">
        <f t="shared" ca="1" si="310"/>
        <v>1903.0426453825969</v>
      </c>
      <c r="R3524" s="4">
        <f t="shared" ca="1" si="311"/>
        <v>-20.62739861740306</v>
      </c>
      <c r="S3524" s="4">
        <f t="shared" ca="1" si="312"/>
        <v>-10.268587512217101</v>
      </c>
    </row>
    <row r="3525" spans="15:19" x14ac:dyDescent="0.2">
      <c r="O3525" s="4">
        <f t="shared" ca="1" si="308"/>
        <v>0.46962453398009041</v>
      </c>
      <c r="P3525" s="4">
        <f t="shared" ca="1" si="309"/>
        <v>-7.621371936610627E-2</v>
      </c>
      <c r="Q3525" s="4">
        <f t="shared" ca="1" si="310"/>
        <v>1924.7023358032111</v>
      </c>
      <c r="R3525" s="4">
        <f t="shared" ca="1" si="311"/>
        <v>1.0322918032111374</v>
      </c>
      <c r="S3525" s="4">
        <f t="shared" ca="1" si="312"/>
        <v>0.52299000568621268</v>
      </c>
    </row>
    <row r="3526" spans="15:19" x14ac:dyDescent="0.2">
      <c r="O3526" s="4">
        <f t="shared" ca="1" si="308"/>
        <v>0.64741582648061091</v>
      </c>
      <c r="P3526" s="4">
        <f t="shared" ca="1" si="309"/>
        <v>0.37835304187099095</v>
      </c>
      <c r="Q3526" s="4">
        <f t="shared" ca="1" si="310"/>
        <v>1916.1252648820898</v>
      </c>
      <c r="R3526" s="4">
        <f t="shared" ca="1" si="311"/>
        <v>-7.5447791179101387</v>
      </c>
      <c r="S3526" s="4">
        <f t="shared" ca="1" si="312"/>
        <v>-3.7960692066812274</v>
      </c>
    </row>
    <row r="3527" spans="15:19" x14ac:dyDescent="0.2">
      <c r="O3527" s="4">
        <f t="shared" ca="1" si="308"/>
        <v>0.98435124322626011</v>
      </c>
      <c r="P3527" s="4">
        <f t="shared" ca="1" si="309"/>
        <v>2.1532693830223297</v>
      </c>
      <c r="Q3527" s="4">
        <f t="shared" ca="1" si="310"/>
        <v>1882.6349513895648</v>
      </c>
      <c r="R3527" s="4">
        <f t="shared" ca="1" si="311"/>
        <v>-41.035092610435186</v>
      </c>
      <c r="S3527" s="4">
        <f t="shared" ca="1" si="312"/>
        <v>-20.086910564513676</v>
      </c>
    </row>
    <row r="3528" spans="15:19" x14ac:dyDescent="0.2">
      <c r="O3528" s="4">
        <f t="shared" ca="1" si="308"/>
        <v>0.97084425083542425</v>
      </c>
      <c r="P3528" s="4">
        <f t="shared" ca="1" si="309"/>
        <v>1.8933488085599388</v>
      </c>
      <c r="Q3528" s="4">
        <f t="shared" ca="1" si="310"/>
        <v>1887.5393073414944</v>
      </c>
      <c r="R3528" s="4">
        <f t="shared" ca="1" si="311"/>
        <v>-36.130736658505612</v>
      </c>
      <c r="S3528" s="4">
        <f t="shared" ca="1" si="312"/>
        <v>-17.758332360814428</v>
      </c>
    </row>
    <row r="3529" spans="15:19" x14ac:dyDescent="0.2">
      <c r="O3529" s="4">
        <f t="shared" ca="1" si="308"/>
        <v>0.79585459381916246</v>
      </c>
      <c r="P3529" s="4">
        <f t="shared" ca="1" si="309"/>
        <v>0.82690517086509219</v>
      </c>
      <c r="Q3529" s="4">
        <f t="shared" ca="1" si="310"/>
        <v>1907.6616820813322</v>
      </c>
      <c r="R3529" s="4">
        <f t="shared" ca="1" si="311"/>
        <v>-16.008361918667788</v>
      </c>
      <c r="S3529" s="4">
        <f t="shared" ca="1" si="312"/>
        <v>-7.9992709292186053</v>
      </c>
    </row>
    <row r="3530" spans="15:19" x14ac:dyDescent="0.2">
      <c r="O3530" s="4">
        <f t="shared" ca="1" si="308"/>
        <v>9.0532687297030567E-2</v>
      </c>
      <c r="P3530" s="4">
        <f t="shared" ca="1" si="309"/>
        <v>-1.3374819367079209</v>
      </c>
      <c r="Q3530" s="4">
        <f t="shared" ca="1" si="310"/>
        <v>1948.5007915487565</v>
      </c>
      <c r="R3530" s="4">
        <f t="shared" ca="1" si="311"/>
        <v>24.830747548756563</v>
      </c>
      <c r="S3530" s="4">
        <f t="shared" ca="1" si="312"/>
        <v>12.820552677937902</v>
      </c>
    </row>
    <row r="3531" spans="15:19" x14ac:dyDescent="0.2">
      <c r="O3531" s="4">
        <f t="shared" ca="1" si="308"/>
        <v>0.82464432040087443</v>
      </c>
      <c r="P3531" s="4">
        <f t="shared" ca="1" si="309"/>
        <v>0.93321037458654255</v>
      </c>
      <c r="Q3531" s="4">
        <f t="shared" ca="1" si="310"/>
        <v>1905.6558441069019</v>
      </c>
      <c r="R3531" s="4">
        <f t="shared" ca="1" si="311"/>
        <v>-18.014199893098066</v>
      </c>
      <c r="S3531" s="4">
        <f t="shared" ca="1" si="312"/>
        <v>-8.9868658298321975</v>
      </c>
    </row>
    <row r="3532" spans="15:19" x14ac:dyDescent="0.2">
      <c r="O3532" s="4">
        <f t="shared" ca="1" si="308"/>
        <v>0.53741899827991102</v>
      </c>
      <c r="P3532" s="4">
        <f t="shared" ca="1" si="309"/>
        <v>9.3933473421211749E-2</v>
      </c>
      <c r="Q3532" s="4">
        <f t="shared" ca="1" si="310"/>
        <v>1921.4918843051848</v>
      </c>
      <c r="R3532" s="4">
        <f t="shared" ca="1" si="311"/>
        <v>-2.1781596948151218</v>
      </c>
      <c r="S3532" s="4">
        <f t="shared" ca="1" si="312"/>
        <v>-1.1006744814304918</v>
      </c>
    </row>
    <row r="3533" spans="15:19" x14ac:dyDescent="0.2">
      <c r="O3533" s="4">
        <f t="shared" ca="1" si="308"/>
        <v>0.52053024886975552</v>
      </c>
      <c r="P3533" s="4">
        <f t="shared" ca="1" si="309"/>
        <v>5.1484437776455352E-2</v>
      </c>
      <c r="Q3533" s="4">
        <f t="shared" ca="1" si="310"/>
        <v>1922.292841216921</v>
      </c>
      <c r="R3533" s="4">
        <f t="shared" ca="1" si="311"/>
        <v>-1.3772027830789284</v>
      </c>
      <c r="S3533" s="4">
        <f t="shared" ca="1" si="312"/>
        <v>-0.69638145525119322</v>
      </c>
    </row>
    <row r="3534" spans="15:19" x14ac:dyDescent="0.2">
      <c r="O3534" s="4">
        <f t="shared" ca="1" si="308"/>
        <v>0.85057491939185526</v>
      </c>
      <c r="P3534" s="4">
        <f t="shared" ca="1" si="309"/>
        <v>1.0389023331085094</v>
      </c>
      <c r="Q3534" s="4">
        <f t="shared" ca="1" si="310"/>
        <v>1903.6615772547282</v>
      </c>
      <c r="R3534" s="4">
        <f t="shared" ca="1" si="311"/>
        <v>-20.008466745271789</v>
      </c>
      <c r="S3534" s="4">
        <f t="shared" ca="1" si="312"/>
        <v>-9.9655162659652508</v>
      </c>
    </row>
    <row r="3535" spans="15:19" x14ac:dyDescent="0.2">
      <c r="O3535" s="4">
        <f t="shared" ca="1" si="308"/>
        <v>0.1835944401209707</v>
      </c>
      <c r="P3535" s="4">
        <f t="shared" ca="1" si="309"/>
        <v>-0.90175151612285875</v>
      </c>
      <c r="Q3535" s="4">
        <f t="shared" ca="1" si="310"/>
        <v>1940.2791373528426</v>
      </c>
      <c r="R3535" s="4">
        <f t="shared" ca="1" si="311"/>
        <v>16.609093352842592</v>
      </c>
      <c r="S3535" s="4">
        <f t="shared" ca="1" si="312"/>
        <v>8.5199806631308146</v>
      </c>
    </row>
    <row r="3536" spans="15:19" x14ac:dyDescent="0.2">
      <c r="O3536" s="4">
        <f t="shared" ca="1" si="308"/>
        <v>0.20729344971243846</v>
      </c>
      <c r="P3536" s="4">
        <f t="shared" ca="1" si="309"/>
        <v>-0.81584830894258564</v>
      </c>
      <c r="Q3536" s="4">
        <f t="shared" ca="1" si="310"/>
        <v>1938.6582579503718</v>
      </c>
      <c r="R3536" s="4">
        <f t="shared" ca="1" si="311"/>
        <v>14.988213950371801</v>
      </c>
      <c r="S3536" s="4">
        <f t="shared" ca="1" si="312"/>
        <v>7.6786274100097822</v>
      </c>
    </row>
    <row r="3537" spans="15:19" x14ac:dyDescent="0.2">
      <c r="O3537" s="4">
        <f t="shared" ca="1" si="308"/>
        <v>0.88554305865718586</v>
      </c>
      <c r="P3537" s="4">
        <f t="shared" ca="1" si="309"/>
        <v>1.2031613643468313</v>
      </c>
      <c r="Q3537" s="4">
        <f t="shared" ca="1" si="310"/>
        <v>1900.5622275430785</v>
      </c>
      <c r="R3537" s="4">
        <f t="shared" ca="1" si="311"/>
        <v>-23.107816456921455</v>
      </c>
      <c r="S3537" s="4">
        <f t="shared" ca="1" si="312"/>
        <v>-11.480039793992885</v>
      </c>
    </row>
    <row r="3538" spans="15:19" x14ac:dyDescent="0.2">
      <c r="O3538" s="4">
        <f t="shared" ca="1" si="308"/>
        <v>6.8729611696794701E-2</v>
      </c>
      <c r="P3538" s="4">
        <f t="shared" ca="1" si="309"/>
        <v>-1.4853194445619884</v>
      </c>
      <c r="Q3538" s="4">
        <f t="shared" ca="1" si="310"/>
        <v>1951.2902889291086</v>
      </c>
      <c r="R3538" s="4">
        <f t="shared" ca="1" si="311"/>
        <v>27.620244929108594</v>
      </c>
      <c r="S3538" s="4">
        <f t="shared" ca="1" si="312"/>
        <v>14.292182649072256</v>
      </c>
    </row>
    <row r="3539" spans="15:19" x14ac:dyDescent="0.2">
      <c r="O3539" s="4">
        <f t="shared" ca="1" si="308"/>
        <v>0.22759675201579266</v>
      </c>
      <c r="P3539" s="4">
        <f t="shared" ca="1" si="309"/>
        <v>-0.74678474726080368</v>
      </c>
      <c r="Q3539" s="4">
        <f t="shared" ca="1" si="310"/>
        <v>1937.3551202880453</v>
      </c>
      <c r="R3539" s="4">
        <f t="shared" ca="1" si="311"/>
        <v>13.685076288045366</v>
      </c>
      <c r="S3539" s="4">
        <f t="shared" ca="1" si="312"/>
        <v>7.0037561201176874</v>
      </c>
    </row>
    <row r="3540" spans="15:19" x14ac:dyDescent="0.2">
      <c r="O3540" s="4">
        <f t="shared" ca="1" si="308"/>
        <v>0.50965976948492486</v>
      </c>
      <c r="P3540" s="4">
        <f t="shared" ca="1" si="309"/>
        <v>2.4215817825303573E-2</v>
      </c>
      <c r="Q3540" s="4">
        <f t="shared" ca="1" si="310"/>
        <v>1922.8073638507483</v>
      </c>
      <c r="R3540" s="4">
        <f t="shared" ca="1" si="311"/>
        <v>-0.86268014925167336</v>
      </c>
      <c r="S3540" s="4">
        <f t="shared" ca="1" si="312"/>
        <v>-0.43639419356748027</v>
      </c>
    </row>
    <row r="3541" spans="15:19" x14ac:dyDescent="0.2">
      <c r="O3541" s="4">
        <f t="shared" ca="1" si="308"/>
        <v>0.72833447188642675</v>
      </c>
      <c r="P3541" s="4">
        <f t="shared" ca="1" si="309"/>
        <v>0.60778352692741233</v>
      </c>
      <c r="Q3541" s="4">
        <f t="shared" ca="1" si="310"/>
        <v>1911.7962164130799</v>
      </c>
      <c r="R3541" s="4">
        <f t="shared" ca="1" si="311"/>
        <v>-11.873827586920015</v>
      </c>
      <c r="S3541" s="4">
        <f t="shared" ca="1" si="312"/>
        <v>-5.9532560404386645</v>
      </c>
    </row>
    <row r="3542" spans="15:19" x14ac:dyDescent="0.2">
      <c r="O3542" s="4">
        <f t="shared" ca="1" si="308"/>
        <v>0.22203757789905287</v>
      </c>
      <c r="P3542" s="4">
        <f t="shared" ca="1" si="309"/>
        <v>-0.76532984621716993</v>
      </c>
      <c r="Q3542" s="4">
        <f t="shared" ca="1" si="310"/>
        <v>1937.7050416693512</v>
      </c>
      <c r="R3542" s="4">
        <f t="shared" ca="1" si="311"/>
        <v>14.034997669351242</v>
      </c>
      <c r="S3542" s="4">
        <f t="shared" ca="1" si="312"/>
        <v>7.1848382598141534</v>
      </c>
    </row>
    <row r="3543" spans="15:19" x14ac:dyDescent="0.2">
      <c r="O3543" s="4">
        <f t="shared" ca="1" si="308"/>
        <v>0.21044687800133643</v>
      </c>
      <c r="P3543" s="4">
        <f t="shared" ca="1" si="309"/>
        <v>-0.80487163898898373</v>
      </c>
      <c r="Q3543" s="4">
        <f t="shared" ca="1" si="310"/>
        <v>1938.4511427701646</v>
      </c>
      <c r="R3543" s="4">
        <f t="shared" ca="1" si="311"/>
        <v>14.78109877016459</v>
      </c>
      <c r="S3543" s="4">
        <f t="shared" ca="1" si="312"/>
        <v>7.5712738199283303</v>
      </c>
    </row>
    <row r="3544" spans="15:19" x14ac:dyDescent="0.2">
      <c r="O3544" s="4">
        <f t="shared" ca="1" si="308"/>
        <v>0.23200884236204766</v>
      </c>
      <c r="P3544" s="4">
        <f t="shared" ca="1" si="309"/>
        <v>-0.73224722500574635</v>
      </c>
      <c r="Q3544" s="4">
        <f t="shared" ca="1" si="310"/>
        <v>1937.0808165552783</v>
      </c>
      <c r="R3544" s="4">
        <f t="shared" ca="1" si="311"/>
        <v>13.410772555278299</v>
      </c>
      <c r="S3544" s="4">
        <f t="shared" ca="1" si="312"/>
        <v>6.8618753448526952</v>
      </c>
    </row>
    <row r="3545" spans="15:19" x14ac:dyDescent="0.2">
      <c r="O3545" s="4">
        <f t="shared" ca="1" si="308"/>
        <v>0.78280499109537194</v>
      </c>
      <c r="P3545" s="4">
        <f t="shared" ca="1" si="309"/>
        <v>0.78170150362071189</v>
      </c>
      <c r="Q3545" s="4">
        <f t="shared" ca="1" si="310"/>
        <v>1908.5146152319978</v>
      </c>
      <c r="R3545" s="4">
        <f t="shared" ca="1" si="311"/>
        <v>-15.155428768002139</v>
      </c>
      <c r="S3545" s="4">
        <f t="shared" ca="1" si="312"/>
        <v>-7.5783279704977184</v>
      </c>
    </row>
    <row r="3546" spans="15:19" x14ac:dyDescent="0.2">
      <c r="O3546" s="4">
        <f t="shared" ca="1" si="308"/>
        <v>7.4026128872645924E-2</v>
      </c>
      <c r="P3546" s="4">
        <f t="shared" ca="1" si="309"/>
        <v>-1.4464456071531973</v>
      </c>
      <c r="Q3546" s="4">
        <f t="shared" ca="1" si="310"/>
        <v>1950.5567912586591</v>
      </c>
      <c r="R3546" s="4">
        <f t="shared" ca="1" si="311"/>
        <v>26.88674725865917</v>
      </c>
      <c r="S3546" s="4">
        <f t="shared" ca="1" si="312"/>
        <v>13.904604010073918</v>
      </c>
    </row>
    <row r="3547" spans="15:19" x14ac:dyDescent="0.2">
      <c r="O3547" s="4">
        <f t="shared" ca="1" si="308"/>
        <v>0.28054286885263791</v>
      </c>
      <c r="P3547" s="4">
        <f t="shared" ca="1" si="309"/>
        <v>-0.58122957475730719</v>
      </c>
      <c r="Q3547" s="4">
        <f t="shared" ca="1" si="310"/>
        <v>1934.231314112564</v>
      </c>
      <c r="R3547" s="4">
        <f t="shared" ca="1" si="311"/>
        <v>10.561270112563989</v>
      </c>
      <c r="S3547" s="4">
        <f t="shared" ca="1" si="312"/>
        <v>5.3916230526306377</v>
      </c>
    </row>
    <row r="3548" spans="15:19" x14ac:dyDescent="0.2">
      <c r="O3548" s="4">
        <f t="shared" ca="1" si="308"/>
        <v>0.31392487104016198</v>
      </c>
      <c r="P3548" s="4">
        <f t="shared" ca="1" si="309"/>
        <v>-0.48475557076220671</v>
      </c>
      <c r="Q3548" s="4">
        <f t="shared" ca="1" si="310"/>
        <v>1932.4109778168379</v>
      </c>
      <c r="R3548" s="4">
        <f t="shared" ca="1" si="311"/>
        <v>8.7409338168379236</v>
      </c>
      <c r="S3548" s="4">
        <f t="shared" ca="1" si="312"/>
        <v>4.455848000885239</v>
      </c>
    </row>
    <row r="3549" spans="15:19" x14ac:dyDescent="0.2">
      <c r="O3549" s="4">
        <f t="shared" ca="1" si="308"/>
        <v>0.95932281609959236</v>
      </c>
      <c r="P3549" s="4">
        <f t="shared" ca="1" si="309"/>
        <v>1.7428812046464415</v>
      </c>
      <c r="Q3549" s="4">
        <f t="shared" ca="1" si="310"/>
        <v>1890.3784311405707</v>
      </c>
      <c r="R3549" s="4">
        <f t="shared" ca="1" si="311"/>
        <v>-33.291612859429279</v>
      </c>
      <c r="S3549" s="4">
        <f t="shared" ca="1" si="312"/>
        <v>-16.401372877465249</v>
      </c>
    </row>
    <row r="3550" spans="15:19" x14ac:dyDescent="0.2">
      <c r="O3550" s="4">
        <f t="shared" ca="1" si="308"/>
        <v>0.97275170925671262</v>
      </c>
      <c r="P3550" s="4">
        <f t="shared" ca="1" si="309"/>
        <v>1.9228683818760519</v>
      </c>
      <c r="Q3550" s="4">
        <f t="shared" ca="1" si="310"/>
        <v>1886.9823122079206</v>
      </c>
      <c r="R3550" s="4">
        <f t="shared" ca="1" si="311"/>
        <v>-36.687731792079376</v>
      </c>
      <c r="S3550" s="4">
        <f t="shared" ca="1" si="312"/>
        <v>-18.023778215628397</v>
      </c>
    </row>
    <row r="3551" spans="15:19" x14ac:dyDescent="0.2">
      <c r="O3551" s="4">
        <f t="shared" ca="1" si="308"/>
        <v>0.81632572175359408</v>
      </c>
      <c r="P3551" s="4">
        <f t="shared" ca="1" si="309"/>
        <v>0.9014510358461072</v>
      </c>
      <c r="Q3551" s="4">
        <f t="shared" ca="1" si="310"/>
        <v>1906.255100638645</v>
      </c>
      <c r="R3551" s="4">
        <f t="shared" ca="1" si="311"/>
        <v>-17.414943361354972</v>
      </c>
      <c r="S3551" s="4">
        <f t="shared" ca="1" si="312"/>
        <v>-8.6921588497666331</v>
      </c>
    </row>
    <row r="3552" spans="15:19" x14ac:dyDescent="0.2">
      <c r="O3552" s="4">
        <f t="shared" ca="1" si="308"/>
        <v>0.8008042229424106</v>
      </c>
      <c r="P3552" s="4">
        <f t="shared" ca="1" si="309"/>
        <v>0.84449733110871517</v>
      </c>
      <c r="Q3552" s="4">
        <f t="shared" ca="1" si="310"/>
        <v>1907.3297413876162</v>
      </c>
      <c r="R3552" s="4">
        <f t="shared" ca="1" si="311"/>
        <v>-16.340302612383766</v>
      </c>
      <c r="S3552" s="4">
        <f t="shared" ca="1" si="312"/>
        <v>-8.1629315162455391</v>
      </c>
    </row>
    <row r="3553" spans="15:19" x14ac:dyDescent="0.2">
      <c r="O3553" s="4">
        <f t="shared" ca="1" si="308"/>
        <v>0.13139082100064836</v>
      </c>
      <c r="P3553" s="4">
        <f t="shared" ca="1" si="309"/>
        <v>-1.119840723392413</v>
      </c>
      <c r="Q3553" s="4">
        <f t="shared" ca="1" si="310"/>
        <v>1944.39419097619</v>
      </c>
      <c r="R3553" s="4">
        <f t="shared" ca="1" si="311"/>
        <v>20.724146976190013</v>
      </c>
      <c r="S3553" s="4">
        <f t="shared" ca="1" si="312"/>
        <v>10.665598461217028</v>
      </c>
    </row>
    <row r="3554" spans="15:19" x14ac:dyDescent="0.2">
      <c r="O3554" s="4">
        <f t="shared" ca="1" si="308"/>
        <v>0.54469851515761647</v>
      </c>
      <c r="P3554" s="4">
        <f t="shared" ca="1" si="309"/>
        <v>0.11227801925124344</v>
      </c>
      <c r="Q3554" s="4">
        <f t="shared" ca="1" si="310"/>
        <v>1921.1457470949504</v>
      </c>
      <c r="R3554" s="4">
        <f t="shared" ca="1" si="311"/>
        <v>-2.5242969050495958</v>
      </c>
      <c r="S3554" s="4">
        <f t="shared" ca="1" si="312"/>
        <v>-1.2752299430040872</v>
      </c>
    </row>
    <row r="3555" spans="15:19" x14ac:dyDescent="0.2">
      <c r="O3555" s="4">
        <f t="shared" ca="1" si="308"/>
        <v>0.2554972150409387</v>
      </c>
      <c r="P3555" s="4">
        <f t="shared" ca="1" si="309"/>
        <v>-0.65729005465183088</v>
      </c>
      <c r="Q3555" s="4">
        <f t="shared" ca="1" si="310"/>
        <v>1935.6664743265981</v>
      </c>
      <c r="R3555" s="4">
        <f t="shared" ca="1" si="311"/>
        <v>11.996430326598102</v>
      </c>
      <c r="S3555" s="4">
        <f t="shared" ca="1" si="312"/>
        <v>6.131293634416684</v>
      </c>
    </row>
    <row r="3556" spans="15:19" x14ac:dyDescent="0.2">
      <c r="O3556" s="4">
        <f t="shared" ca="1" si="308"/>
        <v>0.98207347646760978</v>
      </c>
      <c r="P3556" s="4">
        <f t="shared" ca="1" si="309"/>
        <v>2.0985901311790611</v>
      </c>
      <c r="Q3556" s="4">
        <f t="shared" ca="1" si="310"/>
        <v>1883.6666762338918</v>
      </c>
      <c r="R3556" s="4">
        <f t="shared" ca="1" si="311"/>
        <v>-40.003367766108113</v>
      </c>
      <c r="S3556" s="4">
        <f t="shared" ca="1" si="312"/>
        <v>-19.5986761535064</v>
      </c>
    </row>
    <row r="3557" spans="15:19" x14ac:dyDescent="0.2">
      <c r="O3557" s="4">
        <f t="shared" ca="1" si="308"/>
        <v>0.34629251960750074</v>
      </c>
      <c r="P3557" s="4">
        <f t="shared" ca="1" si="309"/>
        <v>-0.39534941002271345</v>
      </c>
      <c r="Q3557" s="4">
        <f t="shared" ca="1" si="310"/>
        <v>1930.7240023341587</v>
      </c>
      <c r="R3557" s="4">
        <f t="shared" ca="1" si="311"/>
        <v>7.0539583341587786</v>
      </c>
      <c r="S3557" s="4">
        <f t="shared" ca="1" si="312"/>
        <v>3.5910378857320562</v>
      </c>
    </row>
    <row r="3558" spans="15:19" x14ac:dyDescent="0.2">
      <c r="O3558" s="4">
        <f t="shared" ca="1" si="308"/>
        <v>5.8391386019130187E-2</v>
      </c>
      <c r="P3558" s="4">
        <f t="shared" ca="1" si="309"/>
        <v>-1.5684216060190752</v>
      </c>
      <c r="Q3558" s="4">
        <f t="shared" ca="1" si="310"/>
        <v>1952.8583163197961</v>
      </c>
      <c r="R3558" s="4">
        <f t="shared" ca="1" si="311"/>
        <v>29.18827231979617</v>
      </c>
      <c r="S3558" s="4">
        <f t="shared" ca="1" si="312"/>
        <v>15.122194104966102</v>
      </c>
    </row>
    <row r="3559" spans="15:19" x14ac:dyDescent="0.2">
      <c r="O3559" s="4">
        <f t="shared" ca="1" si="308"/>
        <v>0.25766710787078695</v>
      </c>
      <c r="P3559" s="4">
        <f t="shared" ca="1" si="309"/>
        <v>-0.65055433596667733</v>
      </c>
      <c r="Q3559" s="4">
        <f t="shared" ca="1" si="310"/>
        <v>1935.539380262989</v>
      </c>
      <c r="R3559" s="4">
        <f t="shared" ca="1" si="311"/>
        <v>11.869336262989009</v>
      </c>
      <c r="S3559" s="4">
        <f t="shared" ca="1" si="312"/>
        <v>6.0657226532845208</v>
      </c>
    </row>
    <row r="3560" spans="15:19" x14ac:dyDescent="0.2">
      <c r="O3560" s="4">
        <f t="shared" ca="1" si="308"/>
        <v>0.6443080827145764</v>
      </c>
      <c r="P3560" s="4">
        <f t="shared" ca="1" si="309"/>
        <v>0.36999819597697498</v>
      </c>
      <c r="Q3560" s="4">
        <f t="shared" ca="1" si="310"/>
        <v>1916.2829097252213</v>
      </c>
      <c r="R3560" s="4">
        <f t="shared" ca="1" si="311"/>
        <v>-7.3871342747786457</v>
      </c>
      <c r="S3560" s="4">
        <f t="shared" ca="1" si="312"/>
        <v>-3.7172260591566797</v>
      </c>
    </row>
    <row r="3561" spans="15:19" x14ac:dyDescent="0.2">
      <c r="O3561" s="4">
        <f t="shared" ca="1" si="308"/>
        <v>0.43084719724220855</v>
      </c>
      <c r="P3561" s="4">
        <f t="shared" ca="1" si="309"/>
        <v>-0.17421767605094535</v>
      </c>
      <c r="Q3561" s="4">
        <f t="shared" ca="1" si="310"/>
        <v>1926.5515402737462</v>
      </c>
      <c r="R3561" s="4">
        <f t="shared" ca="1" si="311"/>
        <v>2.8814962737462793</v>
      </c>
      <c r="S3561" s="4">
        <f t="shared" ca="1" si="312"/>
        <v>1.4620215419922873</v>
      </c>
    </row>
    <row r="3562" spans="15:19" x14ac:dyDescent="0.2">
      <c r="O3562" s="4">
        <f t="shared" ca="1" si="308"/>
        <v>0.41067344330916922</v>
      </c>
      <c r="P3562" s="4">
        <f t="shared" ca="1" si="309"/>
        <v>-0.22581297307268275</v>
      </c>
      <c r="Q3562" s="4">
        <f t="shared" ca="1" si="310"/>
        <v>1927.5250749874313</v>
      </c>
      <c r="R3562" s="4">
        <f t="shared" ca="1" si="311"/>
        <v>3.8550309874312916</v>
      </c>
      <c r="S3562" s="4">
        <f t="shared" ca="1" si="312"/>
        <v>1.9575040086966384</v>
      </c>
    </row>
    <row r="3563" spans="15:19" x14ac:dyDescent="0.2">
      <c r="O3563" s="4">
        <f t="shared" ca="1" si="308"/>
        <v>1.9829772125035561E-2</v>
      </c>
      <c r="P3563" s="4">
        <f t="shared" ca="1" si="309"/>
        <v>-2.0572774598101957</v>
      </c>
      <c r="Q3563" s="4">
        <f t="shared" ca="1" si="310"/>
        <v>1962.0823768665039</v>
      </c>
      <c r="R3563" s="4">
        <f t="shared" ca="1" si="311"/>
        <v>38.412332866503903</v>
      </c>
      <c r="S3563" s="4">
        <f t="shared" ca="1" si="312"/>
        <v>20.0453327629786</v>
      </c>
    </row>
    <row r="3564" spans="15:19" x14ac:dyDescent="0.2">
      <c r="O3564" s="4">
        <f t="shared" ca="1" si="308"/>
        <v>0.34357466673648018</v>
      </c>
      <c r="P3564" s="4">
        <f t="shared" ca="1" si="309"/>
        <v>-0.40272664051032764</v>
      </c>
      <c r="Q3564" s="4">
        <f t="shared" ca="1" si="310"/>
        <v>1930.863200873272</v>
      </c>
      <c r="R3564" s="4">
        <f t="shared" ca="1" si="311"/>
        <v>7.1931568732720734</v>
      </c>
      <c r="S3564" s="4">
        <f t="shared" ca="1" si="312"/>
        <v>3.6623088402474027</v>
      </c>
    </row>
    <row r="3565" spans="15:19" x14ac:dyDescent="0.2">
      <c r="O3565" s="4">
        <f t="shared" ca="1" si="308"/>
        <v>0.7653660158671336</v>
      </c>
      <c r="P3565" s="4">
        <f t="shared" ca="1" si="309"/>
        <v>0.72367063004895704</v>
      </c>
      <c r="Q3565" s="4">
        <f t="shared" ca="1" si="310"/>
        <v>1909.6095807259221</v>
      </c>
      <c r="R3565" s="4">
        <f t="shared" ca="1" si="311"/>
        <v>-14.060463274077847</v>
      </c>
      <c r="S3565" s="4">
        <f t="shared" ca="1" si="312"/>
        <v>-7.0370680171678952</v>
      </c>
    </row>
    <row r="3566" spans="15:19" x14ac:dyDescent="0.2">
      <c r="O3566" s="4">
        <f t="shared" ca="1" si="308"/>
        <v>0.40215133087704236</v>
      </c>
      <c r="P3566" s="4">
        <f t="shared" ca="1" si="309"/>
        <v>-0.24778254394279645</v>
      </c>
      <c r="Q3566" s="4">
        <f t="shared" ca="1" si="310"/>
        <v>1927.9396116045539</v>
      </c>
      <c r="R3566" s="4">
        <f t="shared" ca="1" si="311"/>
        <v>4.269567604553913</v>
      </c>
      <c r="S3566" s="4">
        <f t="shared" ca="1" si="312"/>
        <v>2.1687174908310713</v>
      </c>
    </row>
    <row r="3567" spans="15:19" x14ac:dyDescent="0.2">
      <c r="O3567" s="4">
        <f t="shared" ca="1" si="308"/>
        <v>0.36414129006824814</v>
      </c>
      <c r="P3567" s="4">
        <f t="shared" ca="1" si="309"/>
        <v>-0.34741098727925912</v>
      </c>
      <c r="Q3567" s="4">
        <f t="shared" ca="1" si="310"/>
        <v>1929.819467980177</v>
      </c>
      <c r="R3567" s="4">
        <f t="shared" ca="1" si="311"/>
        <v>6.1494239801770618</v>
      </c>
      <c r="S3567" s="4">
        <f t="shared" ca="1" si="312"/>
        <v>3.1282921436140834</v>
      </c>
    </row>
    <row r="3568" spans="15:19" x14ac:dyDescent="0.2">
      <c r="O3568" s="4">
        <f t="shared" ca="1" si="308"/>
        <v>0.59192027817427117</v>
      </c>
      <c r="P3568" s="4">
        <f t="shared" ca="1" si="309"/>
        <v>0.23248743713498771</v>
      </c>
      <c r="Q3568" s="4">
        <f t="shared" ca="1" si="310"/>
        <v>1918.8775550701539</v>
      </c>
      <c r="R3568" s="4">
        <f t="shared" ca="1" si="311"/>
        <v>-4.7924889298460585</v>
      </c>
      <c r="S3568" s="4">
        <f t="shared" ca="1" si="312"/>
        <v>-2.416655292582794</v>
      </c>
    </row>
    <row r="3569" spans="15:19" x14ac:dyDescent="0.2">
      <c r="O3569" s="4">
        <f t="shared" ca="1" si="308"/>
        <v>0.29816039976595099</v>
      </c>
      <c r="P3569" s="4">
        <f t="shared" ca="1" si="309"/>
        <v>-0.52969877196540016</v>
      </c>
      <c r="Q3569" s="4">
        <f t="shared" ca="1" si="310"/>
        <v>1933.2589963193188</v>
      </c>
      <c r="R3569" s="4">
        <f t="shared" ca="1" si="311"/>
        <v>9.5889523193188779</v>
      </c>
      <c r="S3569" s="4">
        <f t="shared" ca="1" si="312"/>
        <v>4.8914507907675118</v>
      </c>
    </row>
    <row r="3570" spans="15:19" x14ac:dyDescent="0.2">
      <c r="O3570" s="4">
        <f t="shared" ca="1" si="308"/>
        <v>0.63497487824850052</v>
      </c>
      <c r="P3570" s="4">
        <f t="shared" ca="1" si="309"/>
        <v>0.34505869713974863</v>
      </c>
      <c r="Q3570" s="4">
        <f t="shared" ca="1" si="310"/>
        <v>1916.7534849377203</v>
      </c>
      <c r="R3570" s="4">
        <f t="shared" ca="1" si="311"/>
        <v>-6.9165590622797026</v>
      </c>
      <c r="S3570" s="4">
        <f t="shared" ca="1" si="312"/>
        <v>-3.4817562454632376</v>
      </c>
    </row>
    <row r="3571" spans="15:19" x14ac:dyDescent="0.2">
      <c r="O3571" s="4">
        <f t="shared" ca="1" si="308"/>
        <v>0.92178551286697719</v>
      </c>
      <c r="P3571" s="4">
        <f t="shared" ca="1" si="309"/>
        <v>1.4171845616865499</v>
      </c>
      <c r="Q3571" s="4">
        <f t="shared" ca="1" si="310"/>
        <v>1896.5238941256678</v>
      </c>
      <c r="R3571" s="4">
        <f t="shared" ca="1" si="311"/>
        <v>-27.146149874332195</v>
      </c>
      <c r="S3571" s="4">
        <f t="shared" ca="1" si="312"/>
        <v>-13.441672171614698</v>
      </c>
    </row>
    <row r="3572" spans="15:19" x14ac:dyDescent="0.2">
      <c r="O3572" s="4">
        <f t="shared" ca="1" si="308"/>
        <v>0.44740306158707788</v>
      </c>
      <c r="P3572" s="4">
        <f t="shared" ca="1" si="309"/>
        <v>-0.13222525844306046</v>
      </c>
      <c r="Q3572" s="4">
        <f t="shared" ca="1" si="310"/>
        <v>1925.7591991377776</v>
      </c>
      <c r="R3572" s="4">
        <f t="shared" ca="1" si="311"/>
        <v>2.0891551377776523</v>
      </c>
      <c r="S3572" s="4">
        <f t="shared" ca="1" si="312"/>
        <v>1.0593274756207989</v>
      </c>
    </row>
    <row r="3573" spans="15:19" x14ac:dyDescent="0.2">
      <c r="O3573" s="4">
        <f t="shared" ca="1" si="308"/>
        <v>0.18629758392836104</v>
      </c>
      <c r="P3573" s="4">
        <f t="shared" ca="1" si="309"/>
        <v>-0.89162275765986609</v>
      </c>
      <c r="Q3573" s="4">
        <f t="shared" ca="1" si="310"/>
        <v>1940.0880211360659</v>
      </c>
      <c r="R3573" s="4">
        <f t="shared" ca="1" si="311"/>
        <v>16.417977136065929</v>
      </c>
      <c r="S3573" s="4">
        <f t="shared" ca="1" si="312"/>
        <v>8.4206663377132074</v>
      </c>
    </row>
    <row r="3574" spans="15:19" x14ac:dyDescent="0.2">
      <c r="O3574" s="4">
        <f t="shared" ca="1" si="308"/>
        <v>0.34861649929549532</v>
      </c>
      <c r="P3574" s="4">
        <f t="shared" ca="1" si="309"/>
        <v>-0.38905832871453427</v>
      </c>
      <c r="Q3574" s="4">
        <f t="shared" ca="1" si="310"/>
        <v>1930.6052979871804</v>
      </c>
      <c r="R3574" s="4">
        <f t="shared" ca="1" si="311"/>
        <v>6.9352539871804311</v>
      </c>
      <c r="S3574" s="4">
        <f t="shared" ca="1" si="312"/>
        <v>3.5302726114513425</v>
      </c>
    </row>
    <row r="3575" spans="15:19" x14ac:dyDescent="0.2">
      <c r="O3575" s="4">
        <f t="shared" ca="1" si="308"/>
        <v>0.74645470530304092</v>
      </c>
      <c r="P3575" s="4">
        <f t="shared" ca="1" si="309"/>
        <v>0.66337472478670034</v>
      </c>
      <c r="Q3575" s="4">
        <f t="shared" ca="1" si="310"/>
        <v>1910.7472843588937</v>
      </c>
      <c r="R3575" s="4">
        <f t="shared" ca="1" si="311"/>
        <v>-12.922759641106268</v>
      </c>
      <c r="S3575" s="4">
        <f t="shared" ca="1" si="312"/>
        <v>-6.4736478762838487</v>
      </c>
    </row>
    <row r="3576" spans="15:19" x14ac:dyDescent="0.2">
      <c r="O3576" s="4">
        <f t="shared" ca="1" si="308"/>
        <v>0.17333730663700231</v>
      </c>
      <c r="P3576" s="4">
        <f t="shared" ca="1" si="309"/>
        <v>-0.94105902260483298</v>
      </c>
      <c r="Q3576" s="4">
        <f t="shared" ca="1" si="310"/>
        <v>1941.0208177826009</v>
      </c>
      <c r="R3576" s="4">
        <f t="shared" ca="1" si="311"/>
        <v>17.350773782600982</v>
      </c>
      <c r="S3576" s="4">
        <f t="shared" ca="1" si="312"/>
        <v>8.9056795641008097</v>
      </c>
    </row>
    <row r="3577" spans="15:19" x14ac:dyDescent="0.2">
      <c r="O3577" s="4">
        <f t="shared" ca="1" si="308"/>
        <v>0.83355517508428922</v>
      </c>
      <c r="P3577" s="4">
        <f t="shared" ca="1" si="309"/>
        <v>0.96830984417628774</v>
      </c>
      <c r="Q3577" s="4">
        <f t="shared" ca="1" si="310"/>
        <v>1904.9935637431868</v>
      </c>
      <c r="R3577" s="4">
        <f t="shared" ca="1" si="311"/>
        <v>-18.676480256813193</v>
      </c>
      <c r="S3577" s="4">
        <f t="shared" ca="1" si="312"/>
        <v>-9.3122270513496836</v>
      </c>
    </row>
    <row r="3578" spans="15:19" x14ac:dyDescent="0.2">
      <c r="O3578" s="4">
        <f t="shared" ca="1" si="308"/>
        <v>0.49102910541454059</v>
      </c>
      <c r="P3578" s="4">
        <f t="shared" ca="1" si="309"/>
        <v>-2.2488593424531893E-2</v>
      </c>
      <c r="Q3578" s="4">
        <f t="shared" ca="1" si="310"/>
        <v>1923.6886140471527</v>
      </c>
      <c r="R3578" s="4">
        <f t="shared" ca="1" si="311"/>
        <v>1.8570047152707048E-2</v>
      </c>
      <c r="S3578" s="4">
        <f t="shared" ca="1" si="312"/>
        <v>9.4004801370157175E-3</v>
      </c>
    </row>
    <row r="3579" spans="15:19" x14ac:dyDescent="0.2">
      <c r="O3579" s="4">
        <f t="shared" ca="1" si="308"/>
        <v>0.81194183349184956</v>
      </c>
      <c r="P3579" s="4">
        <f t="shared" ca="1" si="309"/>
        <v>0.88507471996449338</v>
      </c>
      <c r="Q3579" s="4">
        <f t="shared" ca="1" si="310"/>
        <v>1906.5640999644229</v>
      </c>
      <c r="R3579" s="4">
        <f t="shared" ca="1" si="311"/>
        <v>-17.105944035577068</v>
      </c>
      <c r="S3579" s="4">
        <f t="shared" ca="1" si="312"/>
        <v>-8.5400825437536518</v>
      </c>
    </row>
    <row r="3580" spans="15:19" x14ac:dyDescent="0.2">
      <c r="O3580" s="4">
        <f t="shared" ca="1" si="308"/>
        <v>0.11097309101036168</v>
      </c>
      <c r="P3580" s="4">
        <f t="shared" ca="1" si="309"/>
        <v>-1.2213694148855307</v>
      </c>
      <c r="Q3580" s="4">
        <f t="shared" ca="1" si="310"/>
        <v>1946.3099025101683</v>
      </c>
      <c r="R3580" s="4">
        <f t="shared" ca="1" si="311"/>
        <v>22.639858510168324</v>
      </c>
      <c r="S3580" s="4">
        <f t="shared" ca="1" si="312"/>
        <v>11.669166835380397</v>
      </c>
    </row>
    <row r="3581" spans="15:19" x14ac:dyDescent="0.2">
      <c r="O3581" s="4">
        <f t="shared" ca="1" si="308"/>
        <v>0.78729596064854301</v>
      </c>
      <c r="P3581" s="4">
        <f t="shared" ca="1" si="309"/>
        <v>0.79707395988947505</v>
      </c>
      <c r="Q3581" s="4">
        <f t="shared" ca="1" si="310"/>
        <v>1908.2245574035499</v>
      </c>
      <c r="R3581" s="4">
        <f t="shared" ca="1" si="311"/>
        <v>-15.44548659645011</v>
      </c>
      <c r="S3581" s="4">
        <f t="shared" ca="1" si="312"/>
        <v>-7.7215449236280005</v>
      </c>
    </row>
    <row r="3582" spans="15:19" x14ac:dyDescent="0.2">
      <c r="O3582" s="4">
        <f t="shared" ca="1" si="308"/>
        <v>0.42625198660637342</v>
      </c>
      <c r="P3582" s="4">
        <f t="shared" ca="1" si="309"/>
        <v>-0.18592449456805424</v>
      </c>
      <c r="Q3582" s="4">
        <f t="shared" ca="1" si="310"/>
        <v>1926.7724323873899</v>
      </c>
      <c r="R3582" s="4">
        <f t="shared" ca="1" si="311"/>
        <v>3.1023883873899649</v>
      </c>
      <c r="S3582" s="4">
        <f t="shared" ca="1" si="312"/>
        <v>1.574377354760925</v>
      </c>
    </row>
    <row r="3583" spans="15:19" x14ac:dyDescent="0.2">
      <c r="O3583" s="4">
        <f t="shared" ca="1" si="308"/>
        <v>0.48343737813565912</v>
      </c>
      <c r="P3583" s="4">
        <f t="shared" ca="1" si="309"/>
        <v>-4.1528269769499679E-2</v>
      </c>
      <c r="Q3583" s="4">
        <f t="shared" ca="1" si="310"/>
        <v>1924.0478674467665</v>
      </c>
      <c r="R3583" s="4">
        <f t="shared" ca="1" si="311"/>
        <v>0.37782344676656976</v>
      </c>
      <c r="S3583" s="4">
        <f t="shared" ca="1" si="312"/>
        <v>0.19131603885685683</v>
      </c>
    </row>
    <row r="3584" spans="15:19" x14ac:dyDescent="0.2">
      <c r="O3584" s="4">
        <f t="shared" ca="1" si="308"/>
        <v>0.30849081292998648</v>
      </c>
      <c r="P3584" s="4">
        <f t="shared" ca="1" si="309"/>
        <v>-0.50013272351181848</v>
      </c>
      <c r="Q3584" s="4">
        <f t="shared" ca="1" si="310"/>
        <v>1932.7011242616404</v>
      </c>
      <c r="R3584" s="4">
        <f t="shared" ca="1" si="311"/>
        <v>9.0310802616404544</v>
      </c>
      <c r="S3584" s="4">
        <f t="shared" ca="1" si="312"/>
        <v>4.6048220202504906</v>
      </c>
    </row>
    <row r="3585" spans="15:19" x14ac:dyDescent="0.2">
      <c r="O3585" s="4">
        <f t="shared" ca="1" si="308"/>
        <v>0.25825057025732956</v>
      </c>
      <c r="P3585" s="4">
        <f t="shared" ca="1" si="309"/>
        <v>-0.64874820547410728</v>
      </c>
      <c r="Q3585" s="4">
        <f t="shared" ca="1" si="310"/>
        <v>1935.5053009799249</v>
      </c>
      <c r="R3585" s="4">
        <f t="shared" ca="1" si="311"/>
        <v>11.835256979924907</v>
      </c>
      <c r="S3585" s="4">
        <f t="shared" ca="1" si="312"/>
        <v>6.0481425414050909</v>
      </c>
    </row>
    <row r="3586" spans="15:19" x14ac:dyDescent="0.2">
      <c r="O3586" s="4">
        <f t="shared" ca="1" si="308"/>
        <v>0.20722558961463922</v>
      </c>
      <c r="P3586" s="4">
        <f t="shared" ca="1" si="309"/>
        <v>-0.81608560006927733</v>
      </c>
      <c r="Q3586" s="4">
        <f t="shared" ca="1" si="310"/>
        <v>1938.6627353187059</v>
      </c>
      <c r="R3586" s="4">
        <f t="shared" ca="1" si="311"/>
        <v>14.992691318705965</v>
      </c>
      <c r="S3586" s="4">
        <f t="shared" ca="1" si="312"/>
        <v>7.6809485408797338</v>
      </c>
    </row>
    <row r="3587" spans="15:19" x14ac:dyDescent="0.2">
      <c r="O3587" s="4">
        <f t="shared" ref="O3587:O3650" ca="1" si="313">RAND()</f>
        <v>0.44753766366552716</v>
      </c>
      <c r="P3587" s="4">
        <f t="shared" ref="P3587:P3650" ca="1" si="314">NORMSINV(O3587)</f>
        <v>-0.13188490634336292</v>
      </c>
      <c r="Q3587" s="4">
        <f t="shared" ref="Q3587:Q3650" ca="1" si="315">$B$4*(1+$B$17-$B$32*P3587)</f>
        <v>1925.7527771457926</v>
      </c>
      <c r="R3587" s="4">
        <f t="shared" ref="R3587:R3650" ca="1" si="316">Q3587-$B$4</f>
        <v>2.0827331457926448</v>
      </c>
      <c r="S3587" s="4">
        <f t="shared" ref="S3587:S3650" ca="1" si="317">R3587*$B$12+0.5*$B$13*R3587^2</f>
        <v>1.05606569424442</v>
      </c>
    </row>
    <row r="3588" spans="15:19" x14ac:dyDescent="0.2">
      <c r="O3588" s="4">
        <f t="shared" ca="1" si="313"/>
        <v>0.64633830851397167</v>
      </c>
      <c r="P3588" s="4">
        <f t="shared" ca="1" si="314"/>
        <v>0.3754532845582042</v>
      </c>
      <c r="Q3588" s="4">
        <f t="shared" ca="1" si="315"/>
        <v>1916.1799794504363</v>
      </c>
      <c r="R3588" s="4">
        <f t="shared" ca="1" si="316"/>
        <v>-7.4900645495636127</v>
      </c>
      <c r="S3588" s="4">
        <f t="shared" ca="1" si="317"/>
        <v>-3.7687070215744471</v>
      </c>
    </row>
    <row r="3589" spans="15:19" x14ac:dyDescent="0.2">
      <c r="O3589" s="4">
        <f t="shared" ca="1" si="313"/>
        <v>0.13966946915924483</v>
      </c>
      <c r="P3589" s="4">
        <f t="shared" ca="1" si="314"/>
        <v>-1.0818055537297808</v>
      </c>
      <c r="Q3589" s="4">
        <f t="shared" ca="1" si="315"/>
        <v>1943.6765178519922</v>
      </c>
      <c r="R3589" s="4">
        <f t="shared" ca="1" si="316"/>
        <v>20.006473851992268</v>
      </c>
      <c r="S3589" s="4">
        <f t="shared" ca="1" si="317"/>
        <v>10.290406144988145</v>
      </c>
    </row>
    <row r="3590" spans="15:19" x14ac:dyDescent="0.2">
      <c r="O3590" s="4">
        <f t="shared" ca="1" si="313"/>
        <v>0.29329951805957211</v>
      </c>
      <c r="P3590" s="4">
        <f t="shared" ca="1" si="314"/>
        <v>-0.54377104529574549</v>
      </c>
      <c r="Q3590" s="4">
        <f t="shared" ca="1" si="315"/>
        <v>1933.5245214229305</v>
      </c>
      <c r="R3590" s="4">
        <f t="shared" ca="1" si="316"/>
        <v>9.8544774229305858</v>
      </c>
      <c r="S3590" s="4">
        <f t="shared" ca="1" si="317"/>
        <v>5.0279637829116499</v>
      </c>
    </row>
    <row r="3591" spans="15:19" x14ac:dyDescent="0.2">
      <c r="O3591" s="4">
        <f t="shared" ca="1" si="313"/>
        <v>0.41677637691860803</v>
      </c>
      <c r="P3591" s="4">
        <f t="shared" ca="1" si="314"/>
        <v>-0.21014724326327108</v>
      </c>
      <c r="Q3591" s="4">
        <f t="shared" ca="1" si="315"/>
        <v>1927.2294834768668</v>
      </c>
      <c r="R3591" s="4">
        <f t="shared" ca="1" si="316"/>
        <v>3.559439476866828</v>
      </c>
      <c r="S3591" s="4">
        <f t="shared" ca="1" si="317"/>
        <v>1.8069805356476183</v>
      </c>
    </row>
    <row r="3592" spans="15:19" x14ac:dyDescent="0.2">
      <c r="O3592" s="4">
        <f t="shared" ca="1" si="313"/>
        <v>0.83934411127177755</v>
      </c>
      <c r="P3592" s="4">
        <f t="shared" ca="1" si="314"/>
        <v>0.99176581437003564</v>
      </c>
      <c r="Q3592" s="4">
        <f t="shared" ca="1" si="315"/>
        <v>1904.5509807454155</v>
      </c>
      <c r="R3592" s="4">
        <f t="shared" ca="1" si="316"/>
        <v>-19.119063254584489</v>
      </c>
      <c r="S3592" s="4">
        <f t="shared" ca="1" si="317"/>
        <v>-9.5294575822607754</v>
      </c>
    </row>
    <row r="3593" spans="15:19" x14ac:dyDescent="0.2">
      <c r="O3593" s="4">
        <f t="shared" ca="1" si="313"/>
        <v>0.15022055301037962</v>
      </c>
      <c r="P3593" s="4">
        <f t="shared" ca="1" si="314"/>
        <v>-1.0354879178997201</v>
      </c>
      <c r="Q3593" s="4">
        <f t="shared" ca="1" si="315"/>
        <v>1942.8025655939525</v>
      </c>
      <c r="R3593" s="4">
        <f t="shared" ca="1" si="316"/>
        <v>19.132521593952561</v>
      </c>
      <c r="S3593" s="4">
        <f t="shared" ca="1" si="317"/>
        <v>9.8340788991070109</v>
      </c>
    </row>
    <row r="3594" spans="15:19" x14ac:dyDescent="0.2">
      <c r="O3594" s="4">
        <f t="shared" ca="1" si="313"/>
        <v>0.80741339960749503</v>
      </c>
      <c r="P3594" s="4">
        <f t="shared" ca="1" si="314"/>
        <v>0.86840400929446537</v>
      </c>
      <c r="Q3594" s="4">
        <f t="shared" ca="1" si="315"/>
        <v>1906.8786541287732</v>
      </c>
      <c r="R3594" s="4">
        <f t="shared" ca="1" si="316"/>
        <v>-16.791389871226784</v>
      </c>
      <c r="S3594" s="4">
        <f t="shared" ca="1" si="317"/>
        <v>-8.3851925397029774</v>
      </c>
    </row>
    <row r="3595" spans="15:19" x14ac:dyDescent="0.2">
      <c r="O3595" s="4">
        <f t="shared" ca="1" si="313"/>
        <v>0.32116351184951064</v>
      </c>
      <c r="P3595" s="4">
        <f t="shared" ca="1" si="314"/>
        <v>-0.46444769748313486</v>
      </c>
      <c r="Q3595" s="4">
        <f t="shared" ca="1" si="315"/>
        <v>1932.0277952257973</v>
      </c>
      <c r="R3595" s="4">
        <f t="shared" ca="1" si="316"/>
        <v>8.3577512257973012</v>
      </c>
      <c r="S3595" s="4">
        <f t="shared" ca="1" si="317"/>
        <v>4.2592101356976046</v>
      </c>
    </row>
    <row r="3596" spans="15:19" x14ac:dyDescent="0.2">
      <c r="O3596" s="4">
        <f t="shared" ca="1" si="313"/>
        <v>0.3192047017629045</v>
      </c>
      <c r="P3596" s="4">
        <f t="shared" ca="1" si="314"/>
        <v>-0.4699238785942228</v>
      </c>
      <c r="Q3596" s="4">
        <f t="shared" ca="1" si="315"/>
        <v>1932.1311234886005</v>
      </c>
      <c r="R3596" s="4">
        <f t="shared" ca="1" si="316"/>
        <v>8.4610794886004896</v>
      </c>
      <c r="S3596" s="4">
        <f t="shared" ca="1" si="317"/>
        <v>4.3122233439717714</v>
      </c>
    </row>
    <row r="3597" spans="15:19" x14ac:dyDescent="0.2">
      <c r="O3597" s="4">
        <f t="shared" ca="1" si="313"/>
        <v>0.25145820886598325</v>
      </c>
      <c r="P3597" s="4">
        <f t="shared" ca="1" si="314"/>
        <v>-0.66990803435159485</v>
      </c>
      <c r="Q3597" s="4">
        <f t="shared" ca="1" si="315"/>
        <v>1935.9045588413383</v>
      </c>
      <c r="R3597" s="4">
        <f t="shared" ca="1" si="316"/>
        <v>12.234514841338296</v>
      </c>
      <c r="S3597" s="4">
        <f t="shared" ca="1" si="317"/>
        <v>6.2541627353761697</v>
      </c>
    </row>
    <row r="3598" spans="15:19" x14ac:dyDescent="0.2">
      <c r="O3598" s="4">
        <f t="shared" ca="1" si="313"/>
        <v>0.74924315999620239</v>
      </c>
      <c r="P3598" s="4">
        <f t="shared" ca="1" si="314"/>
        <v>0.67210998550209278</v>
      </c>
      <c r="Q3598" s="4">
        <f t="shared" ca="1" si="315"/>
        <v>1910.58246159344</v>
      </c>
      <c r="R3598" s="4">
        <f t="shared" ca="1" si="316"/>
        <v>-13.087582406559932</v>
      </c>
      <c r="S3598" s="4">
        <f t="shared" ca="1" si="317"/>
        <v>-6.5553376295242822</v>
      </c>
    </row>
    <row r="3599" spans="15:19" x14ac:dyDescent="0.2">
      <c r="O3599" s="4">
        <f t="shared" ca="1" si="313"/>
        <v>0.50725206858783245</v>
      </c>
      <c r="P3599" s="4">
        <f t="shared" ca="1" si="314"/>
        <v>1.8179241449409609E-2</v>
      </c>
      <c r="Q3599" s="4">
        <f t="shared" ca="1" si="315"/>
        <v>1922.9212660277483</v>
      </c>
      <c r="R3599" s="4">
        <f t="shared" ca="1" si="316"/>
        <v>-0.74877797225167342</v>
      </c>
      <c r="S3599" s="4">
        <f t="shared" ca="1" si="317"/>
        <v>-0.37881051289070189</v>
      </c>
    </row>
    <row r="3600" spans="15:19" x14ac:dyDescent="0.2">
      <c r="O3600" s="4">
        <f t="shared" ca="1" si="313"/>
        <v>0.83132771419978846</v>
      </c>
      <c r="P3600" s="4">
        <f t="shared" ca="1" si="314"/>
        <v>0.95942522677479292</v>
      </c>
      <c r="Q3600" s="4">
        <f t="shared" ca="1" si="315"/>
        <v>1905.161204670896</v>
      </c>
      <c r="R3600" s="4">
        <f t="shared" ca="1" si="316"/>
        <v>-18.508839329103921</v>
      </c>
      <c r="S3600" s="4">
        <f t="shared" ca="1" si="317"/>
        <v>-9.2299031523136232</v>
      </c>
    </row>
    <row r="3601" spans="15:19" x14ac:dyDescent="0.2">
      <c r="O3601" s="4">
        <f t="shared" ca="1" si="313"/>
        <v>0.53939505166307344</v>
      </c>
      <c r="P3601" s="4">
        <f t="shared" ca="1" si="314"/>
        <v>9.8909788811084642E-2</v>
      </c>
      <c r="Q3601" s="4">
        <f t="shared" ca="1" si="315"/>
        <v>1921.3979878445007</v>
      </c>
      <c r="R3601" s="4">
        <f t="shared" ca="1" si="316"/>
        <v>-2.2720561554992855</v>
      </c>
      <c r="S3601" s="4">
        <f t="shared" ca="1" si="317"/>
        <v>-1.1480356917854662</v>
      </c>
    </row>
    <row r="3602" spans="15:19" x14ac:dyDescent="0.2">
      <c r="O3602" s="4">
        <f t="shared" ca="1" si="313"/>
        <v>0.20028509582045739</v>
      </c>
      <c r="P3602" s="4">
        <f t="shared" ca="1" si="314"/>
        <v>-0.84060333168240498</v>
      </c>
      <c r="Q3602" s="4">
        <f t="shared" ca="1" si="315"/>
        <v>1939.1253523439773</v>
      </c>
      <c r="R3602" s="4">
        <f t="shared" ca="1" si="316"/>
        <v>15.455308343977322</v>
      </c>
      <c r="S3602" s="4">
        <f t="shared" ca="1" si="317"/>
        <v>7.9208636910123369</v>
      </c>
    </row>
    <row r="3603" spans="15:19" x14ac:dyDescent="0.2">
      <c r="O3603" s="4">
        <f t="shared" ca="1" si="313"/>
        <v>0.77123251624819922</v>
      </c>
      <c r="P3603" s="4">
        <f t="shared" ca="1" si="314"/>
        <v>0.74291198767036215</v>
      </c>
      <c r="Q3603" s="4">
        <f t="shared" ca="1" si="315"/>
        <v>1909.2465218685427</v>
      </c>
      <c r="R3603" s="4">
        <f t="shared" ca="1" si="316"/>
        <v>-14.423522131457275</v>
      </c>
      <c r="S3603" s="4">
        <f t="shared" ca="1" si="317"/>
        <v>-7.2166423161917699</v>
      </c>
    </row>
    <row r="3604" spans="15:19" x14ac:dyDescent="0.2">
      <c r="O3604" s="4">
        <f t="shared" ca="1" si="313"/>
        <v>0.50830278612500257</v>
      </c>
      <c r="P3604" s="4">
        <f t="shared" ca="1" si="314"/>
        <v>2.0813501102623217E-2</v>
      </c>
      <c r="Q3604" s="4">
        <f t="shared" ca="1" si="315"/>
        <v>1922.871561047541</v>
      </c>
      <c r="R3604" s="4">
        <f t="shared" ca="1" si="316"/>
        <v>-0.79848295245892587</v>
      </c>
      <c r="S3604" s="4">
        <f t="shared" ca="1" si="317"/>
        <v>-0.40394035442781007</v>
      </c>
    </row>
    <row r="3605" spans="15:19" x14ac:dyDescent="0.2">
      <c r="O3605" s="4">
        <f t="shared" ca="1" si="313"/>
        <v>0.78046453902918722</v>
      </c>
      <c r="P3605" s="4">
        <f t="shared" ca="1" si="314"/>
        <v>0.77376305853820038</v>
      </c>
      <c r="Q3605" s="4">
        <f t="shared" ca="1" si="315"/>
        <v>1908.6644031449785</v>
      </c>
      <c r="R3605" s="4">
        <f t="shared" ca="1" si="316"/>
        <v>-15.005640855021511</v>
      </c>
      <c r="S3605" s="4">
        <f t="shared" ca="1" si="317"/>
        <v>-7.5043429043485173</v>
      </c>
    </row>
    <row r="3606" spans="15:19" x14ac:dyDescent="0.2">
      <c r="O3606" s="4">
        <f t="shared" ca="1" si="313"/>
        <v>4.0873303931665106E-2</v>
      </c>
      <c r="P3606" s="4">
        <f t="shared" ca="1" si="314"/>
        <v>-1.7406405341093367</v>
      </c>
      <c r="Q3606" s="4">
        <f t="shared" ca="1" si="315"/>
        <v>1956.1078587108186</v>
      </c>
      <c r="R3606" s="4">
        <f t="shared" ca="1" si="316"/>
        <v>32.437814710818657</v>
      </c>
      <c r="S3606" s="4">
        <f t="shared" ca="1" si="317"/>
        <v>16.848662584125456</v>
      </c>
    </row>
    <row r="3607" spans="15:19" x14ac:dyDescent="0.2">
      <c r="O3607" s="4">
        <f t="shared" ca="1" si="313"/>
        <v>0.91578603418952087</v>
      </c>
      <c r="P3607" s="4">
        <f t="shared" ca="1" si="314"/>
        <v>1.3772727669862261</v>
      </c>
      <c r="Q3607" s="4">
        <f t="shared" ca="1" si="315"/>
        <v>1897.2769766713477</v>
      </c>
      <c r="R3607" s="4">
        <f t="shared" ca="1" si="316"/>
        <v>-26.393067328652251</v>
      </c>
      <c r="S3607" s="4">
        <f t="shared" ca="1" si="317"/>
        <v>-13.076867217906461</v>
      </c>
    </row>
    <row r="3608" spans="15:19" x14ac:dyDescent="0.2">
      <c r="O3608" s="4">
        <f t="shared" ca="1" si="313"/>
        <v>0.2792332213492974</v>
      </c>
      <c r="P3608" s="4">
        <f t="shared" ca="1" si="314"/>
        <v>-0.58512087611494423</v>
      </c>
      <c r="Q3608" s="4">
        <f t="shared" ca="1" si="315"/>
        <v>1934.3047377998325</v>
      </c>
      <c r="R3608" s="4">
        <f t="shared" ca="1" si="316"/>
        <v>10.634693799832576</v>
      </c>
      <c r="S3608" s="4">
        <f t="shared" ca="1" si="317"/>
        <v>5.4294243583701389</v>
      </c>
    </row>
    <row r="3609" spans="15:19" x14ac:dyDescent="0.2">
      <c r="O3609" s="4">
        <f t="shared" ca="1" si="313"/>
        <v>0.94431016059709216</v>
      </c>
      <c r="P3609" s="4">
        <f t="shared" ca="1" si="314"/>
        <v>1.5920223676361107</v>
      </c>
      <c r="Q3609" s="4">
        <f t="shared" ca="1" si="315"/>
        <v>1893.2249369884555</v>
      </c>
      <c r="R3609" s="4">
        <f t="shared" ca="1" si="316"/>
        <v>-30.445107011544451</v>
      </c>
      <c r="S3609" s="4">
        <f t="shared" ca="1" si="317"/>
        <v>-15.034297062379277</v>
      </c>
    </row>
    <row r="3610" spans="15:19" x14ac:dyDescent="0.2">
      <c r="O3610" s="4">
        <f t="shared" ca="1" si="313"/>
        <v>1.5682750280887614E-2</v>
      </c>
      <c r="P3610" s="4">
        <f t="shared" ca="1" si="314"/>
        <v>-2.1524046147895772</v>
      </c>
      <c r="Q3610" s="4">
        <f t="shared" ca="1" si="315"/>
        <v>1963.8772999105079</v>
      </c>
      <c r="R3610" s="4">
        <f t="shared" ca="1" si="316"/>
        <v>40.207255910507911</v>
      </c>
      <c r="S3610" s="4">
        <f t="shared" ca="1" si="317"/>
        <v>21.01138441524461</v>
      </c>
    </row>
    <row r="3611" spans="15:19" x14ac:dyDescent="0.2">
      <c r="O3611" s="4">
        <f t="shared" ca="1" si="313"/>
        <v>0.7724697986914012</v>
      </c>
      <c r="P3611" s="4">
        <f t="shared" ca="1" si="314"/>
        <v>0.7470052320629883</v>
      </c>
      <c r="Q3611" s="4">
        <f t="shared" ca="1" si="315"/>
        <v>1909.1692877844721</v>
      </c>
      <c r="R3611" s="4">
        <f t="shared" ca="1" si="316"/>
        <v>-14.500756215527872</v>
      </c>
      <c r="S3611" s="4">
        <f t="shared" ca="1" si="317"/>
        <v>-7.254829597763484</v>
      </c>
    </row>
    <row r="3612" spans="15:19" x14ac:dyDescent="0.2">
      <c r="O3612" s="4">
        <f t="shared" ca="1" si="313"/>
        <v>0.62308371294463305</v>
      </c>
      <c r="P3612" s="4">
        <f t="shared" ca="1" si="314"/>
        <v>0.3135898439136533</v>
      </c>
      <c r="Q3612" s="4">
        <f t="shared" ca="1" si="315"/>
        <v>1917.3472603936993</v>
      </c>
      <c r="R3612" s="4">
        <f t="shared" ca="1" si="316"/>
        <v>-6.322783606300618</v>
      </c>
      <c r="S3612" s="4">
        <f t="shared" ca="1" si="317"/>
        <v>-3.1843813449383367</v>
      </c>
    </row>
    <row r="3613" spans="15:19" x14ac:dyDescent="0.2">
      <c r="O3613" s="4">
        <f t="shared" ca="1" si="313"/>
        <v>0.70481350799196119</v>
      </c>
      <c r="P3613" s="4">
        <f t="shared" ca="1" si="314"/>
        <v>0.53829560655870956</v>
      </c>
      <c r="Q3613" s="4">
        <f t="shared" ca="1" si="315"/>
        <v>1913.1073611600948</v>
      </c>
      <c r="R3613" s="4">
        <f t="shared" ca="1" si="316"/>
        <v>-10.562682839905165</v>
      </c>
      <c r="S3613" s="4">
        <f t="shared" ca="1" si="317"/>
        <v>-5.3015166911142586</v>
      </c>
    </row>
    <row r="3614" spans="15:19" x14ac:dyDescent="0.2">
      <c r="O3614" s="4">
        <f t="shared" ca="1" si="313"/>
        <v>0.73503603672274698</v>
      </c>
      <c r="P3614" s="4">
        <f t="shared" ca="1" si="314"/>
        <v>0.62811603940922955</v>
      </c>
      <c r="Q3614" s="4">
        <f t="shared" ca="1" si="315"/>
        <v>1911.4125689130151</v>
      </c>
      <c r="R3614" s="4">
        <f t="shared" ca="1" si="316"/>
        <v>-12.257475086984869</v>
      </c>
      <c r="S3614" s="4">
        <f t="shared" ca="1" si="317"/>
        <v>-6.1436935509013493</v>
      </c>
    </row>
    <row r="3615" spans="15:19" x14ac:dyDescent="0.2">
      <c r="O3615" s="4">
        <f t="shared" ca="1" si="313"/>
        <v>0.89197284799631527</v>
      </c>
      <c r="P3615" s="4">
        <f t="shared" ca="1" si="314"/>
        <v>1.2370882970717085</v>
      </c>
      <c r="Q3615" s="4">
        <f t="shared" ca="1" si="315"/>
        <v>1899.9220713923617</v>
      </c>
      <c r="R3615" s="4">
        <f t="shared" ca="1" si="316"/>
        <v>-23.747972607638303</v>
      </c>
      <c r="S3615" s="4">
        <f t="shared" ca="1" si="317"/>
        <v>-11.791883057549907</v>
      </c>
    </row>
    <row r="3616" spans="15:19" x14ac:dyDescent="0.2">
      <c r="O3616" s="4">
        <f t="shared" ca="1" si="313"/>
        <v>0.7609727243143618</v>
      </c>
      <c r="P3616" s="4">
        <f t="shared" ca="1" si="314"/>
        <v>0.70943503739127189</v>
      </c>
      <c r="Q3616" s="4">
        <f t="shared" ca="1" si="315"/>
        <v>1909.8781874482811</v>
      </c>
      <c r="R3616" s="4">
        <f t="shared" ca="1" si="316"/>
        <v>-13.791856551718865</v>
      </c>
      <c r="S3616" s="4">
        <f t="shared" ca="1" si="317"/>
        <v>-6.904142078609973</v>
      </c>
    </row>
    <row r="3617" spans="15:19" x14ac:dyDescent="0.2">
      <c r="O3617" s="4">
        <f t="shared" ca="1" si="313"/>
        <v>0.95085167585301911</v>
      </c>
      <c r="P3617" s="4">
        <f t="shared" ca="1" si="314"/>
        <v>1.6531681416850934</v>
      </c>
      <c r="Q3617" s="4">
        <f t="shared" ca="1" si="315"/>
        <v>1892.0711974604758</v>
      </c>
      <c r="R3617" s="4">
        <f t="shared" ca="1" si="316"/>
        <v>-31.598846539524175</v>
      </c>
      <c r="S3617" s="4">
        <f t="shared" ca="1" si="317"/>
        <v>-15.589192254251627</v>
      </c>
    </row>
    <row r="3618" spans="15:19" x14ac:dyDescent="0.2">
      <c r="O3618" s="4">
        <f t="shared" ca="1" si="313"/>
        <v>0.39759331244785512</v>
      </c>
      <c r="P3618" s="4">
        <f t="shared" ca="1" si="314"/>
        <v>-0.25958147826802319</v>
      </c>
      <c r="Q3618" s="4">
        <f t="shared" ca="1" si="315"/>
        <v>1928.1622418211271</v>
      </c>
      <c r="R3618" s="4">
        <f t="shared" ca="1" si="316"/>
        <v>4.4921978211270925</v>
      </c>
      <c r="S3618" s="4">
        <f t="shared" ca="1" si="317"/>
        <v>2.2822091300662364</v>
      </c>
    </row>
    <row r="3619" spans="15:19" x14ac:dyDescent="0.2">
      <c r="O3619" s="4">
        <f t="shared" ca="1" si="313"/>
        <v>0.13865588091049807</v>
      </c>
      <c r="P3619" s="4">
        <f t="shared" ca="1" si="314"/>
        <v>-1.086378065441933</v>
      </c>
      <c r="Q3619" s="4">
        <f t="shared" ca="1" si="315"/>
        <v>1943.762795073706</v>
      </c>
      <c r="R3619" s="4">
        <f t="shared" ca="1" si="316"/>
        <v>20.09275107370604</v>
      </c>
      <c r="S3619" s="4">
        <f t="shared" ca="1" si="317"/>
        <v>10.335488836629489</v>
      </c>
    </row>
    <row r="3620" spans="15:19" x14ac:dyDescent="0.2">
      <c r="O3620" s="4">
        <f t="shared" ca="1" si="313"/>
        <v>0.52389426435465358</v>
      </c>
      <c r="P3620" s="4">
        <f t="shared" ca="1" si="314"/>
        <v>5.9929893269727467E-2</v>
      </c>
      <c r="Q3620" s="4">
        <f t="shared" ca="1" si="315"/>
        <v>1922.1334866910206</v>
      </c>
      <c r="R3620" s="4">
        <f t="shared" ca="1" si="316"/>
        <v>-1.5365573089793543</v>
      </c>
      <c r="S3620" s="4">
        <f t="shared" ca="1" si="317"/>
        <v>-0.77685926639232283</v>
      </c>
    </row>
    <row r="3621" spans="15:19" x14ac:dyDescent="0.2">
      <c r="O3621" s="4">
        <f t="shared" ca="1" si="313"/>
        <v>0.25099480038318933</v>
      </c>
      <c r="P3621" s="4">
        <f t="shared" ca="1" si="314"/>
        <v>-0.67136254288419517</v>
      </c>
      <c r="Q3621" s="4">
        <f t="shared" ca="1" si="315"/>
        <v>1935.9320034851251</v>
      </c>
      <c r="R3621" s="4">
        <f t="shared" ca="1" si="316"/>
        <v>12.261959485125089</v>
      </c>
      <c r="S3621" s="4">
        <f t="shared" ca="1" si="317"/>
        <v>6.2683291543028403</v>
      </c>
    </row>
    <row r="3622" spans="15:19" x14ac:dyDescent="0.2">
      <c r="O3622" s="4">
        <f t="shared" ca="1" si="313"/>
        <v>0.46975011387969567</v>
      </c>
      <c r="P3622" s="4">
        <f t="shared" ca="1" si="314"/>
        <v>-7.589802549193006E-2</v>
      </c>
      <c r="Q3622" s="4">
        <f t="shared" ca="1" si="315"/>
        <v>1924.6963790791847</v>
      </c>
      <c r="R3622" s="4">
        <f t="shared" ca="1" si="316"/>
        <v>1.0263350791847188</v>
      </c>
      <c r="S3622" s="4">
        <f t="shared" ca="1" si="317"/>
        <v>0.51996966188200833</v>
      </c>
    </row>
    <row r="3623" spans="15:19" x14ac:dyDescent="0.2">
      <c r="O3623" s="4">
        <f t="shared" ca="1" si="313"/>
        <v>0.10339105714197905</v>
      </c>
      <c r="P3623" s="4">
        <f t="shared" ca="1" si="314"/>
        <v>-1.2624633274794408</v>
      </c>
      <c r="Q3623" s="4">
        <f t="shared" ca="1" si="315"/>
        <v>1947.0852900501307</v>
      </c>
      <c r="R3623" s="4">
        <f t="shared" ca="1" si="316"/>
        <v>23.41524605013069</v>
      </c>
      <c r="S3623" s="4">
        <f t="shared" ca="1" si="317"/>
        <v>12.076212270616907</v>
      </c>
    </row>
    <row r="3624" spans="15:19" x14ac:dyDescent="0.2">
      <c r="O3624" s="4">
        <f t="shared" ca="1" si="313"/>
        <v>0.66373148694872097</v>
      </c>
      <c r="P3624" s="4">
        <f t="shared" ca="1" si="314"/>
        <v>0.42266865764214351</v>
      </c>
      <c r="Q3624" s="4">
        <f t="shared" ca="1" si="315"/>
        <v>1915.2890880830034</v>
      </c>
      <c r="R3624" s="4">
        <f t="shared" ca="1" si="316"/>
        <v>-8.3809559169965269</v>
      </c>
      <c r="S3624" s="4">
        <f t="shared" ca="1" si="317"/>
        <v>-4.2139292616222139</v>
      </c>
    </row>
    <row r="3625" spans="15:19" x14ac:dyDescent="0.2">
      <c r="O3625" s="4">
        <f t="shared" ca="1" si="313"/>
        <v>0.63299584348186544</v>
      </c>
      <c r="P3625" s="4">
        <f t="shared" ca="1" si="314"/>
        <v>0.33979845294942429</v>
      </c>
      <c r="Q3625" s="4">
        <f t="shared" ca="1" si="315"/>
        <v>1916.8527387576873</v>
      </c>
      <c r="R3625" s="4">
        <f t="shared" ca="1" si="316"/>
        <v>-6.8173052423126137</v>
      </c>
      <c r="S3625" s="4">
        <f t="shared" ca="1" si="317"/>
        <v>-3.4320678813458967</v>
      </c>
    </row>
    <row r="3626" spans="15:19" x14ac:dyDescent="0.2">
      <c r="O3626" s="4">
        <f t="shared" ca="1" si="313"/>
        <v>0.73561768694269303</v>
      </c>
      <c r="P3626" s="4">
        <f t="shared" ca="1" si="314"/>
        <v>0.62989294946327146</v>
      </c>
      <c r="Q3626" s="4">
        <f t="shared" ca="1" si="315"/>
        <v>1911.3790409808091</v>
      </c>
      <c r="R3626" s="4">
        <f t="shared" ca="1" si="316"/>
        <v>-12.291003019190839</v>
      </c>
      <c r="S3626" s="4">
        <f t="shared" ca="1" si="317"/>
        <v>-6.1603306763081775</v>
      </c>
    </row>
    <row r="3627" spans="15:19" x14ac:dyDescent="0.2">
      <c r="O3627" s="4">
        <f t="shared" ca="1" si="313"/>
        <v>0.72125626557324762</v>
      </c>
      <c r="P3627" s="4">
        <f t="shared" ca="1" si="314"/>
        <v>0.58657754276066199</v>
      </c>
      <c r="Q3627" s="4">
        <f t="shared" ca="1" si="315"/>
        <v>1912.1963451634872</v>
      </c>
      <c r="R3627" s="4">
        <f t="shared" ca="1" si="316"/>
        <v>-11.473698836512767</v>
      </c>
      <c r="S3627" s="4">
        <f t="shared" ca="1" si="317"/>
        <v>-5.754509795212341</v>
      </c>
    </row>
    <row r="3628" spans="15:19" x14ac:dyDescent="0.2">
      <c r="O3628" s="4">
        <f t="shared" ca="1" si="313"/>
        <v>6.3096790941334913E-3</v>
      </c>
      <c r="P3628" s="4">
        <f t="shared" ca="1" si="314"/>
        <v>-2.4943344375707026</v>
      </c>
      <c r="Q3628" s="4">
        <f t="shared" ca="1" si="315"/>
        <v>1970.3290614340706</v>
      </c>
      <c r="R3628" s="4">
        <f t="shared" ca="1" si="316"/>
        <v>46.65901743407062</v>
      </c>
      <c r="S3628" s="4">
        <f t="shared" ca="1" si="317"/>
        <v>24.505467365152665</v>
      </c>
    </row>
    <row r="3629" spans="15:19" x14ac:dyDescent="0.2">
      <c r="O3629" s="4">
        <f t="shared" ca="1" si="313"/>
        <v>0.44126911057484597</v>
      </c>
      <c r="P3629" s="4">
        <f t="shared" ca="1" si="314"/>
        <v>-0.14775234305455834</v>
      </c>
      <c r="Q3629" s="4">
        <f t="shared" ca="1" si="315"/>
        <v>1926.0521745976389</v>
      </c>
      <c r="R3629" s="4">
        <f t="shared" ca="1" si="316"/>
        <v>2.382130597638934</v>
      </c>
      <c r="S3629" s="4">
        <f t="shared" ca="1" si="317"/>
        <v>1.2081677743903876</v>
      </c>
    </row>
    <row r="3630" spans="15:19" x14ac:dyDescent="0.2">
      <c r="O3630" s="4">
        <f t="shared" ca="1" si="313"/>
        <v>0.53959451716063234</v>
      </c>
      <c r="P3630" s="4">
        <f t="shared" ca="1" si="314"/>
        <v>9.9412238882063297E-2</v>
      </c>
      <c r="Q3630" s="4">
        <f t="shared" ca="1" si="315"/>
        <v>1921.3885072791347</v>
      </c>
      <c r="R3630" s="4">
        <f t="shared" ca="1" si="316"/>
        <v>-2.2815367208652333</v>
      </c>
      <c r="S3630" s="4">
        <f t="shared" ca="1" si="317"/>
        <v>-1.1528172733980213</v>
      </c>
    </row>
    <row r="3631" spans="15:19" x14ac:dyDescent="0.2">
      <c r="O3631" s="4">
        <f t="shared" ca="1" si="313"/>
        <v>0.53596662412083196</v>
      </c>
      <c r="P3631" s="4">
        <f t="shared" ca="1" si="314"/>
        <v>9.027743427376686E-2</v>
      </c>
      <c r="Q3631" s="4">
        <f t="shared" ca="1" si="315"/>
        <v>1921.5608689070787</v>
      </c>
      <c r="R3631" s="4">
        <f t="shared" ca="1" si="316"/>
        <v>-2.1091750929213049</v>
      </c>
      <c r="S3631" s="4">
        <f t="shared" ca="1" si="317"/>
        <v>-1.0658741950823885</v>
      </c>
    </row>
    <row r="3632" spans="15:19" x14ac:dyDescent="0.2">
      <c r="O3632" s="4">
        <f t="shared" ca="1" si="313"/>
        <v>0.53207062663320226</v>
      </c>
      <c r="P3632" s="4">
        <f t="shared" ca="1" si="314"/>
        <v>8.047592054010301E-2</v>
      </c>
      <c r="Q3632" s="4">
        <f t="shared" ca="1" si="315"/>
        <v>1921.7458104505367</v>
      </c>
      <c r="R3632" s="4">
        <f t="shared" ca="1" si="316"/>
        <v>-1.9242335494632243</v>
      </c>
      <c r="S3632" s="4">
        <f t="shared" ca="1" si="317"/>
        <v>-0.97255862547917749</v>
      </c>
    </row>
    <row r="3633" spans="15:19" x14ac:dyDescent="0.2">
      <c r="O3633" s="4">
        <f t="shared" ca="1" si="313"/>
        <v>9.3553548633927952E-2</v>
      </c>
      <c r="P3633" s="4">
        <f t="shared" ca="1" si="314"/>
        <v>-1.3191855220487443</v>
      </c>
      <c r="Q3633" s="4">
        <f t="shared" ca="1" si="315"/>
        <v>1948.1555625097767</v>
      </c>
      <c r="R3633" s="4">
        <f t="shared" ca="1" si="316"/>
        <v>24.485518509776739</v>
      </c>
      <c r="S3633" s="4">
        <f t="shared" ca="1" si="317"/>
        <v>12.638863837619311</v>
      </c>
    </row>
    <row r="3634" spans="15:19" x14ac:dyDescent="0.2">
      <c r="O3634" s="4">
        <f t="shared" ca="1" si="313"/>
        <v>0.52331136703518799</v>
      </c>
      <c r="P3634" s="4">
        <f t="shared" ca="1" si="314"/>
        <v>5.8466223834162293E-2</v>
      </c>
      <c r="Q3634" s="4">
        <f t="shared" ca="1" si="315"/>
        <v>1922.1611041888768</v>
      </c>
      <c r="R3634" s="4">
        <f t="shared" ca="1" si="316"/>
        <v>-1.5089398111231276</v>
      </c>
      <c r="S3634" s="4">
        <f t="shared" ca="1" si="317"/>
        <v>-0.76291325665637377</v>
      </c>
    </row>
    <row r="3635" spans="15:19" x14ac:dyDescent="0.2">
      <c r="O3635" s="4">
        <f t="shared" ca="1" si="313"/>
        <v>0.60018836227960326</v>
      </c>
      <c r="P3635" s="4">
        <f t="shared" ca="1" si="314"/>
        <v>0.25383468579872021</v>
      </c>
      <c r="Q3635" s="4">
        <f t="shared" ca="1" si="315"/>
        <v>1918.4747608463497</v>
      </c>
      <c r="R3635" s="4">
        <f t="shared" ca="1" si="316"/>
        <v>-5.1952831536502799</v>
      </c>
      <c r="S3635" s="4">
        <f t="shared" ca="1" si="317"/>
        <v>-2.6189160276276522</v>
      </c>
    </row>
    <row r="3636" spans="15:19" x14ac:dyDescent="0.2">
      <c r="O3636" s="4">
        <f t="shared" ca="1" si="313"/>
        <v>0.71026674173811022</v>
      </c>
      <c r="P3636" s="4">
        <f t="shared" ca="1" si="314"/>
        <v>0.55416414148447313</v>
      </c>
      <c r="Q3636" s="4">
        <f t="shared" ca="1" si="315"/>
        <v>1912.8079429863988</v>
      </c>
      <c r="R3636" s="4">
        <f t="shared" ca="1" si="316"/>
        <v>-10.862101013601205</v>
      </c>
      <c r="S3636" s="4">
        <f t="shared" ca="1" si="317"/>
        <v>-5.450473766682058</v>
      </c>
    </row>
    <row r="3637" spans="15:19" x14ac:dyDescent="0.2">
      <c r="O3637" s="4">
        <f t="shared" ca="1" si="313"/>
        <v>0.71044927389120016</v>
      </c>
      <c r="P3637" s="4">
        <f t="shared" ca="1" si="314"/>
        <v>0.55469769624113119</v>
      </c>
      <c r="Q3637" s="4">
        <f t="shared" ca="1" si="315"/>
        <v>1912.7978755169347</v>
      </c>
      <c r="R3637" s="4">
        <f t="shared" ca="1" si="316"/>
        <v>-10.872168483065252</v>
      </c>
      <c r="S3637" s="4">
        <f t="shared" ca="1" si="317"/>
        <v>-5.455480947885996</v>
      </c>
    </row>
    <row r="3638" spans="15:19" x14ac:dyDescent="0.2">
      <c r="O3638" s="4">
        <f t="shared" ca="1" si="313"/>
        <v>0.6860861400603524</v>
      </c>
      <c r="P3638" s="4">
        <f t="shared" ca="1" si="314"/>
        <v>0.48478661284957036</v>
      </c>
      <c r="Q3638" s="4">
        <f t="shared" ca="1" si="315"/>
        <v>1914.1170047880453</v>
      </c>
      <c r="R3638" s="4">
        <f t="shared" ca="1" si="316"/>
        <v>-9.5530392119546832</v>
      </c>
      <c r="S3638" s="4">
        <f t="shared" ca="1" si="317"/>
        <v>-4.7986926554470726</v>
      </c>
    </row>
    <row r="3639" spans="15:19" x14ac:dyDescent="0.2">
      <c r="O3639" s="4">
        <f t="shared" ca="1" si="313"/>
        <v>4.129878610881732E-2</v>
      </c>
      <c r="P3639" s="4">
        <f t="shared" ca="1" si="314"/>
        <v>-1.7358092262198865</v>
      </c>
      <c r="Q3639" s="4">
        <f t="shared" ca="1" si="315"/>
        <v>1956.0166983490342</v>
      </c>
      <c r="R3639" s="4">
        <f t="shared" ca="1" si="316"/>
        <v>32.346654349034225</v>
      </c>
      <c r="S3639" s="4">
        <f t="shared" ca="1" si="317"/>
        <v>16.800112256566951</v>
      </c>
    </row>
    <row r="3640" spans="15:19" x14ac:dyDescent="0.2">
      <c r="O3640" s="4">
        <f t="shared" ca="1" si="313"/>
        <v>0.71925555401404784</v>
      </c>
      <c r="P3640" s="4">
        <f t="shared" ca="1" si="314"/>
        <v>0.58063141924868999</v>
      </c>
      <c r="Q3640" s="4">
        <f t="shared" ca="1" si="315"/>
        <v>1912.308540615106</v>
      </c>
      <c r="R3640" s="4">
        <f t="shared" ca="1" si="316"/>
        <v>-11.361503384893922</v>
      </c>
      <c r="S3640" s="4">
        <f t="shared" ca="1" si="317"/>
        <v>-5.6987582723869661</v>
      </c>
    </row>
    <row r="3641" spans="15:19" x14ac:dyDescent="0.2">
      <c r="O3641" s="4">
        <f t="shared" ca="1" si="313"/>
        <v>0.62188013306520373</v>
      </c>
      <c r="P3641" s="4">
        <f t="shared" ca="1" si="314"/>
        <v>0.31042243722101293</v>
      </c>
      <c r="Q3641" s="4">
        <f t="shared" ca="1" si="315"/>
        <v>1917.4070251502885</v>
      </c>
      <c r="R3641" s="4">
        <f t="shared" ca="1" si="316"/>
        <v>-6.2630188497114432</v>
      </c>
      <c r="S3641" s="4">
        <f t="shared" ca="1" si="317"/>
        <v>-3.1544340321135276</v>
      </c>
    </row>
    <row r="3642" spans="15:19" x14ac:dyDescent="0.2">
      <c r="O3642" s="4">
        <f t="shared" ca="1" si="313"/>
        <v>0.38007051656387925</v>
      </c>
      <c r="P3642" s="4">
        <f t="shared" ca="1" si="314"/>
        <v>-0.30529559165216413</v>
      </c>
      <c r="Q3642" s="4">
        <f t="shared" ca="1" si="315"/>
        <v>1929.0248064123543</v>
      </c>
      <c r="R3642" s="4">
        <f t="shared" ca="1" si="316"/>
        <v>5.3547624123543756</v>
      </c>
      <c r="S3642" s="4">
        <f t="shared" ca="1" si="317"/>
        <v>2.7223052740285421</v>
      </c>
    </row>
    <row r="3643" spans="15:19" x14ac:dyDescent="0.2">
      <c r="O3643" s="4">
        <f t="shared" ca="1" si="313"/>
        <v>0.32163226765125719</v>
      </c>
      <c r="P3643" s="4">
        <f t="shared" ca="1" si="314"/>
        <v>-0.46313928119584474</v>
      </c>
      <c r="Q3643" s="4">
        <f t="shared" ca="1" si="315"/>
        <v>1932.0031071486051</v>
      </c>
      <c r="R3643" s="4">
        <f t="shared" ca="1" si="316"/>
        <v>8.3330631486051061</v>
      </c>
      <c r="S3643" s="4">
        <f t="shared" ca="1" si="317"/>
        <v>4.2465450505858273</v>
      </c>
    </row>
    <row r="3644" spans="15:19" x14ac:dyDescent="0.2">
      <c r="O3644" s="4">
        <f t="shared" ca="1" si="313"/>
        <v>0.73752459239891921</v>
      </c>
      <c r="P3644" s="4">
        <f t="shared" ca="1" si="314"/>
        <v>0.6357324606536694</v>
      </c>
      <c r="Q3644" s="4">
        <f t="shared" ca="1" si="315"/>
        <v>1911.2688571620704</v>
      </c>
      <c r="R3644" s="4">
        <f t="shared" ca="1" si="316"/>
        <v>-12.401186837929572</v>
      </c>
      <c r="S3644" s="4">
        <f t="shared" ca="1" si="317"/>
        <v>-6.2149992995857719</v>
      </c>
    </row>
    <row r="3645" spans="15:19" x14ac:dyDescent="0.2">
      <c r="O3645" s="4">
        <f t="shared" ca="1" si="313"/>
        <v>0.51127677204575939</v>
      </c>
      <c r="P3645" s="4">
        <f t="shared" ca="1" si="314"/>
        <v>2.8270440911805611E-2</v>
      </c>
      <c r="Q3645" s="4">
        <f t="shared" ca="1" si="315"/>
        <v>1922.7308584994184</v>
      </c>
      <c r="R3645" s="4">
        <f t="shared" ca="1" si="316"/>
        <v>-0.93918550058151595</v>
      </c>
      <c r="S3645" s="4">
        <f t="shared" ca="1" si="317"/>
        <v>-0.47506583631801064</v>
      </c>
    </row>
    <row r="3646" spans="15:19" x14ac:dyDescent="0.2">
      <c r="O3646" s="4">
        <f t="shared" ca="1" si="313"/>
        <v>0.21289253660804508</v>
      </c>
      <c r="P3646" s="4">
        <f t="shared" ca="1" si="314"/>
        <v>-0.79642496370025018</v>
      </c>
      <c r="Q3646" s="4">
        <f t="shared" ca="1" si="315"/>
        <v>1938.2917652283443</v>
      </c>
      <c r="R3646" s="4">
        <f t="shared" ca="1" si="316"/>
        <v>14.621721228344313</v>
      </c>
      <c r="S3646" s="4">
        <f t="shared" ca="1" si="317"/>
        <v>7.4886877600550523</v>
      </c>
    </row>
    <row r="3647" spans="15:19" x14ac:dyDescent="0.2">
      <c r="O3647" s="4">
        <f t="shared" ca="1" si="313"/>
        <v>0.79047260469757719</v>
      </c>
      <c r="P3647" s="4">
        <f t="shared" ca="1" si="314"/>
        <v>0.80806217543270553</v>
      </c>
      <c r="Q3647" s="4">
        <f t="shared" ca="1" si="315"/>
        <v>1908.0172243734041</v>
      </c>
      <c r="R3647" s="4">
        <f t="shared" ca="1" si="316"/>
        <v>-15.652819626595829</v>
      </c>
      <c r="S3647" s="4">
        <f t="shared" ca="1" si="317"/>
        <v>-7.8238742715809408</v>
      </c>
    </row>
    <row r="3648" spans="15:19" x14ac:dyDescent="0.2">
      <c r="O3648" s="4">
        <f t="shared" ca="1" si="313"/>
        <v>9.9831499376195509E-2</v>
      </c>
      <c r="P3648" s="4">
        <f t="shared" ca="1" si="314"/>
        <v>-1.282512283512435</v>
      </c>
      <c r="Q3648" s="4">
        <f t="shared" ca="1" si="315"/>
        <v>1947.4635872166932</v>
      </c>
      <c r="R3648" s="4">
        <f t="shared" ca="1" si="316"/>
        <v>23.793543216693251</v>
      </c>
      <c r="S3648" s="4">
        <f t="shared" ca="1" si="317"/>
        <v>12.274979831159923</v>
      </c>
    </row>
    <row r="3649" spans="15:19" x14ac:dyDescent="0.2">
      <c r="O3649" s="4">
        <f t="shared" ca="1" si="313"/>
        <v>0.43278474572743597</v>
      </c>
      <c r="P3649" s="4">
        <f t="shared" ca="1" si="314"/>
        <v>-0.16928879197409713</v>
      </c>
      <c r="Q3649" s="4">
        <f t="shared" ca="1" si="315"/>
        <v>1926.4585387789296</v>
      </c>
      <c r="R3649" s="4">
        <f t="shared" ca="1" si="316"/>
        <v>2.7884947789295893</v>
      </c>
      <c r="S3649" s="4">
        <f t="shared" ca="1" si="317"/>
        <v>1.4147286195903777</v>
      </c>
    </row>
    <row r="3650" spans="15:19" x14ac:dyDescent="0.2">
      <c r="O3650" s="4">
        <f t="shared" ca="1" si="313"/>
        <v>0.6415368243623335</v>
      </c>
      <c r="P3650" s="4">
        <f t="shared" ca="1" si="314"/>
        <v>0.36256969575236175</v>
      </c>
      <c r="Q3650" s="4">
        <f t="shared" ca="1" si="315"/>
        <v>1916.4230756561631</v>
      </c>
      <c r="R3650" s="4">
        <f t="shared" ca="1" si="316"/>
        <v>-7.2469683438368975</v>
      </c>
      <c r="S3650" s="4">
        <f t="shared" ca="1" si="317"/>
        <v>-3.6471076734630601</v>
      </c>
    </row>
    <row r="3651" spans="15:19" x14ac:dyDescent="0.2">
      <c r="O3651" s="4">
        <f t="shared" ref="O3651:O3714" ca="1" si="318">RAND()</f>
        <v>5.5884686407678963E-3</v>
      </c>
      <c r="P3651" s="4">
        <f t="shared" ref="P3651:P3714" ca="1" si="319">NORMSINV(O3651)</f>
        <v>-2.53711768921896</v>
      </c>
      <c r="Q3651" s="4">
        <f t="shared" ref="Q3651:Q3714" ca="1" si="320">$B$4*(1+$B$17-$B$32*P3651)</f>
        <v>1971.1363245578077</v>
      </c>
      <c r="R3651" s="4">
        <f t="shared" ref="R3651:R3714" ca="1" si="321">Q3651-$B$4</f>
        <v>47.46628055780775</v>
      </c>
      <c r="S3651" s="4">
        <f t="shared" ref="S3651:S3714" ca="1" si="322">R3651*$B$12+0.5*$B$13*R3651^2</f>
        <v>24.945042565500582</v>
      </c>
    </row>
    <row r="3652" spans="15:19" x14ac:dyDescent="0.2">
      <c r="O3652" s="4">
        <f t="shared" ca="1" si="318"/>
        <v>0.62057450787106128</v>
      </c>
      <c r="P3652" s="4">
        <f t="shared" ca="1" si="319"/>
        <v>0.30698999939915589</v>
      </c>
      <c r="Q3652" s="4">
        <f t="shared" ca="1" si="320"/>
        <v>1917.4717906922087</v>
      </c>
      <c r="R3652" s="4">
        <f t="shared" ca="1" si="321"/>
        <v>-6.1982533077912194</v>
      </c>
      <c r="S3652" s="4">
        <f t="shared" ca="1" si="322"/>
        <v>-3.1219776101355703</v>
      </c>
    </row>
    <row r="3653" spans="15:19" x14ac:dyDescent="0.2">
      <c r="O3653" s="4">
        <f t="shared" ca="1" si="318"/>
        <v>0.92835027783110036</v>
      </c>
      <c r="P3653" s="4">
        <f t="shared" ca="1" si="319"/>
        <v>1.4636140029348657</v>
      </c>
      <c r="Q3653" s="4">
        <f t="shared" ca="1" si="320"/>
        <v>1895.6478322479118</v>
      </c>
      <c r="R3653" s="4">
        <f t="shared" ca="1" si="321"/>
        <v>-28.022211752088197</v>
      </c>
      <c r="S3653" s="4">
        <f t="shared" ca="1" si="322"/>
        <v>-13.865469253655231</v>
      </c>
    </row>
    <row r="3654" spans="15:19" x14ac:dyDescent="0.2">
      <c r="O3654" s="4">
        <f t="shared" ca="1" si="318"/>
        <v>8.904254975206749E-2</v>
      </c>
      <c r="P3654" s="4">
        <f t="shared" ca="1" si="319"/>
        <v>-1.3466744657101111</v>
      </c>
      <c r="Q3654" s="4">
        <f t="shared" ca="1" si="320"/>
        <v>1948.6742423593296</v>
      </c>
      <c r="R3654" s="4">
        <f t="shared" ca="1" si="321"/>
        <v>25.004198359329621</v>
      </c>
      <c r="S3654" s="4">
        <f t="shared" ca="1" si="322"/>
        <v>12.911873847652775</v>
      </c>
    </row>
    <row r="3655" spans="15:19" x14ac:dyDescent="0.2">
      <c r="O3655" s="4">
        <f t="shared" ca="1" si="318"/>
        <v>0.92796492588306867</v>
      </c>
      <c r="P3655" s="4">
        <f t="shared" ca="1" si="319"/>
        <v>1.4608006834328491</v>
      </c>
      <c r="Q3655" s="4">
        <f t="shared" ca="1" si="320"/>
        <v>1895.7009158495964</v>
      </c>
      <c r="R3655" s="4">
        <f t="shared" ca="1" si="321"/>
        <v>-27.969128150403549</v>
      </c>
      <c r="S3655" s="4">
        <f t="shared" ca="1" si="322"/>
        <v>-13.839807714635809</v>
      </c>
    </row>
    <row r="3656" spans="15:19" x14ac:dyDescent="0.2">
      <c r="O3656" s="4">
        <f t="shared" ca="1" si="318"/>
        <v>0.91602414258981824</v>
      </c>
      <c r="P3656" s="4">
        <f t="shared" ca="1" si="319"/>
        <v>1.3788152783790775</v>
      </c>
      <c r="Q3656" s="4">
        <f t="shared" ca="1" si="320"/>
        <v>1897.2478715304942</v>
      </c>
      <c r="R3656" s="4">
        <f t="shared" ca="1" si="321"/>
        <v>-26.422172469505767</v>
      </c>
      <c r="S3656" s="4">
        <f t="shared" ca="1" si="322"/>
        <v>-13.090974780512797</v>
      </c>
    </row>
    <row r="3657" spans="15:19" x14ac:dyDescent="0.2">
      <c r="O3657" s="4">
        <f t="shared" ca="1" si="318"/>
        <v>0.35694405341051205</v>
      </c>
      <c r="P3657" s="4">
        <f t="shared" ca="1" si="319"/>
        <v>-0.3666392767010217</v>
      </c>
      <c r="Q3657" s="4">
        <f t="shared" ca="1" si="320"/>
        <v>1930.1822802579891</v>
      </c>
      <c r="R3657" s="4">
        <f t="shared" ca="1" si="321"/>
        <v>6.512236257989116</v>
      </c>
      <c r="S3657" s="4">
        <f t="shared" ca="1" si="322"/>
        <v>3.3138212693213687</v>
      </c>
    </row>
    <row r="3658" spans="15:19" x14ac:dyDescent="0.2">
      <c r="O3658" s="4">
        <f t="shared" ca="1" si="318"/>
        <v>0.94163077356213876</v>
      </c>
      <c r="P3658" s="4">
        <f t="shared" ca="1" si="319"/>
        <v>1.5686116642900119</v>
      </c>
      <c r="Q3658" s="4">
        <f t="shared" ca="1" si="320"/>
        <v>1893.6666658609458</v>
      </c>
      <c r="R3658" s="4">
        <f t="shared" ca="1" si="321"/>
        <v>-30.003378139054121</v>
      </c>
      <c r="S3658" s="4">
        <f t="shared" ca="1" si="322"/>
        <v>-14.821559078250671</v>
      </c>
    </row>
    <row r="3659" spans="15:19" x14ac:dyDescent="0.2">
      <c r="O3659" s="4">
        <f t="shared" ca="1" si="318"/>
        <v>0.12430063880224362</v>
      </c>
      <c r="P3659" s="4">
        <f t="shared" ca="1" si="319"/>
        <v>-1.1537534159182816</v>
      </c>
      <c r="Q3659" s="4">
        <f t="shared" ca="1" si="320"/>
        <v>1945.0340784332686</v>
      </c>
      <c r="R3659" s="4">
        <f t="shared" ca="1" si="321"/>
        <v>21.364034433268671</v>
      </c>
      <c r="S3659" s="4">
        <f t="shared" ca="1" si="322"/>
        <v>11.000478825639664</v>
      </c>
    </row>
    <row r="3660" spans="15:19" x14ac:dyDescent="0.2">
      <c r="O3660" s="4">
        <f t="shared" ca="1" si="318"/>
        <v>0.97016675183296164</v>
      </c>
      <c r="P3660" s="4">
        <f t="shared" ca="1" si="319"/>
        <v>1.88324999700256</v>
      </c>
      <c r="Q3660" s="4">
        <f t="shared" ca="1" si="320"/>
        <v>1887.7298584999446</v>
      </c>
      <c r="R3660" s="4">
        <f t="shared" ca="1" si="321"/>
        <v>-35.94018550005535</v>
      </c>
      <c r="S3660" s="4">
        <f t="shared" ca="1" si="322"/>
        <v>-17.667463860134095</v>
      </c>
    </row>
    <row r="3661" spans="15:19" x14ac:dyDescent="0.2">
      <c r="O3661" s="4">
        <f t="shared" ca="1" si="318"/>
        <v>0.58272845908864646</v>
      </c>
      <c r="P3661" s="4">
        <f t="shared" ca="1" si="319"/>
        <v>0.2088785085093687</v>
      </c>
      <c r="Q3661" s="4">
        <f t="shared" ca="1" si="320"/>
        <v>1919.3230241903389</v>
      </c>
      <c r="R3661" s="4">
        <f t="shared" ca="1" si="321"/>
        <v>-4.3470198096611057</v>
      </c>
      <c r="S3661" s="4">
        <f t="shared" ca="1" si="322"/>
        <v>-2.1928117896100128</v>
      </c>
    </row>
    <row r="3662" spans="15:19" x14ac:dyDescent="0.2">
      <c r="O3662" s="4">
        <f t="shared" ca="1" si="318"/>
        <v>0.65929990893188628</v>
      </c>
      <c r="P3662" s="4">
        <f t="shared" ca="1" si="319"/>
        <v>0.41055320574762155</v>
      </c>
      <c r="Q3662" s="4">
        <f t="shared" ca="1" si="320"/>
        <v>1915.5176905656353</v>
      </c>
      <c r="R3662" s="4">
        <f t="shared" ca="1" si="321"/>
        <v>-8.1523534343646133</v>
      </c>
      <c r="S3662" s="4">
        <f t="shared" ca="1" si="322"/>
        <v>-4.0997469865312182</v>
      </c>
    </row>
    <row r="3663" spans="15:19" x14ac:dyDescent="0.2">
      <c r="O3663" s="4">
        <f t="shared" ca="1" si="318"/>
        <v>0.76693465006562478</v>
      </c>
      <c r="P3663" s="4">
        <f t="shared" ca="1" si="319"/>
        <v>0.72878906771567531</v>
      </c>
      <c r="Q3663" s="4">
        <f t="shared" ca="1" si="320"/>
        <v>1909.5130026066745</v>
      </c>
      <c r="R3663" s="4">
        <f t="shared" ca="1" si="321"/>
        <v>-14.157041393325471</v>
      </c>
      <c r="S3663" s="4">
        <f t="shared" ca="1" si="322"/>
        <v>-7.0848474646841044</v>
      </c>
    </row>
    <row r="3664" spans="15:19" x14ac:dyDescent="0.2">
      <c r="O3664" s="4">
        <f t="shared" ca="1" si="318"/>
        <v>0.88520539615697524</v>
      </c>
      <c r="P3664" s="4">
        <f t="shared" ca="1" si="319"/>
        <v>1.2014177151737317</v>
      </c>
      <c r="Q3664" s="4">
        <f t="shared" ca="1" si="320"/>
        <v>1900.5951278866462</v>
      </c>
      <c r="R3664" s="4">
        <f t="shared" ca="1" si="321"/>
        <v>-23.074916113353765</v>
      </c>
      <c r="S3664" s="4">
        <f t="shared" ca="1" si="322"/>
        <v>-11.464003830108426</v>
      </c>
    </row>
    <row r="3665" spans="15:19" x14ac:dyDescent="0.2">
      <c r="O3665" s="4">
        <f t="shared" ca="1" si="318"/>
        <v>4.6896469753156311E-2</v>
      </c>
      <c r="P3665" s="4">
        <f t="shared" ca="1" si="319"/>
        <v>-1.6757205660774575</v>
      </c>
      <c r="Q3665" s="4">
        <f t="shared" ca="1" si="320"/>
        <v>1954.8829051561613</v>
      </c>
      <c r="R3665" s="4">
        <f t="shared" ca="1" si="321"/>
        <v>31.212861156161352</v>
      </c>
      <c r="S3665" s="4">
        <f t="shared" ca="1" si="322"/>
        <v>16.196840266468747</v>
      </c>
    </row>
    <row r="3666" spans="15:19" x14ac:dyDescent="0.2">
      <c r="O3666" s="4">
        <f t="shared" ca="1" si="318"/>
        <v>0.58211907491723536</v>
      </c>
      <c r="P3666" s="4">
        <f t="shared" ca="1" si="319"/>
        <v>0.20731757407097776</v>
      </c>
      <c r="Q3666" s="4">
        <f t="shared" ca="1" si="320"/>
        <v>1919.3524769495878</v>
      </c>
      <c r="R3666" s="4">
        <f t="shared" ca="1" si="321"/>
        <v>-4.3175670504122081</v>
      </c>
      <c r="S3666" s="4">
        <f t="shared" ca="1" si="322"/>
        <v>-2.1780063968256056</v>
      </c>
    </row>
    <row r="3667" spans="15:19" x14ac:dyDescent="0.2">
      <c r="O3667" s="4">
        <f t="shared" ca="1" si="318"/>
        <v>0.57807558845022933</v>
      </c>
      <c r="P3667" s="4">
        <f t="shared" ca="1" si="319"/>
        <v>0.19697280017128993</v>
      </c>
      <c r="Q3667" s="4">
        <f t="shared" ca="1" si="320"/>
        <v>1919.5476690906917</v>
      </c>
      <c r="R3667" s="4">
        <f t="shared" ca="1" si="321"/>
        <v>-4.1223749093082915</v>
      </c>
      <c r="S3667" s="4">
        <f t="shared" ca="1" si="322"/>
        <v>-2.0798688331625792</v>
      </c>
    </row>
    <row r="3668" spans="15:19" x14ac:dyDescent="0.2">
      <c r="O3668" s="4">
        <f t="shared" ca="1" si="318"/>
        <v>0.97230270136557084</v>
      </c>
      <c r="P3668" s="4">
        <f t="shared" ca="1" si="319"/>
        <v>1.915768277358409</v>
      </c>
      <c r="Q3668" s="4">
        <f t="shared" ca="1" si="320"/>
        <v>1887.1162817481249</v>
      </c>
      <c r="R3668" s="4">
        <f t="shared" ca="1" si="321"/>
        <v>-36.553762251875014</v>
      </c>
      <c r="S3668" s="4">
        <f t="shared" ca="1" si="322"/>
        <v>-17.959955738027141</v>
      </c>
    </row>
    <row r="3669" spans="15:19" x14ac:dyDescent="0.2">
      <c r="O3669" s="4">
        <f t="shared" ca="1" si="318"/>
        <v>0.38738313505289346</v>
      </c>
      <c r="P3669" s="4">
        <f t="shared" ca="1" si="319"/>
        <v>-0.28614604019290935</v>
      </c>
      <c r="Q3669" s="4">
        <f t="shared" ca="1" si="320"/>
        <v>1928.6634798152957</v>
      </c>
      <c r="R3669" s="4">
        <f t="shared" ca="1" si="321"/>
        <v>4.9934358152956975</v>
      </c>
      <c r="S3669" s="4">
        <f t="shared" ca="1" si="322"/>
        <v>2.537876147341815</v>
      </c>
    </row>
    <row r="3670" spans="15:19" x14ac:dyDescent="0.2">
      <c r="O3670" s="4">
        <f t="shared" ca="1" si="318"/>
        <v>7.5376672562992297E-3</v>
      </c>
      <c r="P3670" s="4">
        <f t="shared" ca="1" si="319"/>
        <v>-2.4305642120308906</v>
      </c>
      <c r="Q3670" s="4">
        <f t="shared" ca="1" si="320"/>
        <v>1969.1258019928782</v>
      </c>
      <c r="R3670" s="4">
        <f t="shared" ca="1" si="321"/>
        <v>45.455757992878262</v>
      </c>
      <c r="S3670" s="4">
        <f t="shared" ca="1" si="322"/>
        <v>23.851246922274115</v>
      </c>
    </row>
    <row r="3671" spans="15:19" x14ac:dyDescent="0.2">
      <c r="O3671" s="4">
        <f t="shared" ca="1" si="318"/>
        <v>0.52377331802182592</v>
      </c>
      <c r="P3671" s="4">
        <f t="shared" ca="1" si="319"/>
        <v>5.96261836153213E-2</v>
      </c>
      <c r="Q3671" s="4">
        <f t="shared" ca="1" si="320"/>
        <v>1922.1392172887402</v>
      </c>
      <c r="R3671" s="4">
        <f t="shared" ca="1" si="321"/>
        <v>-1.530826711259806</v>
      </c>
      <c r="S3671" s="4">
        <f t="shared" ca="1" si="322"/>
        <v>-0.77396553713602623</v>
      </c>
    </row>
    <row r="3672" spans="15:19" x14ac:dyDescent="0.2">
      <c r="O3672" s="4">
        <f t="shared" ca="1" si="318"/>
        <v>0.55741070937308868</v>
      </c>
      <c r="P3672" s="4">
        <f t="shared" ca="1" si="319"/>
        <v>0.14440764372839993</v>
      </c>
      <c r="Q3672" s="4">
        <f t="shared" ca="1" si="320"/>
        <v>1920.5395037632568</v>
      </c>
      <c r="R3672" s="4">
        <f t="shared" ca="1" si="321"/>
        <v>-3.1305402367431725</v>
      </c>
      <c r="S3672" s="4">
        <f t="shared" ca="1" si="322"/>
        <v>-1.5807207379085586</v>
      </c>
    </row>
    <row r="3673" spans="15:19" x14ac:dyDescent="0.2">
      <c r="O3673" s="4">
        <f t="shared" ca="1" si="318"/>
        <v>0.52127196819400856</v>
      </c>
      <c r="P3673" s="4">
        <f t="shared" ca="1" si="319"/>
        <v>5.3346208401210619E-2</v>
      </c>
      <c r="Q3673" s="4">
        <f t="shared" ca="1" si="320"/>
        <v>1922.2577120784772</v>
      </c>
      <c r="R3673" s="4">
        <f t="shared" ca="1" si="321"/>
        <v>-1.4123319215227639</v>
      </c>
      <c r="S3673" s="4">
        <f t="shared" ca="1" si="322"/>
        <v>-0.71412427889636088</v>
      </c>
    </row>
    <row r="3674" spans="15:19" x14ac:dyDescent="0.2">
      <c r="O3674" s="4">
        <f t="shared" ca="1" si="318"/>
        <v>0.75454685949931011</v>
      </c>
      <c r="P3674" s="4">
        <f t="shared" ca="1" si="319"/>
        <v>0.6888680914493045</v>
      </c>
      <c r="Q3674" s="4">
        <f t="shared" ca="1" si="320"/>
        <v>1910.2662583963086</v>
      </c>
      <c r="R3674" s="4">
        <f t="shared" ca="1" si="321"/>
        <v>-13.403785603691404</v>
      </c>
      <c r="S3674" s="4">
        <f t="shared" ca="1" si="322"/>
        <v>-6.711992906521246</v>
      </c>
    </row>
    <row r="3675" spans="15:19" x14ac:dyDescent="0.2">
      <c r="O3675" s="4">
        <f t="shared" ca="1" si="318"/>
        <v>0.55897343265855892</v>
      </c>
      <c r="P3675" s="4">
        <f t="shared" ca="1" si="319"/>
        <v>0.14836700925627547</v>
      </c>
      <c r="Q3675" s="4">
        <f t="shared" ca="1" si="320"/>
        <v>1920.4647957955144</v>
      </c>
      <c r="R3675" s="4">
        <f t="shared" ca="1" si="321"/>
        <v>-3.2052482044855424</v>
      </c>
      <c r="S3675" s="4">
        <f t="shared" ca="1" si="322"/>
        <v>-1.6183459632817976</v>
      </c>
    </row>
    <row r="3676" spans="15:19" x14ac:dyDescent="0.2">
      <c r="O3676" s="4">
        <f t="shared" ca="1" si="318"/>
        <v>0.6877794910409154</v>
      </c>
      <c r="P3676" s="4">
        <f t="shared" ca="1" si="319"/>
        <v>0.48956603207486227</v>
      </c>
      <c r="Q3676" s="4">
        <f t="shared" ca="1" si="320"/>
        <v>1914.0268234964226</v>
      </c>
      <c r="R3676" s="4">
        <f t="shared" ca="1" si="321"/>
        <v>-9.6432205035773677</v>
      </c>
      <c r="S3676" s="4">
        <f t="shared" ca="1" si="322"/>
        <v>-4.8436386133413691</v>
      </c>
    </row>
    <row r="3677" spans="15:19" x14ac:dyDescent="0.2">
      <c r="O3677" s="4">
        <f t="shared" ca="1" si="318"/>
        <v>0.75192779492012207</v>
      </c>
      <c r="P3677" s="4">
        <f t="shared" ca="1" si="319"/>
        <v>0.68056874362398478</v>
      </c>
      <c r="Q3677" s="4">
        <f t="shared" ca="1" si="320"/>
        <v>1910.4228560646095</v>
      </c>
      <c r="R3677" s="4">
        <f t="shared" ca="1" si="321"/>
        <v>-13.247187935390457</v>
      </c>
      <c r="S3677" s="4">
        <f t="shared" ca="1" si="322"/>
        <v>-6.6344205283680466</v>
      </c>
    </row>
    <row r="3678" spans="15:19" x14ac:dyDescent="0.2">
      <c r="O3678" s="4">
        <f t="shared" ca="1" si="318"/>
        <v>0.54802590798998996</v>
      </c>
      <c r="P3678" s="4">
        <f t="shared" ca="1" si="319"/>
        <v>0.12067535014514807</v>
      </c>
      <c r="Q3678" s="4">
        <f t="shared" ca="1" si="320"/>
        <v>1920.9873006163095</v>
      </c>
      <c r="R3678" s="4">
        <f t="shared" ca="1" si="321"/>
        <v>-2.682743383690422</v>
      </c>
      <c r="S3678" s="4">
        <f t="shared" ca="1" si="322"/>
        <v>-1.3551012552070054</v>
      </c>
    </row>
    <row r="3679" spans="15:19" x14ac:dyDescent="0.2">
      <c r="O3679" s="4">
        <f t="shared" ca="1" si="318"/>
        <v>0.18959887672735598</v>
      </c>
      <c r="P3679" s="4">
        <f t="shared" ca="1" si="319"/>
        <v>-0.8793754227990328</v>
      </c>
      <c r="Q3679" s="4">
        <f t="shared" ca="1" si="320"/>
        <v>1939.8569301970576</v>
      </c>
      <c r="R3679" s="4">
        <f t="shared" ca="1" si="321"/>
        <v>16.186886197057675</v>
      </c>
      <c r="S3679" s="4">
        <f t="shared" ca="1" si="322"/>
        <v>8.3006187010660675</v>
      </c>
    </row>
    <row r="3680" spans="15:19" x14ac:dyDescent="0.2">
      <c r="O3680" s="4">
        <f t="shared" ca="1" si="318"/>
        <v>0.59212902036239101</v>
      </c>
      <c r="P3680" s="4">
        <f t="shared" ca="1" si="319"/>
        <v>0.23302504327974452</v>
      </c>
      <c r="Q3680" s="4">
        <f t="shared" ca="1" si="320"/>
        <v>1918.8674111563782</v>
      </c>
      <c r="R3680" s="4">
        <f t="shared" ca="1" si="321"/>
        <v>-4.8026328436217227</v>
      </c>
      <c r="S3680" s="4">
        <f t="shared" ca="1" si="322"/>
        <v>-2.4217506201970362</v>
      </c>
    </row>
    <row r="3681" spans="15:19" x14ac:dyDescent="0.2">
      <c r="O3681" s="4">
        <f t="shared" ca="1" si="318"/>
        <v>0.98358123052294733</v>
      </c>
      <c r="P3681" s="4">
        <f t="shared" ca="1" si="319"/>
        <v>2.1340640404488269</v>
      </c>
      <c r="Q3681" s="4">
        <f t="shared" ca="1" si="320"/>
        <v>1882.9973306908341</v>
      </c>
      <c r="R3681" s="4">
        <f t="shared" ca="1" si="321"/>
        <v>-40.672713309165829</v>
      </c>
      <c r="S3681" s="4">
        <f t="shared" ca="1" si="322"/>
        <v>-19.915523614030157</v>
      </c>
    </row>
    <row r="3682" spans="15:19" x14ac:dyDescent="0.2">
      <c r="O3682" s="4">
        <f t="shared" ca="1" si="318"/>
        <v>0.10957584685158595</v>
      </c>
      <c r="P3682" s="4">
        <f t="shared" ca="1" si="319"/>
        <v>-1.2287869551646289</v>
      </c>
      <c r="Q3682" s="4">
        <f t="shared" ca="1" si="320"/>
        <v>1946.449861641498</v>
      </c>
      <c r="R3682" s="4">
        <f t="shared" ca="1" si="321"/>
        <v>22.779817641498084</v>
      </c>
      <c r="S3682" s="4">
        <f t="shared" ca="1" si="322"/>
        <v>11.742603216263644</v>
      </c>
    </row>
    <row r="3683" spans="15:19" x14ac:dyDescent="0.2">
      <c r="O3683" s="4">
        <f t="shared" ca="1" si="318"/>
        <v>0.43628744609215631</v>
      </c>
      <c r="P3683" s="4">
        <f t="shared" ca="1" si="319"/>
        <v>-0.16038869783852996</v>
      </c>
      <c r="Q3683" s="4">
        <f t="shared" ca="1" si="320"/>
        <v>1926.2906058258077</v>
      </c>
      <c r="R3683" s="4">
        <f t="shared" ca="1" si="321"/>
        <v>2.6205618258077266</v>
      </c>
      <c r="S3683" s="4">
        <f t="shared" ca="1" si="322"/>
        <v>1.3293495488992477</v>
      </c>
    </row>
    <row r="3684" spans="15:19" x14ac:dyDescent="0.2">
      <c r="O3684" s="4">
        <f t="shared" ca="1" si="318"/>
        <v>0.75204447845638867</v>
      </c>
      <c r="P3684" s="4">
        <f t="shared" ca="1" si="319"/>
        <v>0.6809374926963826</v>
      </c>
      <c r="Q3684" s="4">
        <f t="shared" ca="1" si="320"/>
        <v>1910.4158982594734</v>
      </c>
      <c r="R3684" s="4">
        <f t="shared" ca="1" si="321"/>
        <v>-13.25414574052661</v>
      </c>
      <c r="S3684" s="4">
        <f t="shared" ca="1" si="322"/>
        <v>-6.6378675775303657</v>
      </c>
    </row>
    <row r="3685" spans="15:19" x14ac:dyDescent="0.2">
      <c r="O3685" s="4">
        <f t="shared" ca="1" si="318"/>
        <v>0.95684607417381273</v>
      </c>
      <c r="P3685" s="4">
        <f t="shared" ca="1" si="319"/>
        <v>1.7152038915271131</v>
      </c>
      <c r="Q3685" s="4">
        <f t="shared" ca="1" si="320"/>
        <v>1890.9006652715584</v>
      </c>
      <c r="R3685" s="4">
        <f t="shared" ca="1" si="321"/>
        <v>-32.769378728441552</v>
      </c>
      <c r="S3685" s="4">
        <f t="shared" ca="1" si="322"/>
        <v>-16.151056450310282</v>
      </c>
    </row>
    <row r="3686" spans="15:19" x14ac:dyDescent="0.2">
      <c r="O3686" s="4">
        <f t="shared" ca="1" si="318"/>
        <v>0.60696874869479911</v>
      </c>
      <c r="P3686" s="4">
        <f t="shared" ca="1" si="319"/>
        <v>0.27142717631918983</v>
      </c>
      <c r="Q3686" s="4">
        <f t="shared" ca="1" si="320"/>
        <v>1918.1428139207485</v>
      </c>
      <c r="R3686" s="4">
        <f t="shared" ca="1" si="321"/>
        <v>-5.527230079251467</v>
      </c>
      <c r="S3686" s="4">
        <f t="shared" ca="1" si="322"/>
        <v>-2.7855019291021432</v>
      </c>
    </row>
    <row r="3687" spans="15:19" x14ac:dyDescent="0.2">
      <c r="O3687" s="4">
        <f t="shared" ca="1" si="318"/>
        <v>0.40394048722071385</v>
      </c>
      <c r="P3687" s="4">
        <f t="shared" ca="1" si="319"/>
        <v>-0.24316061697637892</v>
      </c>
      <c r="Q3687" s="4">
        <f t="shared" ca="1" si="320"/>
        <v>1927.8524019826375</v>
      </c>
      <c r="R3687" s="4">
        <f t="shared" ca="1" si="321"/>
        <v>4.1823579826375408</v>
      </c>
      <c r="S3687" s="4">
        <f t="shared" ca="1" si="322"/>
        <v>2.1242710796628472</v>
      </c>
    </row>
    <row r="3688" spans="15:19" x14ac:dyDescent="0.2">
      <c r="O3688" s="4">
        <f t="shared" ca="1" si="318"/>
        <v>0.99547883269465087</v>
      </c>
      <c r="P3688" s="4">
        <f t="shared" ca="1" si="319"/>
        <v>2.6104494067102899</v>
      </c>
      <c r="Q3688" s="4">
        <f t="shared" ca="1" si="320"/>
        <v>1874.0085716775509</v>
      </c>
      <c r="R3688" s="4">
        <f t="shared" ca="1" si="321"/>
        <v>-49.661472322449072</v>
      </c>
      <c r="S3688" s="4">
        <f t="shared" ca="1" si="322"/>
        <v>-24.135184424144466</v>
      </c>
    </row>
    <row r="3689" spans="15:19" x14ac:dyDescent="0.2">
      <c r="O3689" s="4">
        <f t="shared" ca="1" si="318"/>
        <v>0.20333025254360071</v>
      </c>
      <c r="P3689" s="4">
        <f t="shared" ca="1" si="319"/>
        <v>-0.82978473128078989</v>
      </c>
      <c r="Q3689" s="4">
        <f t="shared" ca="1" si="320"/>
        <v>1938.9212197262307</v>
      </c>
      <c r="R3689" s="4">
        <f t="shared" ca="1" si="321"/>
        <v>15.251175726230713</v>
      </c>
      <c r="S3689" s="4">
        <f t="shared" ca="1" si="322"/>
        <v>7.8149781711740882</v>
      </c>
    </row>
    <row r="3690" spans="15:19" x14ac:dyDescent="0.2">
      <c r="O3690" s="4">
        <f t="shared" ca="1" si="318"/>
        <v>0.99220794724877837</v>
      </c>
      <c r="P3690" s="4">
        <f t="shared" ca="1" si="319"/>
        <v>2.4185126076413002</v>
      </c>
      <c r="Q3690" s="4">
        <f t="shared" ca="1" si="320"/>
        <v>1877.6301640999873</v>
      </c>
      <c r="R3690" s="4">
        <f t="shared" ca="1" si="321"/>
        <v>-46.039879900012693</v>
      </c>
      <c r="S3690" s="4">
        <f t="shared" ca="1" si="322"/>
        <v>-22.442985515641993</v>
      </c>
    </row>
    <row r="3691" spans="15:19" x14ac:dyDescent="0.2">
      <c r="O3691" s="4">
        <f t="shared" ca="1" si="318"/>
        <v>0.57904400708614578</v>
      </c>
      <c r="P3691" s="4">
        <f t="shared" ca="1" si="319"/>
        <v>0.1994484222061341</v>
      </c>
      <c r="Q3691" s="4">
        <f t="shared" ca="1" si="320"/>
        <v>1919.5009573916029</v>
      </c>
      <c r="R3691" s="4">
        <f t="shared" ca="1" si="321"/>
        <v>-4.1690866083970377</v>
      </c>
      <c r="S3691" s="4">
        <f t="shared" ca="1" si="322"/>
        <v>-2.1033570915063255</v>
      </c>
    </row>
    <row r="3692" spans="15:19" x14ac:dyDescent="0.2">
      <c r="O3692" s="4">
        <f t="shared" ca="1" si="318"/>
        <v>0.86216433882502885</v>
      </c>
      <c r="P3692" s="4">
        <f t="shared" ca="1" si="319"/>
        <v>1.0900949460447926</v>
      </c>
      <c r="Q3692" s="4">
        <f t="shared" ca="1" si="320"/>
        <v>1902.6956406547952</v>
      </c>
      <c r="R3692" s="4">
        <f t="shared" ca="1" si="321"/>
        <v>-20.974403345204792</v>
      </c>
      <c r="S3692" s="4">
        <f t="shared" ca="1" si="322"/>
        <v>-10.438368244024458</v>
      </c>
    </row>
    <row r="3693" spans="15:19" x14ac:dyDescent="0.2">
      <c r="O3693" s="4">
        <f t="shared" ca="1" si="318"/>
        <v>7.325553263651019E-2</v>
      </c>
      <c r="P3693" s="4">
        <f t="shared" ca="1" si="319"/>
        <v>-1.4519659784393724</v>
      </c>
      <c r="Q3693" s="4">
        <f t="shared" ca="1" si="320"/>
        <v>1950.6609533313622</v>
      </c>
      <c r="R3693" s="4">
        <f t="shared" ca="1" si="321"/>
        <v>26.990909331362218</v>
      </c>
      <c r="S3693" s="4">
        <f t="shared" ca="1" si="322"/>
        <v>13.959616347441038</v>
      </c>
    </row>
    <row r="3694" spans="15:19" x14ac:dyDescent="0.2">
      <c r="O3694" s="4">
        <f t="shared" ca="1" si="318"/>
        <v>0.46787757613961056</v>
      </c>
      <c r="P3694" s="4">
        <f t="shared" ca="1" si="319"/>
        <v>-8.0606178733377401E-2</v>
      </c>
      <c r="Q3694" s="4">
        <f t="shared" ca="1" si="320"/>
        <v>1924.7852156763649</v>
      </c>
      <c r="R3694" s="4">
        <f t="shared" ca="1" si="321"/>
        <v>1.1151716763649802</v>
      </c>
      <c r="S3694" s="4">
        <f t="shared" ca="1" si="322"/>
        <v>0.56501706006893027</v>
      </c>
    </row>
    <row r="3695" spans="15:19" x14ac:dyDescent="0.2">
      <c r="O3695" s="4">
        <f t="shared" ca="1" si="318"/>
        <v>0.59639160840119687</v>
      </c>
      <c r="P3695" s="4">
        <f t="shared" ca="1" si="319"/>
        <v>0.24401812402415402</v>
      </c>
      <c r="Q3695" s="4">
        <f t="shared" ca="1" si="320"/>
        <v>1918.6599863263493</v>
      </c>
      <c r="R3695" s="4">
        <f t="shared" ca="1" si="321"/>
        <v>-5.0100576736506355</v>
      </c>
      <c r="S3695" s="4">
        <f t="shared" ca="1" si="322"/>
        <v>-2.5259225539278098</v>
      </c>
    </row>
    <row r="3696" spans="15:19" x14ac:dyDescent="0.2">
      <c r="O3696" s="4">
        <f t="shared" ca="1" si="318"/>
        <v>0.30312333660996216</v>
      </c>
      <c r="P3696" s="4">
        <f t="shared" ca="1" si="319"/>
        <v>-0.51543844506501635</v>
      </c>
      <c r="Q3696" s="4">
        <f t="shared" ca="1" si="320"/>
        <v>1932.9899228946585</v>
      </c>
      <c r="R3696" s="4">
        <f t="shared" ca="1" si="321"/>
        <v>9.3198788946585864</v>
      </c>
      <c r="S3696" s="4">
        <f t="shared" ca="1" si="322"/>
        <v>4.753172074808389</v>
      </c>
    </row>
    <row r="3697" spans="15:19" x14ac:dyDescent="0.2">
      <c r="O3697" s="4">
        <f t="shared" ca="1" si="318"/>
        <v>3.1431237085595476E-2</v>
      </c>
      <c r="P3697" s="4">
        <f t="shared" ca="1" si="319"/>
        <v>-1.8601629569964575</v>
      </c>
      <c r="Q3697" s="4">
        <f t="shared" ca="1" si="320"/>
        <v>1958.3630880526587</v>
      </c>
      <c r="R3697" s="4">
        <f t="shared" ca="1" si="321"/>
        <v>34.693044052658706</v>
      </c>
      <c r="S3697" s="4">
        <f t="shared" ca="1" si="322"/>
        <v>18.051910208533577</v>
      </c>
    </row>
    <row r="3698" spans="15:19" x14ac:dyDescent="0.2">
      <c r="O3698" s="4">
        <f t="shared" ca="1" si="318"/>
        <v>2.4388998636765247E-2</v>
      </c>
      <c r="P3698" s="4">
        <f t="shared" ca="1" si="319"/>
        <v>-1.9705270562303907</v>
      </c>
      <c r="Q3698" s="4">
        <f t="shared" ca="1" si="320"/>
        <v>1960.4455119934214</v>
      </c>
      <c r="R3698" s="4">
        <f t="shared" ca="1" si="321"/>
        <v>36.775467993421444</v>
      </c>
      <c r="S3698" s="4">
        <f t="shared" ca="1" si="322"/>
        <v>19.166636797584118</v>
      </c>
    </row>
    <row r="3699" spans="15:19" x14ac:dyDescent="0.2">
      <c r="O3699" s="4">
        <f t="shared" ca="1" si="318"/>
        <v>0.36943351324354279</v>
      </c>
      <c r="P3699" s="4">
        <f t="shared" ca="1" si="319"/>
        <v>-0.33335407343173284</v>
      </c>
      <c r="Q3699" s="4">
        <f t="shared" ca="1" si="320"/>
        <v>1929.5542326896018</v>
      </c>
      <c r="R3699" s="4">
        <f t="shared" ca="1" si="321"/>
        <v>5.8841886896018423</v>
      </c>
      <c r="S3699" s="4">
        <f t="shared" ca="1" si="322"/>
        <v>2.9927281829473364</v>
      </c>
    </row>
    <row r="3700" spans="15:19" x14ac:dyDescent="0.2">
      <c r="O3700" s="4">
        <f t="shared" ca="1" si="318"/>
        <v>0.44572400058109019</v>
      </c>
      <c r="P3700" s="4">
        <f t="shared" ca="1" si="319"/>
        <v>-0.13647219865596519</v>
      </c>
      <c r="Q3700" s="4">
        <f t="shared" ca="1" si="320"/>
        <v>1925.8393332578016</v>
      </c>
      <c r="R3700" s="4">
        <f t="shared" ca="1" si="321"/>
        <v>2.1692892578016654</v>
      </c>
      <c r="S3700" s="4">
        <f t="shared" ca="1" si="322"/>
        <v>1.10003106311072</v>
      </c>
    </row>
    <row r="3701" spans="15:19" x14ac:dyDescent="0.2">
      <c r="O3701" s="4">
        <f t="shared" ca="1" si="318"/>
        <v>0.24902859811482003</v>
      </c>
      <c r="P3701" s="4">
        <f t="shared" ca="1" si="319"/>
        <v>-0.67754978135489208</v>
      </c>
      <c r="Q3701" s="4">
        <f t="shared" ca="1" si="320"/>
        <v>1936.0487484557088</v>
      </c>
      <c r="R3701" s="4">
        <f t="shared" ca="1" si="321"/>
        <v>12.378704455708885</v>
      </c>
      <c r="S3701" s="4">
        <f t="shared" ca="1" si="322"/>
        <v>6.3285976072080228</v>
      </c>
    </row>
    <row r="3702" spans="15:19" x14ac:dyDescent="0.2">
      <c r="O3702" s="4">
        <f t="shared" ca="1" si="318"/>
        <v>0.9058415715855046</v>
      </c>
      <c r="P3702" s="4">
        <f t="shared" ca="1" si="319"/>
        <v>1.3155746196658287</v>
      </c>
      <c r="Q3702" s="4">
        <f t="shared" ca="1" si="320"/>
        <v>1898.4411387491657</v>
      </c>
      <c r="R3702" s="4">
        <f t="shared" ca="1" si="321"/>
        <v>-25.228905250834259</v>
      </c>
      <c r="S3702" s="4">
        <f t="shared" ca="1" si="322"/>
        <v>-12.512020343014495</v>
      </c>
    </row>
    <row r="3703" spans="15:19" x14ac:dyDescent="0.2">
      <c r="O3703" s="4">
        <f t="shared" ca="1" si="318"/>
        <v>0.61747846392837891</v>
      </c>
      <c r="P3703" s="4">
        <f t="shared" ca="1" si="319"/>
        <v>0.29886497515807836</v>
      </c>
      <c r="Q3703" s="4">
        <f t="shared" ca="1" si="320"/>
        <v>1917.6250991060529</v>
      </c>
      <c r="R3703" s="4">
        <f t="shared" ca="1" si="321"/>
        <v>-6.044944893947104</v>
      </c>
      <c r="S3703" s="4">
        <f t="shared" ca="1" si="322"/>
        <v>-3.0451354523576923</v>
      </c>
    </row>
    <row r="3704" spans="15:19" x14ac:dyDescent="0.2">
      <c r="O3704" s="4">
        <f t="shared" ca="1" si="318"/>
        <v>0.86467843172942138</v>
      </c>
      <c r="P3704" s="4">
        <f t="shared" ca="1" si="319"/>
        <v>1.1015826914630129</v>
      </c>
      <c r="Q3704" s="4">
        <f t="shared" ca="1" si="320"/>
        <v>1902.4788821595023</v>
      </c>
      <c r="R3704" s="4">
        <f t="shared" ca="1" si="321"/>
        <v>-21.191161840497671</v>
      </c>
      <c r="S3704" s="4">
        <f t="shared" ca="1" si="322"/>
        <v>-10.544373008768815</v>
      </c>
    </row>
    <row r="3705" spans="15:19" x14ac:dyDescent="0.2">
      <c r="O3705" s="4">
        <f t="shared" ca="1" si="318"/>
        <v>0.76701518328764595</v>
      </c>
      <c r="P3705" s="4">
        <f t="shared" ca="1" si="319"/>
        <v>0.72905236165126308</v>
      </c>
      <c r="Q3705" s="4">
        <f t="shared" ca="1" si="320"/>
        <v>1909.5080345998795</v>
      </c>
      <c r="R3705" s="4">
        <f t="shared" ca="1" si="321"/>
        <v>-14.162009400120496</v>
      </c>
      <c r="S3705" s="4">
        <f t="shared" ca="1" si="322"/>
        <v>-7.0873050481262219</v>
      </c>
    </row>
    <row r="3706" spans="15:19" x14ac:dyDescent="0.2">
      <c r="O3706" s="4">
        <f t="shared" ca="1" si="318"/>
        <v>0.39082047446584434</v>
      </c>
      <c r="P3706" s="4">
        <f t="shared" ca="1" si="319"/>
        <v>-0.27718123332434469</v>
      </c>
      <c r="Q3706" s="4">
        <f t="shared" ca="1" si="320"/>
        <v>1928.4943258188696</v>
      </c>
      <c r="R3706" s="4">
        <f t="shared" ca="1" si="321"/>
        <v>4.8242818188696219</v>
      </c>
      <c r="S3706" s="4">
        <f t="shared" ca="1" si="322"/>
        <v>2.4515727151272784</v>
      </c>
    </row>
    <row r="3707" spans="15:19" x14ac:dyDescent="0.2">
      <c r="O3707" s="4">
        <f t="shared" ca="1" si="318"/>
        <v>0.4098870714969558</v>
      </c>
      <c r="P3707" s="4">
        <f t="shared" ca="1" si="319"/>
        <v>-0.22783547991868003</v>
      </c>
      <c r="Q3707" s="4">
        <f t="shared" ca="1" si="320"/>
        <v>1927.5632370048422</v>
      </c>
      <c r="R3707" s="4">
        <f t="shared" ca="1" si="321"/>
        <v>3.8931930048422601</v>
      </c>
      <c r="S3707" s="4">
        <f t="shared" ca="1" si="322"/>
        <v>1.9769423611312027</v>
      </c>
    </row>
    <row r="3708" spans="15:19" x14ac:dyDescent="0.2">
      <c r="O3708" s="4">
        <f t="shared" ca="1" si="318"/>
        <v>0.824776241334229</v>
      </c>
      <c r="P3708" s="4">
        <f t="shared" ca="1" si="319"/>
        <v>0.93372160513780944</v>
      </c>
      <c r="Q3708" s="4">
        <f t="shared" ca="1" si="320"/>
        <v>1905.6461978655373</v>
      </c>
      <c r="R3708" s="4">
        <f t="shared" ca="1" si="321"/>
        <v>-18.023846134462701</v>
      </c>
      <c r="S3708" s="4">
        <f t="shared" ca="1" si="322"/>
        <v>-8.9916073415319921</v>
      </c>
    </row>
    <row r="3709" spans="15:19" x14ac:dyDescent="0.2">
      <c r="O3709" s="4">
        <f t="shared" ca="1" si="318"/>
        <v>5.8831354594179874E-2</v>
      </c>
      <c r="P3709" s="4">
        <f t="shared" ca="1" si="319"/>
        <v>-1.5646597571599288</v>
      </c>
      <c r="Q3709" s="4">
        <f t="shared" ca="1" si="320"/>
        <v>1952.7873352292045</v>
      </c>
      <c r="R3709" s="4">
        <f t="shared" ca="1" si="321"/>
        <v>29.117291229204511</v>
      </c>
      <c r="S3709" s="4">
        <f t="shared" ca="1" si="322"/>
        <v>15.084578088015714</v>
      </c>
    </row>
    <row r="3710" spans="15:19" x14ac:dyDescent="0.2">
      <c r="O3710" s="4">
        <f t="shared" ca="1" si="318"/>
        <v>6.180361469120299E-2</v>
      </c>
      <c r="P3710" s="4">
        <f t="shared" ca="1" si="319"/>
        <v>-1.5398077208469376</v>
      </c>
      <c r="Q3710" s="4">
        <f t="shared" ca="1" si="320"/>
        <v>1952.3184103183494</v>
      </c>
      <c r="R3710" s="4">
        <f t="shared" ca="1" si="321"/>
        <v>28.648366318349417</v>
      </c>
      <c r="S3710" s="4">
        <f t="shared" ca="1" si="322"/>
        <v>14.836177113278891</v>
      </c>
    </row>
    <row r="3711" spans="15:19" x14ac:dyDescent="0.2">
      <c r="O3711" s="4">
        <f t="shared" ca="1" si="318"/>
        <v>0.84749656587113553</v>
      </c>
      <c r="P3711" s="4">
        <f t="shared" ca="1" si="319"/>
        <v>1.0257554538060476</v>
      </c>
      <c r="Q3711" s="4">
        <f t="shared" ca="1" si="320"/>
        <v>1903.9096414023616</v>
      </c>
      <c r="R3711" s="4">
        <f t="shared" ca="1" si="321"/>
        <v>-19.760402597638404</v>
      </c>
      <c r="S3711" s="4">
        <f t="shared" ca="1" si="322"/>
        <v>-9.8439595964812572</v>
      </c>
    </row>
    <row r="3712" spans="15:19" x14ac:dyDescent="0.2">
      <c r="O3712" s="4">
        <f t="shared" ca="1" si="318"/>
        <v>0.19930781353345306</v>
      </c>
      <c r="P3712" s="4">
        <f t="shared" ca="1" si="319"/>
        <v>-0.8440962428245864</v>
      </c>
      <c r="Q3712" s="4">
        <f t="shared" ca="1" si="320"/>
        <v>1939.191258937117</v>
      </c>
      <c r="R3712" s="4">
        <f t="shared" ca="1" si="321"/>
        <v>15.521214937117065</v>
      </c>
      <c r="S3712" s="4">
        <f t="shared" ca="1" si="322"/>
        <v>7.9550573090833341</v>
      </c>
    </row>
    <row r="3713" spans="15:19" x14ac:dyDescent="0.2">
      <c r="O3713" s="4">
        <f t="shared" ca="1" si="318"/>
        <v>0.99604558461027826</v>
      </c>
      <c r="P3713" s="4">
        <f t="shared" ca="1" si="319"/>
        <v>2.6559373420823258</v>
      </c>
      <c r="Q3713" s="4">
        <f t="shared" ca="1" si="320"/>
        <v>1873.1502747649488</v>
      </c>
      <c r="R3713" s="4">
        <f t="shared" ca="1" si="321"/>
        <v>-50.519769235051172</v>
      </c>
      <c r="S3713" s="4">
        <f t="shared" ca="1" si="322"/>
        <v>-24.534660778964827</v>
      </c>
    </row>
    <row r="3714" spans="15:19" x14ac:dyDescent="0.2">
      <c r="O3714" s="4">
        <f t="shared" ca="1" si="318"/>
        <v>0.18788392853114366</v>
      </c>
      <c r="P3714" s="4">
        <f t="shared" ca="1" si="319"/>
        <v>-0.88572105971645987</v>
      </c>
      <c r="Q3714" s="4">
        <f t="shared" ca="1" si="320"/>
        <v>1939.9766639359088</v>
      </c>
      <c r="R3714" s="4">
        <f t="shared" ca="1" si="321"/>
        <v>16.306619935908884</v>
      </c>
      <c r="S3714" s="4">
        <f t="shared" ca="1" si="322"/>
        <v>8.3628128233546022</v>
      </c>
    </row>
    <row r="3715" spans="15:19" x14ac:dyDescent="0.2">
      <c r="O3715" s="4">
        <f t="shared" ref="O3715:O3778" ca="1" si="323">RAND()</f>
        <v>0.49615899583476164</v>
      </c>
      <c r="P3715" s="4">
        <f t="shared" ref="P3715:P3778" ca="1" si="324">NORMSINV(O3715)</f>
        <v>-9.6281183969880117E-3</v>
      </c>
      <c r="Q3715" s="4">
        <f t="shared" ref="Q3715:Q3778" ca="1" si="325">$B$4*(1+$B$17-$B$32*P3715)</f>
        <v>1923.4459539677171</v>
      </c>
      <c r="R3715" s="4">
        <f t="shared" ref="R3715:R3778" ca="1" si="326">Q3715-$B$4</f>
        <v>-0.22409003228290203</v>
      </c>
      <c r="S3715" s="4">
        <f t="shared" ref="S3715:S3778" ca="1" si="327">R3715*$B$12+0.5*$B$13*R3715^2</f>
        <v>-0.11341612775459536</v>
      </c>
    </row>
    <row r="3716" spans="15:19" x14ac:dyDescent="0.2">
      <c r="O3716" s="4">
        <f t="shared" ca="1" si="323"/>
        <v>0.16385685163145336</v>
      </c>
      <c r="P3716" s="4">
        <f t="shared" ca="1" si="324"/>
        <v>-0.97872939625534561</v>
      </c>
      <c r="Q3716" s="4">
        <f t="shared" ca="1" si="325"/>
        <v>1941.7316076906582</v>
      </c>
      <c r="R3716" s="4">
        <f t="shared" ca="1" si="326"/>
        <v>18.061563690658204</v>
      </c>
      <c r="S3716" s="4">
        <f t="shared" ca="1" si="327"/>
        <v>9.2757346081050205</v>
      </c>
    </row>
    <row r="3717" spans="15:19" x14ac:dyDescent="0.2">
      <c r="O3717" s="4">
        <f t="shared" ca="1" si="323"/>
        <v>0.64613677461169217</v>
      </c>
      <c r="P3717" s="4">
        <f t="shared" ca="1" si="324"/>
        <v>0.37491127857923662</v>
      </c>
      <c r="Q3717" s="4">
        <f t="shared" ca="1" si="325"/>
        <v>1916.1902063832385</v>
      </c>
      <c r="R3717" s="4">
        <f t="shared" ca="1" si="326"/>
        <v>-7.4798376167614151</v>
      </c>
      <c r="S3717" s="4">
        <f t="shared" ca="1" si="327"/>
        <v>-3.7635923687630193</v>
      </c>
    </row>
    <row r="3718" spans="15:19" x14ac:dyDescent="0.2">
      <c r="O3718" s="4">
        <f t="shared" ca="1" si="323"/>
        <v>2.074652273212807E-2</v>
      </c>
      <c r="P3718" s="4">
        <f t="shared" ca="1" si="324"/>
        <v>-2.0385691632707492</v>
      </c>
      <c r="Q3718" s="4">
        <f t="shared" ca="1" si="325"/>
        <v>1961.7293761636026</v>
      </c>
      <c r="R3718" s="4">
        <f t="shared" ca="1" si="326"/>
        <v>38.059332163602676</v>
      </c>
      <c r="S3718" s="4">
        <f t="shared" ca="1" si="327"/>
        <v>19.855651698380303</v>
      </c>
    </row>
    <row r="3719" spans="15:19" x14ac:dyDescent="0.2">
      <c r="O3719" s="4">
        <f t="shared" ca="1" si="323"/>
        <v>0.2037764225976687</v>
      </c>
      <c r="P3719" s="4">
        <f t="shared" ca="1" si="324"/>
        <v>-0.82820776828273257</v>
      </c>
      <c r="Q3719" s="4">
        <f t="shared" ca="1" si="325"/>
        <v>1938.8914645293539</v>
      </c>
      <c r="R3719" s="4">
        <f t="shared" ca="1" si="326"/>
        <v>15.221420529353964</v>
      </c>
      <c r="S3719" s="4">
        <f t="shared" ca="1" si="327"/>
        <v>7.799546702030435</v>
      </c>
    </row>
    <row r="3720" spans="15:19" x14ac:dyDescent="0.2">
      <c r="O3720" s="4">
        <f t="shared" ca="1" si="323"/>
        <v>0.87946964262679783</v>
      </c>
      <c r="P3720" s="4">
        <f t="shared" ca="1" si="324"/>
        <v>1.1723396597840334</v>
      </c>
      <c r="Q3720" s="4">
        <f t="shared" ca="1" si="325"/>
        <v>1901.1437921634777</v>
      </c>
      <c r="R3720" s="4">
        <f t="shared" ca="1" si="326"/>
        <v>-22.526251836522306</v>
      </c>
      <c r="S3720" s="4">
        <f t="shared" ca="1" si="327"/>
        <v>-11.196449361928067</v>
      </c>
    </row>
    <row r="3721" spans="15:19" x14ac:dyDescent="0.2">
      <c r="O3721" s="4">
        <f t="shared" ca="1" si="323"/>
        <v>0.38873722265512312</v>
      </c>
      <c r="P3721" s="4">
        <f t="shared" ca="1" si="324"/>
        <v>-0.28261178505758183</v>
      </c>
      <c r="Q3721" s="4">
        <f t="shared" ca="1" si="325"/>
        <v>1928.5967931159284</v>
      </c>
      <c r="R3721" s="4">
        <f t="shared" ca="1" si="326"/>
        <v>4.9267491159284873</v>
      </c>
      <c r="S3721" s="4">
        <f t="shared" ca="1" si="327"/>
        <v>2.503849392569522</v>
      </c>
    </row>
    <row r="3722" spans="15:19" x14ac:dyDescent="0.2">
      <c r="O3722" s="4">
        <f t="shared" ca="1" si="323"/>
        <v>0.58038245623634555</v>
      </c>
      <c r="P3722" s="4">
        <f t="shared" ca="1" si="324"/>
        <v>0.20287199029899058</v>
      </c>
      <c r="Q3722" s="4">
        <f t="shared" ca="1" si="325"/>
        <v>1919.4363592096861</v>
      </c>
      <c r="R3722" s="4">
        <f t="shared" ca="1" si="326"/>
        <v>-4.2336847903138732</v>
      </c>
      <c r="S3722" s="4">
        <f t="shared" ca="1" si="327"/>
        <v>-2.1358363652212686</v>
      </c>
    </row>
    <row r="3723" spans="15:19" x14ac:dyDescent="0.2">
      <c r="O3723" s="4">
        <f t="shared" ca="1" si="323"/>
        <v>0.78371617069540833</v>
      </c>
      <c r="P3723" s="4">
        <f t="shared" ca="1" si="324"/>
        <v>0.78480542548094168</v>
      </c>
      <c r="Q3723" s="4">
        <f t="shared" ca="1" si="325"/>
        <v>1908.4560483498608</v>
      </c>
      <c r="R3723" s="4">
        <f t="shared" ca="1" si="326"/>
        <v>-15.213995650139168</v>
      </c>
      <c r="S3723" s="4">
        <f t="shared" ca="1" si="327"/>
        <v>-7.6072510692670381</v>
      </c>
    </row>
    <row r="3724" spans="15:19" x14ac:dyDescent="0.2">
      <c r="O3724" s="4">
        <f t="shared" ca="1" si="323"/>
        <v>0.50935645387873474</v>
      </c>
      <c r="P3724" s="4">
        <f t="shared" ca="1" si="324"/>
        <v>2.3455302325732338E-2</v>
      </c>
      <c r="Q3724" s="4">
        <f t="shared" ca="1" si="325"/>
        <v>1922.821713767928</v>
      </c>
      <c r="R3724" s="4">
        <f t="shared" ca="1" si="326"/>
        <v>-0.84833023207193037</v>
      </c>
      <c r="S3724" s="4">
        <f t="shared" ca="1" si="327"/>
        <v>-0.42914011964760901</v>
      </c>
    </row>
    <row r="3725" spans="15:19" x14ac:dyDescent="0.2">
      <c r="O3725" s="4">
        <f t="shared" ca="1" si="323"/>
        <v>0.35607618202712632</v>
      </c>
      <c r="P3725" s="4">
        <f t="shared" ca="1" si="324"/>
        <v>-0.36896694384732909</v>
      </c>
      <c r="Q3725" s="4">
        <f t="shared" ca="1" si="325"/>
        <v>1930.2262002448804</v>
      </c>
      <c r="R3725" s="4">
        <f t="shared" ca="1" si="326"/>
        <v>6.5561562448804125</v>
      </c>
      <c r="S3725" s="4">
        <f t="shared" ca="1" si="327"/>
        <v>3.3362876398072721</v>
      </c>
    </row>
    <row r="3726" spans="15:19" x14ac:dyDescent="0.2">
      <c r="O3726" s="4">
        <f t="shared" ca="1" si="323"/>
        <v>0.55614686093012922</v>
      </c>
      <c r="P3726" s="4">
        <f t="shared" ca="1" si="324"/>
        <v>0.14120717487685186</v>
      </c>
      <c r="Q3726" s="4">
        <f t="shared" ca="1" si="325"/>
        <v>1920.5998923588634</v>
      </c>
      <c r="R3726" s="4">
        <f t="shared" ca="1" si="326"/>
        <v>-3.0701516411365901</v>
      </c>
      <c r="S3726" s="4">
        <f t="shared" ca="1" si="327"/>
        <v>-1.5503038668208098</v>
      </c>
    </row>
    <row r="3727" spans="15:19" x14ac:dyDescent="0.2">
      <c r="O3727" s="4">
        <f t="shared" ca="1" si="323"/>
        <v>0.31143129115595858</v>
      </c>
      <c r="P3727" s="4">
        <f t="shared" ca="1" si="324"/>
        <v>-0.49179738928481143</v>
      </c>
      <c r="Q3727" s="4">
        <f t="shared" ca="1" si="325"/>
        <v>1932.5438475777451</v>
      </c>
      <c r="R3727" s="4">
        <f t="shared" ca="1" si="326"/>
        <v>8.8738035777450932</v>
      </c>
      <c r="S3727" s="4">
        <f t="shared" ca="1" si="327"/>
        <v>4.5240607069637067</v>
      </c>
    </row>
    <row r="3728" spans="15:19" x14ac:dyDescent="0.2">
      <c r="O3728" s="4">
        <f t="shared" ca="1" si="323"/>
        <v>0.55153769612910131</v>
      </c>
      <c r="P3728" s="4">
        <f t="shared" ca="1" si="324"/>
        <v>0.12954729054141798</v>
      </c>
      <c r="Q3728" s="4">
        <f t="shared" ca="1" si="325"/>
        <v>1920.8198988868483</v>
      </c>
      <c r="R3728" s="4">
        <f t="shared" ca="1" si="326"/>
        <v>-2.8501451131517115</v>
      </c>
      <c r="S3728" s="4">
        <f t="shared" ca="1" si="327"/>
        <v>-1.4394646166794667</v>
      </c>
    </row>
    <row r="3729" spans="15:19" x14ac:dyDescent="0.2">
      <c r="O3729" s="4">
        <f t="shared" ca="1" si="323"/>
        <v>0.27492099204310516</v>
      </c>
      <c r="P3729" s="4">
        <f t="shared" ca="1" si="324"/>
        <v>-0.59799692617633471</v>
      </c>
      <c r="Q3729" s="4">
        <f t="shared" ca="1" si="325"/>
        <v>1934.5476917594665</v>
      </c>
      <c r="R3729" s="4">
        <f t="shared" ca="1" si="326"/>
        <v>10.877647759466527</v>
      </c>
      <c r="S3729" s="4">
        <f t="shared" ca="1" si="327"/>
        <v>5.5545375832418582</v>
      </c>
    </row>
    <row r="3730" spans="15:19" x14ac:dyDescent="0.2">
      <c r="O3730" s="4">
        <f t="shared" ca="1" si="323"/>
        <v>0.2139230170314147</v>
      </c>
      <c r="P3730" s="4">
        <f t="shared" ca="1" si="324"/>
        <v>-0.79288292913822556</v>
      </c>
      <c r="Q3730" s="4">
        <f t="shared" ca="1" si="325"/>
        <v>1938.2249317415296</v>
      </c>
      <c r="R3730" s="4">
        <f t="shared" ca="1" si="326"/>
        <v>14.554887741529683</v>
      </c>
      <c r="S3730" s="4">
        <f t="shared" ca="1" si="327"/>
        <v>7.4540622197874606</v>
      </c>
    </row>
    <row r="3731" spans="15:19" x14ac:dyDescent="0.2">
      <c r="O3731" s="4">
        <f t="shared" ca="1" si="323"/>
        <v>0.93410705979507624</v>
      </c>
      <c r="P3731" s="4">
        <f t="shared" ca="1" si="324"/>
        <v>1.5070966693244641</v>
      </c>
      <c r="Q3731" s="4">
        <f t="shared" ca="1" si="325"/>
        <v>1894.8273720971342</v>
      </c>
      <c r="R3731" s="4">
        <f t="shared" ca="1" si="326"/>
        <v>-28.842671902865732</v>
      </c>
      <c r="S3731" s="4">
        <f t="shared" ca="1" si="327"/>
        <v>-14.261802252552121</v>
      </c>
    </row>
    <row r="3732" spans="15:19" x14ac:dyDescent="0.2">
      <c r="O3732" s="4">
        <f t="shared" ca="1" si="323"/>
        <v>8.0561301330985491E-2</v>
      </c>
      <c r="P3732" s="4">
        <f t="shared" ca="1" si="324"/>
        <v>-1.4013059501228133</v>
      </c>
      <c r="Q3732" s="4">
        <f t="shared" ca="1" si="325"/>
        <v>1949.705065895698</v>
      </c>
      <c r="R3732" s="4">
        <f t="shared" ca="1" si="326"/>
        <v>26.035021895698037</v>
      </c>
      <c r="S3732" s="4">
        <f t="shared" ca="1" si="327"/>
        <v>13.455103719528784</v>
      </c>
    </row>
    <row r="3733" spans="15:19" x14ac:dyDescent="0.2">
      <c r="O3733" s="4">
        <f t="shared" ca="1" si="323"/>
        <v>0.23311748649801745</v>
      </c>
      <c r="P3733" s="4">
        <f t="shared" ca="1" si="324"/>
        <v>-0.72861864026666612</v>
      </c>
      <c r="Q3733" s="4">
        <f t="shared" ca="1" si="325"/>
        <v>1937.0123499815993</v>
      </c>
      <c r="R3733" s="4">
        <f t="shared" ca="1" si="326"/>
        <v>13.342305981599338</v>
      </c>
      <c r="S3733" s="4">
        <f t="shared" ca="1" si="327"/>
        <v>6.8264712693421243</v>
      </c>
    </row>
    <row r="3734" spans="15:19" x14ac:dyDescent="0.2">
      <c r="O3734" s="4">
        <f t="shared" ca="1" si="323"/>
        <v>0.49071559296368839</v>
      </c>
      <c r="P3734" s="4">
        <f t="shared" ca="1" si="324"/>
        <v>-2.3274658371118119E-2</v>
      </c>
      <c r="Q3734" s="4">
        <f t="shared" ca="1" si="325"/>
        <v>1923.703446048457</v>
      </c>
      <c r="R3734" s="4">
        <f t="shared" ca="1" si="326"/>
        <v>3.3402048456991906E-2</v>
      </c>
      <c r="S3734" s="4">
        <f t="shared" ca="1" si="327"/>
        <v>1.6908898264685085E-2</v>
      </c>
    </row>
    <row r="3735" spans="15:19" x14ac:dyDescent="0.2">
      <c r="O3735" s="4">
        <f t="shared" ca="1" si="323"/>
        <v>0.58069025588955947</v>
      </c>
      <c r="P3735" s="4">
        <f t="shared" ca="1" si="324"/>
        <v>0.2036596342492297</v>
      </c>
      <c r="Q3735" s="4">
        <f t="shared" ca="1" si="325"/>
        <v>1919.4214974146807</v>
      </c>
      <c r="R3735" s="4">
        <f t="shared" ca="1" si="326"/>
        <v>-4.2485465853192181</v>
      </c>
      <c r="S3735" s="4">
        <f t="shared" ca="1" si="327"/>
        <v>-2.1433082357943292</v>
      </c>
    </row>
    <row r="3736" spans="15:19" x14ac:dyDescent="0.2">
      <c r="O3736" s="4">
        <f t="shared" ca="1" si="323"/>
        <v>0.48035086840921026</v>
      </c>
      <c r="P3736" s="4">
        <f t="shared" ca="1" si="324"/>
        <v>-4.92729992903648E-2</v>
      </c>
      <c r="Q3736" s="4">
        <f t="shared" ca="1" si="325"/>
        <v>1924.194000204438</v>
      </c>
      <c r="R3736" s="4">
        <f t="shared" ca="1" si="326"/>
        <v>0.52395620443803637</v>
      </c>
      <c r="S3736" s="4">
        <f t="shared" ca="1" si="327"/>
        <v>0.26534351554496122</v>
      </c>
    </row>
    <row r="3737" spans="15:19" x14ac:dyDescent="0.2">
      <c r="O3737" s="4">
        <f t="shared" ca="1" si="323"/>
        <v>0.45985266100042765</v>
      </c>
      <c r="P3737" s="4">
        <f t="shared" ca="1" si="324"/>
        <v>-0.10080491892015056</v>
      </c>
      <c r="Q3737" s="4">
        <f t="shared" ca="1" si="325"/>
        <v>1925.1663390709302</v>
      </c>
      <c r="R3737" s="4">
        <f t="shared" ca="1" si="326"/>
        <v>1.4962950709302731</v>
      </c>
      <c r="S3737" s="4">
        <f t="shared" ca="1" si="327"/>
        <v>0.7583506078313591</v>
      </c>
    </row>
    <row r="3738" spans="15:19" x14ac:dyDescent="0.2">
      <c r="O3738" s="4">
        <f t="shared" ca="1" si="323"/>
        <v>0.27863687417662431</v>
      </c>
      <c r="P3738" s="4">
        <f t="shared" ca="1" si="324"/>
        <v>-0.58689571420759945</v>
      </c>
      <c r="Q3738" s="4">
        <f t="shared" ca="1" si="325"/>
        <v>1934.3382266368803</v>
      </c>
      <c r="R3738" s="4">
        <f t="shared" ca="1" si="326"/>
        <v>10.668182636880374</v>
      </c>
      <c r="S3738" s="4">
        <f t="shared" ca="1" si="327"/>
        <v>5.446667142372914</v>
      </c>
    </row>
    <row r="3739" spans="15:19" x14ac:dyDescent="0.2">
      <c r="O3739" s="4">
        <f t="shared" ca="1" si="323"/>
        <v>0.17348311173080733</v>
      </c>
      <c r="P3739" s="4">
        <f t="shared" ca="1" si="324"/>
        <v>-0.94049010382610609</v>
      </c>
      <c r="Q3739" s="4">
        <f t="shared" ca="1" si="325"/>
        <v>1941.010083041019</v>
      </c>
      <c r="R3739" s="4">
        <f t="shared" ca="1" si="326"/>
        <v>17.340039041019054</v>
      </c>
      <c r="S3739" s="4">
        <f t="shared" ca="1" si="327"/>
        <v>8.9000939414440641</v>
      </c>
    </row>
    <row r="3740" spans="15:19" x14ac:dyDescent="0.2">
      <c r="O3740" s="4">
        <f t="shared" ca="1" si="323"/>
        <v>0.12370133673968298</v>
      </c>
      <c r="P3740" s="4">
        <f t="shared" ca="1" si="324"/>
        <v>-1.1566811018935435</v>
      </c>
      <c r="Q3740" s="4">
        <f t="shared" ca="1" si="325"/>
        <v>1945.0893199783748</v>
      </c>
      <c r="R3740" s="4">
        <f t="shared" ca="1" si="326"/>
        <v>21.419275978374799</v>
      </c>
      <c r="S3740" s="4">
        <f t="shared" ca="1" si="327"/>
        <v>11.029404710849274</v>
      </c>
    </row>
    <row r="3741" spans="15:19" x14ac:dyDescent="0.2">
      <c r="O3741" s="4">
        <f t="shared" ca="1" si="323"/>
        <v>0.70172936107454587</v>
      </c>
      <c r="P3741" s="4">
        <f t="shared" ca="1" si="324"/>
        <v>0.5293808528724594</v>
      </c>
      <c r="Q3741" s="4">
        <f t="shared" ca="1" si="325"/>
        <v>1913.2755707194635</v>
      </c>
      <c r="R3741" s="4">
        <f t="shared" ca="1" si="326"/>
        <v>-10.394473280536431</v>
      </c>
      <c r="S3741" s="4">
        <f t="shared" ca="1" si="327"/>
        <v>-5.2178023625558412</v>
      </c>
    </row>
    <row r="3742" spans="15:19" x14ac:dyDescent="0.2">
      <c r="O3742" s="4">
        <f t="shared" ca="1" si="323"/>
        <v>0.25146794213307677</v>
      </c>
      <c r="P3742" s="4">
        <f t="shared" ca="1" si="324"/>
        <v>-0.66987749957323917</v>
      </c>
      <c r="Q3742" s="4">
        <f t="shared" ca="1" si="325"/>
        <v>1935.9039826906344</v>
      </c>
      <c r="R3742" s="4">
        <f t="shared" ca="1" si="326"/>
        <v>12.233938690634432</v>
      </c>
      <c r="S3742" s="4">
        <f t="shared" ca="1" si="327"/>
        <v>6.2538653435813139</v>
      </c>
    </row>
    <row r="3743" spans="15:19" x14ac:dyDescent="0.2">
      <c r="O3743" s="4">
        <f t="shared" ca="1" si="323"/>
        <v>7.1733357568655176E-2</v>
      </c>
      <c r="P3743" s="4">
        <f t="shared" ca="1" si="324"/>
        <v>-1.4630024259433734</v>
      </c>
      <c r="Q3743" s="4">
        <f t="shared" ca="1" si="325"/>
        <v>1950.8691964345344</v>
      </c>
      <c r="R3743" s="4">
        <f t="shared" ca="1" si="326"/>
        <v>27.199152434534426</v>
      </c>
      <c r="S3743" s="4">
        <f t="shared" ca="1" si="327"/>
        <v>14.069624702776039</v>
      </c>
    </row>
    <row r="3744" spans="15:19" x14ac:dyDescent="0.2">
      <c r="O3744" s="4">
        <f t="shared" ca="1" si="323"/>
        <v>0.71990380248165131</v>
      </c>
      <c r="P3744" s="4">
        <f t="shared" ca="1" si="324"/>
        <v>0.5825557590880438</v>
      </c>
      <c r="Q3744" s="4">
        <f t="shared" ca="1" si="325"/>
        <v>1912.272230878702</v>
      </c>
      <c r="R3744" s="4">
        <f t="shared" ca="1" si="326"/>
        <v>-11.397813121297986</v>
      </c>
      <c r="S3744" s="4">
        <f t="shared" ca="1" si="327"/>
        <v>-5.7168022207913349</v>
      </c>
    </row>
    <row r="3745" spans="15:19" x14ac:dyDescent="0.2">
      <c r="O3745" s="4">
        <f t="shared" ca="1" si="323"/>
        <v>0.17098389882461662</v>
      </c>
      <c r="P3745" s="4">
        <f t="shared" ca="1" si="324"/>
        <v>-0.95028433247440824</v>
      </c>
      <c r="Q3745" s="4">
        <f t="shared" ca="1" si="325"/>
        <v>1941.1948871245943</v>
      </c>
      <c r="R3745" s="4">
        <f t="shared" ca="1" si="326"/>
        <v>17.524843124594327</v>
      </c>
      <c r="S3745" s="4">
        <f t="shared" ca="1" si="327"/>
        <v>8.9962663959689397</v>
      </c>
    </row>
    <row r="3746" spans="15:19" x14ac:dyDescent="0.2">
      <c r="O3746" s="4">
        <f t="shared" ca="1" si="323"/>
        <v>0.78500992090788202</v>
      </c>
      <c r="P3746" s="4">
        <f t="shared" ca="1" si="324"/>
        <v>0.78922560670690811</v>
      </c>
      <c r="Q3746" s="4">
        <f t="shared" ca="1" si="325"/>
        <v>1908.3726454020602</v>
      </c>
      <c r="R3746" s="4">
        <f t="shared" ca="1" si="326"/>
        <v>-15.297398597939718</v>
      </c>
      <c r="S3746" s="4">
        <f t="shared" ca="1" si="327"/>
        <v>-7.6484345729358916</v>
      </c>
    </row>
    <row r="3747" spans="15:19" x14ac:dyDescent="0.2">
      <c r="O3747" s="4">
        <f t="shared" ca="1" si="323"/>
        <v>0.60890143992679935</v>
      </c>
      <c r="P3747" s="4">
        <f t="shared" ca="1" si="324"/>
        <v>0.27645695049481239</v>
      </c>
      <c r="Q3747" s="4">
        <f t="shared" ca="1" si="325"/>
        <v>1918.0479087637939</v>
      </c>
      <c r="R3747" s="4">
        <f t="shared" ca="1" si="326"/>
        <v>-5.622135236206077</v>
      </c>
      <c r="S3747" s="4">
        <f t="shared" ca="1" si="327"/>
        <v>-2.8331131160576866</v>
      </c>
    </row>
    <row r="3748" spans="15:19" x14ac:dyDescent="0.2">
      <c r="O3748" s="4">
        <f t="shared" ca="1" si="323"/>
        <v>0.61448044690374015</v>
      </c>
      <c r="P3748" s="4">
        <f t="shared" ca="1" si="324"/>
        <v>0.29101596918416561</v>
      </c>
      <c r="Q3748" s="4">
        <f t="shared" ca="1" si="325"/>
        <v>1917.7731994218686</v>
      </c>
      <c r="R3748" s="4">
        <f t="shared" ca="1" si="326"/>
        <v>-5.8968445781313221</v>
      </c>
      <c r="S3748" s="4">
        <f t="shared" ca="1" si="327"/>
        <v>-2.9708855574910245</v>
      </c>
    </row>
    <row r="3749" spans="15:19" x14ac:dyDescent="0.2">
      <c r="O3749" s="4">
        <f t="shared" ca="1" si="323"/>
        <v>0.75496182060615635</v>
      </c>
      <c r="P3749" s="4">
        <f t="shared" ca="1" si="324"/>
        <v>0.69018737963607346</v>
      </c>
      <c r="Q3749" s="4">
        <f t="shared" ca="1" si="325"/>
        <v>1910.2413651808158</v>
      </c>
      <c r="R3749" s="4">
        <f t="shared" ca="1" si="326"/>
        <v>-13.428678819184142</v>
      </c>
      <c r="S3749" s="4">
        <f t="shared" ca="1" si="327"/>
        <v>-6.7243221956394246</v>
      </c>
    </row>
    <row r="3750" spans="15:19" x14ac:dyDescent="0.2">
      <c r="O3750" s="4">
        <f t="shared" ca="1" si="323"/>
        <v>0.58368103676023697</v>
      </c>
      <c r="P3750" s="4">
        <f t="shared" ca="1" si="324"/>
        <v>0.21131955281423073</v>
      </c>
      <c r="Q3750" s="4">
        <f t="shared" ca="1" si="325"/>
        <v>1919.2769649270801</v>
      </c>
      <c r="R3750" s="4">
        <f t="shared" ca="1" si="326"/>
        <v>-4.3930790729198179</v>
      </c>
      <c r="S3750" s="4">
        <f t="shared" ca="1" si="327"/>
        <v>-2.2159635690062736</v>
      </c>
    </row>
    <row r="3751" spans="15:19" x14ac:dyDescent="0.2">
      <c r="O3751" s="4">
        <f t="shared" ca="1" si="323"/>
        <v>0.18135972114471288</v>
      </c>
      <c r="P3751" s="4">
        <f t="shared" ca="1" si="324"/>
        <v>-0.91019545190621065</v>
      </c>
      <c r="Q3751" s="4">
        <f t="shared" ca="1" si="325"/>
        <v>1940.438463203835</v>
      </c>
      <c r="R3751" s="4">
        <f t="shared" ca="1" si="326"/>
        <v>16.768419203835037</v>
      </c>
      <c r="S3751" s="4">
        <f t="shared" ca="1" si="327"/>
        <v>8.6027977231613821</v>
      </c>
    </row>
    <row r="3752" spans="15:19" x14ac:dyDescent="0.2">
      <c r="O3752" s="4">
        <f t="shared" ca="1" si="323"/>
        <v>0.75757772316226679</v>
      </c>
      <c r="P3752" s="4">
        <f t="shared" ca="1" si="324"/>
        <v>0.69853199870623528</v>
      </c>
      <c r="Q3752" s="4">
        <f t="shared" ca="1" si="325"/>
        <v>1910.0839133042648</v>
      </c>
      <c r="R3752" s="4">
        <f t="shared" ca="1" si="326"/>
        <v>-13.586130695735164</v>
      </c>
      <c r="S3752" s="4">
        <f t="shared" ca="1" si="327"/>
        <v>-6.8022943956136137</v>
      </c>
    </row>
    <row r="3753" spans="15:19" x14ac:dyDescent="0.2">
      <c r="O3753" s="4">
        <f t="shared" ca="1" si="323"/>
        <v>0.3865908015876458</v>
      </c>
      <c r="P3753" s="4">
        <f t="shared" ca="1" si="324"/>
        <v>-0.28821573714080312</v>
      </c>
      <c r="Q3753" s="4">
        <f t="shared" ca="1" si="325"/>
        <v>1928.7025322472398</v>
      </c>
      <c r="R3753" s="4">
        <f t="shared" ca="1" si="326"/>
        <v>5.0324882472398258</v>
      </c>
      <c r="S3753" s="4">
        <f t="shared" ca="1" si="327"/>
        <v>2.5578042534550987</v>
      </c>
    </row>
    <row r="3754" spans="15:19" x14ac:dyDescent="0.2">
      <c r="O3754" s="4">
        <f t="shared" ca="1" si="323"/>
        <v>0.25848312141609353</v>
      </c>
      <c r="P3754" s="4">
        <f t="shared" ca="1" si="324"/>
        <v>-0.64802892408013624</v>
      </c>
      <c r="Q3754" s="4">
        <f t="shared" ca="1" si="325"/>
        <v>1935.4917290955409</v>
      </c>
      <c r="R3754" s="4">
        <f t="shared" ca="1" si="326"/>
        <v>11.821685095540943</v>
      </c>
      <c r="S3754" s="4">
        <f t="shared" ca="1" si="327"/>
        <v>6.0411416231702786</v>
      </c>
    </row>
    <row r="3755" spans="15:19" x14ac:dyDescent="0.2">
      <c r="O3755" s="4">
        <f t="shared" ca="1" si="323"/>
        <v>0.14775789210880197</v>
      </c>
      <c r="P3755" s="4">
        <f t="shared" ca="1" si="324"/>
        <v>-1.0460980093513159</v>
      </c>
      <c r="Q3755" s="4">
        <f t="shared" ca="1" si="325"/>
        <v>1943.0027639248035</v>
      </c>
      <c r="R3755" s="4">
        <f t="shared" ca="1" si="326"/>
        <v>19.332719924803541</v>
      </c>
      <c r="S3755" s="4">
        <f t="shared" ca="1" si="327"/>
        <v>9.9385559637916767</v>
      </c>
    </row>
    <row r="3756" spans="15:19" x14ac:dyDescent="0.2">
      <c r="O3756" s="4">
        <f t="shared" ca="1" si="323"/>
        <v>0.53608989865599088</v>
      </c>
      <c r="P3756" s="4">
        <f t="shared" ca="1" si="324"/>
        <v>9.0587703819886969E-2</v>
      </c>
      <c r="Q3756" s="4">
        <f t="shared" ca="1" si="325"/>
        <v>1921.5550145329169</v>
      </c>
      <c r="R3756" s="4">
        <f t="shared" ca="1" si="326"/>
        <v>-2.1150294670831045</v>
      </c>
      <c r="S3756" s="4">
        <f t="shared" ca="1" si="327"/>
        <v>-1.0688276697740449</v>
      </c>
    </row>
    <row r="3757" spans="15:19" x14ac:dyDescent="0.2">
      <c r="O3757" s="4">
        <f t="shared" ca="1" si="323"/>
        <v>0.2769929851699271</v>
      </c>
      <c r="P3757" s="4">
        <f t="shared" ca="1" si="324"/>
        <v>-0.59179783917777429</v>
      </c>
      <c r="Q3757" s="4">
        <f t="shared" ca="1" si="325"/>
        <v>1934.4307232229016</v>
      </c>
      <c r="R3757" s="4">
        <f t="shared" ca="1" si="326"/>
        <v>10.760679222901672</v>
      </c>
      <c r="S3757" s="4">
        <f t="shared" ca="1" si="327"/>
        <v>5.4942966707259853</v>
      </c>
    </row>
    <row r="3758" spans="15:19" x14ac:dyDescent="0.2">
      <c r="O3758" s="4">
        <f t="shared" ca="1" si="323"/>
        <v>0.33812921756822045</v>
      </c>
      <c r="P3758" s="4">
        <f t="shared" ca="1" si="324"/>
        <v>-0.41757423863672721</v>
      </c>
      <c r="Q3758" s="4">
        <f t="shared" ca="1" si="325"/>
        <v>1931.1433553258148</v>
      </c>
      <c r="R3758" s="4">
        <f t="shared" ca="1" si="326"/>
        <v>7.4733113258148478</v>
      </c>
      <c r="S3758" s="4">
        <f t="shared" ca="1" si="327"/>
        <v>3.8057983653331053</v>
      </c>
    </row>
    <row r="3759" spans="15:19" x14ac:dyDescent="0.2">
      <c r="O3759" s="4">
        <f t="shared" ca="1" si="323"/>
        <v>0.63880404625305331</v>
      </c>
      <c r="P3759" s="4">
        <f t="shared" ca="1" si="324"/>
        <v>0.35526388652423474</v>
      </c>
      <c r="Q3759" s="4">
        <f t="shared" ca="1" si="325"/>
        <v>1916.5609265709888</v>
      </c>
      <c r="R3759" s="4">
        <f t="shared" ca="1" si="326"/>
        <v>-7.1091174290111212</v>
      </c>
      <c r="S3759" s="4">
        <f t="shared" ca="1" si="327"/>
        <v>-3.5781317799590084</v>
      </c>
    </row>
    <row r="3760" spans="15:19" x14ac:dyDescent="0.2">
      <c r="O3760" s="4">
        <f t="shared" ca="1" si="323"/>
        <v>0.28112669939076629</v>
      </c>
      <c r="P3760" s="4">
        <f t="shared" ca="1" si="324"/>
        <v>-0.57949769899138071</v>
      </c>
      <c r="Q3760" s="4">
        <f t="shared" ca="1" si="325"/>
        <v>1934.1986359175489</v>
      </c>
      <c r="R3760" s="4">
        <f t="shared" ca="1" si="326"/>
        <v>10.528591917548965</v>
      </c>
      <c r="S3760" s="4">
        <f t="shared" ca="1" si="327"/>
        <v>5.374800486825233</v>
      </c>
    </row>
    <row r="3761" spans="15:19" x14ac:dyDescent="0.2">
      <c r="O3761" s="4">
        <f t="shared" ca="1" si="323"/>
        <v>0.32394832679539265</v>
      </c>
      <c r="P3761" s="4">
        <f t="shared" ca="1" si="324"/>
        <v>-0.4566861411004895</v>
      </c>
      <c r="Q3761" s="4">
        <f t="shared" ca="1" si="325"/>
        <v>1931.8813449675974</v>
      </c>
      <c r="R3761" s="4">
        <f t="shared" ca="1" si="326"/>
        <v>8.2113009675974808</v>
      </c>
      <c r="S3761" s="4">
        <f t="shared" ca="1" si="327"/>
        <v>4.1840878099687373</v>
      </c>
    </row>
    <row r="3762" spans="15:19" x14ac:dyDescent="0.2">
      <c r="O3762" s="4">
        <f t="shared" ca="1" si="323"/>
        <v>0.16688063457365354</v>
      </c>
      <c r="P3762" s="4">
        <f t="shared" ca="1" si="324"/>
        <v>-0.96656553831508341</v>
      </c>
      <c r="Q3762" s="4">
        <f t="shared" ca="1" si="325"/>
        <v>1941.5020918502478</v>
      </c>
      <c r="R3762" s="4">
        <f t="shared" ca="1" si="326"/>
        <v>17.832047850247818</v>
      </c>
      <c r="S3762" s="4">
        <f t="shared" ca="1" si="327"/>
        <v>9.1561979432770038</v>
      </c>
    </row>
    <row r="3763" spans="15:19" x14ac:dyDescent="0.2">
      <c r="O3763" s="4">
        <f t="shared" ca="1" si="323"/>
        <v>0.46875090376069062</v>
      </c>
      <c r="P3763" s="4">
        <f t="shared" ca="1" si="324"/>
        <v>-7.8410140366108924E-2</v>
      </c>
      <c r="Q3763" s="4">
        <f t="shared" ca="1" si="325"/>
        <v>1924.7437793496738</v>
      </c>
      <c r="R3763" s="4">
        <f t="shared" ca="1" si="326"/>
        <v>1.0737353496738251</v>
      </c>
      <c r="S3763" s="4">
        <f t="shared" ca="1" si="327"/>
        <v>0.54400466434565575</v>
      </c>
    </row>
    <row r="3764" spans="15:19" x14ac:dyDescent="0.2">
      <c r="O3764" s="4">
        <f t="shared" ca="1" si="323"/>
        <v>0.48230143230568212</v>
      </c>
      <c r="P3764" s="4">
        <f t="shared" ca="1" si="324"/>
        <v>-4.4378292578730827E-2</v>
      </c>
      <c r="Q3764" s="4">
        <f t="shared" ca="1" si="325"/>
        <v>1924.1016435911001</v>
      </c>
      <c r="R3764" s="4">
        <f t="shared" ca="1" si="326"/>
        <v>0.43159959110016644</v>
      </c>
      <c r="S3764" s="4">
        <f t="shared" ca="1" si="327"/>
        <v>0.21855576861760145</v>
      </c>
    </row>
    <row r="3765" spans="15:19" x14ac:dyDescent="0.2">
      <c r="O3765" s="4">
        <f t="shared" ca="1" si="323"/>
        <v>0.63982801963700164</v>
      </c>
      <c r="P3765" s="4">
        <f t="shared" ca="1" si="324"/>
        <v>0.35799913520372922</v>
      </c>
      <c r="Q3765" s="4">
        <f t="shared" ca="1" si="325"/>
        <v>1916.5093160620131</v>
      </c>
      <c r="R3765" s="4">
        <f t="shared" ca="1" si="326"/>
        <v>-7.1607279379868487</v>
      </c>
      <c r="S3765" s="4">
        <f t="shared" ca="1" si="327"/>
        <v>-3.6039577292287928</v>
      </c>
    </row>
    <row r="3766" spans="15:19" x14ac:dyDescent="0.2">
      <c r="O3766" s="4">
        <f t="shared" ca="1" si="323"/>
        <v>0.57189972853219995</v>
      </c>
      <c r="P3766" s="4">
        <f t="shared" ca="1" si="324"/>
        <v>0.181212806433034</v>
      </c>
      <c r="Q3766" s="4">
        <f t="shared" ca="1" si="325"/>
        <v>1919.8450392363698</v>
      </c>
      <c r="R3766" s="4">
        <f t="shared" ca="1" si="326"/>
        <v>-3.8250047636302043</v>
      </c>
      <c r="S3766" s="4">
        <f t="shared" ca="1" si="327"/>
        <v>-1.9302991848845708</v>
      </c>
    </row>
    <row r="3767" spans="15:19" x14ac:dyDescent="0.2">
      <c r="O3767" s="4">
        <f t="shared" ca="1" si="323"/>
        <v>0.28772630822982703</v>
      </c>
      <c r="P3767" s="4">
        <f t="shared" ca="1" si="324"/>
        <v>-0.56003932248192467</v>
      </c>
      <c r="Q3767" s="4">
        <f t="shared" ca="1" si="325"/>
        <v>1933.8314822020482</v>
      </c>
      <c r="R3767" s="4">
        <f t="shared" ca="1" si="326"/>
        <v>10.161438202048203</v>
      </c>
      <c r="S3767" s="4">
        <f t="shared" ca="1" si="327"/>
        <v>5.1858514104120692</v>
      </c>
    </row>
    <row r="3768" spans="15:19" x14ac:dyDescent="0.2">
      <c r="O3768" s="4">
        <f t="shared" ca="1" si="323"/>
        <v>0.6567744926308704</v>
      </c>
      <c r="P3768" s="4">
        <f t="shared" ca="1" si="324"/>
        <v>0.40367596689873275</v>
      </c>
      <c r="Q3768" s="4">
        <f t="shared" ca="1" si="325"/>
        <v>1915.6474549267334</v>
      </c>
      <c r="R3768" s="4">
        <f t="shared" ca="1" si="326"/>
        <v>-8.0225890732665448</v>
      </c>
      <c r="S3768" s="4">
        <f t="shared" ca="1" si="327"/>
        <v>-4.03491340616345</v>
      </c>
    </row>
    <row r="3769" spans="15:19" x14ac:dyDescent="0.2">
      <c r="O3769" s="4">
        <f t="shared" ca="1" si="323"/>
        <v>0.93796029435445705</v>
      </c>
      <c r="P3769" s="4">
        <f t="shared" ca="1" si="324"/>
        <v>1.5378740584621073</v>
      </c>
      <c r="Q3769" s="4">
        <f t="shared" ca="1" si="325"/>
        <v>1894.2466436499374</v>
      </c>
      <c r="R3769" s="4">
        <f t="shared" ca="1" si="326"/>
        <v>-29.423400350062593</v>
      </c>
      <c r="S3769" s="4">
        <f t="shared" ca="1" si="327"/>
        <v>-14.541998774703428</v>
      </c>
    </row>
    <row r="3770" spans="15:19" x14ac:dyDescent="0.2">
      <c r="O3770" s="4">
        <f t="shared" ca="1" si="323"/>
        <v>0.93305828777258992</v>
      </c>
      <c r="P3770" s="4">
        <f t="shared" ca="1" si="324"/>
        <v>1.4989622543714183</v>
      </c>
      <c r="Q3770" s="4">
        <f t="shared" ca="1" si="325"/>
        <v>1894.9808577012384</v>
      </c>
      <c r="R3770" s="4">
        <f t="shared" ca="1" si="326"/>
        <v>-28.68918629876157</v>
      </c>
      <c r="S3770" s="4">
        <f t="shared" ca="1" si="327"/>
        <v>-14.187700884651026</v>
      </c>
    </row>
    <row r="3771" spans="15:19" x14ac:dyDescent="0.2">
      <c r="O3771" s="4">
        <f t="shared" ca="1" si="323"/>
        <v>0.57759542542572828</v>
      </c>
      <c r="P3771" s="4">
        <f t="shared" ca="1" si="324"/>
        <v>0.19574578137968937</v>
      </c>
      <c r="Q3771" s="4">
        <f t="shared" ca="1" si="325"/>
        <v>1919.5708213052719</v>
      </c>
      <c r="R3771" s="4">
        <f t="shared" ca="1" si="326"/>
        <v>-4.0992226947280415</v>
      </c>
      <c r="S3771" s="4">
        <f t="shared" ca="1" si="327"/>
        <v>-2.0682264402594086</v>
      </c>
    </row>
    <row r="3772" spans="15:19" x14ac:dyDescent="0.2">
      <c r="O3772" s="4">
        <f t="shared" ca="1" si="323"/>
        <v>0.34772621388202429</v>
      </c>
      <c r="P3772" s="4">
        <f t="shared" ca="1" si="324"/>
        <v>-0.39146652476522775</v>
      </c>
      <c r="Q3772" s="4">
        <f t="shared" ca="1" si="325"/>
        <v>1930.6507374475198</v>
      </c>
      <c r="R3772" s="4">
        <f t="shared" ca="1" si="326"/>
        <v>6.9806934475197977</v>
      </c>
      <c r="S3772" s="4">
        <f t="shared" ca="1" si="327"/>
        <v>3.5535319147126803</v>
      </c>
    </row>
    <row r="3773" spans="15:19" x14ac:dyDescent="0.2">
      <c r="O3773" s="4">
        <f t="shared" ca="1" si="323"/>
        <v>7.554616963837657E-2</v>
      </c>
      <c r="P3773" s="4">
        <f t="shared" ca="1" si="324"/>
        <v>-1.4356837920983989</v>
      </c>
      <c r="Q3773" s="4">
        <f t="shared" ca="1" si="325"/>
        <v>1950.353730104971</v>
      </c>
      <c r="R3773" s="4">
        <f t="shared" ca="1" si="326"/>
        <v>26.683686104971002</v>
      </c>
      <c r="S3773" s="4">
        <f t="shared" ca="1" si="327"/>
        <v>13.797384335950564</v>
      </c>
    </row>
    <row r="3774" spans="15:19" x14ac:dyDescent="0.2">
      <c r="O3774" s="4">
        <f t="shared" ca="1" si="323"/>
        <v>0.88841785113644722</v>
      </c>
      <c r="P3774" s="4">
        <f t="shared" ca="1" si="324"/>
        <v>1.2181570497244287</v>
      </c>
      <c r="Q3774" s="4">
        <f t="shared" ca="1" si="325"/>
        <v>1900.2792788808306</v>
      </c>
      <c r="R3774" s="4">
        <f t="shared" ca="1" si="326"/>
        <v>-23.390765119169373</v>
      </c>
      <c r="S3774" s="4">
        <f t="shared" ca="1" si="327"/>
        <v>-11.617915485933677</v>
      </c>
    </row>
    <row r="3775" spans="15:19" x14ac:dyDescent="0.2">
      <c r="O3775" s="4">
        <f t="shared" ca="1" si="323"/>
        <v>0.98602432026684494</v>
      </c>
      <c r="P3775" s="4">
        <f t="shared" ca="1" si="324"/>
        <v>2.1979683779198775</v>
      </c>
      <c r="Q3775" s="4">
        <f t="shared" ca="1" si="325"/>
        <v>1881.7915407356584</v>
      </c>
      <c r="R3775" s="4">
        <f t="shared" ca="1" si="326"/>
        <v>-41.878503264341589</v>
      </c>
      <c r="S3775" s="4">
        <f t="shared" ca="1" si="327"/>
        <v>-20.485386862162173</v>
      </c>
    </row>
    <row r="3776" spans="15:19" x14ac:dyDescent="0.2">
      <c r="O3776" s="4">
        <f t="shared" ca="1" si="323"/>
        <v>0.48258406146572552</v>
      </c>
      <c r="P3776" s="4">
        <f t="shared" ca="1" si="324"/>
        <v>-4.3669159471619312E-2</v>
      </c>
      <c r="Q3776" s="4">
        <f t="shared" ca="1" si="325"/>
        <v>1924.0882631914083</v>
      </c>
      <c r="R3776" s="4">
        <f t="shared" ca="1" si="326"/>
        <v>0.41821919140829777</v>
      </c>
      <c r="S3776" s="4">
        <f t="shared" ca="1" si="327"/>
        <v>0.21177785048427267</v>
      </c>
    </row>
    <row r="3777" spans="15:19" x14ac:dyDescent="0.2">
      <c r="O3777" s="4">
        <f t="shared" ca="1" si="323"/>
        <v>0.27704237548935262</v>
      </c>
      <c r="P3777" s="4">
        <f t="shared" ca="1" si="324"/>
        <v>-0.59165034898594504</v>
      </c>
      <c r="Q3777" s="4">
        <f t="shared" ca="1" si="325"/>
        <v>1934.4279402789136</v>
      </c>
      <c r="R3777" s="4">
        <f t="shared" ca="1" si="326"/>
        <v>10.757896278913677</v>
      </c>
      <c r="S3777" s="4">
        <f t="shared" ca="1" si="327"/>
        <v>5.4928635398839454</v>
      </c>
    </row>
    <row r="3778" spans="15:19" x14ac:dyDescent="0.2">
      <c r="O3778" s="4">
        <f t="shared" ca="1" si="323"/>
        <v>0.4451801728069662</v>
      </c>
      <c r="P3778" s="4">
        <f t="shared" ca="1" si="324"/>
        <v>-0.13784825598290154</v>
      </c>
      <c r="Q3778" s="4">
        <f t="shared" ca="1" si="325"/>
        <v>1925.865297631555</v>
      </c>
      <c r="R3778" s="4">
        <f t="shared" ca="1" si="326"/>
        <v>2.1952536315550333</v>
      </c>
      <c r="S3778" s="4">
        <f t="shared" ca="1" si="327"/>
        <v>1.1132206135755989</v>
      </c>
    </row>
    <row r="3779" spans="15:19" x14ac:dyDescent="0.2">
      <c r="O3779" s="4">
        <f t="shared" ref="O3779:O3842" ca="1" si="328">RAND()</f>
        <v>1.3423640093321754E-2</v>
      </c>
      <c r="P3779" s="4">
        <f t="shared" ref="P3779:P3842" ca="1" si="329">NORMSINV(O3779)</f>
        <v>-2.2137311294216255</v>
      </c>
      <c r="Q3779" s="4">
        <f t="shared" ref="Q3779:Q3842" ca="1" si="330">$B$4*(1+$B$17-$B$32*P3779)</f>
        <v>1965.0344497731874</v>
      </c>
      <c r="R3779" s="4">
        <f t="shared" ref="R3779:R3842" ca="1" si="331">Q3779-$B$4</f>
        <v>41.3644057731874</v>
      </c>
      <c r="S3779" s="4">
        <f t="shared" ref="S3779:S3842" ca="1" si="332">R3779*$B$12+0.5*$B$13*R3779^2</f>
        <v>21.635568533473496</v>
      </c>
    </row>
    <row r="3780" spans="15:19" x14ac:dyDescent="0.2">
      <c r="O3780" s="4">
        <f t="shared" ca="1" si="328"/>
        <v>0.9011695663719379</v>
      </c>
      <c r="P3780" s="4">
        <f t="shared" ca="1" si="329"/>
        <v>1.288244496251171</v>
      </c>
      <c r="Q3780" s="4">
        <f t="shared" ca="1" si="330"/>
        <v>1898.9568218716463</v>
      </c>
      <c r="R3780" s="4">
        <f t="shared" ca="1" si="331"/>
        <v>-24.713222128353664</v>
      </c>
      <c r="S3780" s="4">
        <f t="shared" ca="1" si="332"/>
        <v>-12.261460283269908</v>
      </c>
    </row>
    <row r="3781" spans="15:19" x14ac:dyDescent="0.2">
      <c r="O3781" s="4">
        <f t="shared" ca="1" si="328"/>
        <v>0.27650074468846142</v>
      </c>
      <c r="P3781" s="4">
        <f t="shared" ca="1" si="329"/>
        <v>-0.59326848033333779</v>
      </c>
      <c r="Q3781" s="4">
        <f t="shared" ca="1" si="330"/>
        <v>1934.4584722678526</v>
      </c>
      <c r="R3781" s="4">
        <f t="shared" ca="1" si="331"/>
        <v>10.788428267852623</v>
      </c>
      <c r="S3781" s="4">
        <f t="shared" ca="1" si="332"/>
        <v>5.5085869231051756</v>
      </c>
    </row>
    <row r="3782" spans="15:19" x14ac:dyDescent="0.2">
      <c r="O3782" s="4">
        <f t="shared" ca="1" si="328"/>
        <v>0.19362336574007333</v>
      </c>
      <c r="P3782" s="4">
        <f t="shared" ca="1" si="329"/>
        <v>-0.86462120219364946</v>
      </c>
      <c r="Q3782" s="4">
        <f t="shared" ca="1" si="330"/>
        <v>1939.5785376542904</v>
      </c>
      <c r="R3782" s="4">
        <f t="shared" ca="1" si="331"/>
        <v>15.908493654290396</v>
      </c>
      <c r="S3782" s="4">
        <f t="shared" ca="1" si="332"/>
        <v>8.156056458984791</v>
      </c>
    </row>
    <row r="3783" spans="15:19" x14ac:dyDescent="0.2">
      <c r="O3783" s="4">
        <f t="shared" ca="1" si="328"/>
        <v>0.29670021036240313</v>
      </c>
      <c r="P3783" s="4">
        <f t="shared" ca="1" si="329"/>
        <v>-0.53391488858694869</v>
      </c>
      <c r="Q3783" s="4">
        <f t="shared" ca="1" si="330"/>
        <v>1933.3385488391214</v>
      </c>
      <c r="R3783" s="4">
        <f t="shared" ca="1" si="331"/>
        <v>9.6685048391213968</v>
      </c>
      <c r="S3783" s="4">
        <f t="shared" ca="1" si="332"/>
        <v>4.9323446771048118</v>
      </c>
    </row>
    <row r="3784" spans="15:19" x14ac:dyDescent="0.2">
      <c r="O3784" s="4">
        <f t="shared" ca="1" si="328"/>
        <v>1.5800660071326633E-2</v>
      </c>
      <c r="P3784" s="4">
        <f t="shared" ca="1" si="329"/>
        <v>-2.1494174911553223</v>
      </c>
      <c r="Q3784" s="4">
        <f t="shared" ca="1" si="330"/>
        <v>1963.8209368557357</v>
      </c>
      <c r="R3784" s="4">
        <f t="shared" ca="1" si="331"/>
        <v>40.150892855735719</v>
      </c>
      <c r="S3784" s="4">
        <f t="shared" ca="1" si="332"/>
        <v>20.981009174397517</v>
      </c>
    </row>
    <row r="3785" spans="15:19" x14ac:dyDescent="0.2">
      <c r="O3785" s="4">
        <f t="shared" ca="1" si="328"/>
        <v>0.12446285771428944</v>
      </c>
      <c r="P3785" s="4">
        <f t="shared" ca="1" si="329"/>
        <v>-1.1529626494940919</v>
      </c>
      <c r="Q3785" s="4">
        <f t="shared" ca="1" si="330"/>
        <v>1945.0191577213277</v>
      </c>
      <c r="R3785" s="4">
        <f t="shared" ca="1" si="331"/>
        <v>21.34911372132774</v>
      </c>
      <c r="S3785" s="4">
        <f t="shared" ca="1" si="332"/>
        <v>10.992666385583972</v>
      </c>
    </row>
    <row r="3786" spans="15:19" x14ac:dyDescent="0.2">
      <c r="O3786" s="4">
        <f t="shared" ca="1" si="328"/>
        <v>0.7973023349062488</v>
      </c>
      <c r="P3786" s="4">
        <f t="shared" ca="1" si="329"/>
        <v>0.83202411985979441</v>
      </c>
      <c r="Q3786" s="4">
        <f t="shared" ca="1" si="330"/>
        <v>1907.5650943140047</v>
      </c>
      <c r="R3786" s="4">
        <f t="shared" ca="1" si="331"/>
        <v>-16.10494968599528</v>
      </c>
      <c r="S3786" s="4">
        <f t="shared" ca="1" si="332"/>
        <v>-8.0469019748874651</v>
      </c>
    </row>
    <row r="3787" spans="15:19" x14ac:dyDescent="0.2">
      <c r="O3787" s="4">
        <f t="shared" ca="1" si="328"/>
        <v>0.95308490940880575</v>
      </c>
      <c r="P3787" s="4">
        <f t="shared" ca="1" si="329"/>
        <v>1.6755305553903295</v>
      </c>
      <c r="Q3787" s="4">
        <f t="shared" ca="1" si="330"/>
        <v>1891.6492484209216</v>
      </c>
      <c r="R3787" s="4">
        <f t="shared" ca="1" si="331"/>
        <v>-32.020795579078367</v>
      </c>
      <c r="S3787" s="4">
        <f t="shared" ca="1" si="332"/>
        <v>-15.791859524228572</v>
      </c>
    </row>
    <row r="3788" spans="15:19" x14ac:dyDescent="0.2">
      <c r="O3788" s="4">
        <f t="shared" ca="1" si="328"/>
        <v>0.63653391432841488</v>
      </c>
      <c r="P3788" s="4">
        <f t="shared" ca="1" si="329"/>
        <v>0.34920931791273713</v>
      </c>
      <c r="Q3788" s="4">
        <f t="shared" ca="1" si="330"/>
        <v>1916.6751682375732</v>
      </c>
      <c r="R3788" s="4">
        <f t="shared" ca="1" si="331"/>
        <v>-6.9948757624267728</v>
      </c>
      <c r="S3788" s="4">
        <f t="shared" ca="1" si="332"/>
        <v>-3.5209574252094837</v>
      </c>
    </row>
    <row r="3789" spans="15:19" x14ac:dyDescent="0.2">
      <c r="O3789" s="4">
        <f t="shared" ca="1" si="328"/>
        <v>0.86786227949806438</v>
      </c>
      <c r="P3789" s="4">
        <f t="shared" ca="1" si="329"/>
        <v>1.1163427689843295</v>
      </c>
      <c r="Q3789" s="4">
        <f t="shared" ca="1" si="330"/>
        <v>1902.200379104512</v>
      </c>
      <c r="R3789" s="4">
        <f t="shared" ca="1" si="331"/>
        <v>-21.469664895487995</v>
      </c>
      <c r="S3789" s="4">
        <f t="shared" ca="1" si="332"/>
        <v>-10.680517524209511</v>
      </c>
    </row>
    <row r="3790" spans="15:19" x14ac:dyDescent="0.2">
      <c r="O3790" s="4">
        <f t="shared" ca="1" si="328"/>
        <v>0.95259146423979213</v>
      </c>
      <c r="P3790" s="4">
        <f t="shared" ca="1" si="329"/>
        <v>1.6705172392663794</v>
      </c>
      <c r="Q3790" s="4">
        <f t="shared" ca="1" si="330"/>
        <v>1891.7438430363045</v>
      </c>
      <c r="R3790" s="4">
        <f t="shared" ca="1" si="331"/>
        <v>-31.926200963695464</v>
      </c>
      <c r="S3790" s="4">
        <f t="shared" ca="1" si="332"/>
        <v>-15.7464371820337</v>
      </c>
    </row>
    <row r="3791" spans="15:19" x14ac:dyDescent="0.2">
      <c r="O3791" s="4">
        <f t="shared" ca="1" si="328"/>
        <v>0.85403247211953404</v>
      </c>
      <c r="P3791" s="4">
        <f t="shared" ca="1" si="329"/>
        <v>1.053886125675989</v>
      </c>
      <c r="Q3791" s="4">
        <f t="shared" ca="1" si="330"/>
        <v>1903.3788529940082</v>
      </c>
      <c r="R3791" s="4">
        <f t="shared" ca="1" si="331"/>
        <v>-20.291191005991777</v>
      </c>
      <c r="S3791" s="4">
        <f t="shared" ca="1" si="332"/>
        <v>-10.10399603504791</v>
      </c>
    </row>
    <row r="3792" spans="15:19" x14ac:dyDescent="0.2">
      <c r="O3792" s="4">
        <f t="shared" ca="1" si="328"/>
        <v>0.8065541985943141</v>
      </c>
      <c r="P3792" s="4">
        <f t="shared" ca="1" si="329"/>
        <v>0.86526819565878721</v>
      </c>
      <c r="Q3792" s="4">
        <f t="shared" ca="1" si="330"/>
        <v>1906.9378227663469</v>
      </c>
      <c r="R3792" s="4">
        <f t="shared" ca="1" si="331"/>
        <v>-16.732221233653036</v>
      </c>
      <c r="S3792" s="4">
        <f t="shared" ca="1" si="332"/>
        <v>-8.3560482365074069</v>
      </c>
    </row>
    <row r="3793" spans="15:19" x14ac:dyDescent="0.2">
      <c r="O3793" s="4">
        <f t="shared" ca="1" si="328"/>
        <v>0.57137953359546134</v>
      </c>
      <c r="P3793" s="4">
        <f t="shared" ca="1" si="329"/>
        <v>0.17988744378511098</v>
      </c>
      <c r="Q3793" s="4">
        <f t="shared" ca="1" si="330"/>
        <v>1919.870047068875</v>
      </c>
      <c r="R3793" s="4">
        <f t="shared" ca="1" si="331"/>
        <v>-3.7999969311249515</v>
      </c>
      <c r="S3793" s="4">
        <f t="shared" ca="1" si="332"/>
        <v>-1.9177175970207998</v>
      </c>
    </row>
    <row r="3794" spans="15:19" x14ac:dyDescent="0.2">
      <c r="O3794" s="4">
        <f t="shared" ca="1" si="328"/>
        <v>0.28785376647979999</v>
      </c>
      <c r="P3794" s="4">
        <f t="shared" ca="1" si="329"/>
        <v>-0.55966562567448397</v>
      </c>
      <c r="Q3794" s="4">
        <f t="shared" ca="1" si="330"/>
        <v>1933.8244310397242</v>
      </c>
      <c r="R3794" s="4">
        <f t="shared" ca="1" si="331"/>
        <v>10.15438703972427</v>
      </c>
      <c r="S3794" s="4">
        <f t="shared" ca="1" si="332"/>
        <v>5.1822237302377472</v>
      </c>
    </row>
    <row r="3795" spans="15:19" x14ac:dyDescent="0.2">
      <c r="O3795" s="4">
        <f t="shared" ca="1" si="328"/>
        <v>0.15301519586699919</v>
      </c>
      <c r="P3795" s="4">
        <f t="shared" ca="1" si="329"/>
        <v>-1.023586992233033</v>
      </c>
      <c r="Q3795" s="4">
        <f t="shared" ca="1" si="330"/>
        <v>1942.5780109362554</v>
      </c>
      <c r="R3795" s="4">
        <f t="shared" ca="1" si="331"/>
        <v>18.907966936255434</v>
      </c>
      <c r="S3795" s="4">
        <f t="shared" ca="1" si="332"/>
        <v>9.7169298778168205</v>
      </c>
    </row>
    <row r="3796" spans="15:19" x14ac:dyDescent="0.2">
      <c r="O3796" s="4">
        <f t="shared" ca="1" si="328"/>
        <v>0.12494386384722211</v>
      </c>
      <c r="P3796" s="4">
        <f t="shared" ca="1" si="329"/>
        <v>-1.1506221226516249</v>
      </c>
      <c r="Q3796" s="4">
        <f t="shared" ca="1" si="330"/>
        <v>1944.9749950890534</v>
      </c>
      <c r="R3796" s="4">
        <f t="shared" ca="1" si="331"/>
        <v>21.304951089053475</v>
      </c>
      <c r="S3796" s="4">
        <f t="shared" ca="1" si="332"/>
        <v>10.969544025834185</v>
      </c>
    </row>
    <row r="3797" spans="15:19" x14ac:dyDescent="0.2">
      <c r="O3797" s="4">
        <f t="shared" ca="1" si="328"/>
        <v>0.63453488762914156</v>
      </c>
      <c r="P3797" s="4">
        <f t="shared" ca="1" si="329"/>
        <v>0.34388838824991197</v>
      </c>
      <c r="Q3797" s="4">
        <f t="shared" ca="1" si="330"/>
        <v>1916.7755671117895</v>
      </c>
      <c r="R3797" s="4">
        <f t="shared" ca="1" si="331"/>
        <v>-6.8944768882104199</v>
      </c>
      <c r="S3797" s="4">
        <f t="shared" ca="1" si="332"/>
        <v>-3.4707021796927378</v>
      </c>
    </row>
    <row r="3798" spans="15:19" x14ac:dyDescent="0.2">
      <c r="O3798" s="4">
        <f t="shared" ca="1" si="328"/>
        <v>0.27742377614257618</v>
      </c>
      <c r="P3798" s="4">
        <f t="shared" ca="1" si="329"/>
        <v>-0.59051183701119059</v>
      </c>
      <c r="Q3798" s="4">
        <f t="shared" ca="1" si="330"/>
        <v>1934.4064580703914</v>
      </c>
      <c r="R3798" s="4">
        <f t="shared" ca="1" si="331"/>
        <v>10.736414070391447</v>
      </c>
      <c r="S3798" s="4">
        <f t="shared" ca="1" si="332"/>
        <v>5.4818010732295539</v>
      </c>
    </row>
    <row r="3799" spans="15:19" x14ac:dyDescent="0.2">
      <c r="O3799" s="4">
        <f t="shared" ca="1" si="328"/>
        <v>0.44775808199502753</v>
      </c>
      <c r="P3799" s="4">
        <f t="shared" ca="1" si="329"/>
        <v>-0.13132759397539553</v>
      </c>
      <c r="Q3799" s="4">
        <f t="shared" ca="1" si="330"/>
        <v>1925.7422614017639</v>
      </c>
      <c r="R3799" s="4">
        <f t="shared" ca="1" si="331"/>
        <v>2.0722174017639645</v>
      </c>
      <c r="S3799" s="4">
        <f t="shared" ca="1" si="332"/>
        <v>1.0507247357864065</v>
      </c>
    </row>
    <row r="3800" spans="15:19" x14ac:dyDescent="0.2">
      <c r="O3800" s="4">
        <f t="shared" ca="1" si="328"/>
        <v>0.8953617894649607</v>
      </c>
      <c r="P3800" s="4">
        <f t="shared" ca="1" si="329"/>
        <v>1.2555575754084936</v>
      </c>
      <c r="Q3800" s="4">
        <f t="shared" ca="1" si="330"/>
        <v>1899.573580645424</v>
      </c>
      <c r="R3800" s="4">
        <f t="shared" ca="1" si="331"/>
        <v>-24.096463354575917</v>
      </c>
      <c r="S3800" s="4">
        <f t="shared" ca="1" si="332"/>
        <v>-11.961505282166573</v>
      </c>
    </row>
    <row r="3801" spans="15:19" x14ac:dyDescent="0.2">
      <c r="O3801" s="4">
        <f t="shared" ca="1" si="328"/>
        <v>4.7457612439118058E-2</v>
      </c>
      <c r="P3801" s="4">
        <f t="shared" ca="1" si="329"/>
        <v>-1.6700209187781487</v>
      </c>
      <c r="Q3801" s="4">
        <f t="shared" ca="1" si="330"/>
        <v>1954.7753603832475</v>
      </c>
      <c r="R3801" s="4">
        <f t="shared" ca="1" si="331"/>
        <v>31.105316383247555</v>
      </c>
      <c r="S3801" s="4">
        <f t="shared" ca="1" si="332"/>
        <v>16.139671873417935</v>
      </c>
    </row>
    <row r="3802" spans="15:19" x14ac:dyDescent="0.2">
      <c r="O3802" s="4">
        <f t="shared" ca="1" si="328"/>
        <v>8.1577467274809967E-2</v>
      </c>
      <c r="P3802" s="4">
        <f t="shared" ca="1" si="329"/>
        <v>-1.3945388887656347</v>
      </c>
      <c r="Q3802" s="4">
        <f t="shared" ca="1" si="330"/>
        <v>1949.5773804375046</v>
      </c>
      <c r="R3802" s="4">
        <f t="shared" ca="1" si="331"/>
        <v>25.907336437504682</v>
      </c>
      <c r="S3802" s="4">
        <f t="shared" ca="1" si="332"/>
        <v>13.387768291283487</v>
      </c>
    </row>
    <row r="3803" spans="15:19" x14ac:dyDescent="0.2">
      <c r="O3803" s="4">
        <f t="shared" ca="1" si="328"/>
        <v>0.57935384305116333</v>
      </c>
      <c r="P3803" s="4">
        <f t="shared" ca="1" si="329"/>
        <v>0.20024073043818635</v>
      </c>
      <c r="Q3803" s="4">
        <f t="shared" ca="1" si="330"/>
        <v>1919.4860075877959</v>
      </c>
      <c r="R3803" s="4">
        <f t="shared" ca="1" si="331"/>
        <v>-4.1840364122040228</v>
      </c>
      <c r="S3803" s="4">
        <f t="shared" ca="1" si="332"/>
        <v>-2.1108739948176103</v>
      </c>
    </row>
    <row r="3804" spans="15:19" x14ac:dyDescent="0.2">
      <c r="O3804" s="4">
        <f t="shared" ca="1" si="328"/>
        <v>0.88067218275111436</v>
      </c>
      <c r="P3804" s="4">
        <f t="shared" ca="1" si="329"/>
        <v>1.1783536830140189</v>
      </c>
      <c r="Q3804" s="4">
        <f t="shared" ca="1" si="330"/>
        <v>1901.0303155343804</v>
      </c>
      <c r="R3804" s="4">
        <f t="shared" ca="1" si="331"/>
        <v>-22.639728465619555</v>
      </c>
      <c r="S3804" s="4">
        <f t="shared" ca="1" si="332"/>
        <v>-11.251805998008285</v>
      </c>
    </row>
    <row r="3805" spans="15:19" x14ac:dyDescent="0.2">
      <c r="O3805" s="4">
        <f t="shared" ca="1" si="328"/>
        <v>6.2825056497915477E-2</v>
      </c>
      <c r="P3805" s="4">
        <f t="shared" ca="1" si="329"/>
        <v>-1.5314828047039961</v>
      </c>
      <c r="Q3805" s="4">
        <f t="shared" ca="1" si="330"/>
        <v>1952.1613302098608</v>
      </c>
      <c r="R3805" s="4">
        <f t="shared" ca="1" si="331"/>
        <v>28.491286209860846</v>
      </c>
      <c r="S3805" s="4">
        <f t="shared" ca="1" si="332"/>
        <v>14.753007972794437</v>
      </c>
    </row>
    <row r="3806" spans="15:19" x14ac:dyDescent="0.2">
      <c r="O3806" s="4">
        <f t="shared" ca="1" si="328"/>
        <v>0.46759185368662326</v>
      </c>
      <c r="P3806" s="4">
        <f t="shared" ca="1" si="329"/>
        <v>-8.1324730069877019E-2</v>
      </c>
      <c r="Q3806" s="4">
        <f t="shared" ca="1" si="330"/>
        <v>1924.7987737855342</v>
      </c>
      <c r="R3806" s="4">
        <f t="shared" ca="1" si="331"/>
        <v>1.1287297855342331</v>
      </c>
      <c r="S3806" s="4">
        <f t="shared" ca="1" si="332"/>
        <v>0.57189269202268334</v>
      </c>
    </row>
    <row r="3807" spans="15:19" x14ac:dyDescent="0.2">
      <c r="O3807" s="4">
        <f t="shared" ca="1" si="328"/>
        <v>0.94649388834175197</v>
      </c>
      <c r="P3807" s="4">
        <f t="shared" ca="1" si="329"/>
        <v>1.6117689680670717</v>
      </c>
      <c r="Q3807" s="4">
        <f t="shared" ca="1" si="330"/>
        <v>1892.8523448704429</v>
      </c>
      <c r="R3807" s="4">
        <f t="shared" ca="1" si="331"/>
        <v>-30.817699129557013</v>
      </c>
      <c r="S3807" s="4">
        <f t="shared" ca="1" si="332"/>
        <v>-15.213615064123511</v>
      </c>
    </row>
    <row r="3808" spans="15:19" x14ac:dyDescent="0.2">
      <c r="O3808" s="4">
        <f t="shared" ca="1" si="328"/>
        <v>0.27646150883406895</v>
      </c>
      <c r="P3808" s="4">
        <f t="shared" ca="1" si="329"/>
        <v>-0.59338575843486685</v>
      </c>
      <c r="Q3808" s="4">
        <f t="shared" ca="1" si="330"/>
        <v>1934.4606851498318</v>
      </c>
      <c r="R3808" s="4">
        <f t="shared" ca="1" si="331"/>
        <v>10.790641149831799</v>
      </c>
      <c r="S3808" s="4">
        <f t="shared" ca="1" si="332"/>
        <v>5.5097265439807401</v>
      </c>
    </row>
    <row r="3809" spans="15:19" x14ac:dyDescent="0.2">
      <c r="O3809" s="4">
        <f t="shared" ca="1" si="328"/>
        <v>0.99989118200093807</v>
      </c>
      <c r="P3809" s="4">
        <f t="shared" ca="1" si="329"/>
        <v>3.6976134076978027</v>
      </c>
      <c r="Q3809" s="4">
        <f t="shared" ca="1" si="330"/>
        <v>1853.4952312080832</v>
      </c>
      <c r="R3809" s="4">
        <f t="shared" ca="1" si="331"/>
        <v>-70.174812791916793</v>
      </c>
      <c r="S3809" s="4">
        <f t="shared" ca="1" si="332"/>
        <v>-33.518563417904289</v>
      </c>
    </row>
    <row r="3810" spans="15:19" x14ac:dyDescent="0.2">
      <c r="O3810" s="4">
        <f t="shared" ca="1" si="328"/>
        <v>0.49320010089348887</v>
      </c>
      <c r="P3810" s="4">
        <f t="shared" ca="1" si="329"/>
        <v>-1.7045644775773167E-2</v>
      </c>
      <c r="Q3810" s="4">
        <f t="shared" ca="1" si="330"/>
        <v>1923.5859128367663</v>
      </c>
      <c r="R3810" s="4">
        <f t="shared" ca="1" si="331"/>
        <v>-8.4131163233678308E-2</v>
      </c>
      <c r="S3810" s="4">
        <f t="shared" ca="1" si="332"/>
        <v>-4.2585137628274768E-2</v>
      </c>
    </row>
    <row r="3811" spans="15:19" x14ac:dyDescent="0.2">
      <c r="O3811" s="4">
        <f t="shared" ca="1" si="328"/>
        <v>7.7863445863444292E-2</v>
      </c>
      <c r="P3811" s="4">
        <f t="shared" ca="1" si="329"/>
        <v>-1.4195906407970811</v>
      </c>
      <c r="Q3811" s="4">
        <f t="shared" ca="1" si="330"/>
        <v>1950.0500737186569</v>
      </c>
      <c r="R3811" s="4">
        <f t="shared" ca="1" si="331"/>
        <v>26.380029718656942</v>
      </c>
      <c r="S3811" s="4">
        <f t="shared" ca="1" si="332"/>
        <v>13.637111337039254</v>
      </c>
    </row>
    <row r="3812" spans="15:19" x14ac:dyDescent="0.2">
      <c r="O3812" s="4">
        <f t="shared" ca="1" si="328"/>
        <v>0.62624318635862597</v>
      </c>
      <c r="P3812" s="4">
        <f t="shared" ca="1" si="329"/>
        <v>0.3219195696575029</v>
      </c>
      <c r="Q3812" s="4">
        <f t="shared" ca="1" si="330"/>
        <v>1917.1900895344311</v>
      </c>
      <c r="R3812" s="4">
        <f t="shared" ca="1" si="331"/>
        <v>-6.4799544655688806</v>
      </c>
      <c r="S3812" s="4">
        <f t="shared" ca="1" si="332"/>
        <v>-3.263123661617517</v>
      </c>
    </row>
    <row r="3813" spans="15:19" x14ac:dyDescent="0.2">
      <c r="O3813" s="4">
        <f t="shared" ca="1" si="328"/>
        <v>0.80201173898185829</v>
      </c>
      <c r="P3813" s="4">
        <f t="shared" ca="1" si="329"/>
        <v>0.84882887202270152</v>
      </c>
      <c r="Q3813" s="4">
        <f t="shared" ca="1" si="330"/>
        <v>1907.2480109647497</v>
      </c>
      <c r="R3813" s="4">
        <f t="shared" ca="1" si="331"/>
        <v>-16.422033035250251</v>
      </c>
      <c r="S3813" s="4">
        <f t="shared" ca="1" si="332"/>
        <v>-8.2032142559025374</v>
      </c>
    </row>
    <row r="3814" spans="15:19" x14ac:dyDescent="0.2">
      <c r="O3814" s="4">
        <f t="shared" ca="1" si="328"/>
        <v>0.41301476250093272</v>
      </c>
      <c r="P3814" s="4">
        <f t="shared" ca="1" si="329"/>
        <v>-0.21979665481727165</v>
      </c>
      <c r="Q3814" s="4">
        <f t="shared" ca="1" si="330"/>
        <v>1927.4115550542531</v>
      </c>
      <c r="R3814" s="4">
        <f t="shared" ca="1" si="331"/>
        <v>3.7415110542531238</v>
      </c>
      <c r="S3814" s="4">
        <f t="shared" ca="1" si="332"/>
        <v>1.8996880668168112</v>
      </c>
    </row>
    <row r="3815" spans="15:19" x14ac:dyDescent="0.2">
      <c r="O3815" s="4">
        <f t="shared" ca="1" si="328"/>
        <v>0.65580472876795004</v>
      </c>
      <c r="P3815" s="4">
        <f t="shared" ca="1" si="329"/>
        <v>0.40104017911132978</v>
      </c>
      <c r="Q3815" s="4">
        <f t="shared" ca="1" si="330"/>
        <v>1915.6971887408031</v>
      </c>
      <c r="R3815" s="4">
        <f t="shared" ca="1" si="331"/>
        <v>-7.9728552591968764</v>
      </c>
      <c r="S3815" s="4">
        <f t="shared" ca="1" si="332"/>
        <v>-4.0100614917963844</v>
      </c>
    </row>
    <row r="3816" spans="15:19" x14ac:dyDescent="0.2">
      <c r="O3816" s="4">
        <f t="shared" ca="1" si="328"/>
        <v>5.9241728339125554E-3</v>
      </c>
      <c r="P3816" s="4">
        <f t="shared" ca="1" si="329"/>
        <v>-2.5166291812476436</v>
      </c>
      <c r="Q3816" s="4">
        <f t="shared" ca="1" si="330"/>
        <v>1970.7497336300862</v>
      </c>
      <c r="R3816" s="4">
        <f t="shared" ca="1" si="331"/>
        <v>47.07968963008625</v>
      </c>
      <c r="S3816" s="4">
        <f t="shared" ca="1" si="332"/>
        <v>24.734467820992169</v>
      </c>
    </row>
    <row r="3817" spans="15:19" x14ac:dyDescent="0.2">
      <c r="O3817" s="4">
        <f t="shared" ca="1" si="328"/>
        <v>0.62597959528337843</v>
      </c>
      <c r="P3817" s="4">
        <f t="shared" ca="1" si="329"/>
        <v>0.32122378398727591</v>
      </c>
      <c r="Q3817" s="4">
        <f t="shared" ca="1" si="330"/>
        <v>1917.2032180857207</v>
      </c>
      <c r="R3817" s="4">
        <f t="shared" ca="1" si="331"/>
        <v>-6.4668259142792976</v>
      </c>
      <c r="S3817" s="4">
        <f t="shared" ca="1" si="332"/>
        <v>-3.2565470509236731</v>
      </c>
    </row>
    <row r="3818" spans="15:19" x14ac:dyDescent="0.2">
      <c r="O3818" s="4">
        <f t="shared" ca="1" si="328"/>
        <v>0.67468171058538617</v>
      </c>
      <c r="P3818" s="4">
        <f t="shared" ca="1" si="329"/>
        <v>0.45287802030791563</v>
      </c>
      <c r="Q3818" s="4">
        <f t="shared" ca="1" si="330"/>
        <v>1914.719077540743</v>
      </c>
      <c r="R3818" s="4">
        <f t="shared" ca="1" si="331"/>
        <v>-8.9509664592569607</v>
      </c>
      <c r="S3818" s="4">
        <f t="shared" ca="1" si="332"/>
        <v>-4.4984525903684665</v>
      </c>
    </row>
    <row r="3819" spans="15:19" x14ac:dyDescent="0.2">
      <c r="O3819" s="4">
        <f t="shared" ca="1" si="328"/>
        <v>0.41182793216370739</v>
      </c>
      <c r="P3819" s="4">
        <f t="shared" ca="1" si="329"/>
        <v>-0.2228453587702105</v>
      </c>
      <c r="Q3819" s="4">
        <f t="shared" ca="1" si="330"/>
        <v>1927.4690800478334</v>
      </c>
      <c r="R3819" s="4">
        <f t="shared" ca="1" si="331"/>
        <v>3.7990360478333969</v>
      </c>
      <c r="S3819" s="4">
        <f t="shared" ca="1" si="332"/>
        <v>1.9289843564059801</v>
      </c>
    </row>
    <row r="3820" spans="15:19" x14ac:dyDescent="0.2">
      <c r="O3820" s="4">
        <f t="shared" ca="1" si="328"/>
        <v>0.55320043519953854</v>
      </c>
      <c r="P3820" s="4">
        <f t="shared" ca="1" si="329"/>
        <v>0.13375143712212018</v>
      </c>
      <c r="Q3820" s="4">
        <f t="shared" ca="1" si="330"/>
        <v>1920.7405722258154</v>
      </c>
      <c r="R3820" s="4">
        <f t="shared" ca="1" si="331"/>
        <v>-2.9294717741845488</v>
      </c>
      <c r="S3820" s="4">
        <f t="shared" ca="1" si="332"/>
        <v>-1.4794339173251223</v>
      </c>
    </row>
    <row r="3821" spans="15:19" x14ac:dyDescent="0.2">
      <c r="O3821" s="4">
        <f t="shared" ca="1" si="328"/>
        <v>0.52995002386431389</v>
      </c>
      <c r="P3821" s="4">
        <f t="shared" ca="1" si="329"/>
        <v>7.5144235729208197E-2</v>
      </c>
      <c r="Q3821" s="4">
        <f t="shared" ca="1" si="330"/>
        <v>1921.8464122601097</v>
      </c>
      <c r="R3821" s="4">
        <f t="shared" ca="1" si="331"/>
        <v>-1.8236317398902884</v>
      </c>
      <c r="S3821" s="4">
        <f t="shared" ca="1" si="332"/>
        <v>-0.92178648629542348</v>
      </c>
    </row>
    <row r="3822" spans="15:19" x14ac:dyDescent="0.2">
      <c r="O3822" s="4">
        <f t="shared" ca="1" si="328"/>
        <v>0.22087582722743815</v>
      </c>
      <c r="P3822" s="4">
        <f t="shared" ca="1" si="329"/>
        <v>-0.76923864229405059</v>
      </c>
      <c r="Q3822" s="4">
        <f t="shared" ca="1" si="330"/>
        <v>1937.7787954587316</v>
      </c>
      <c r="R3822" s="4">
        <f t="shared" ca="1" si="331"/>
        <v>14.108751458731604</v>
      </c>
      <c r="S3822" s="4">
        <f t="shared" ca="1" si="332"/>
        <v>7.2230181073175466</v>
      </c>
    </row>
    <row r="3823" spans="15:19" x14ac:dyDescent="0.2">
      <c r="O3823" s="4">
        <f t="shared" ca="1" si="328"/>
        <v>0.91439860280742458</v>
      </c>
      <c r="P3823" s="4">
        <f t="shared" ca="1" si="329"/>
        <v>1.3683492092734071</v>
      </c>
      <c r="Q3823" s="4">
        <f t="shared" ca="1" si="330"/>
        <v>1897.4453523510022</v>
      </c>
      <c r="R3823" s="4">
        <f t="shared" ca="1" si="331"/>
        <v>-26.224691648997805</v>
      </c>
      <c r="S3823" s="4">
        <f t="shared" ca="1" si="332"/>
        <v>-12.995240250178821</v>
      </c>
    </row>
    <row r="3824" spans="15:19" x14ac:dyDescent="0.2">
      <c r="O3824" s="4">
        <f t="shared" ca="1" si="328"/>
        <v>0.38470280926305767</v>
      </c>
      <c r="P3824" s="4">
        <f t="shared" ca="1" si="329"/>
        <v>-0.29315246180598759</v>
      </c>
      <c r="Q3824" s="4">
        <f t="shared" ca="1" si="330"/>
        <v>1928.7956816835431</v>
      </c>
      <c r="R3824" s="4">
        <f t="shared" ca="1" si="331"/>
        <v>5.1256376835431183</v>
      </c>
      <c r="S3824" s="4">
        <f t="shared" ca="1" si="332"/>
        <v>2.6053425890524449</v>
      </c>
    </row>
    <row r="3825" spans="15:19" x14ac:dyDescent="0.2">
      <c r="O3825" s="4">
        <f t="shared" ca="1" si="328"/>
        <v>0.7755730496975467</v>
      </c>
      <c r="P3825" s="4">
        <f t="shared" ca="1" si="329"/>
        <v>0.75732713067081869</v>
      </c>
      <c r="Q3825" s="4">
        <f t="shared" ca="1" si="330"/>
        <v>1908.9745272697371</v>
      </c>
      <c r="R3825" s="4">
        <f t="shared" ca="1" si="331"/>
        <v>-14.695516730262852</v>
      </c>
      <c r="S3825" s="4">
        <f t="shared" ca="1" si="332"/>
        <v>-7.3511045679192506</v>
      </c>
    </row>
    <row r="3826" spans="15:19" x14ac:dyDescent="0.2">
      <c r="O3826" s="4">
        <f t="shared" ca="1" si="328"/>
        <v>5.6630105916338547E-2</v>
      </c>
      <c r="P3826" s="4">
        <f t="shared" ca="1" si="329"/>
        <v>-1.5837078753217193</v>
      </c>
      <c r="Q3826" s="4">
        <f t="shared" ca="1" si="330"/>
        <v>1953.1467479146877</v>
      </c>
      <c r="R3826" s="4">
        <f t="shared" ca="1" si="331"/>
        <v>29.476703914687732</v>
      </c>
      <c r="S3826" s="4">
        <f t="shared" ca="1" si="332"/>
        <v>15.275088953709879</v>
      </c>
    </row>
    <row r="3827" spans="15:19" x14ac:dyDescent="0.2">
      <c r="O3827" s="4">
        <f t="shared" ca="1" si="328"/>
        <v>0.5221776927932722</v>
      </c>
      <c r="P3827" s="4">
        <f t="shared" ca="1" si="329"/>
        <v>5.5619895885612482E-2</v>
      </c>
      <c r="Q3827" s="4">
        <f t="shared" ca="1" si="330"/>
        <v>1922.2148106160978</v>
      </c>
      <c r="R3827" s="4">
        <f t="shared" ca="1" si="331"/>
        <v>-1.4552333839021685</v>
      </c>
      <c r="S3827" s="4">
        <f t="shared" ca="1" si="332"/>
        <v>-0.73579134059499973</v>
      </c>
    </row>
    <row r="3828" spans="15:19" x14ac:dyDescent="0.2">
      <c r="O3828" s="4">
        <f t="shared" ca="1" si="328"/>
        <v>0.85969023179884663</v>
      </c>
      <c r="P3828" s="4">
        <f t="shared" ca="1" si="329"/>
        <v>1.0789286487586056</v>
      </c>
      <c r="Q3828" s="4">
        <f t="shared" ca="1" si="330"/>
        <v>1902.9063338508599</v>
      </c>
      <c r="R3828" s="4">
        <f t="shared" ca="1" si="331"/>
        <v>-20.763710149140024</v>
      </c>
      <c r="S3828" s="4">
        <f t="shared" ca="1" si="332"/>
        <v>-10.335293025390872</v>
      </c>
    </row>
    <row r="3829" spans="15:19" x14ac:dyDescent="0.2">
      <c r="O3829" s="4">
        <f t="shared" ca="1" si="328"/>
        <v>0.51795095302900862</v>
      </c>
      <c r="P3829" s="4">
        <f t="shared" ca="1" si="329"/>
        <v>4.5011561009597585E-2</v>
      </c>
      <c r="Q3829" s="4">
        <f t="shared" ca="1" si="330"/>
        <v>1922.4149758027008</v>
      </c>
      <c r="R3829" s="4">
        <f t="shared" ca="1" si="331"/>
        <v>-1.2550681972991242</v>
      </c>
      <c r="S3829" s="4">
        <f t="shared" ca="1" si="332"/>
        <v>-0.6346866008578288</v>
      </c>
    </row>
    <row r="3830" spans="15:19" x14ac:dyDescent="0.2">
      <c r="O3830" s="4">
        <f t="shared" ca="1" si="328"/>
        <v>0.25207083534097707</v>
      </c>
      <c r="P3830" s="4">
        <f t="shared" ca="1" si="329"/>
        <v>-0.66798734481398825</v>
      </c>
      <c r="Q3830" s="4">
        <f t="shared" ca="1" si="330"/>
        <v>1935.868317981279</v>
      </c>
      <c r="R3830" s="4">
        <f t="shared" ca="1" si="331"/>
        <v>12.198273981279044</v>
      </c>
      <c r="S3830" s="4">
        <f t="shared" ca="1" si="332"/>
        <v>6.2354568113722024</v>
      </c>
    </row>
    <row r="3831" spans="15:19" x14ac:dyDescent="0.2">
      <c r="O3831" s="4">
        <f t="shared" ca="1" si="328"/>
        <v>6.6313820096817633E-2</v>
      </c>
      <c r="P3831" s="4">
        <f t="shared" ca="1" si="329"/>
        <v>-1.503820310076706</v>
      </c>
      <c r="Q3831" s="4">
        <f t="shared" ca="1" si="330"/>
        <v>1951.6393756841326</v>
      </c>
      <c r="R3831" s="4">
        <f t="shared" ca="1" si="331"/>
        <v>27.969331684132612</v>
      </c>
      <c r="S3831" s="4">
        <f t="shared" ca="1" si="332"/>
        <v>14.476793200162604</v>
      </c>
    </row>
    <row r="3832" spans="15:19" x14ac:dyDescent="0.2">
      <c r="O3832" s="4">
        <f t="shared" ca="1" si="328"/>
        <v>0.45065401802926441</v>
      </c>
      <c r="P3832" s="4">
        <f t="shared" ca="1" si="329"/>
        <v>-0.12400914277251886</v>
      </c>
      <c r="Q3832" s="4">
        <f t="shared" ca="1" si="330"/>
        <v>1925.6041719496689</v>
      </c>
      <c r="R3832" s="4">
        <f t="shared" ca="1" si="331"/>
        <v>1.9341279496688912</v>
      </c>
      <c r="S3832" s="4">
        <f t="shared" ca="1" si="332"/>
        <v>0.98059729801268791</v>
      </c>
    </row>
    <row r="3833" spans="15:19" x14ac:dyDescent="0.2">
      <c r="O3833" s="4">
        <f t="shared" ca="1" si="328"/>
        <v>0.30534561251430736</v>
      </c>
      <c r="P3833" s="4">
        <f t="shared" ca="1" si="329"/>
        <v>-0.50908702651853655</v>
      </c>
      <c r="Q3833" s="4">
        <f t="shared" ca="1" si="330"/>
        <v>1932.8700800641475</v>
      </c>
      <c r="R3833" s="4">
        <f t="shared" ca="1" si="331"/>
        <v>9.2000360641475254</v>
      </c>
      <c r="S3833" s="4">
        <f t="shared" ca="1" si="332"/>
        <v>4.6916029785444353</v>
      </c>
    </row>
    <row r="3834" spans="15:19" x14ac:dyDescent="0.2">
      <c r="O3834" s="4">
        <f t="shared" ca="1" si="328"/>
        <v>0.73978433496361773</v>
      </c>
      <c r="P3834" s="4">
        <f t="shared" ca="1" si="329"/>
        <v>0.64268066413974245</v>
      </c>
      <c r="Q3834" s="4">
        <f t="shared" ca="1" si="330"/>
        <v>1911.1377537925407</v>
      </c>
      <c r="R3834" s="4">
        <f t="shared" ca="1" si="331"/>
        <v>-12.532290207459255</v>
      </c>
      <c r="S3834" s="4">
        <f t="shared" ca="1" si="332"/>
        <v>-6.280034455915505</v>
      </c>
    </row>
    <row r="3835" spans="15:19" x14ac:dyDescent="0.2">
      <c r="O3835" s="4">
        <f t="shared" ca="1" si="328"/>
        <v>0.7794695303131236</v>
      </c>
      <c r="P3835" s="4">
        <f t="shared" ca="1" si="329"/>
        <v>0.77040289044331756</v>
      </c>
      <c r="Q3835" s="4">
        <f t="shared" ca="1" si="330"/>
        <v>1908.7278050531565</v>
      </c>
      <c r="R3835" s="4">
        <f t="shared" ca="1" si="331"/>
        <v>-14.942238946843418</v>
      </c>
      <c r="S3835" s="4">
        <f t="shared" ca="1" si="332"/>
        <v>-7.4730211612148238</v>
      </c>
    </row>
    <row r="3836" spans="15:19" x14ac:dyDescent="0.2">
      <c r="O3836" s="4">
        <f t="shared" ca="1" si="328"/>
        <v>0.44119537987896773</v>
      </c>
      <c r="P3836" s="4">
        <f t="shared" ca="1" si="329"/>
        <v>-0.1479391894622428</v>
      </c>
      <c r="Q3836" s="4">
        <f t="shared" ca="1" si="330"/>
        <v>1926.055700141138</v>
      </c>
      <c r="R3836" s="4">
        <f t="shared" ca="1" si="331"/>
        <v>2.3856561411380426</v>
      </c>
      <c r="S3836" s="4">
        <f t="shared" ca="1" si="332"/>
        <v>1.2099592814847131</v>
      </c>
    </row>
    <row r="3837" spans="15:19" x14ac:dyDescent="0.2">
      <c r="O3837" s="4">
        <f t="shared" ca="1" si="328"/>
        <v>0.1670244740015252</v>
      </c>
      <c r="P3837" s="4">
        <f t="shared" ca="1" si="329"/>
        <v>-0.9659904735210848</v>
      </c>
      <c r="Q3837" s="4">
        <f t="shared" ca="1" si="330"/>
        <v>1941.4912411415223</v>
      </c>
      <c r="R3837" s="4">
        <f t="shared" ca="1" si="331"/>
        <v>17.821197141522362</v>
      </c>
      <c r="S3837" s="4">
        <f t="shared" ca="1" si="332"/>
        <v>9.1505477282261953</v>
      </c>
    </row>
    <row r="3838" spans="15:19" x14ac:dyDescent="0.2">
      <c r="O3838" s="4">
        <f t="shared" ca="1" si="328"/>
        <v>0.76787766553425441</v>
      </c>
      <c r="P3838" s="4">
        <f t="shared" ca="1" si="329"/>
        <v>0.73187532364712249</v>
      </c>
      <c r="Q3838" s="4">
        <f t="shared" ca="1" si="330"/>
        <v>1909.4547690571455</v>
      </c>
      <c r="R3838" s="4">
        <f t="shared" ca="1" si="331"/>
        <v>-14.215274942854421</v>
      </c>
      <c r="S3838" s="4">
        <f t="shared" ca="1" si="332"/>
        <v>-7.1136532896513192</v>
      </c>
    </row>
    <row r="3839" spans="15:19" x14ac:dyDescent="0.2">
      <c r="O3839" s="4">
        <f t="shared" ca="1" si="328"/>
        <v>0.29951751611168198</v>
      </c>
      <c r="P3839" s="4">
        <f t="shared" ca="1" si="329"/>
        <v>-0.52578869197861222</v>
      </c>
      <c r="Q3839" s="4">
        <f t="shared" ca="1" si="330"/>
        <v>1933.185218304264</v>
      </c>
      <c r="R3839" s="4">
        <f t="shared" ca="1" si="331"/>
        <v>9.5151743042640646</v>
      </c>
      <c r="S3839" s="4">
        <f t="shared" ca="1" si="332"/>
        <v>4.8535298872584214</v>
      </c>
    </row>
    <row r="3840" spans="15:19" x14ac:dyDescent="0.2">
      <c r="O3840" s="4">
        <f t="shared" ca="1" si="328"/>
        <v>0.5293753928775573</v>
      </c>
      <c r="P3840" s="4">
        <f t="shared" ca="1" si="329"/>
        <v>7.3699854905977524E-2</v>
      </c>
      <c r="Q3840" s="4">
        <f t="shared" ca="1" si="330"/>
        <v>1921.8736658074745</v>
      </c>
      <c r="R3840" s="4">
        <f t="shared" ca="1" si="331"/>
        <v>-1.7963781925254807</v>
      </c>
      <c r="S3840" s="4">
        <f t="shared" ca="1" si="332"/>
        <v>-0.90803063435476483</v>
      </c>
    </row>
    <row r="3841" spans="15:19" x14ac:dyDescent="0.2">
      <c r="O3841" s="4">
        <f t="shared" ca="1" si="328"/>
        <v>0.24875987168499258</v>
      </c>
      <c r="P3841" s="4">
        <f t="shared" ca="1" si="329"/>
        <v>-0.67839742178453499</v>
      </c>
      <c r="Q3841" s="4">
        <f t="shared" ca="1" si="330"/>
        <v>1936.0647423045791</v>
      </c>
      <c r="R3841" s="4">
        <f t="shared" ca="1" si="331"/>
        <v>12.394698304579151</v>
      </c>
      <c r="S3841" s="4">
        <f t="shared" ca="1" si="332"/>
        <v>6.3368551399714699</v>
      </c>
    </row>
    <row r="3842" spans="15:19" x14ac:dyDescent="0.2">
      <c r="O3842" s="4">
        <f t="shared" ca="1" si="328"/>
        <v>6.4898998397033836E-3</v>
      </c>
      <c r="P3842" s="4">
        <f t="shared" ca="1" si="329"/>
        <v>-2.4843230538475352</v>
      </c>
      <c r="Q3842" s="4">
        <f t="shared" ca="1" si="330"/>
        <v>1970.1401599227099</v>
      </c>
      <c r="R3842" s="4">
        <f t="shared" ca="1" si="331"/>
        <v>46.470115922709965</v>
      </c>
      <c r="S3842" s="4">
        <f t="shared" ca="1" si="332"/>
        <v>24.402682312738769</v>
      </c>
    </row>
    <row r="3843" spans="15:19" x14ac:dyDescent="0.2">
      <c r="O3843" s="4">
        <f t="shared" ref="O3843:O3906" ca="1" si="333">RAND()</f>
        <v>5.124360646062609E-2</v>
      </c>
      <c r="P3843" s="4">
        <f t="shared" ref="P3843:P3906" ca="1" si="334">NORMSINV(O3843)</f>
        <v>-1.6329133931132871</v>
      </c>
      <c r="Q3843" s="4">
        <f t="shared" ref="Q3843:Q3906" ca="1" si="335">$B$4*(1+$B$17-$B$32*P3843)</f>
        <v>1954.0751906689711</v>
      </c>
      <c r="R3843" s="4">
        <f t="shared" ref="R3843:R3906" ca="1" si="336">Q3843-$B$4</f>
        <v>30.405146668971156</v>
      </c>
      <c r="S3843" s="4">
        <f t="shared" ref="S3843:S3906" ca="1" si="337">R3843*$B$12+0.5*$B$13*R3843^2</f>
        <v>15.767707544878158</v>
      </c>
    </row>
    <row r="3844" spans="15:19" x14ac:dyDescent="0.2">
      <c r="O3844" s="4">
        <f t="shared" ca="1" si="333"/>
        <v>0.95693398508812</v>
      </c>
      <c r="P3844" s="4">
        <f t="shared" ca="1" si="334"/>
        <v>1.7161640017806088</v>
      </c>
      <c r="Q3844" s="4">
        <f t="shared" ca="1" si="335"/>
        <v>1890.8825492665212</v>
      </c>
      <c r="R3844" s="4">
        <f t="shared" ca="1" si="336"/>
        <v>-32.787494733478752</v>
      </c>
      <c r="S3844" s="4">
        <f t="shared" ca="1" si="337"/>
        <v>-16.159743502429716</v>
      </c>
    </row>
    <row r="3845" spans="15:19" x14ac:dyDescent="0.2">
      <c r="O3845" s="4">
        <f t="shared" ca="1" si="333"/>
        <v>0.90856958933964727</v>
      </c>
      <c r="P3845" s="4">
        <f t="shared" ca="1" si="334"/>
        <v>1.3319980742638584</v>
      </c>
      <c r="Q3845" s="4">
        <f t="shared" ca="1" si="335"/>
        <v>1898.1312499784301</v>
      </c>
      <c r="R3845" s="4">
        <f t="shared" ca="1" si="336"/>
        <v>-25.538794021569856</v>
      </c>
      <c r="S3845" s="4">
        <f t="shared" ca="1" si="337"/>
        <v>-12.662484922661642</v>
      </c>
    </row>
    <row r="3846" spans="15:19" x14ac:dyDescent="0.2">
      <c r="O3846" s="4">
        <f t="shared" ca="1" si="333"/>
        <v>0.64760685409947272</v>
      </c>
      <c r="P3846" s="4">
        <f t="shared" ca="1" si="334"/>
        <v>0.37886745640251568</v>
      </c>
      <c r="Q3846" s="4">
        <f t="shared" ca="1" si="335"/>
        <v>1916.1155585632473</v>
      </c>
      <c r="R3846" s="4">
        <f t="shared" ca="1" si="336"/>
        <v>-7.5544854367526568</v>
      </c>
      <c r="S3846" s="4">
        <f t="shared" ca="1" si="337"/>
        <v>-3.8009229809878273</v>
      </c>
    </row>
    <row r="3847" spans="15:19" x14ac:dyDescent="0.2">
      <c r="O3847" s="4">
        <f t="shared" ca="1" si="333"/>
        <v>6.2705304063291889E-3</v>
      </c>
      <c r="P3847" s="4">
        <f t="shared" ca="1" si="334"/>
        <v>-2.4965425891674125</v>
      </c>
      <c r="Q3847" s="4">
        <f t="shared" ca="1" si="335"/>
        <v>1970.3707263213098</v>
      </c>
      <c r="R3847" s="4">
        <f t="shared" ca="1" si="336"/>
        <v>46.700682321309841</v>
      </c>
      <c r="S3847" s="4">
        <f t="shared" ca="1" si="337"/>
        <v>24.528141965747256</v>
      </c>
    </row>
    <row r="3848" spans="15:19" x14ac:dyDescent="0.2">
      <c r="O3848" s="4">
        <f t="shared" ca="1" si="333"/>
        <v>0.27959581472928052</v>
      </c>
      <c r="P3848" s="4">
        <f t="shared" ca="1" si="334"/>
        <v>-0.58404263270903201</v>
      </c>
      <c r="Q3848" s="4">
        <f t="shared" ca="1" si="335"/>
        <v>1934.2843927791419</v>
      </c>
      <c r="R3848" s="4">
        <f t="shared" ca="1" si="336"/>
        <v>10.614348779141892</v>
      </c>
      <c r="S3848" s="4">
        <f t="shared" ca="1" si="337"/>
        <v>5.4189495286219849</v>
      </c>
    </row>
    <row r="3849" spans="15:19" x14ac:dyDescent="0.2">
      <c r="O3849" s="4">
        <f t="shared" ca="1" si="333"/>
        <v>0.19027748367133224</v>
      </c>
      <c r="P3849" s="4">
        <f t="shared" ca="1" si="334"/>
        <v>-0.87687420684763517</v>
      </c>
      <c r="Q3849" s="4">
        <f t="shared" ca="1" si="335"/>
        <v>1939.8097355747634</v>
      </c>
      <c r="R3849" s="4">
        <f t="shared" ca="1" si="336"/>
        <v>16.139691574763447</v>
      </c>
      <c r="S3849" s="4">
        <f t="shared" ca="1" si="337"/>
        <v>8.2761072796446804</v>
      </c>
    </row>
    <row r="3850" spans="15:19" x14ac:dyDescent="0.2">
      <c r="O3850" s="4">
        <f t="shared" ca="1" si="333"/>
        <v>0.74983581311727676</v>
      </c>
      <c r="P3850" s="4">
        <f t="shared" ca="1" si="334"/>
        <v>0.67397316621245973</v>
      </c>
      <c r="Q3850" s="4">
        <f t="shared" ca="1" si="335"/>
        <v>1910.5473058485543</v>
      </c>
      <c r="R3850" s="4">
        <f t="shared" ca="1" si="336"/>
        <v>-13.122738151445674</v>
      </c>
      <c r="S3850" s="4">
        <f t="shared" ca="1" si="337"/>
        <v>-6.5727587207044884</v>
      </c>
    </row>
    <row r="3851" spans="15:19" x14ac:dyDescent="0.2">
      <c r="O3851" s="4">
        <f t="shared" ca="1" si="333"/>
        <v>9.4571446208142063E-2</v>
      </c>
      <c r="P3851" s="4">
        <f t="shared" ca="1" si="334"/>
        <v>-1.3131188813942609</v>
      </c>
      <c r="Q3851" s="4">
        <f t="shared" ca="1" si="335"/>
        <v>1948.0410930597782</v>
      </c>
      <c r="R3851" s="4">
        <f t="shared" ca="1" si="336"/>
        <v>24.371049059778215</v>
      </c>
      <c r="S3851" s="4">
        <f t="shared" ca="1" si="337"/>
        <v>12.57864171180354</v>
      </c>
    </row>
    <row r="3852" spans="15:19" x14ac:dyDescent="0.2">
      <c r="O3852" s="4">
        <f t="shared" ca="1" si="333"/>
        <v>0.23139771760284134</v>
      </c>
      <c r="P3852" s="4">
        <f t="shared" ca="1" si="334"/>
        <v>-0.73425155892136695</v>
      </c>
      <c r="Q3852" s="4">
        <f t="shared" ca="1" si="335"/>
        <v>1937.1186356736341</v>
      </c>
      <c r="R3852" s="4">
        <f t="shared" ca="1" si="336"/>
        <v>13.448591673634155</v>
      </c>
      <c r="S3852" s="4">
        <f t="shared" ca="1" si="337"/>
        <v>6.8814332528906599</v>
      </c>
    </row>
    <row r="3853" spans="15:19" x14ac:dyDescent="0.2">
      <c r="O3853" s="4">
        <f t="shared" ca="1" si="333"/>
        <v>0.39708175841661242</v>
      </c>
      <c r="P3853" s="4">
        <f t="shared" ca="1" si="334"/>
        <v>-0.26090792029124454</v>
      </c>
      <c r="Q3853" s="4">
        <f t="shared" ca="1" si="335"/>
        <v>1928.1872700200101</v>
      </c>
      <c r="R3853" s="4">
        <f t="shared" ca="1" si="336"/>
        <v>4.5172260200101846</v>
      </c>
      <c r="S3853" s="4">
        <f t="shared" ca="1" si="337"/>
        <v>2.2949704393876349</v>
      </c>
    </row>
    <row r="3854" spans="15:19" x14ac:dyDescent="0.2">
      <c r="O3854" s="4">
        <f t="shared" ca="1" si="333"/>
        <v>0.21701861222849539</v>
      </c>
      <c r="P3854" s="4">
        <f t="shared" ca="1" si="334"/>
        <v>-0.78230180818559492</v>
      </c>
      <c r="Q3854" s="4">
        <f t="shared" ca="1" si="335"/>
        <v>1938.0252800455089</v>
      </c>
      <c r="R3854" s="4">
        <f t="shared" ca="1" si="336"/>
        <v>14.355236045508946</v>
      </c>
      <c r="S3854" s="4">
        <f t="shared" ca="1" si="337"/>
        <v>7.3506469903392304</v>
      </c>
    </row>
    <row r="3855" spans="15:19" x14ac:dyDescent="0.2">
      <c r="O3855" s="4">
        <f t="shared" ca="1" si="333"/>
        <v>9.0965370264023404E-3</v>
      </c>
      <c r="P3855" s="4">
        <f t="shared" ca="1" si="334"/>
        <v>-2.3616649970927437</v>
      </c>
      <c r="Q3855" s="4">
        <f t="shared" ca="1" si="335"/>
        <v>1967.8257653352796</v>
      </c>
      <c r="R3855" s="4">
        <f t="shared" ca="1" si="336"/>
        <v>44.155721335279623</v>
      </c>
      <c r="S3855" s="4">
        <f t="shared" ca="1" si="337"/>
        <v>23.145732797104102</v>
      </c>
    </row>
    <row r="3856" spans="15:19" x14ac:dyDescent="0.2">
      <c r="O3856" s="4">
        <f t="shared" ca="1" si="333"/>
        <v>0.63817429362676492</v>
      </c>
      <c r="P3856" s="4">
        <f t="shared" ca="1" si="334"/>
        <v>0.35358300489985628</v>
      </c>
      <c r="Q3856" s="4">
        <f t="shared" ca="1" si="335"/>
        <v>1916.592642574295</v>
      </c>
      <c r="R3856" s="4">
        <f t="shared" ca="1" si="336"/>
        <v>-7.0774014257049203</v>
      </c>
      <c r="S3856" s="4">
        <f t="shared" ca="1" si="337"/>
        <v>-3.5622599850268717</v>
      </c>
    </row>
    <row r="3857" spans="15:19" x14ac:dyDescent="0.2">
      <c r="O3857" s="4">
        <f t="shared" ca="1" si="333"/>
        <v>0.54756993490817996</v>
      </c>
      <c r="P3857" s="4">
        <f t="shared" ca="1" si="334"/>
        <v>0.11952412230645715</v>
      </c>
      <c r="Q3857" s="4">
        <f t="shared" ca="1" si="335"/>
        <v>1921.0090227562919</v>
      </c>
      <c r="R3857" s="4">
        <f t="shared" ca="1" si="336"/>
        <v>-2.6610212437080918</v>
      </c>
      <c r="S3857" s="4">
        <f t="shared" ca="1" si="337"/>
        <v>-1.3441525469645579</v>
      </c>
    </row>
    <row r="3858" spans="15:19" x14ac:dyDescent="0.2">
      <c r="O3858" s="4">
        <f t="shared" ca="1" si="333"/>
        <v>0.77406643489656746</v>
      </c>
      <c r="P3858" s="4">
        <f t="shared" ca="1" si="334"/>
        <v>0.75230588399069842</v>
      </c>
      <c r="Q3858" s="4">
        <f t="shared" ca="1" si="335"/>
        <v>1909.0692715241798</v>
      </c>
      <c r="R3858" s="4">
        <f t="shared" ca="1" si="336"/>
        <v>-14.600772475820122</v>
      </c>
      <c r="S3858" s="4">
        <f t="shared" ca="1" si="337"/>
        <v>-7.3042739820731386</v>
      </c>
    </row>
    <row r="3859" spans="15:19" x14ac:dyDescent="0.2">
      <c r="O3859" s="4">
        <f t="shared" ca="1" si="333"/>
        <v>0.47399984998887434</v>
      </c>
      <c r="P3859" s="4">
        <f t="shared" ca="1" si="334"/>
        <v>-6.5218916532225488E-2</v>
      </c>
      <c r="Q3859" s="4">
        <f t="shared" ca="1" si="335"/>
        <v>1924.4948784796416</v>
      </c>
      <c r="R3859" s="4">
        <f t="shared" ca="1" si="336"/>
        <v>0.82483447964159495</v>
      </c>
      <c r="S3859" s="4">
        <f t="shared" ca="1" si="337"/>
        <v>0.41781624309912957</v>
      </c>
    </row>
    <row r="3860" spans="15:19" x14ac:dyDescent="0.2">
      <c r="O3860" s="4">
        <f t="shared" ca="1" si="333"/>
        <v>0.67650725865159944</v>
      </c>
      <c r="P3860" s="4">
        <f t="shared" ca="1" si="334"/>
        <v>0.4579540099522883</v>
      </c>
      <c r="Q3860" s="4">
        <f t="shared" ca="1" si="335"/>
        <v>1914.6233003592877</v>
      </c>
      <c r="R3860" s="4">
        <f t="shared" ca="1" si="336"/>
        <v>-9.0467436407122932</v>
      </c>
      <c r="S3860" s="4">
        <f t="shared" ca="1" si="337"/>
        <v>-4.5462342440523251</v>
      </c>
    </row>
    <row r="3861" spans="15:19" x14ac:dyDescent="0.2">
      <c r="O3861" s="4">
        <f t="shared" ca="1" si="333"/>
        <v>0.20794505384145201</v>
      </c>
      <c r="P3861" s="4">
        <f t="shared" ca="1" si="334"/>
        <v>-0.81357213278253415</v>
      </c>
      <c r="Q3861" s="4">
        <f t="shared" ca="1" si="335"/>
        <v>1938.6153095299885</v>
      </c>
      <c r="R3861" s="4">
        <f t="shared" ca="1" si="336"/>
        <v>14.945265529988546</v>
      </c>
      <c r="S3861" s="4">
        <f t="shared" ca="1" si="337"/>
        <v>7.6563631725060386</v>
      </c>
    </row>
    <row r="3862" spans="15:19" x14ac:dyDescent="0.2">
      <c r="O3862" s="4">
        <f t="shared" ca="1" si="333"/>
        <v>0.79401121693439602</v>
      </c>
      <c r="P3862" s="4">
        <f t="shared" ca="1" si="334"/>
        <v>0.82041851148775569</v>
      </c>
      <c r="Q3862" s="4">
        <f t="shared" ca="1" si="335"/>
        <v>1907.7840767266625</v>
      </c>
      <c r="R3862" s="4">
        <f t="shared" ca="1" si="336"/>
        <v>-15.885967273337428</v>
      </c>
      <c r="S3862" s="4">
        <f t="shared" ca="1" si="337"/>
        <v>-7.9389026350541165</v>
      </c>
    </row>
    <row r="3863" spans="15:19" x14ac:dyDescent="0.2">
      <c r="O3863" s="4">
        <f t="shared" ca="1" si="333"/>
        <v>0.40565337054754125</v>
      </c>
      <c r="P3863" s="4">
        <f t="shared" ca="1" si="334"/>
        <v>-0.23874058909925092</v>
      </c>
      <c r="Q3863" s="4">
        <f t="shared" ca="1" si="335"/>
        <v>1927.7690019283261</v>
      </c>
      <c r="R3863" s="4">
        <f t="shared" ca="1" si="336"/>
        <v>4.0989579283261719</v>
      </c>
      <c r="S3863" s="4">
        <f t="shared" ca="1" si="337"/>
        <v>2.0817720079491151</v>
      </c>
    </row>
    <row r="3864" spans="15:19" x14ac:dyDescent="0.2">
      <c r="O3864" s="4">
        <f t="shared" ca="1" si="333"/>
        <v>0.33845354556893659</v>
      </c>
      <c r="P3864" s="4">
        <f t="shared" ca="1" si="334"/>
        <v>-0.41668737346445262</v>
      </c>
      <c r="Q3864" s="4">
        <f t="shared" ca="1" si="335"/>
        <v>1931.1266213581587</v>
      </c>
      <c r="R3864" s="4">
        <f t="shared" ca="1" si="336"/>
        <v>7.4565773581587109</v>
      </c>
      <c r="S3864" s="4">
        <f t="shared" ca="1" si="337"/>
        <v>3.7972257663391793</v>
      </c>
    </row>
    <row r="3865" spans="15:19" x14ac:dyDescent="0.2">
      <c r="O3865" s="4">
        <f t="shared" ca="1" si="333"/>
        <v>0.24070494436850332</v>
      </c>
      <c r="P3865" s="4">
        <f t="shared" ca="1" si="334"/>
        <v>-0.70403674816761852</v>
      </c>
      <c r="Q3865" s="4">
        <f t="shared" ca="1" si="335"/>
        <v>1936.5485223331914</v>
      </c>
      <c r="R3865" s="4">
        <f t="shared" ca="1" si="336"/>
        <v>12.878478333191424</v>
      </c>
      <c r="S3865" s="4">
        <f t="shared" ca="1" si="337"/>
        <v>6.5867264252875888</v>
      </c>
    </row>
    <row r="3866" spans="15:19" x14ac:dyDescent="0.2">
      <c r="O3866" s="4">
        <f t="shared" ca="1" si="333"/>
        <v>0.949512103235989</v>
      </c>
      <c r="P3866" s="4">
        <f t="shared" ca="1" si="334"/>
        <v>1.6401412875816825</v>
      </c>
      <c r="Q3866" s="4">
        <f t="shared" ca="1" si="335"/>
        <v>1892.3169968920488</v>
      </c>
      <c r="R3866" s="4">
        <f t="shared" ca="1" si="336"/>
        <v>-31.35304710795117</v>
      </c>
      <c r="S3866" s="4">
        <f t="shared" ca="1" si="337"/>
        <v>-15.471064976222003</v>
      </c>
    </row>
    <row r="3867" spans="15:19" x14ac:dyDescent="0.2">
      <c r="O3867" s="4">
        <f t="shared" ca="1" si="333"/>
        <v>0.21103981088925572</v>
      </c>
      <c r="P3867" s="4">
        <f t="shared" ca="1" si="334"/>
        <v>-0.80281854483011084</v>
      </c>
      <c r="Q3867" s="4">
        <f t="shared" ca="1" si="335"/>
        <v>1938.4124036107933</v>
      </c>
      <c r="R3867" s="4">
        <f t="shared" ca="1" si="336"/>
        <v>14.742359610793301</v>
      </c>
      <c r="S3867" s="4">
        <f t="shared" ca="1" si="337"/>
        <v>7.5511981072522643</v>
      </c>
    </row>
    <row r="3868" spans="15:19" x14ac:dyDescent="0.2">
      <c r="O3868" s="4">
        <f t="shared" ca="1" si="333"/>
        <v>0.93134860183460044</v>
      </c>
      <c r="P3868" s="4">
        <f t="shared" ca="1" si="334"/>
        <v>1.4859104983976239</v>
      </c>
      <c r="Q3868" s="4">
        <f t="shared" ca="1" si="335"/>
        <v>1895.2271269980249</v>
      </c>
      <c r="R3868" s="4">
        <f t="shared" ca="1" si="336"/>
        <v>-28.442917001975047</v>
      </c>
      <c r="S3868" s="4">
        <f t="shared" ca="1" si="337"/>
        <v>-14.068764370772994</v>
      </c>
    </row>
    <row r="3869" spans="15:19" x14ac:dyDescent="0.2">
      <c r="O3869" s="4">
        <f t="shared" ca="1" si="333"/>
        <v>0.3999686377837296</v>
      </c>
      <c r="P3869" s="4">
        <f t="shared" ca="1" si="334"/>
        <v>-0.25342828119953342</v>
      </c>
      <c r="Q3869" s="4">
        <f t="shared" ca="1" si="335"/>
        <v>1928.046139166581</v>
      </c>
      <c r="R3869" s="4">
        <f t="shared" ca="1" si="336"/>
        <v>4.3760951665810808</v>
      </c>
      <c r="S3869" s="4">
        <f t="shared" ca="1" si="337"/>
        <v>2.2230176974741029</v>
      </c>
    </row>
    <row r="3870" spans="15:19" x14ac:dyDescent="0.2">
      <c r="O3870" s="4">
        <f t="shared" ca="1" si="333"/>
        <v>0.31905326910564491</v>
      </c>
      <c r="P3870" s="4">
        <f t="shared" ca="1" si="334"/>
        <v>-0.47034781922210284</v>
      </c>
      <c r="Q3870" s="4">
        <f t="shared" ca="1" si="335"/>
        <v>1932.1391226850701</v>
      </c>
      <c r="R3870" s="4">
        <f t="shared" ca="1" si="336"/>
        <v>8.4690786850701443</v>
      </c>
      <c r="S3870" s="4">
        <f t="shared" ca="1" si="337"/>
        <v>4.3163277440093903</v>
      </c>
    </row>
    <row r="3871" spans="15:19" x14ac:dyDescent="0.2">
      <c r="O3871" s="4">
        <f t="shared" ca="1" si="333"/>
        <v>0.24495491886744958</v>
      </c>
      <c r="P3871" s="4">
        <f t="shared" ca="1" si="334"/>
        <v>-0.69045223498317454</v>
      </c>
      <c r="Q3871" s="4">
        <f t="shared" ca="1" si="335"/>
        <v>1936.2922006155745</v>
      </c>
      <c r="R3871" s="4">
        <f t="shared" ca="1" si="336"/>
        <v>12.622156615574568</v>
      </c>
      <c r="S3871" s="4">
        <f t="shared" ca="1" si="337"/>
        <v>6.454313107512184</v>
      </c>
    </row>
    <row r="3872" spans="15:19" x14ac:dyDescent="0.2">
      <c r="O3872" s="4">
        <f t="shared" ca="1" si="333"/>
        <v>0.81104892455858857</v>
      </c>
      <c r="P3872" s="4">
        <f t="shared" ca="1" si="334"/>
        <v>0.88176823822221795</v>
      </c>
      <c r="Q3872" s="4">
        <f t="shared" ca="1" si="335"/>
        <v>1906.6264888824462</v>
      </c>
      <c r="R3872" s="4">
        <f t="shared" ca="1" si="336"/>
        <v>-17.043555117553751</v>
      </c>
      <c r="S3872" s="4">
        <f t="shared" ca="1" si="337"/>
        <v>-8.5093679438190009</v>
      </c>
    </row>
    <row r="3873" spans="15:19" x14ac:dyDescent="0.2">
      <c r="O3873" s="4">
        <f t="shared" ca="1" si="333"/>
        <v>0.75327876699518237</v>
      </c>
      <c r="P3873" s="4">
        <f t="shared" ca="1" si="334"/>
        <v>0.68484384266698772</v>
      </c>
      <c r="Q3873" s="4">
        <f t="shared" ca="1" si="335"/>
        <v>1910.3421906248689</v>
      </c>
      <c r="R3873" s="4">
        <f t="shared" ca="1" si="336"/>
        <v>-13.327853375131099</v>
      </c>
      <c r="S3873" s="4">
        <f t="shared" ca="1" si="337"/>
        <v>-6.6743815349076572</v>
      </c>
    </row>
    <row r="3874" spans="15:19" x14ac:dyDescent="0.2">
      <c r="O3874" s="4">
        <f t="shared" ca="1" si="333"/>
        <v>0.43003923240804109</v>
      </c>
      <c r="P3874" s="4">
        <f t="shared" ca="1" si="334"/>
        <v>-0.17627428305041073</v>
      </c>
      <c r="Q3874" s="4">
        <f t="shared" ca="1" si="335"/>
        <v>1926.5903457157528</v>
      </c>
      <c r="R3874" s="4">
        <f t="shared" ca="1" si="336"/>
        <v>2.9203017157528848</v>
      </c>
      <c r="S3874" s="4">
        <f t="shared" ca="1" si="337"/>
        <v>1.4817568849407543</v>
      </c>
    </row>
    <row r="3875" spans="15:19" x14ac:dyDescent="0.2">
      <c r="O3875" s="4">
        <f t="shared" ca="1" si="333"/>
        <v>0.45145264222083081</v>
      </c>
      <c r="P3875" s="4">
        <f t="shared" ca="1" si="334"/>
        <v>-0.12199208785989189</v>
      </c>
      <c r="Q3875" s="4">
        <f t="shared" ca="1" si="335"/>
        <v>1925.5661128029983</v>
      </c>
      <c r="R3875" s="4">
        <f t="shared" ca="1" si="336"/>
        <v>1.896068802998343</v>
      </c>
      <c r="S3875" s="4">
        <f t="shared" ca="1" si="337"/>
        <v>0.96127204506486541</v>
      </c>
    </row>
    <row r="3876" spans="15:19" x14ac:dyDescent="0.2">
      <c r="O3876" s="4">
        <f t="shared" ca="1" si="333"/>
        <v>0.80161549555100164</v>
      </c>
      <c r="P3876" s="4">
        <f t="shared" ca="1" si="334"/>
        <v>0.84740573514358863</v>
      </c>
      <c r="Q3876" s="4">
        <f t="shared" ca="1" si="335"/>
        <v>1907.2748636671106</v>
      </c>
      <c r="R3876" s="4">
        <f t="shared" ca="1" si="336"/>
        <v>-16.395180332889367</v>
      </c>
      <c r="S3876" s="4">
        <f t="shared" ca="1" si="337"/>
        <v>-8.1899798769128243</v>
      </c>
    </row>
    <row r="3877" spans="15:19" x14ac:dyDescent="0.2">
      <c r="O3877" s="4">
        <f t="shared" ca="1" si="333"/>
        <v>7.9636987549669414E-4</v>
      </c>
      <c r="P3877" s="4">
        <f t="shared" ca="1" si="334"/>
        <v>-3.1572330887895559</v>
      </c>
      <c r="Q3877" s="4">
        <f t="shared" ca="1" si="335"/>
        <v>1982.8370783633025</v>
      </c>
      <c r="R3877" s="4">
        <f t="shared" ca="1" si="336"/>
        <v>59.167034363302491</v>
      </c>
      <c r="S3877" s="4">
        <f t="shared" ca="1" si="337"/>
        <v>31.375975019183294</v>
      </c>
    </row>
    <row r="3878" spans="15:19" x14ac:dyDescent="0.2">
      <c r="O3878" s="4">
        <f t="shared" ca="1" si="333"/>
        <v>0.69938363988507191</v>
      </c>
      <c r="P3878" s="4">
        <f t="shared" ca="1" si="334"/>
        <v>0.52262861965851037</v>
      </c>
      <c r="Q3878" s="4">
        <f t="shared" ca="1" si="335"/>
        <v>1913.4029763902925</v>
      </c>
      <c r="R3878" s="4">
        <f t="shared" ca="1" si="336"/>
        <v>-10.26706760970751</v>
      </c>
      <c r="S3878" s="4">
        <f t="shared" ca="1" si="337"/>
        <v>-5.1543799320587178</v>
      </c>
    </row>
    <row r="3879" spans="15:19" x14ac:dyDescent="0.2">
      <c r="O3879" s="4">
        <f t="shared" ca="1" si="333"/>
        <v>0.90891528491737095</v>
      </c>
      <c r="P3879" s="4">
        <f t="shared" ca="1" si="334"/>
        <v>1.3341050527003642</v>
      </c>
      <c r="Q3879" s="4">
        <f t="shared" ca="1" si="335"/>
        <v>1898.0914940943219</v>
      </c>
      <c r="R3879" s="4">
        <f t="shared" ca="1" si="336"/>
        <v>-25.578549905678074</v>
      </c>
      <c r="S3879" s="4">
        <f t="shared" ca="1" si="337"/>
        <v>-12.681782488333921</v>
      </c>
    </row>
    <row r="3880" spans="15:19" x14ac:dyDescent="0.2">
      <c r="O3880" s="4">
        <f t="shared" ca="1" si="333"/>
        <v>0.32697056060966534</v>
      </c>
      <c r="P3880" s="4">
        <f t="shared" ca="1" si="334"/>
        <v>-0.44829387397155623</v>
      </c>
      <c r="Q3880" s="4">
        <f t="shared" ca="1" si="335"/>
        <v>1931.7229940354748</v>
      </c>
      <c r="R3880" s="4">
        <f t="shared" ca="1" si="336"/>
        <v>8.0529500354748507</v>
      </c>
      <c r="S3880" s="4">
        <f t="shared" ca="1" si="337"/>
        <v>4.1028806268700082</v>
      </c>
    </row>
    <row r="3881" spans="15:19" x14ac:dyDescent="0.2">
      <c r="O3881" s="4">
        <f t="shared" ca="1" si="333"/>
        <v>0.77847381240854197</v>
      </c>
      <c r="P3881" s="4">
        <f t="shared" ca="1" si="334"/>
        <v>0.76704901264083969</v>
      </c>
      <c r="Q3881" s="4">
        <f t="shared" ca="1" si="335"/>
        <v>1908.7910882718732</v>
      </c>
      <c r="R3881" s="4">
        <f t="shared" ca="1" si="336"/>
        <v>-14.878955728126812</v>
      </c>
      <c r="S3881" s="4">
        <f t="shared" ca="1" si="337"/>
        <v>-7.4417547894311298</v>
      </c>
    </row>
    <row r="3882" spans="15:19" x14ac:dyDescent="0.2">
      <c r="O3882" s="4">
        <f t="shared" ca="1" si="333"/>
        <v>0.67907024846297093</v>
      </c>
      <c r="P3882" s="4">
        <f t="shared" ca="1" si="334"/>
        <v>0.46510047888170802</v>
      </c>
      <c r="Q3882" s="4">
        <f t="shared" ca="1" si="335"/>
        <v>1914.4884559842251</v>
      </c>
      <c r="R3882" s="4">
        <f t="shared" ca="1" si="336"/>
        <v>-9.1815880157748779</v>
      </c>
      <c r="S3882" s="4">
        <f t="shared" ca="1" si="337"/>
        <v>-4.6134932162286981</v>
      </c>
    </row>
    <row r="3883" spans="15:19" x14ac:dyDescent="0.2">
      <c r="O3883" s="4">
        <f t="shared" ca="1" si="333"/>
        <v>0.53133051385538421</v>
      </c>
      <c r="P3883" s="4">
        <f t="shared" ca="1" si="334"/>
        <v>7.8614854042914989E-2</v>
      </c>
      <c r="Q3883" s="4">
        <f t="shared" ca="1" si="335"/>
        <v>1921.7809263030285</v>
      </c>
      <c r="R3883" s="4">
        <f t="shared" ca="1" si="336"/>
        <v>-1.8891176969714252</v>
      </c>
      <c r="S3883" s="4">
        <f t="shared" ca="1" si="337"/>
        <v>-0.95483714725683455</v>
      </c>
    </row>
    <row r="3884" spans="15:19" x14ac:dyDescent="0.2">
      <c r="O3884" s="4">
        <f t="shared" ca="1" si="333"/>
        <v>0.8671731490812481</v>
      </c>
      <c r="P3884" s="4">
        <f t="shared" ca="1" si="334"/>
        <v>1.1131274362024004</v>
      </c>
      <c r="Q3884" s="4">
        <f t="shared" ca="1" si="335"/>
        <v>1902.2610481627389</v>
      </c>
      <c r="R3884" s="4">
        <f t="shared" ca="1" si="336"/>
        <v>-21.408995837261045</v>
      </c>
      <c r="S3884" s="4">
        <f t="shared" ca="1" si="337"/>
        <v>-10.650865205813338</v>
      </c>
    </row>
    <row r="3885" spans="15:19" x14ac:dyDescent="0.2">
      <c r="O3885" s="4">
        <f t="shared" ca="1" si="333"/>
        <v>0.78011512440557906</v>
      </c>
      <c r="P3885" s="4">
        <f t="shared" ca="1" si="334"/>
        <v>0.77258208345354085</v>
      </c>
      <c r="Q3885" s="4">
        <f t="shared" ca="1" si="335"/>
        <v>1908.6866865759748</v>
      </c>
      <c r="R3885" s="4">
        <f t="shared" ca="1" si="336"/>
        <v>-14.983357424025144</v>
      </c>
      <c r="S3885" s="4">
        <f t="shared" ca="1" si="337"/>
        <v>-7.4933348404886262</v>
      </c>
    </row>
    <row r="3886" spans="15:19" x14ac:dyDescent="0.2">
      <c r="O3886" s="4">
        <f t="shared" ca="1" si="333"/>
        <v>0.33736553635910727</v>
      </c>
      <c r="P3886" s="4">
        <f t="shared" ca="1" si="334"/>
        <v>-0.41966380128051517</v>
      </c>
      <c r="Q3886" s="4">
        <f t="shared" ca="1" si="335"/>
        <v>1931.1827825970502</v>
      </c>
      <c r="R3886" s="4">
        <f t="shared" ca="1" si="336"/>
        <v>7.5127385970502019</v>
      </c>
      <c r="S3886" s="4">
        <f t="shared" ca="1" si="337"/>
        <v>3.8259973567568926</v>
      </c>
    </row>
    <row r="3887" spans="15:19" x14ac:dyDescent="0.2">
      <c r="O3887" s="4">
        <f t="shared" ca="1" si="333"/>
        <v>0.9173925943687955</v>
      </c>
      <c r="P3887" s="4">
        <f t="shared" ca="1" si="334"/>
        <v>1.3877446609201762</v>
      </c>
      <c r="Q3887" s="4">
        <f t="shared" ca="1" si="335"/>
        <v>1897.0793859440682</v>
      </c>
      <c r="R3887" s="4">
        <f t="shared" ca="1" si="336"/>
        <v>-26.590658055931726</v>
      </c>
      <c r="S3887" s="4">
        <f t="shared" ca="1" si="337"/>
        <v>-13.1726279339243</v>
      </c>
    </row>
    <row r="3888" spans="15:19" x14ac:dyDescent="0.2">
      <c r="O3888" s="4">
        <f t="shared" ca="1" si="333"/>
        <v>0.77154202217306167</v>
      </c>
      <c r="P3888" s="4">
        <f t="shared" ca="1" si="334"/>
        <v>0.7439347423555831</v>
      </c>
      <c r="Q3888" s="4">
        <f t="shared" ca="1" si="335"/>
        <v>1909.2272238462979</v>
      </c>
      <c r="R3888" s="4">
        <f t="shared" ca="1" si="336"/>
        <v>-14.442820153702087</v>
      </c>
      <c r="S3888" s="4">
        <f t="shared" ca="1" si="337"/>
        <v>-7.2261844007418548</v>
      </c>
    </row>
    <row r="3889" spans="15:19" x14ac:dyDescent="0.2">
      <c r="O3889" s="4">
        <f t="shared" ca="1" si="333"/>
        <v>4.8021127618137815E-2</v>
      </c>
      <c r="P3889" s="4">
        <f t="shared" ca="1" si="334"/>
        <v>-1.6643512547319141</v>
      </c>
      <c r="Q3889" s="4">
        <f t="shared" ca="1" si="335"/>
        <v>1954.668381354488</v>
      </c>
      <c r="R3889" s="4">
        <f t="shared" ca="1" si="336"/>
        <v>30.998337354488058</v>
      </c>
      <c r="S3889" s="4">
        <f t="shared" ca="1" si="337"/>
        <v>16.082813559345656</v>
      </c>
    </row>
    <row r="3890" spans="15:19" x14ac:dyDescent="0.2">
      <c r="O3890" s="4">
        <f t="shared" ca="1" si="333"/>
        <v>0.3125103528046711</v>
      </c>
      <c r="P3890" s="4">
        <f t="shared" ca="1" si="334"/>
        <v>-0.48874716812011898</v>
      </c>
      <c r="Q3890" s="4">
        <f t="shared" ca="1" si="335"/>
        <v>1932.486293956395</v>
      </c>
      <c r="R3890" s="4">
        <f t="shared" ca="1" si="336"/>
        <v>8.8162499563950405</v>
      </c>
      <c r="S3890" s="4">
        <f t="shared" ca="1" si="337"/>
        <v>4.4945120520798634</v>
      </c>
    </row>
    <row r="3891" spans="15:19" x14ac:dyDescent="0.2">
      <c r="O3891" s="4">
        <f t="shared" ca="1" si="333"/>
        <v>0.75169416770402009</v>
      </c>
      <c r="P3891" s="4">
        <f t="shared" ca="1" si="334"/>
        <v>0.67983070133280232</v>
      </c>
      <c r="Q3891" s="4">
        <f t="shared" ca="1" si="335"/>
        <v>1910.4367819422014</v>
      </c>
      <c r="R3891" s="4">
        <f t="shared" ca="1" si="336"/>
        <v>-13.233262057798584</v>
      </c>
      <c r="S3891" s="4">
        <f t="shared" ca="1" si="337"/>
        <v>-6.6275212250029183</v>
      </c>
    </row>
    <row r="3892" spans="15:19" x14ac:dyDescent="0.2">
      <c r="O3892" s="4">
        <f t="shared" ca="1" si="333"/>
        <v>0.7531769265924616</v>
      </c>
      <c r="P3892" s="4">
        <f t="shared" ca="1" si="334"/>
        <v>0.68452113705160422</v>
      </c>
      <c r="Q3892" s="4">
        <f t="shared" ca="1" si="335"/>
        <v>1910.3482796511371</v>
      </c>
      <c r="R3892" s="4">
        <f t="shared" ca="1" si="336"/>
        <v>-13.321764348862871</v>
      </c>
      <c r="S3892" s="4">
        <f t="shared" ca="1" si="337"/>
        <v>-6.6713652653830193</v>
      </c>
    </row>
    <row r="3893" spans="15:19" x14ac:dyDescent="0.2">
      <c r="O3893" s="4">
        <f t="shared" ca="1" si="333"/>
        <v>0.81243407440437054</v>
      </c>
      <c r="P3893" s="4">
        <f t="shared" ca="1" si="334"/>
        <v>0.8869016538221367</v>
      </c>
      <c r="Q3893" s="4">
        <f t="shared" ca="1" si="335"/>
        <v>1906.5296281494961</v>
      </c>
      <c r="R3893" s="4">
        <f t="shared" ca="1" si="336"/>
        <v>-17.140415850503814</v>
      </c>
      <c r="S3893" s="4">
        <f t="shared" ca="1" si="337"/>
        <v>-8.5570519549831747</v>
      </c>
    </row>
    <row r="3894" spans="15:19" x14ac:dyDescent="0.2">
      <c r="O3894" s="4">
        <f t="shared" ca="1" si="333"/>
        <v>2.3388910805744123E-2</v>
      </c>
      <c r="P3894" s="4">
        <f t="shared" ca="1" si="334"/>
        <v>-1.9883063257649864</v>
      </c>
      <c r="Q3894" s="4">
        <f t="shared" ca="1" si="335"/>
        <v>1960.7809831908951</v>
      </c>
      <c r="R3894" s="4">
        <f t="shared" ca="1" si="336"/>
        <v>37.110939190895124</v>
      </c>
      <c r="S3894" s="4">
        <f t="shared" ca="1" si="337"/>
        <v>19.346545531464177</v>
      </c>
    </row>
    <row r="3895" spans="15:19" x14ac:dyDescent="0.2">
      <c r="O3895" s="4">
        <f t="shared" ca="1" si="333"/>
        <v>0.80028014088371513</v>
      </c>
      <c r="P3895" s="4">
        <f t="shared" ca="1" si="334"/>
        <v>0.84262229456725179</v>
      </c>
      <c r="Q3895" s="4">
        <f t="shared" ca="1" si="335"/>
        <v>1907.3651208362853</v>
      </c>
      <c r="R3895" s="4">
        <f t="shared" ca="1" si="336"/>
        <v>-16.304923163714648</v>
      </c>
      <c r="S3895" s="4">
        <f t="shared" ca="1" si="337"/>
        <v>-8.1454922455710079</v>
      </c>
    </row>
    <row r="3896" spans="15:19" x14ac:dyDescent="0.2">
      <c r="O3896" s="4">
        <f t="shared" ca="1" si="333"/>
        <v>0.12238886733786403</v>
      </c>
      <c r="P3896" s="4">
        <f t="shared" ca="1" si="334"/>
        <v>-1.1631276021677714</v>
      </c>
      <c r="Q3896" s="4">
        <f t="shared" ca="1" si="335"/>
        <v>1945.2109568747783</v>
      </c>
      <c r="R3896" s="4">
        <f t="shared" ca="1" si="336"/>
        <v>21.540912874778314</v>
      </c>
      <c r="S3896" s="4">
        <f t="shared" ca="1" si="337"/>
        <v>11.09310565739743</v>
      </c>
    </row>
    <row r="3897" spans="15:19" x14ac:dyDescent="0.2">
      <c r="O3897" s="4">
        <f t="shared" ca="1" si="333"/>
        <v>0.60091488937356585</v>
      </c>
      <c r="P3897" s="4">
        <f t="shared" ca="1" si="334"/>
        <v>0.25571589430433511</v>
      </c>
      <c r="Q3897" s="4">
        <f t="shared" ca="1" si="335"/>
        <v>1918.4392649409162</v>
      </c>
      <c r="R3897" s="4">
        <f t="shared" ca="1" si="336"/>
        <v>-5.2307790590837158</v>
      </c>
      <c r="S3897" s="4">
        <f t="shared" ca="1" si="337"/>
        <v>-2.6367337534328952</v>
      </c>
    </row>
    <row r="3898" spans="15:19" x14ac:dyDescent="0.2">
      <c r="O3898" s="4">
        <f t="shared" ca="1" si="333"/>
        <v>0.58216845644666293</v>
      </c>
      <c r="P3898" s="4">
        <f t="shared" ca="1" si="334"/>
        <v>0.20744404574850711</v>
      </c>
      <c r="Q3898" s="4">
        <f t="shared" ca="1" si="335"/>
        <v>1919.3500905970425</v>
      </c>
      <c r="R3898" s="4">
        <f t="shared" ca="1" si="336"/>
        <v>-4.3199534029574806</v>
      </c>
      <c r="S3898" s="4">
        <f t="shared" ca="1" si="337"/>
        <v>-2.179206001278478</v>
      </c>
    </row>
    <row r="3899" spans="15:19" x14ac:dyDescent="0.2">
      <c r="O3899" s="4">
        <f t="shared" ca="1" si="333"/>
        <v>0.73860081995651583</v>
      </c>
      <c r="P3899" s="4">
        <f t="shared" ca="1" si="334"/>
        <v>0.63903777182585619</v>
      </c>
      <c r="Q3899" s="4">
        <f t="shared" ca="1" si="335"/>
        <v>1911.2064903311498</v>
      </c>
      <c r="R3899" s="4">
        <f t="shared" ca="1" si="336"/>
        <v>-12.463553668850182</v>
      </c>
      <c r="S3899" s="4">
        <f t="shared" ca="1" si="337"/>
        <v>-6.24593874375193</v>
      </c>
    </row>
    <row r="3900" spans="15:19" x14ac:dyDescent="0.2">
      <c r="O3900" s="4">
        <f t="shared" ca="1" si="333"/>
        <v>0.6662509295259712</v>
      </c>
      <c r="P3900" s="4">
        <f t="shared" ca="1" si="334"/>
        <v>0.42958418832424228</v>
      </c>
      <c r="Q3900" s="4">
        <f t="shared" ca="1" si="335"/>
        <v>1915.1586012058806</v>
      </c>
      <c r="R3900" s="4">
        <f t="shared" ca="1" si="336"/>
        <v>-8.5114427941193753</v>
      </c>
      <c r="S3900" s="4">
        <f t="shared" ca="1" si="337"/>
        <v>-4.2790857201420938</v>
      </c>
    </row>
    <row r="3901" spans="15:19" x14ac:dyDescent="0.2">
      <c r="O3901" s="4">
        <f t="shared" ca="1" si="333"/>
        <v>0.99765495292024076</v>
      </c>
      <c r="P3901" s="4">
        <f t="shared" ca="1" si="334"/>
        <v>2.8275824128534608</v>
      </c>
      <c r="Q3901" s="4">
        <f t="shared" ca="1" si="335"/>
        <v>1869.9115602992051</v>
      </c>
      <c r="R3901" s="4">
        <f t="shared" ca="1" si="336"/>
        <v>-53.758483700794841</v>
      </c>
      <c r="S3901" s="4">
        <f t="shared" ca="1" si="337"/>
        <v>-26.036651298091957</v>
      </c>
    </row>
    <row r="3902" spans="15:19" x14ac:dyDescent="0.2">
      <c r="O3902" s="4">
        <f t="shared" ca="1" si="333"/>
        <v>0.29532445017050424</v>
      </c>
      <c r="P3902" s="4">
        <f t="shared" ca="1" si="334"/>
        <v>-0.53789592723543755</v>
      </c>
      <c r="Q3902" s="4">
        <f t="shared" ca="1" si="335"/>
        <v>1933.4136657498582</v>
      </c>
      <c r="R3902" s="4">
        <f t="shared" ca="1" si="336"/>
        <v>9.7436217498582209</v>
      </c>
      <c r="S3902" s="4">
        <f t="shared" ca="1" si="337"/>
        <v>4.9709631728712766</v>
      </c>
    </row>
    <row r="3903" spans="15:19" x14ac:dyDescent="0.2">
      <c r="O3903" s="4">
        <f t="shared" ca="1" si="333"/>
        <v>0.58243123385503304</v>
      </c>
      <c r="P3903" s="4">
        <f t="shared" ca="1" si="334"/>
        <v>0.208117104250298</v>
      </c>
      <c r="Q3903" s="4">
        <f t="shared" ca="1" si="335"/>
        <v>1919.3373908772298</v>
      </c>
      <c r="R3903" s="4">
        <f t="shared" ca="1" si="336"/>
        <v>-4.3326531227701253</v>
      </c>
      <c r="S3903" s="4">
        <f t="shared" ca="1" si="337"/>
        <v>-2.1855899927621167</v>
      </c>
    </row>
    <row r="3904" spans="15:19" x14ac:dyDescent="0.2">
      <c r="O3904" s="4">
        <f t="shared" ca="1" si="333"/>
        <v>4.9417057319858571E-2</v>
      </c>
      <c r="P3904" s="4">
        <f t="shared" ca="1" si="334"/>
        <v>-1.6505322901667083</v>
      </c>
      <c r="Q3904" s="4">
        <f t="shared" ca="1" si="335"/>
        <v>1954.4076358507698</v>
      </c>
      <c r="R3904" s="4">
        <f t="shared" ca="1" si="336"/>
        <v>30.737591850769832</v>
      </c>
      <c r="S3904" s="4">
        <f t="shared" ca="1" si="337"/>
        <v>15.94426888908904</v>
      </c>
    </row>
    <row r="3905" spans="15:19" x14ac:dyDescent="0.2">
      <c r="O3905" s="4">
        <f t="shared" ca="1" si="333"/>
        <v>0.1255071845571164</v>
      </c>
      <c r="P3905" s="4">
        <f t="shared" ca="1" si="334"/>
        <v>-1.1478890500639598</v>
      </c>
      <c r="Q3905" s="4">
        <f t="shared" ca="1" si="335"/>
        <v>1944.9234256400396</v>
      </c>
      <c r="R3905" s="4">
        <f t="shared" ca="1" si="336"/>
        <v>21.253381640039606</v>
      </c>
      <c r="S3905" s="4">
        <f t="shared" ca="1" si="337"/>
        <v>10.942545666818797</v>
      </c>
    </row>
    <row r="3906" spans="15:19" x14ac:dyDescent="0.2">
      <c r="O3906" s="4">
        <f t="shared" ca="1" si="333"/>
        <v>0.49218453676974372</v>
      </c>
      <c r="P3906" s="4">
        <f t="shared" ca="1" si="334"/>
        <v>-1.9591714371977608E-2</v>
      </c>
      <c r="Q3906" s="4">
        <f t="shared" ca="1" si="335"/>
        <v>1923.6339537877529</v>
      </c>
      <c r="R3906" s="4">
        <f t="shared" ca="1" si="336"/>
        <v>-3.6090212247017917E-2</v>
      </c>
      <c r="S3906" s="4">
        <f t="shared" ca="1" si="337"/>
        <v>-1.8268688730598441E-2</v>
      </c>
    </row>
    <row r="3907" spans="15:19" x14ac:dyDescent="0.2">
      <c r="O3907" s="4">
        <f t="shared" ref="O3907:O3970" ca="1" si="338">RAND()</f>
        <v>0.41956631489183327</v>
      </c>
      <c r="P3907" s="4">
        <f t="shared" ref="P3907:P3970" ca="1" si="339">NORMSINV(O3907)</f>
        <v>-0.20300307368179948</v>
      </c>
      <c r="Q3907" s="4">
        <f t="shared" ref="Q3907:Q3970" ca="1" si="340">$B$4*(1+$B$17-$B$32*P3907)</f>
        <v>1927.0946824874459</v>
      </c>
      <c r="R3907" s="4">
        <f t="shared" ref="R3907:R3970" ca="1" si="341">Q3907-$B$4</f>
        <v>3.4246384874459181</v>
      </c>
      <c r="S3907" s="4">
        <f t="shared" ref="S3907:S3970" ca="1" si="342">R3907*$B$12+0.5*$B$13*R3907^2</f>
        <v>1.7383597147942562</v>
      </c>
    </row>
    <row r="3908" spans="15:19" x14ac:dyDescent="0.2">
      <c r="O3908" s="4">
        <f t="shared" ca="1" si="338"/>
        <v>0.99433854878723837</v>
      </c>
      <c r="P3908" s="4">
        <f t="shared" ca="1" si="339"/>
        <v>2.5325722752829583</v>
      </c>
      <c r="Q3908" s="4">
        <f t="shared" ca="1" si="340"/>
        <v>1875.4780096927016</v>
      </c>
      <c r="R3908" s="4">
        <f t="shared" ca="1" si="341"/>
        <v>-48.1920343072984</v>
      </c>
      <c r="S3908" s="4">
        <f t="shared" ca="1" si="342"/>
        <v>-23.449872854474251</v>
      </c>
    </row>
    <row r="3909" spans="15:19" x14ac:dyDescent="0.2">
      <c r="O3909" s="4">
        <f t="shared" ca="1" si="338"/>
        <v>0.36483470006235075</v>
      </c>
      <c r="P3909" s="4">
        <f t="shared" ca="1" si="339"/>
        <v>-0.34556533667079881</v>
      </c>
      <c r="Q3909" s="4">
        <f t="shared" ca="1" si="340"/>
        <v>1929.7846430050263</v>
      </c>
      <c r="R3909" s="4">
        <f t="shared" ca="1" si="341"/>
        <v>6.1145990050263208</v>
      </c>
      <c r="S3909" s="4">
        <f t="shared" ca="1" si="342"/>
        <v>3.110489543141171</v>
      </c>
    </row>
    <row r="3910" spans="15:19" x14ac:dyDescent="0.2">
      <c r="O3910" s="4">
        <f t="shared" ca="1" si="338"/>
        <v>0.61165898965033061</v>
      </c>
      <c r="P3910" s="4">
        <f t="shared" ca="1" si="339"/>
        <v>0.28364555722401502</v>
      </c>
      <c r="Q3910" s="4">
        <f t="shared" ca="1" si="340"/>
        <v>1917.9122693044267</v>
      </c>
      <c r="R3910" s="4">
        <f t="shared" ca="1" si="341"/>
        <v>-5.7577746955732891</v>
      </c>
      <c r="S3910" s="4">
        <f t="shared" ca="1" si="342"/>
        <v>-2.9011468012245119</v>
      </c>
    </row>
    <row r="3911" spans="15:19" x14ac:dyDescent="0.2">
      <c r="O3911" s="4">
        <f t="shared" ca="1" si="338"/>
        <v>0.95419926138968292</v>
      </c>
      <c r="P3911" s="4">
        <f t="shared" ca="1" si="339"/>
        <v>1.6870097498559422</v>
      </c>
      <c r="Q3911" s="4">
        <f t="shared" ca="1" si="340"/>
        <v>1891.4326512707451</v>
      </c>
      <c r="R3911" s="4">
        <f t="shared" ca="1" si="341"/>
        <v>-32.237392729254907</v>
      </c>
      <c r="S3911" s="4">
        <f t="shared" ca="1" si="342"/>
        <v>-15.895837476534609</v>
      </c>
    </row>
    <row r="3912" spans="15:19" x14ac:dyDescent="0.2">
      <c r="O3912" s="4">
        <f t="shared" ca="1" si="338"/>
        <v>0.91278009110644098</v>
      </c>
      <c r="P3912" s="4">
        <f t="shared" ca="1" si="339"/>
        <v>1.3580752183157667</v>
      </c>
      <c r="Q3912" s="4">
        <f t="shared" ca="1" si="340"/>
        <v>1897.6392089120204</v>
      </c>
      <c r="R3912" s="4">
        <f t="shared" ca="1" si="341"/>
        <v>-26.03083508797954</v>
      </c>
      <c r="S3912" s="4">
        <f t="shared" ca="1" si="342"/>
        <v>-12.901231802666583</v>
      </c>
    </row>
    <row r="3913" spans="15:19" x14ac:dyDescent="0.2">
      <c r="O3913" s="4">
        <f t="shared" ca="1" si="338"/>
        <v>3.1194375147333697E-2</v>
      </c>
      <c r="P3913" s="4">
        <f t="shared" ca="1" si="339"/>
        <v>-1.863522782241138</v>
      </c>
      <c r="Q3913" s="4">
        <f t="shared" ca="1" si="340"/>
        <v>1958.426483491709</v>
      </c>
      <c r="R3913" s="4">
        <f t="shared" ca="1" si="341"/>
        <v>34.756439491708988</v>
      </c>
      <c r="S3913" s="4">
        <f t="shared" ca="1" si="342"/>
        <v>18.085793837182813</v>
      </c>
    </row>
    <row r="3914" spans="15:19" x14ac:dyDescent="0.2">
      <c r="O3914" s="4">
        <f t="shared" ca="1" si="338"/>
        <v>0.79552441441620081</v>
      </c>
      <c r="P3914" s="4">
        <f t="shared" ca="1" si="339"/>
        <v>0.82574074954634924</v>
      </c>
      <c r="Q3914" s="4">
        <f t="shared" ca="1" si="340"/>
        <v>1907.6836531647562</v>
      </c>
      <c r="R3914" s="4">
        <f t="shared" ca="1" si="341"/>
        <v>-15.98639083524381</v>
      </c>
      <c r="S3914" s="4">
        <f t="shared" ca="1" si="342"/>
        <v>-7.9884351047160083</v>
      </c>
    </row>
    <row r="3915" spans="15:19" x14ac:dyDescent="0.2">
      <c r="O3915" s="4">
        <f t="shared" ca="1" si="338"/>
        <v>0.33252831111865044</v>
      </c>
      <c r="P3915" s="4">
        <f t="shared" ca="1" si="339"/>
        <v>-0.43294239134563195</v>
      </c>
      <c r="Q3915" s="4">
        <f t="shared" ca="1" si="340"/>
        <v>1931.433331951805</v>
      </c>
      <c r="R3915" s="4">
        <f t="shared" ca="1" si="341"/>
        <v>7.7632879518050686</v>
      </c>
      <c r="S3915" s="4">
        <f t="shared" ca="1" si="342"/>
        <v>3.9543859104236931</v>
      </c>
    </row>
    <row r="3916" spans="15:19" x14ac:dyDescent="0.2">
      <c r="O3916" s="4">
        <f t="shared" ca="1" si="338"/>
        <v>0.25467315757954145</v>
      </c>
      <c r="P3916" s="4">
        <f t="shared" ca="1" si="339"/>
        <v>-0.65985588680098473</v>
      </c>
      <c r="Q3916" s="4">
        <f t="shared" ca="1" si="340"/>
        <v>1935.7148881707055</v>
      </c>
      <c r="R3916" s="4">
        <f t="shared" ca="1" si="341"/>
        <v>12.044844170705574</v>
      </c>
      <c r="S3916" s="4">
        <f t="shared" ca="1" si="342"/>
        <v>6.1562749968067259</v>
      </c>
    </row>
    <row r="3917" spans="15:19" x14ac:dyDescent="0.2">
      <c r="O3917" s="4">
        <f t="shared" ca="1" si="338"/>
        <v>0.7089964505803722</v>
      </c>
      <c r="P3917" s="4">
        <f t="shared" ca="1" si="339"/>
        <v>0.55045534254088868</v>
      </c>
      <c r="Q3917" s="4">
        <f t="shared" ca="1" si="340"/>
        <v>1912.8779230955574</v>
      </c>
      <c r="R3917" s="4">
        <f t="shared" ca="1" si="341"/>
        <v>-10.792120904442527</v>
      </c>
      <c r="S3917" s="4">
        <f t="shared" ca="1" si="342"/>
        <v>-5.4156660083587429</v>
      </c>
    </row>
    <row r="3918" spans="15:19" x14ac:dyDescent="0.2">
      <c r="O3918" s="4">
        <f t="shared" ca="1" si="338"/>
        <v>0.55346705909555505</v>
      </c>
      <c r="P3918" s="4">
        <f t="shared" ca="1" si="339"/>
        <v>0.13442579939730417</v>
      </c>
      <c r="Q3918" s="4">
        <f t="shared" ca="1" si="340"/>
        <v>1920.7278479055306</v>
      </c>
      <c r="R3918" s="4">
        <f t="shared" ca="1" si="341"/>
        <v>-2.9421960944694092</v>
      </c>
      <c r="S3918" s="4">
        <f t="shared" ca="1" si="342"/>
        <v>-1.4858446795308671</v>
      </c>
    </row>
    <row r="3919" spans="15:19" x14ac:dyDescent="0.2">
      <c r="O3919" s="4">
        <f t="shared" ca="1" si="338"/>
        <v>0.52534913234926606</v>
      </c>
      <c r="P3919" s="4">
        <f t="shared" ca="1" si="339"/>
        <v>6.3583669471122511E-2</v>
      </c>
      <c r="Q3919" s="4">
        <f t="shared" ca="1" si="340"/>
        <v>1922.0645447879126</v>
      </c>
      <c r="R3919" s="4">
        <f t="shared" ca="1" si="341"/>
        <v>-1.6054992120873521</v>
      </c>
      <c r="S3919" s="4">
        <f t="shared" ca="1" si="342"/>
        <v>-0.81167015395139275</v>
      </c>
    </row>
    <row r="3920" spans="15:19" x14ac:dyDescent="0.2">
      <c r="O3920" s="4">
        <f t="shared" ca="1" si="338"/>
        <v>0.56565987835729858</v>
      </c>
      <c r="P3920" s="4">
        <f t="shared" ca="1" si="339"/>
        <v>0.1653350871423315</v>
      </c>
      <c r="Q3920" s="4">
        <f t="shared" ca="1" si="340"/>
        <v>1920.1446307068313</v>
      </c>
      <c r="R3920" s="4">
        <f t="shared" ca="1" si="341"/>
        <v>-3.5254132931686399</v>
      </c>
      <c r="S3920" s="4">
        <f t="shared" ca="1" si="342"/>
        <v>-1.7795394643898805</v>
      </c>
    </row>
    <row r="3921" spans="15:19" x14ac:dyDescent="0.2">
      <c r="O3921" s="4">
        <f t="shared" ca="1" si="338"/>
        <v>0.78869301352044707</v>
      </c>
      <c r="P3921" s="4">
        <f t="shared" ca="1" si="339"/>
        <v>0.80189452582975718</v>
      </c>
      <c r="Q3921" s="4">
        <f t="shared" ca="1" si="340"/>
        <v>1908.1335997280762</v>
      </c>
      <c r="R3921" s="4">
        <f t="shared" ca="1" si="341"/>
        <v>-15.536444271923756</v>
      </c>
      <c r="S3921" s="4">
        <f t="shared" ca="1" si="342"/>
        <v>-7.7664414507171227</v>
      </c>
    </row>
    <row r="3922" spans="15:19" x14ac:dyDescent="0.2">
      <c r="O3922" s="4">
        <f t="shared" ca="1" si="338"/>
        <v>0.22962471437095511</v>
      </c>
      <c r="P3922" s="4">
        <f t="shared" ca="1" si="339"/>
        <v>-0.74008333706829565</v>
      </c>
      <c r="Q3922" s="4">
        <f t="shared" ca="1" si="340"/>
        <v>1937.2286735801154</v>
      </c>
      <c r="R3922" s="4">
        <f t="shared" ca="1" si="341"/>
        <v>13.558629580115394</v>
      </c>
      <c r="S3922" s="4">
        <f t="shared" ca="1" si="342"/>
        <v>6.9383452546498949</v>
      </c>
    </row>
    <row r="3923" spans="15:19" x14ac:dyDescent="0.2">
      <c r="O3923" s="4">
        <f t="shared" ca="1" si="338"/>
        <v>6.6612396311738986E-2</v>
      </c>
      <c r="P3923" s="4">
        <f t="shared" ca="1" si="339"/>
        <v>-1.5015057808382768</v>
      </c>
      <c r="Q3923" s="4">
        <f t="shared" ca="1" si="340"/>
        <v>1951.5957035921103</v>
      </c>
      <c r="R3923" s="4">
        <f t="shared" ca="1" si="341"/>
        <v>27.925659592110378</v>
      </c>
      <c r="S3923" s="4">
        <f t="shared" ca="1" si="342"/>
        <v>14.453692282593924</v>
      </c>
    </row>
    <row r="3924" spans="15:19" x14ac:dyDescent="0.2">
      <c r="O3924" s="4">
        <f t="shared" ca="1" si="338"/>
        <v>0.43614403791565526</v>
      </c>
      <c r="P3924" s="4">
        <f t="shared" ca="1" si="339"/>
        <v>-0.16075283294460724</v>
      </c>
      <c r="Q3924" s="4">
        <f t="shared" ca="1" si="340"/>
        <v>1926.2974765715289</v>
      </c>
      <c r="R3924" s="4">
        <f t="shared" ca="1" si="341"/>
        <v>2.6274325715289706</v>
      </c>
      <c r="S3924" s="4">
        <f t="shared" ca="1" si="342"/>
        <v>1.3328422656352279</v>
      </c>
    </row>
    <row r="3925" spans="15:19" x14ac:dyDescent="0.2">
      <c r="O3925" s="4">
        <f t="shared" ca="1" si="338"/>
        <v>0.55677085603063703</v>
      </c>
      <c r="P3925" s="4">
        <f t="shared" ca="1" si="339"/>
        <v>0.14278714742075882</v>
      </c>
      <c r="Q3925" s="4">
        <f t="shared" ca="1" si="340"/>
        <v>1920.5700803758541</v>
      </c>
      <c r="R3925" s="4">
        <f t="shared" ca="1" si="341"/>
        <v>-3.0999636241458575</v>
      </c>
      <c r="S3925" s="4">
        <f t="shared" ca="1" si="342"/>
        <v>-1.5653201069398595</v>
      </c>
    </row>
    <row r="3926" spans="15:19" x14ac:dyDescent="0.2">
      <c r="O3926" s="4">
        <f t="shared" ca="1" si="338"/>
        <v>0.27767288537979862</v>
      </c>
      <c r="P3926" s="4">
        <f t="shared" ca="1" si="339"/>
        <v>-0.58976863878382157</v>
      </c>
      <c r="Q3926" s="4">
        <f t="shared" ca="1" si="340"/>
        <v>1934.3924349071333</v>
      </c>
      <c r="R3926" s="4">
        <f t="shared" ca="1" si="341"/>
        <v>10.722390907133331</v>
      </c>
      <c r="S3926" s="4">
        <f t="shared" ca="1" si="342"/>
        <v>5.4745799152288193</v>
      </c>
    </row>
    <row r="3927" spans="15:19" x14ac:dyDescent="0.2">
      <c r="O3927" s="4">
        <f t="shared" ca="1" si="338"/>
        <v>0.49365965916016319</v>
      </c>
      <c r="P3927" s="4">
        <f t="shared" ca="1" si="339"/>
        <v>-1.589354672568441E-2</v>
      </c>
      <c r="Q3927" s="4">
        <f t="shared" ca="1" si="340"/>
        <v>1923.5641742770511</v>
      </c>
      <c r="R3927" s="4">
        <f t="shared" ca="1" si="341"/>
        <v>-0.10586972294890984</v>
      </c>
      <c r="S3927" s="4">
        <f t="shared" ca="1" si="342"/>
        <v>-5.3587728146672467E-2</v>
      </c>
    </row>
    <row r="3928" spans="15:19" x14ac:dyDescent="0.2">
      <c r="O3928" s="4">
        <f t="shared" ca="1" si="338"/>
        <v>0.62685725013629401</v>
      </c>
      <c r="P3928" s="4">
        <f t="shared" ca="1" si="339"/>
        <v>0.32354108252004748</v>
      </c>
      <c r="Q3928" s="4">
        <f t="shared" ca="1" si="340"/>
        <v>1917.1594937407929</v>
      </c>
      <c r="R3928" s="4">
        <f t="shared" ca="1" si="341"/>
        <v>-6.5105502592070934</v>
      </c>
      <c r="S3928" s="4">
        <f t="shared" ca="1" si="342"/>
        <v>-3.278449760421648</v>
      </c>
    </row>
    <row r="3929" spans="15:19" x14ac:dyDescent="0.2">
      <c r="O3929" s="4">
        <f t="shared" ca="1" si="338"/>
        <v>0.51808023716419616</v>
      </c>
      <c r="P3929" s="4">
        <f t="shared" ca="1" si="339"/>
        <v>4.5335959105436495E-2</v>
      </c>
      <c r="Q3929" s="4">
        <f t="shared" ca="1" si="340"/>
        <v>1922.4088548415748</v>
      </c>
      <c r="R3929" s="4">
        <f t="shared" ca="1" si="341"/>
        <v>-1.261189158425168</v>
      </c>
      <c r="S3929" s="4">
        <f t="shared" ca="1" si="342"/>
        <v>-0.63777882168908173</v>
      </c>
    </row>
    <row r="3930" spans="15:19" x14ac:dyDescent="0.2">
      <c r="O3930" s="4">
        <f t="shared" ca="1" si="338"/>
        <v>0.38615210536123379</v>
      </c>
      <c r="P3930" s="4">
        <f t="shared" ca="1" si="339"/>
        <v>-0.28936220988091271</v>
      </c>
      <c r="Q3930" s="4">
        <f t="shared" ca="1" si="340"/>
        <v>1928.7241646648288</v>
      </c>
      <c r="R3930" s="4">
        <f t="shared" ca="1" si="341"/>
        <v>5.0541206648288153</v>
      </c>
      <c r="S3930" s="4">
        <f t="shared" ca="1" si="342"/>
        <v>2.5688436167095969</v>
      </c>
    </row>
    <row r="3931" spans="15:19" x14ac:dyDescent="0.2">
      <c r="O3931" s="4">
        <f t="shared" ca="1" si="338"/>
        <v>0.11101052092086616</v>
      </c>
      <c r="P3931" s="4">
        <f t="shared" ca="1" si="339"/>
        <v>-1.2211716340531851</v>
      </c>
      <c r="Q3931" s="4">
        <f t="shared" ca="1" si="340"/>
        <v>1946.3061706486014</v>
      </c>
      <c r="R3931" s="4">
        <f t="shared" ca="1" si="341"/>
        <v>22.636126648601476</v>
      </c>
      <c r="S3931" s="4">
        <f t="shared" ca="1" si="342"/>
        <v>11.667208950575862</v>
      </c>
    </row>
    <row r="3932" spans="15:19" x14ac:dyDescent="0.2">
      <c r="O3932" s="4">
        <f t="shared" ca="1" si="338"/>
        <v>5.0025043852870876E-2</v>
      </c>
      <c r="P3932" s="4">
        <f t="shared" ca="1" si="339"/>
        <v>-1.6446108510016033</v>
      </c>
      <c r="Q3932" s="4">
        <f t="shared" ca="1" si="340"/>
        <v>1954.2959061599847</v>
      </c>
      <c r="R3932" s="4">
        <f t="shared" ca="1" si="341"/>
        <v>30.625862159984763</v>
      </c>
      <c r="S3932" s="4">
        <f t="shared" ca="1" si="342"/>
        <v>15.884919309876931</v>
      </c>
    </row>
    <row r="3933" spans="15:19" x14ac:dyDescent="0.2">
      <c r="O3933" s="4">
        <f t="shared" ca="1" si="338"/>
        <v>0.42767225087641425</v>
      </c>
      <c r="P3933" s="4">
        <f t="shared" ca="1" si="339"/>
        <v>-0.18230356417001006</v>
      </c>
      <c r="Q3933" s="4">
        <f t="shared" ca="1" si="340"/>
        <v>1926.704110240958</v>
      </c>
      <c r="R3933" s="4">
        <f t="shared" ca="1" si="341"/>
        <v>3.0340662409580545</v>
      </c>
      <c r="S3933" s="4">
        <f t="shared" ca="1" si="342"/>
        <v>1.5396213489139032</v>
      </c>
    </row>
    <row r="3934" spans="15:19" x14ac:dyDescent="0.2">
      <c r="O3934" s="4">
        <f t="shared" ca="1" si="338"/>
        <v>3.3524873502159713E-2</v>
      </c>
      <c r="P3934" s="4">
        <f t="shared" ca="1" si="339"/>
        <v>-1.8313404276368532</v>
      </c>
      <c r="Q3934" s="4">
        <f t="shared" ca="1" si="340"/>
        <v>1957.819245212565</v>
      </c>
      <c r="R3934" s="4">
        <f t="shared" ca="1" si="341"/>
        <v>34.149201212565004</v>
      </c>
      <c r="S3934" s="4">
        <f t="shared" ca="1" si="342"/>
        <v>17.761371223813043</v>
      </c>
    </row>
    <row r="3935" spans="15:19" x14ac:dyDescent="0.2">
      <c r="O3935" s="4">
        <f t="shared" ca="1" si="338"/>
        <v>0.52854181801670552</v>
      </c>
      <c r="P3935" s="4">
        <f t="shared" ca="1" si="339"/>
        <v>7.1604870453177163E-2</v>
      </c>
      <c r="Q3935" s="4">
        <f t="shared" ca="1" si="340"/>
        <v>1921.9131953810436</v>
      </c>
      <c r="R3935" s="4">
        <f t="shared" ca="1" si="341"/>
        <v>-1.7568486189563828</v>
      </c>
      <c r="S3935" s="4">
        <f t="shared" ca="1" si="342"/>
        <v>-0.88807755296797319</v>
      </c>
    </row>
    <row r="3936" spans="15:19" x14ac:dyDescent="0.2">
      <c r="O3936" s="4">
        <f t="shared" ca="1" si="338"/>
        <v>0.31911653800117956</v>
      </c>
      <c r="P3936" s="4">
        <f t="shared" ca="1" si="339"/>
        <v>-0.47017068562334691</v>
      </c>
      <c r="Q3936" s="4">
        <f t="shared" ca="1" si="340"/>
        <v>1932.1357804093723</v>
      </c>
      <c r="R3936" s="4">
        <f t="shared" ca="1" si="341"/>
        <v>8.4657364093723118</v>
      </c>
      <c r="S3936" s="4">
        <f t="shared" ca="1" si="342"/>
        <v>4.3146128108615187</v>
      </c>
    </row>
    <row r="3937" spans="15:19" x14ac:dyDescent="0.2">
      <c r="O3937" s="4">
        <f t="shared" ca="1" si="338"/>
        <v>0.28585772402827037</v>
      </c>
      <c r="P3937" s="4">
        <f t="shared" ca="1" si="339"/>
        <v>-0.56552687765148513</v>
      </c>
      <c r="Q3937" s="4">
        <f t="shared" ca="1" si="340"/>
        <v>1933.935025078225</v>
      </c>
      <c r="R3937" s="4">
        <f t="shared" ca="1" si="341"/>
        <v>10.264981078224992</v>
      </c>
      <c r="S3937" s="4">
        <f t="shared" ca="1" si="342"/>
        <v>5.2391267840908951</v>
      </c>
    </row>
    <row r="3938" spans="15:19" x14ac:dyDescent="0.2">
      <c r="O3938" s="4">
        <f t="shared" ca="1" si="338"/>
        <v>0.39055047234359341</v>
      </c>
      <c r="P3938" s="4">
        <f t="shared" ca="1" si="339"/>
        <v>-0.27788460160979872</v>
      </c>
      <c r="Q3938" s="4">
        <f t="shared" ca="1" si="340"/>
        <v>1928.5075974440354</v>
      </c>
      <c r="R3938" s="4">
        <f t="shared" ca="1" si="341"/>
        <v>4.8375534440353931</v>
      </c>
      <c r="S3938" s="4">
        <f t="shared" ca="1" si="342"/>
        <v>2.4583431395574014</v>
      </c>
    </row>
    <row r="3939" spans="15:19" x14ac:dyDescent="0.2">
      <c r="O3939" s="4">
        <f t="shared" ca="1" si="338"/>
        <v>0.97394653192287428</v>
      </c>
      <c r="P3939" s="4">
        <f t="shared" ca="1" si="339"/>
        <v>1.9422492282600923</v>
      </c>
      <c r="Q3939" s="4">
        <f t="shared" ca="1" si="340"/>
        <v>1886.6166213828919</v>
      </c>
      <c r="R3939" s="4">
        <f t="shared" ca="1" si="341"/>
        <v>-37.053422617108026</v>
      </c>
      <c r="S3939" s="4">
        <f t="shared" ca="1" si="342"/>
        <v>-18.197917275708843</v>
      </c>
    </row>
    <row r="3940" spans="15:19" x14ac:dyDescent="0.2">
      <c r="O3940" s="4">
        <f t="shared" ca="1" si="338"/>
        <v>0.32485367722744418</v>
      </c>
      <c r="P3940" s="4">
        <f t="shared" ca="1" si="339"/>
        <v>-0.45416877631316582</v>
      </c>
      <c r="Q3940" s="4">
        <f t="shared" ca="1" si="340"/>
        <v>1931.8338456382219</v>
      </c>
      <c r="R3940" s="4">
        <f t="shared" ca="1" si="341"/>
        <v>8.1638016382219121</v>
      </c>
      <c r="S3940" s="4">
        <f t="shared" ca="1" si="342"/>
        <v>4.159726563141529</v>
      </c>
    </row>
    <row r="3941" spans="15:19" x14ac:dyDescent="0.2">
      <c r="O3941" s="4">
        <f t="shared" ca="1" si="338"/>
        <v>0.27540143623553492</v>
      </c>
      <c r="P3941" s="4">
        <f t="shared" ca="1" si="339"/>
        <v>-0.59655747140232063</v>
      </c>
      <c r="Q3941" s="4">
        <f t="shared" ca="1" si="340"/>
        <v>1934.5205311601064</v>
      </c>
      <c r="R3941" s="4">
        <f t="shared" ca="1" si="341"/>
        <v>10.850487160106468</v>
      </c>
      <c r="S3941" s="4">
        <f t="shared" ca="1" si="342"/>
        <v>5.5405483902456565</v>
      </c>
    </row>
    <row r="3942" spans="15:19" x14ac:dyDescent="0.2">
      <c r="O3942" s="4">
        <f t="shared" ca="1" si="338"/>
        <v>0.98167751657371705</v>
      </c>
      <c r="P3942" s="4">
        <f t="shared" ca="1" si="339"/>
        <v>2.0896976655342954</v>
      </c>
      <c r="Q3942" s="4">
        <f t="shared" ca="1" si="340"/>
        <v>1883.8344652475257</v>
      </c>
      <c r="R3942" s="4">
        <f t="shared" ca="1" si="341"/>
        <v>-39.835578752474248</v>
      </c>
      <c r="S3942" s="4">
        <f t="shared" ca="1" si="342"/>
        <v>-19.519192850603069</v>
      </c>
    </row>
    <row r="3943" spans="15:19" x14ac:dyDescent="0.2">
      <c r="O3943" s="4">
        <f t="shared" ca="1" si="338"/>
        <v>0.57779891695157515</v>
      </c>
      <c r="P3943" s="4">
        <f t="shared" ca="1" si="339"/>
        <v>0.1962657518573824</v>
      </c>
      <c r="Q3943" s="4">
        <f t="shared" ca="1" si="340"/>
        <v>1919.5610101531058</v>
      </c>
      <c r="R3943" s="4">
        <f t="shared" ca="1" si="341"/>
        <v>-4.1090338468941354</v>
      </c>
      <c r="S3943" s="4">
        <f t="shared" ca="1" si="342"/>
        <v>-2.0731601593015183</v>
      </c>
    </row>
    <row r="3944" spans="15:19" x14ac:dyDescent="0.2">
      <c r="O3944" s="4">
        <f t="shared" ca="1" si="338"/>
        <v>0.47532924063861526</v>
      </c>
      <c r="P3944" s="4">
        <f t="shared" ca="1" si="339"/>
        <v>-6.1879891231067824E-2</v>
      </c>
      <c r="Q3944" s="4">
        <f t="shared" ca="1" si="340"/>
        <v>1924.4318755078941</v>
      </c>
      <c r="R3944" s="4">
        <f t="shared" ca="1" si="341"/>
        <v>0.76183150789415777</v>
      </c>
      <c r="S3944" s="4">
        <f t="shared" ca="1" si="342"/>
        <v>0.38588282915063704</v>
      </c>
    </row>
    <row r="3945" spans="15:19" x14ac:dyDescent="0.2">
      <c r="O3945" s="4">
        <f t="shared" ca="1" si="338"/>
        <v>9.8524442270666368E-2</v>
      </c>
      <c r="P3945" s="4">
        <f t="shared" ca="1" si="339"/>
        <v>-1.2900051081251449</v>
      </c>
      <c r="Q3945" s="4">
        <f t="shared" ca="1" si="340"/>
        <v>1947.6049668633877</v>
      </c>
      <c r="R3945" s="4">
        <f t="shared" ca="1" si="341"/>
        <v>23.934922863387783</v>
      </c>
      <c r="S3945" s="4">
        <f t="shared" ca="1" si="342"/>
        <v>12.349294428545061</v>
      </c>
    </row>
    <row r="3946" spans="15:19" x14ac:dyDescent="0.2">
      <c r="O3946" s="4">
        <f t="shared" ca="1" si="338"/>
        <v>0.37659323248478627</v>
      </c>
      <c r="P3946" s="4">
        <f t="shared" ca="1" si="339"/>
        <v>-0.31444054650823589</v>
      </c>
      <c r="Q3946" s="4">
        <f t="shared" ca="1" si="340"/>
        <v>1929.1973595619897</v>
      </c>
      <c r="R3946" s="4">
        <f t="shared" ca="1" si="341"/>
        <v>5.5273155619897807</v>
      </c>
      <c r="S3946" s="4">
        <f t="shared" ca="1" si="342"/>
        <v>2.8104177373928994</v>
      </c>
    </row>
    <row r="3947" spans="15:19" x14ac:dyDescent="0.2">
      <c r="O3947" s="4">
        <f t="shared" ca="1" si="338"/>
        <v>0.86389863619976726</v>
      </c>
      <c r="P3947" s="4">
        <f t="shared" ca="1" si="339"/>
        <v>1.0980040344040851</v>
      </c>
      <c r="Q3947" s="4">
        <f t="shared" ca="1" si="340"/>
        <v>1902.5464066641828</v>
      </c>
      <c r="R3947" s="4">
        <f t="shared" ca="1" si="341"/>
        <v>-21.123637335817193</v>
      </c>
      <c r="S3947" s="4">
        <f t="shared" ca="1" si="342"/>
        <v>-10.51135455624412</v>
      </c>
    </row>
    <row r="3948" spans="15:19" x14ac:dyDescent="0.2">
      <c r="O3948" s="4">
        <f t="shared" ca="1" si="338"/>
        <v>0.25613433379762751</v>
      </c>
      <c r="P3948" s="4">
        <f t="shared" ca="1" si="339"/>
        <v>-0.65530924825492975</v>
      </c>
      <c r="Q3948" s="4">
        <f t="shared" ca="1" si="340"/>
        <v>1935.6290991412654</v>
      </c>
      <c r="R3948" s="4">
        <f t="shared" ca="1" si="341"/>
        <v>11.95905514126548</v>
      </c>
      <c r="S3948" s="4">
        <f t="shared" ca="1" si="342"/>
        <v>6.1120094838656884</v>
      </c>
    </row>
    <row r="3949" spans="15:19" x14ac:dyDescent="0.2">
      <c r="O3949" s="4">
        <f t="shared" ca="1" si="338"/>
        <v>0.12041199459179974</v>
      </c>
      <c r="P3949" s="4">
        <f t="shared" ca="1" si="339"/>
        <v>-1.1729297225498592</v>
      </c>
      <c r="Q3949" s="4">
        <f t="shared" ca="1" si="340"/>
        <v>1945.3959098648863</v>
      </c>
      <c r="R3949" s="4">
        <f t="shared" ca="1" si="341"/>
        <v>21.725865864886373</v>
      </c>
      <c r="S3949" s="4">
        <f t="shared" ca="1" si="342"/>
        <v>11.189988170834441</v>
      </c>
    </row>
    <row r="3950" spans="15:19" x14ac:dyDescent="0.2">
      <c r="O3950" s="4">
        <f t="shared" ca="1" si="338"/>
        <v>0.33089501077669858</v>
      </c>
      <c r="P3950" s="4">
        <f t="shared" ca="1" si="339"/>
        <v>-0.43744311547345327</v>
      </c>
      <c r="Q3950" s="4">
        <f t="shared" ca="1" si="340"/>
        <v>1931.5182546371675</v>
      </c>
      <c r="R3950" s="4">
        <f t="shared" ca="1" si="341"/>
        <v>7.84821063716754</v>
      </c>
      <c r="S3950" s="4">
        <f t="shared" ca="1" si="342"/>
        <v>3.9979142858870365</v>
      </c>
    </row>
    <row r="3951" spans="15:19" x14ac:dyDescent="0.2">
      <c r="O3951" s="4">
        <f t="shared" ca="1" si="338"/>
        <v>0.16042198369417571</v>
      </c>
      <c r="P3951" s="4">
        <f t="shared" ca="1" si="339"/>
        <v>-0.99272504278284834</v>
      </c>
      <c r="Q3951" s="4">
        <f t="shared" ca="1" si="340"/>
        <v>1941.9956869482937</v>
      </c>
      <c r="R3951" s="4">
        <f t="shared" ca="1" si="341"/>
        <v>18.325642948293762</v>
      </c>
      <c r="S3951" s="4">
        <f t="shared" ca="1" si="342"/>
        <v>9.4133256865012029</v>
      </c>
    </row>
    <row r="3952" spans="15:19" x14ac:dyDescent="0.2">
      <c r="O3952" s="4">
        <f t="shared" ca="1" si="338"/>
        <v>0.77906022892504279</v>
      </c>
      <c r="P3952" s="4">
        <f t="shared" ca="1" si="339"/>
        <v>0.76902319311923695</v>
      </c>
      <c r="Q3952" s="4">
        <f t="shared" ca="1" si="340"/>
        <v>1908.7538381088207</v>
      </c>
      <c r="R3952" s="4">
        <f t="shared" ca="1" si="341"/>
        <v>-14.916205891179288</v>
      </c>
      <c r="S3952" s="4">
        <f t="shared" ca="1" si="342"/>
        <v>-7.4601593910244386</v>
      </c>
    </row>
    <row r="3953" spans="15:19" x14ac:dyDescent="0.2">
      <c r="O3953" s="4">
        <f t="shared" ca="1" si="338"/>
        <v>0.47348902113243052</v>
      </c>
      <c r="P3953" s="4">
        <f t="shared" ca="1" si="339"/>
        <v>-6.6502154752514142E-2</v>
      </c>
      <c r="Q3953" s="4">
        <f t="shared" ca="1" si="340"/>
        <v>1924.5190914801569</v>
      </c>
      <c r="R3953" s="4">
        <f t="shared" ca="1" si="341"/>
        <v>0.84904748015696896</v>
      </c>
      <c r="S3953" s="4">
        <f t="shared" ca="1" si="342"/>
        <v>0.43008959951959652</v>
      </c>
    </row>
    <row r="3954" spans="15:19" x14ac:dyDescent="0.2">
      <c r="O3954" s="4">
        <f t="shared" ca="1" si="338"/>
        <v>0.37063244117670879</v>
      </c>
      <c r="P3954" s="4">
        <f t="shared" ca="1" si="339"/>
        <v>-0.33017877648059496</v>
      </c>
      <c r="Q3954" s="4">
        <f t="shared" ca="1" si="340"/>
        <v>1929.494319054317</v>
      </c>
      <c r="R3954" s="4">
        <f t="shared" ca="1" si="341"/>
        <v>5.8242750543170132</v>
      </c>
      <c r="S3954" s="4">
        <f t="shared" ca="1" si="342"/>
        <v>2.9621137562291611</v>
      </c>
    </row>
    <row r="3955" spans="15:19" x14ac:dyDescent="0.2">
      <c r="O3955" s="4">
        <f t="shared" ca="1" si="338"/>
        <v>0.18037120168675813</v>
      </c>
      <c r="P3955" s="4">
        <f t="shared" ca="1" si="339"/>
        <v>-0.91395136201975458</v>
      </c>
      <c r="Q3955" s="4">
        <f t="shared" ca="1" si="340"/>
        <v>1940.509332238187</v>
      </c>
      <c r="R3955" s="4">
        <f t="shared" ca="1" si="341"/>
        <v>16.839288238187009</v>
      </c>
      <c r="S3955" s="4">
        <f t="shared" ca="1" si="342"/>
        <v>8.6396418579136274</v>
      </c>
    </row>
    <row r="3956" spans="15:19" x14ac:dyDescent="0.2">
      <c r="O3956" s="4">
        <f t="shared" ca="1" si="338"/>
        <v>7.6975289183977114E-2</v>
      </c>
      <c r="P3956" s="4">
        <f t="shared" ca="1" si="339"/>
        <v>-1.4257151612537153</v>
      </c>
      <c r="Q3956" s="4">
        <f t="shared" ca="1" si="340"/>
        <v>1950.1656352836326</v>
      </c>
      <c r="R3956" s="4">
        <f t="shared" ca="1" si="341"/>
        <v>26.495591283632621</v>
      </c>
      <c r="S3956" s="4">
        <f t="shared" ca="1" si="342"/>
        <v>13.698097084672147</v>
      </c>
    </row>
    <row r="3957" spans="15:19" x14ac:dyDescent="0.2">
      <c r="O3957" s="4">
        <f t="shared" ca="1" si="338"/>
        <v>0.19050789125934942</v>
      </c>
      <c r="P3957" s="4">
        <f t="shared" ca="1" si="339"/>
        <v>-0.8760262151131315</v>
      </c>
      <c r="Q3957" s="4">
        <f t="shared" ca="1" si="340"/>
        <v>1939.793735097237</v>
      </c>
      <c r="R3957" s="4">
        <f t="shared" ca="1" si="341"/>
        <v>16.123691097237042</v>
      </c>
      <c r="S3957" s="4">
        <f t="shared" ca="1" si="342"/>
        <v>8.2677975400428299</v>
      </c>
    </row>
    <row r="3958" spans="15:19" x14ac:dyDescent="0.2">
      <c r="O3958" s="4">
        <f t="shared" ca="1" si="338"/>
        <v>0.12144601836939084</v>
      </c>
      <c r="P3958" s="4">
        <f t="shared" ca="1" si="339"/>
        <v>-1.1677886270112134</v>
      </c>
      <c r="Q3958" s="4">
        <f t="shared" ca="1" si="340"/>
        <v>1945.2989042216948</v>
      </c>
      <c r="R3958" s="4">
        <f t="shared" ca="1" si="341"/>
        <v>21.628860221694822</v>
      </c>
      <c r="S3958" s="4">
        <f t="shared" ca="1" si="342"/>
        <v>11.139170972142969</v>
      </c>
    </row>
    <row r="3959" spans="15:19" x14ac:dyDescent="0.2">
      <c r="O3959" s="4">
        <f t="shared" ca="1" si="338"/>
        <v>0.36518384124059777</v>
      </c>
      <c r="P3959" s="4">
        <f t="shared" ca="1" si="339"/>
        <v>-0.34463647275386955</v>
      </c>
      <c r="Q3959" s="4">
        <f t="shared" ca="1" si="340"/>
        <v>1929.7671165768511</v>
      </c>
      <c r="R3959" s="4">
        <f t="shared" ca="1" si="341"/>
        <v>6.0970725768511329</v>
      </c>
      <c r="S3959" s="4">
        <f t="shared" ca="1" si="342"/>
        <v>3.1015303697301637</v>
      </c>
    </row>
    <row r="3960" spans="15:19" x14ac:dyDescent="0.2">
      <c r="O3960" s="4">
        <f t="shared" ca="1" si="338"/>
        <v>0.55775091824854062</v>
      </c>
      <c r="P3960" s="4">
        <f t="shared" ca="1" si="339"/>
        <v>0.14526941288211684</v>
      </c>
      <c r="Q3960" s="4">
        <f t="shared" ca="1" si="340"/>
        <v>1920.5232433241324</v>
      </c>
      <c r="R3960" s="4">
        <f t="shared" ca="1" si="341"/>
        <v>-3.1468006758675529</v>
      </c>
      <c r="S3960" s="4">
        <f t="shared" ca="1" si="342"/>
        <v>-1.5889103809626055</v>
      </c>
    </row>
    <row r="3961" spans="15:19" x14ac:dyDescent="0.2">
      <c r="O3961" s="4">
        <f t="shared" ca="1" si="338"/>
        <v>5.6990724451787655E-2</v>
      </c>
      <c r="P3961" s="4">
        <f t="shared" ca="1" si="339"/>
        <v>-1.5805478891301821</v>
      </c>
      <c r="Q3961" s="4">
        <f t="shared" ca="1" si="340"/>
        <v>1953.0871231730966</v>
      </c>
      <c r="R3961" s="4">
        <f t="shared" ca="1" si="341"/>
        <v>29.417079173096681</v>
      </c>
      <c r="S3961" s="4">
        <f t="shared" ca="1" si="342"/>
        <v>15.243476891084429</v>
      </c>
    </row>
    <row r="3962" spans="15:19" x14ac:dyDescent="0.2">
      <c r="O3962" s="4">
        <f t="shared" ca="1" si="338"/>
        <v>0.40464374672820635</v>
      </c>
      <c r="P3962" s="4">
        <f t="shared" ca="1" si="339"/>
        <v>-0.24134531360646361</v>
      </c>
      <c r="Q3962" s="4">
        <f t="shared" ca="1" si="340"/>
        <v>1927.8181496195641</v>
      </c>
      <c r="R3962" s="4">
        <f t="shared" ca="1" si="341"/>
        <v>4.1481056195641486</v>
      </c>
      <c r="S3962" s="4">
        <f t="shared" ca="1" si="342"/>
        <v>2.1068160456317058</v>
      </c>
    </row>
    <row r="3963" spans="15:19" x14ac:dyDescent="0.2">
      <c r="O3963" s="4">
        <f t="shared" ca="1" si="338"/>
        <v>0.17119690331715864</v>
      </c>
      <c r="P3963" s="4">
        <f t="shared" ca="1" si="339"/>
        <v>-0.94944603440667485</v>
      </c>
      <c r="Q3963" s="4">
        <f t="shared" ca="1" si="340"/>
        <v>1941.1790695536829</v>
      </c>
      <c r="R3963" s="4">
        <f t="shared" ca="1" si="341"/>
        <v>17.509025553682932</v>
      </c>
      <c r="S3963" s="4">
        <f t="shared" ca="1" si="342"/>
        <v>8.9880338089447314</v>
      </c>
    </row>
    <row r="3964" spans="15:19" x14ac:dyDescent="0.2">
      <c r="O3964" s="4">
        <f t="shared" ca="1" si="338"/>
        <v>0.32699430277205987</v>
      </c>
      <c r="P3964" s="4">
        <f t="shared" ca="1" si="339"/>
        <v>-0.44822807133184439</v>
      </c>
      <c r="Q3964" s="4">
        <f t="shared" ca="1" si="340"/>
        <v>1931.7217524270779</v>
      </c>
      <c r="R3964" s="4">
        <f t="shared" ca="1" si="341"/>
        <v>8.0517084270779833</v>
      </c>
      <c r="S3964" s="4">
        <f t="shared" ca="1" si="342"/>
        <v>4.1022439729124365</v>
      </c>
    </row>
    <row r="3965" spans="15:19" x14ac:dyDescent="0.2">
      <c r="O3965" s="4">
        <f t="shared" ca="1" si="338"/>
        <v>0.67356894139758139</v>
      </c>
      <c r="P3965" s="4">
        <f t="shared" ca="1" si="339"/>
        <v>0.44978965588214442</v>
      </c>
      <c r="Q3965" s="4">
        <f t="shared" ca="1" si="340"/>
        <v>1914.7773508747589</v>
      </c>
      <c r="R3965" s="4">
        <f t="shared" ca="1" si="341"/>
        <v>-8.8926931252410668</v>
      </c>
      <c r="S3965" s="4">
        <f t="shared" ca="1" si="342"/>
        <v>-4.4693773323701578</v>
      </c>
    </row>
    <row r="3966" spans="15:19" x14ac:dyDescent="0.2">
      <c r="O3966" s="4">
        <f t="shared" ca="1" si="338"/>
        <v>2.6532634880614192E-2</v>
      </c>
      <c r="P3966" s="4">
        <f t="shared" ca="1" si="339"/>
        <v>-1.9343893917910029</v>
      </c>
      <c r="Q3966" s="4">
        <f t="shared" ca="1" si="340"/>
        <v>1959.7636422720702</v>
      </c>
      <c r="R3966" s="4">
        <f t="shared" ca="1" si="341"/>
        <v>36.093598272070267</v>
      </c>
      <c r="S3966" s="4">
        <f t="shared" ca="1" si="342"/>
        <v>18.801241531720063</v>
      </c>
    </row>
    <row r="3967" spans="15:19" x14ac:dyDescent="0.2">
      <c r="O3967" s="4">
        <f t="shared" ca="1" si="338"/>
        <v>0.84141173378542411</v>
      </c>
      <c r="P3967" s="4">
        <f t="shared" ca="1" si="339"/>
        <v>1.0002768805693216</v>
      </c>
      <c r="Q3967" s="4">
        <f t="shared" ca="1" si="340"/>
        <v>1904.3903882326524</v>
      </c>
      <c r="R3967" s="4">
        <f t="shared" ca="1" si="341"/>
        <v>-19.279655767347549</v>
      </c>
      <c r="S3967" s="4">
        <f t="shared" ca="1" si="342"/>
        <v>-9.6082408737889367</v>
      </c>
    </row>
    <row r="3968" spans="15:19" x14ac:dyDescent="0.2">
      <c r="O3968" s="4">
        <f t="shared" ca="1" si="338"/>
        <v>0.88059422262265363</v>
      </c>
      <c r="P3968" s="4">
        <f t="shared" ca="1" si="339"/>
        <v>1.1779625043878741</v>
      </c>
      <c r="Q3968" s="4">
        <f t="shared" ca="1" si="340"/>
        <v>1901.0376965553996</v>
      </c>
      <c r="R3968" s="4">
        <f t="shared" ca="1" si="341"/>
        <v>-22.632347444600327</v>
      </c>
      <c r="S3968" s="4">
        <f t="shared" ca="1" si="342"/>
        <v>-11.248205676740573</v>
      </c>
    </row>
    <row r="3969" spans="15:19" x14ac:dyDescent="0.2">
      <c r="O3969" s="4">
        <f t="shared" ca="1" si="338"/>
        <v>0.66086086262108867</v>
      </c>
      <c r="P3969" s="4">
        <f t="shared" ca="1" si="339"/>
        <v>0.41481372036322312</v>
      </c>
      <c r="Q3969" s="4">
        <f t="shared" ca="1" si="340"/>
        <v>1915.4373003146652</v>
      </c>
      <c r="R3969" s="4">
        <f t="shared" ca="1" si="341"/>
        <v>-8.2327436853347535</v>
      </c>
      <c r="S3969" s="4">
        <f t="shared" ca="1" si="342"/>
        <v>-4.1399051265605973</v>
      </c>
    </row>
    <row r="3970" spans="15:19" x14ac:dyDescent="0.2">
      <c r="O3970" s="4">
        <f t="shared" ca="1" si="338"/>
        <v>5.8894649066205562E-2</v>
      </c>
      <c r="P3970" s="4">
        <f t="shared" ca="1" si="339"/>
        <v>-1.5641203910048855</v>
      </c>
      <c r="Q3970" s="4">
        <f t="shared" ca="1" si="340"/>
        <v>1952.777158106373</v>
      </c>
      <c r="R3970" s="4">
        <f t="shared" ca="1" si="341"/>
        <v>29.107114106373047</v>
      </c>
      <c r="S3970" s="4">
        <f t="shared" ca="1" si="342"/>
        <v>15.079185117065855</v>
      </c>
    </row>
    <row r="3971" spans="15:19" x14ac:dyDescent="0.2">
      <c r="O3971" s="4">
        <f t="shared" ref="O3971:O4034" ca="1" si="343">RAND()</f>
        <v>0.69603284819505962</v>
      </c>
      <c r="P3971" s="4">
        <f t="shared" ref="P3971:P4034" ca="1" si="344">NORMSINV(O3971)</f>
        <v>0.51302432731504244</v>
      </c>
      <c r="Q3971" s="4">
        <f t="shared" ref="Q3971:Q4034" ca="1" si="345">$B$4*(1+$B$17-$B$32*P3971)</f>
        <v>1913.5841966281139</v>
      </c>
      <c r="R3971" s="4">
        <f t="shared" ref="R3971:R4034" ca="1" si="346">Q3971-$B$4</f>
        <v>-10.085847371886075</v>
      </c>
      <c r="S3971" s="4">
        <f t="shared" ref="S3971:S4034" ca="1" si="347">R3971*$B$12+0.5*$B$13*R3971^2</f>
        <v>-5.0641458905258192</v>
      </c>
    </row>
    <row r="3972" spans="15:19" x14ac:dyDescent="0.2">
      <c r="O3972" s="4">
        <f t="shared" ca="1" si="343"/>
        <v>0.96207115259158693</v>
      </c>
      <c r="P3972" s="4">
        <f t="shared" ca="1" si="344"/>
        <v>1.7752434708262907</v>
      </c>
      <c r="Q3972" s="4">
        <f t="shared" ca="1" si="345"/>
        <v>1889.7677981689972</v>
      </c>
      <c r="R3972" s="4">
        <f t="shared" ca="1" si="346"/>
        <v>-33.902245831002801</v>
      </c>
      <c r="S3972" s="4">
        <f t="shared" ca="1" si="347"/>
        <v>-16.693778898641167</v>
      </c>
    </row>
    <row r="3973" spans="15:19" x14ac:dyDescent="0.2">
      <c r="O3973" s="4">
        <f t="shared" ca="1" si="343"/>
        <v>0.83002182225318555</v>
      </c>
      <c r="P3973" s="4">
        <f t="shared" ca="1" si="344"/>
        <v>0.95425149241081975</v>
      </c>
      <c r="Q3973" s="4">
        <f t="shared" ca="1" si="345"/>
        <v>1905.258826165363</v>
      </c>
      <c r="R3973" s="4">
        <f t="shared" ca="1" si="346"/>
        <v>-18.411217834637</v>
      </c>
      <c r="S3973" s="4">
        <f t="shared" ca="1" si="347"/>
        <v>-9.1819533509244717</v>
      </c>
    </row>
    <row r="3974" spans="15:19" x14ac:dyDescent="0.2">
      <c r="O3974" s="4">
        <f t="shared" ca="1" si="343"/>
        <v>0.44763982206567365</v>
      </c>
      <c r="P3974" s="4">
        <f t="shared" ca="1" si="344"/>
        <v>-0.1316266008734234</v>
      </c>
      <c r="Q3974" s="4">
        <f t="shared" ca="1" si="345"/>
        <v>1925.7479032647175</v>
      </c>
      <c r="R3974" s="4">
        <f t="shared" ca="1" si="346"/>
        <v>2.0778592647175174</v>
      </c>
      <c r="S3974" s="4">
        <f t="shared" ca="1" si="347"/>
        <v>1.0535902332605378</v>
      </c>
    </row>
    <row r="3975" spans="15:19" x14ac:dyDescent="0.2">
      <c r="O3975" s="4">
        <f t="shared" ca="1" si="343"/>
        <v>0.34517069525886979</v>
      </c>
      <c r="P3975" s="4">
        <f t="shared" ca="1" si="344"/>
        <v>-0.39839181478352459</v>
      </c>
      <c r="Q3975" s="4">
        <f t="shared" ca="1" si="345"/>
        <v>1930.7814084703516</v>
      </c>
      <c r="R3975" s="4">
        <f t="shared" ca="1" si="346"/>
        <v>7.1113644703516457</v>
      </c>
      <c r="S3975" s="4">
        <f t="shared" ca="1" si="347"/>
        <v>3.6204284532684996</v>
      </c>
    </row>
    <row r="3976" spans="15:19" x14ac:dyDescent="0.2">
      <c r="O3976" s="4">
        <f t="shared" ca="1" si="343"/>
        <v>0.19976479770078082</v>
      </c>
      <c r="P3976" s="4">
        <f t="shared" ca="1" si="344"/>
        <v>-0.84246165328942779</v>
      </c>
      <c r="Q3976" s="4">
        <f t="shared" ca="1" si="345"/>
        <v>1939.1604164040382</v>
      </c>
      <c r="R3976" s="4">
        <f t="shared" ca="1" si="346"/>
        <v>15.490372404038226</v>
      </c>
      <c r="S3976" s="4">
        <f t="shared" ca="1" si="347"/>
        <v>7.9390551648316681</v>
      </c>
    </row>
    <row r="3977" spans="15:19" x14ac:dyDescent="0.2">
      <c r="O3977" s="4">
        <f t="shared" ca="1" si="343"/>
        <v>0.87234928970246028</v>
      </c>
      <c r="P3977" s="4">
        <f t="shared" ca="1" si="344"/>
        <v>1.13756678993681</v>
      </c>
      <c r="Q3977" s="4">
        <f t="shared" ca="1" si="345"/>
        <v>1901.799910023919</v>
      </c>
      <c r="R3977" s="4">
        <f t="shared" ca="1" si="346"/>
        <v>-21.870133976080979</v>
      </c>
      <c r="S3977" s="4">
        <f t="shared" ca="1" si="347"/>
        <v>-10.876173700354677</v>
      </c>
    </row>
    <row r="3978" spans="15:19" x14ac:dyDescent="0.2">
      <c r="O3978" s="4">
        <f t="shared" ca="1" si="343"/>
        <v>0.12922379139555118</v>
      </c>
      <c r="P3978" s="4">
        <f t="shared" ca="1" si="344"/>
        <v>-1.1300679752093723</v>
      </c>
      <c r="Q3978" s="4">
        <f t="shared" ca="1" si="345"/>
        <v>1944.5871656317136</v>
      </c>
      <c r="R3978" s="4">
        <f t="shared" ca="1" si="346"/>
        <v>20.917121631713599</v>
      </c>
      <c r="S3978" s="4">
        <f t="shared" ca="1" si="347"/>
        <v>10.766555212041764</v>
      </c>
    </row>
    <row r="3979" spans="15:19" x14ac:dyDescent="0.2">
      <c r="O3979" s="4">
        <f t="shared" ca="1" si="343"/>
        <v>0.2884852663920382</v>
      </c>
      <c r="P3979" s="4">
        <f t="shared" ca="1" si="344"/>
        <v>-0.55781527236335182</v>
      </c>
      <c r="Q3979" s="4">
        <f t="shared" ca="1" si="345"/>
        <v>1933.7895173308216</v>
      </c>
      <c r="R3979" s="4">
        <f t="shared" ca="1" si="346"/>
        <v>10.11947333082162</v>
      </c>
      <c r="S3979" s="4">
        <f t="shared" ca="1" si="347"/>
        <v>5.1642619307009685</v>
      </c>
    </row>
    <row r="3980" spans="15:19" x14ac:dyDescent="0.2">
      <c r="O3980" s="4">
        <f t="shared" ca="1" si="343"/>
        <v>0.16119438937378916</v>
      </c>
      <c r="P3980" s="4">
        <f t="shared" ca="1" si="344"/>
        <v>-0.98956092153305653</v>
      </c>
      <c r="Q3980" s="4">
        <f t="shared" ca="1" si="345"/>
        <v>1941.935984183647</v>
      </c>
      <c r="R3980" s="4">
        <f t="shared" ca="1" si="346"/>
        <v>18.26594018364699</v>
      </c>
      <c r="S3980" s="4">
        <f t="shared" ca="1" si="347"/>
        <v>9.3822142712212049</v>
      </c>
    </row>
    <row r="3981" spans="15:19" x14ac:dyDescent="0.2">
      <c r="O3981" s="4">
        <f t="shared" ca="1" si="343"/>
        <v>0.24097735037722334</v>
      </c>
      <c r="P3981" s="4">
        <f t="shared" ca="1" si="344"/>
        <v>-0.70316215548178107</v>
      </c>
      <c r="Q3981" s="4">
        <f t="shared" ca="1" si="345"/>
        <v>1936.5320199310513</v>
      </c>
      <c r="R3981" s="4">
        <f t="shared" ca="1" si="346"/>
        <v>12.861975931051347</v>
      </c>
      <c r="S3981" s="4">
        <f t="shared" ca="1" si="347"/>
        <v>6.5781998330928459</v>
      </c>
    </row>
    <row r="3982" spans="15:19" x14ac:dyDescent="0.2">
      <c r="O3982" s="4">
        <f t="shared" ca="1" si="343"/>
        <v>0.66264145913822592</v>
      </c>
      <c r="P3982" s="4">
        <f t="shared" ca="1" si="344"/>
        <v>0.41968295061779881</v>
      </c>
      <c r="Q3982" s="4">
        <f t="shared" ca="1" si="345"/>
        <v>1915.3454244082282</v>
      </c>
      <c r="R3982" s="4">
        <f t="shared" ca="1" si="346"/>
        <v>-8.3246195917718069</v>
      </c>
      <c r="S3982" s="4">
        <f t="shared" ca="1" si="347"/>
        <v>-4.1857943673440605</v>
      </c>
    </row>
    <row r="3983" spans="15:19" x14ac:dyDescent="0.2">
      <c r="O3983" s="4">
        <f t="shared" ca="1" si="343"/>
        <v>0.87351368286656372</v>
      </c>
      <c r="P3983" s="4">
        <f t="shared" ca="1" si="344"/>
        <v>1.1431588732178184</v>
      </c>
      <c r="Q3983" s="4">
        <f t="shared" ca="1" si="345"/>
        <v>1901.6943948411381</v>
      </c>
      <c r="R3983" s="4">
        <f t="shared" ca="1" si="346"/>
        <v>-21.97564915886187</v>
      </c>
      <c r="S3983" s="4">
        <f t="shared" ca="1" si="347"/>
        <v>-10.927703256024556</v>
      </c>
    </row>
    <row r="3984" spans="15:19" x14ac:dyDescent="0.2">
      <c r="O3984" s="4">
        <f t="shared" ca="1" si="343"/>
        <v>0.15739742478388041</v>
      </c>
      <c r="P3984" s="4">
        <f t="shared" ca="1" si="344"/>
        <v>-1.0052118515934116</v>
      </c>
      <c r="Q3984" s="4">
        <f t="shared" ca="1" si="345"/>
        <v>1942.2312964426069</v>
      </c>
      <c r="R3984" s="4">
        <f t="shared" ca="1" si="346"/>
        <v>18.561252442606929</v>
      </c>
      <c r="S3984" s="4">
        <f t="shared" ca="1" si="347"/>
        <v>9.5361313193566719</v>
      </c>
    </row>
    <row r="3985" spans="15:19" x14ac:dyDescent="0.2">
      <c r="O3985" s="4">
        <f t="shared" ca="1" si="343"/>
        <v>0.65923172221692727</v>
      </c>
      <c r="P3985" s="4">
        <f t="shared" ca="1" si="344"/>
        <v>0.41036726518117767</v>
      </c>
      <c r="Q3985" s="4">
        <f t="shared" ca="1" si="345"/>
        <v>1915.5211990171135</v>
      </c>
      <c r="R3985" s="4">
        <f t="shared" ca="1" si="346"/>
        <v>-8.1488449828864304</v>
      </c>
      <c r="S3985" s="4">
        <f t="shared" ca="1" si="347"/>
        <v>-4.0979942551163866</v>
      </c>
    </row>
    <row r="3986" spans="15:19" x14ac:dyDescent="0.2">
      <c r="O3986" s="4">
        <f t="shared" ca="1" si="343"/>
        <v>0.97222823811836112</v>
      </c>
      <c r="P3986" s="4">
        <f t="shared" ca="1" si="344"/>
        <v>1.9146000891508521</v>
      </c>
      <c r="Q3986" s="4">
        <f t="shared" ca="1" si="345"/>
        <v>1887.1383239077368</v>
      </c>
      <c r="R3986" s="4">
        <f t="shared" ca="1" si="346"/>
        <v>-36.531720092263186</v>
      </c>
      <c r="S3986" s="4">
        <f t="shared" ca="1" si="347"/>
        <v>-17.949453553930706</v>
      </c>
    </row>
    <row r="3987" spans="15:19" x14ac:dyDescent="0.2">
      <c r="O3987" s="4">
        <f t="shared" ca="1" si="343"/>
        <v>0.10292986839323925</v>
      </c>
      <c r="P3987" s="4">
        <f t="shared" ca="1" si="344"/>
        <v>-1.2650323353279374</v>
      </c>
      <c r="Q3987" s="4">
        <f t="shared" ca="1" si="345"/>
        <v>1947.1337638154662</v>
      </c>
      <c r="R3987" s="4">
        <f t="shared" ca="1" si="346"/>
        <v>23.46371981546622</v>
      </c>
      <c r="S3987" s="4">
        <f t="shared" ca="1" si="347"/>
        <v>12.1016751895304</v>
      </c>
    </row>
    <row r="3988" spans="15:19" x14ac:dyDescent="0.2">
      <c r="O3988" s="4">
        <f t="shared" ca="1" si="343"/>
        <v>0.12139549797258209</v>
      </c>
      <c r="P3988" s="4">
        <f t="shared" ca="1" si="344"/>
        <v>-1.1680390939865795</v>
      </c>
      <c r="Q3988" s="4">
        <f t="shared" ca="1" si="345"/>
        <v>1945.3036302007904</v>
      </c>
      <c r="R3988" s="4">
        <f t="shared" ca="1" si="346"/>
        <v>21.633586200790432</v>
      </c>
      <c r="S3988" s="4">
        <f t="shared" ca="1" si="347"/>
        <v>11.141646537374289</v>
      </c>
    </row>
    <row r="3989" spans="15:19" x14ac:dyDescent="0.2">
      <c r="O3989" s="4">
        <f t="shared" ca="1" si="343"/>
        <v>0.88072387847980271</v>
      </c>
      <c r="P3989" s="4">
        <f t="shared" ca="1" si="344"/>
        <v>1.1786131748623445</v>
      </c>
      <c r="Q3989" s="4">
        <f t="shared" ca="1" si="345"/>
        <v>1901.0254192679213</v>
      </c>
      <c r="R3989" s="4">
        <f t="shared" ca="1" si="346"/>
        <v>-22.644624732078682</v>
      </c>
      <c r="S3989" s="4">
        <f t="shared" ca="1" si="347"/>
        <v>-11.254194278925647</v>
      </c>
    </row>
    <row r="3990" spans="15:19" x14ac:dyDescent="0.2">
      <c r="O3990" s="4">
        <f t="shared" ca="1" si="343"/>
        <v>0.11909736891380651</v>
      </c>
      <c r="P3990" s="4">
        <f t="shared" ca="1" si="344"/>
        <v>-1.1795110535948026</v>
      </c>
      <c r="Q3990" s="4">
        <f t="shared" ca="1" si="345"/>
        <v>1945.5200908388188</v>
      </c>
      <c r="R3990" s="4">
        <f t="shared" ca="1" si="346"/>
        <v>21.850046838818798</v>
      </c>
      <c r="S3990" s="4">
        <f t="shared" ca="1" si="347"/>
        <v>11.255052569587857</v>
      </c>
    </row>
    <row r="3991" spans="15:19" x14ac:dyDescent="0.2">
      <c r="O3991" s="4">
        <f t="shared" ca="1" si="343"/>
        <v>0.45086314036082331</v>
      </c>
      <c r="P3991" s="4">
        <f t="shared" ca="1" si="344"/>
        <v>-0.1234809219818911</v>
      </c>
      <c r="Q3991" s="4">
        <f t="shared" ca="1" si="345"/>
        <v>1925.5942051250577</v>
      </c>
      <c r="R3991" s="4">
        <f t="shared" ca="1" si="346"/>
        <v>1.924161125057708</v>
      </c>
      <c r="S3991" s="4">
        <f t="shared" ca="1" si="347"/>
        <v>0.97553633996789801</v>
      </c>
    </row>
    <row r="3992" spans="15:19" x14ac:dyDescent="0.2">
      <c r="O3992" s="4">
        <f t="shared" ca="1" si="343"/>
        <v>5.541872582303653E-2</v>
      </c>
      <c r="P3992" s="4">
        <f t="shared" ca="1" si="344"/>
        <v>-1.5944403023938081</v>
      </c>
      <c r="Q3992" s="4">
        <f t="shared" ca="1" si="345"/>
        <v>1953.3492545561819</v>
      </c>
      <c r="R3992" s="4">
        <f t="shared" ca="1" si="346"/>
        <v>29.679210556181943</v>
      </c>
      <c r="S3992" s="4">
        <f t="shared" ca="1" si="347"/>
        <v>15.382476270939476</v>
      </c>
    </row>
    <row r="3993" spans="15:19" x14ac:dyDescent="0.2">
      <c r="O3993" s="4">
        <f t="shared" ca="1" si="343"/>
        <v>0.62371614477612192</v>
      </c>
      <c r="P3993" s="4">
        <f t="shared" ca="1" si="344"/>
        <v>0.31525544587541754</v>
      </c>
      <c r="Q3993" s="4">
        <f t="shared" ca="1" si="345"/>
        <v>1917.3158326973287</v>
      </c>
      <c r="R3993" s="4">
        <f t="shared" ca="1" si="346"/>
        <v>-6.3542113026712741</v>
      </c>
      <c r="S3993" s="4">
        <f t="shared" ca="1" si="347"/>
        <v>-3.2001281727323558</v>
      </c>
    </row>
    <row r="3994" spans="15:19" x14ac:dyDescent="0.2">
      <c r="O3994" s="4">
        <f t="shared" ca="1" si="343"/>
        <v>0.60542161204669753</v>
      </c>
      <c r="P3994" s="4">
        <f t="shared" ca="1" si="344"/>
        <v>0.26740574587350568</v>
      </c>
      <c r="Q3994" s="4">
        <f t="shared" ca="1" si="345"/>
        <v>1918.2186929710406</v>
      </c>
      <c r="R3994" s="4">
        <f t="shared" ca="1" si="346"/>
        <v>-5.4513510289593796</v>
      </c>
      <c r="S3994" s="4">
        <f t="shared" ca="1" si="347"/>
        <v>-2.7474303173176411</v>
      </c>
    </row>
    <row r="3995" spans="15:19" x14ac:dyDescent="0.2">
      <c r="O3995" s="4">
        <f t="shared" ca="1" si="343"/>
        <v>0.25975259268586792</v>
      </c>
      <c r="P3995" s="4">
        <f t="shared" ca="1" si="344"/>
        <v>-0.64410833572014103</v>
      </c>
      <c r="Q3995" s="4">
        <f t="shared" ca="1" si="345"/>
        <v>1935.4177528014434</v>
      </c>
      <c r="R3995" s="4">
        <f t="shared" ca="1" si="346"/>
        <v>11.747708801443423</v>
      </c>
      <c r="S3995" s="4">
        <f t="shared" ca="1" si="347"/>
        <v>6.0029843422062035</v>
      </c>
    </row>
    <row r="3996" spans="15:19" x14ac:dyDescent="0.2">
      <c r="O3996" s="4">
        <f t="shared" ca="1" si="343"/>
        <v>0.70393835673288541</v>
      </c>
      <c r="P3996" s="4">
        <f t="shared" ca="1" si="344"/>
        <v>0.53576165476326443</v>
      </c>
      <c r="Q3996" s="4">
        <f t="shared" ca="1" si="345"/>
        <v>1913.155173464279</v>
      </c>
      <c r="R3996" s="4">
        <f t="shared" ca="1" si="346"/>
        <v>-10.514870535721002</v>
      </c>
      <c r="S3996" s="4">
        <f t="shared" ca="1" si="347"/>
        <v>-5.277723865104738</v>
      </c>
    </row>
    <row r="3997" spans="15:19" x14ac:dyDescent="0.2">
      <c r="O3997" s="4">
        <f t="shared" ca="1" si="343"/>
        <v>0.23804645185779605</v>
      </c>
      <c r="P3997" s="4">
        <f t="shared" ca="1" si="344"/>
        <v>-0.71260065923107407</v>
      </c>
      <c r="Q3997" s="4">
        <f t="shared" ca="1" si="345"/>
        <v>1936.7101119583401</v>
      </c>
      <c r="R3997" s="4">
        <f t="shared" ca="1" si="346"/>
        <v>13.04006795834016</v>
      </c>
      <c r="S3997" s="4">
        <f t="shared" ca="1" si="347"/>
        <v>6.6702295506711016</v>
      </c>
    </row>
    <row r="3998" spans="15:19" x14ac:dyDescent="0.2">
      <c r="O3998" s="4">
        <f t="shared" ca="1" si="343"/>
        <v>8.2371785555563792E-2</v>
      </c>
      <c r="P3998" s="4">
        <f t="shared" ca="1" si="344"/>
        <v>-1.3892933306462025</v>
      </c>
      <c r="Q3998" s="4">
        <f t="shared" ca="1" si="345"/>
        <v>1949.4784037241857</v>
      </c>
      <c r="R3998" s="4">
        <f t="shared" ca="1" si="346"/>
        <v>25.808359724185721</v>
      </c>
      <c r="S3998" s="4">
        <f t="shared" ca="1" si="347"/>
        <v>13.335581664790949</v>
      </c>
    </row>
    <row r="3999" spans="15:19" x14ac:dyDescent="0.2">
      <c r="O3999" s="4">
        <f t="shared" ca="1" si="343"/>
        <v>0.45748219124434619</v>
      </c>
      <c r="P3999" s="4">
        <f t="shared" ca="1" si="344"/>
        <v>-0.10677890583574873</v>
      </c>
      <c r="Q3999" s="4">
        <f t="shared" ca="1" si="345"/>
        <v>1925.2790602679604</v>
      </c>
      <c r="R3999" s="4">
        <f t="shared" ca="1" si="346"/>
        <v>1.6090162679604418</v>
      </c>
      <c r="S3999" s="4">
        <f t="shared" ca="1" si="347"/>
        <v>0.81555367009827318</v>
      </c>
    </row>
    <row r="4000" spans="15:19" x14ac:dyDescent="0.2">
      <c r="O4000" s="4">
        <f t="shared" ca="1" si="343"/>
        <v>9.1429930975053475E-2</v>
      </c>
      <c r="P4000" s="4">
        <f t="shared" ca="1" si="344"/>
        <v>-1.3320009938004314</v>
      </c>
      <c r="Q4000" s="4">
        <f t="shared" ca="1" si="345"/>
        <v>1948.3973734371809</v>
      </c>
      <c r="R4000" s="4">
        <f t="shared" ca="1" si="346"/>
        <v>24.72732943718097</v>
      </c>
      <c r="S4000" s="4">
        <f t="shared" ca="1" si="347"/>
        <v>12.766115104578574</v>
      </c>
    </row>
    <row r="4001" spans="15:19" x14ac:dyDescent="0.2">
      <c r="O4001" s="4">
        <f t="shared" ca="1" si="343"/>
        <v>0.94760534273416541</v>
      </c>
      <c r="P4001" s="4">
        <f t="shared" ca="1" si="344"/>
        <v>1.6220655452756927</v>
      </c>
      <c r="Q4001" s="4">
        <f t="shared" ca="1" si="345"/>
        <v>1892.6580621368732</v>
      </c>
      <c r="R4001" s="4">
        <f t="shared" ca="1" si="346"/>
        <v>-31.011981863126721</v>
      </c>
      <c r="S4001" s="4">
        <f t="shared" ca="1" si="347"/>
        <v>-15.307072992415922</v>
      </c>
    </row>
    <row r="4002" spans="15:19" x14ac:dyDescent="0.2">
      <c r="O4002" s="4">
        <f t="shared" ca="1" si="343"/>
        <v>0.79150828544224616</v>
      </c>
      <c r="P4002" s="4">
        <f t="shared" ca="1" si="344"/>
        <v>0.81166579036546271</v>
      </c>
      <c r="Q4002" s="4">
        <f t="shared" ca="1" si="345"/>
        <v>1907.9492289467994</v>
      </c>
      <c r="R4002" s="4">
        <f t="shared" ca="1" si="346"/>
        <v>-15.720815053200567</v>
      </c>
      <c r="S4002" s="4">
        <f t="shared" ca="1" si="347"/>
        <v>-7.8574258365449001</v>
      </c>
    </row>
    <row r="4003" spans="15:19" x14ac:dyDescent="0.2">
      <c r="O4003" s="4">
        <f t="shared" ca="1" si="343"/>
        <v>0.79927749932399927</v>
      </c>
      <c r="P4003" s="4">
        <f t="shared" ca="1" si="344"/>
        <v>0.83904331876439464</v>
      </c>
      <c r="Q4003" s="4">
        <f t="shared" ca="1" si="345"/>
        <v>1907.4326513552403</v>
      </c>
      <c r="R4003" s="4">
        <f t="shared" ca="1" si="346"/>
        <v>-16.237392644759666</v>
      </c>
      <c r="S4003" s="4">
        <f t="shared" ca="1" si="347"/>
        <v>-8.112202210537518</v>
      </c>
    </row>
    <row r="4004" spans="15:19" x14ac:dyDescent="0.2">
      <c r="O4004" s="4">
        <f t="shared" ca="1" si="343"/>
        <v>0.50380460151846229</v>
      </c>
      <c r="P4004" s="4">
        <f t="shared" ca="1" si="344"/>
        <v>9.5368663037988452E-3</v>
      </c>
      <c r="Q4004" s="4">
        <f t="shared" ca="1" si="345"/>
        <v>1923.0843361658931</v>
      </c>
      <c r="R4004" s="4">
        <f t="shared" ca="1" si="346"/>
        <v>-0.58570783410687</v>
      </c>
      <c r="S4004" s="4">
        <f t="shared" ca="1" si="347"/>
        <v>-0.29635139598717158</v>
      </c>
    </row>
    <row r="4005" spans="15:19" x14ac:dyDescent="0.2">
      <c r="O4005" s="4">
        <f t="shared" ca="1" si="343"/>
        <v>0.35134619417463953</v>
      </c>
      <c r="P4005" s="4">
        <f t="shared" ca="1" si="344"/>
        <v>-0.3816885576497378</v>
      </c>
      <c r="Q4005" s="4">
        <f t="shared" ca="1" si="345"/>
        <v>1930.4662401974658</v>
      </c>
      <c r="R4005" s="4">
        <f t="shared" ca="1" si="346"/>
        <v>6.7961961974658607</v>
      </c>
      <c r="S4005" s="4">
        <f t="shared" ca="1" si="347"/>
        <v>3.4591029117551186</v>
      </c>
    </row>
    <row r="4006" spans="15:19" x14ac:dyDescent="0.2">
      <c r="O4006" s="4">
        <f t="shared" ca="1" si="343"/>
        <v>0.45976605019562966</v>
      </c>
      <c r="P4006" s="4">
        <f t="shared" ca="1" si="344"/>
        <v>-0.10102312827160756</v>
      </c>
      <c r="Q4006" s="4">
        <f t="shared" ca="1" si="345"/>
        <v>1925.1704563915146</v>
      </c>
      <c r="R4006" s="4">
        <f t="shared" ca="1" si="346"/>
        <v>1.500412391514601</v>
      </c>
      <c r="S4006" s="4">
        <f t="shared" ca="1" si="347"/>
        <v>0.76043985842501227</v>
      </c>
    </row>
    <row r="4007" spans="15:19" x14ac:dyDescent="0.2">
      <c r="O4007" s="4">
        <f t="shared" ca="1" si="343"/>
        <v>0.93493449051669353</v>
      </c>
      <c r="P4007" s="4">
        <f t="shared" ca="1" si="344"/>
        <v>1.5135854292181599</v>
      </c>
      <c r="Q4007" s="4">
        <f t="shared" ca="1" si="345"/>
        <v>1894.7049378178506</v>
      </c>
      <c r="R4007" s="4">
        <f t="shared" ca="1" si="346"/>
        <v>-28.965106182149384</v>
      </c>
      <c r="S4007" s="4">
        <f t="shared" ca="1" si="347"/>
        <v>-14.320898588967687</v>
      </c>
    </row>
    <row r="4008" spans="15:19" x14ac:dyDescent="0.2">
      <c r="O4008" s="4">
        <f t="shared" ca="1" si="343"/>
        <v>0.89197220776612274</v>
      </c>
      <c r="P4008" s="4">
        <f t="shared" ca="1" si="344"/>
        <v>1.2370848476636624</v>
      </c>
      <c r="Q4008" s="4">
        <f t="shared" ca="1" si="345"/>
        <v>1899.922136478109</v>
      </c>
      <c r="R4008" s="4">
        <f t="shared" ca="1" si="346"/>
        <v>-23.747907521890966</v>
      </c>
      <c r="S4008" s="4">
        <f t="shared" ca="1" si="347"/>
        <v>-11.791851368882169</v>
      </c>
    </row>
    <row r="4009" spans="15:19" x14ac:dyDescent="0.2">
      <c r="O4009" s="4">
        <f t="shared" ca="1" si="343"/>
        <v>0.14925202036918472</v>
      </c>
      <c r="P4009" s="4">
        <f t="shared" ca="1" si="344"/>
        <v>-1.0396467670075897</v>
      </c>
      <c r="Q4009" s="4">
        <f t="shared" ca="1" si="345"/>
        <v>1942.8810375518478</v>
      </c>
      <c r="R4009" s="4">
        <f t="shared" ca="1" si="346"/>
        <v>19.210993551847878</v>
      </c>
      <c r="S4009" s="4">
        <f t="shared" ca="1" si="347"/>
        <v>9.8750269996290623</v>
      </c>
    </row>
    <row r="4010" spans="15:19" x14ac:dyDescent="0.2">
      <c r="O4010" s="4">
        <f t="shared" ca="1" si="343"/>
        <v>0.22400334544019962</v>
      </c>
      <c r="P4010" s="4">
        <f t="shared" ca="1" si="344"/>
        <v>-0.75874236160191388</v>
      </c>
      <c r="Q4010" s="4">
        <f t="shared" ca="1" si="345"/>
        <v>1937.5807445857215</v>
      </c>
      <c r="R4010" s="4">
        <f t="shared" ca="1" si="346"/>
        <v>13.910700585721543</v>
      </c>
      <c r="S4010" s="4">
        <f t="shared" ca="1" si="347"/>
        <v>7.120503875643486</v>
      </c>
    </row>
    <row r="4011" spans="15:19" x14ac:dyDescent="0.2">
      <c r="O4011" s="4">
        <f t="shared" ca="1" si="343"/>
        <v>4.6532418968495692E-2</v>
      </c>
      <c r="P4011" s="4">
        <f t="shared" ca="1" si="344"/>
        <v>-1.6794476263052718</v>
      </c>
      <c r="Q4011" s="4">
        <f t="shared" ca="1" si="345"/>
        <v>1954.9532298314948</v>
      </c>
      <c r="R4011" s="4">
        <f t="shared" ca="1" si="346"/>
        <v>31.283185831494848</v>
      </c>
      <c r="S4011" s="4">
        <f t="shared" ca="1" si="347"/>
        <v>16.234228380979296</v>
      </c>
    </row>
    <row r="4012" spans="15:19" x14ac:dyDescent="0.2">
      <c r="O4012" s="4">
        <f t="shared" ca="1" si="343"/>
        <v>0.73194049879896383</v>
      </c>
      <c r="P4012" s="4">
        <f t="shared" ca="1" si="344"/>
        <v>0.61869242313334327</v>
      </c>
      <c r="Q4012" s="4">
        <f t="shared" ca="1" si="345"/>
        <v>1911.5903800334584</v>
      </c>
      <c r="R4012" s="4">
        <f t="shared" ca="1" si="346"/>
        <v>-12.079663966541602</v>
      </c>
      <c r="S4012" s="4">
        <f t="shared" ca="1" si="347"/>
        <v>-6.0554453771413925</v>
      </c>
    </row>
    <row r="4013" spans="15:19" x14ac:dyDescent="0.2">
      <c r="O4013" s="4">
        <f t="shared" ca="1" si="343"/>
        <v>3.090052754232997E-2</v>
      </c>
      <c r="P4013" s="4">
        <f t="shared" ca="1" si="344"/>
        <v>-1.8677203895163461</v>
      </c>
      <c r="Q4013" s="4">
        <f t="shared" ca="1" si="345"/>
        <v>1958.5056867647338</v>
      </c>
      <c r="R4013" s="4">
        <f t="shared" ca="1" si="346"/>
        <v>34.835642764733848</v>
      </c>
      <c r="S4013" s="4">
        <f t="shared" ca="1" si="347"/>
        <v>18.12813104306468</v>
      </c>
    </row>
    <row r="4014" spans="15:19" x14ac:dyDescent="0.2">
      <c r="O4014" s="4">
        <f t="shared" ca="1" si="343"/>
        <v>0.77975850081649423</v>
      </c>
      <c r="P4014" s="4">
        <f t="shared" ca="1" si="344"/>
        <v>0.77137785308140505</v>
      </c>
      <c r="Q4014" s="4">
        <f t="shared" ca="1" si="345"/>
        <v>1908.7094088033525</v>
      </c>
      <c r="R4014" s="4">
        <f t="shared" ca="1" si="346"/>
        <v>-14.960635196647445</v>
      </c>
      <c r="S4014" s="4">
        <f t="shared" ca="1" si="347"/>
        <v>-7.482109593971785</v>
      </c>
    </row>
    <row r="4015" spans="15:19" x14ac:dyDescent="0.2">
      <c r="O4015" s="4">
        <f t="shared" ca="1" si="343"/>
        <v>0.80094392218775678</v>
      </c>
      <c r="P4015" s="4">
        <f t="shared" ca="1" si="344"/>
        <v>0.84499764193531446</v>
      </c>
      <c r="Q4015" s="4">
        <f t="shared" ca="1" si="345"/>
        <v>1907.3203011869498</v>
      </c>
      <c r="R4015" s="4">
        <f t="shared" ca="1" si="346"/>
        <v>-16.34974281305017</v>
      </c>
      <c r="S4015" s="4">
        <f t="shared" ca="1" si="347"/>
        <v>-8.1675846164860815</v>
      </c>
    </row>
    <row r="4016" spans="15:19" x14ac:dyDescent="0.2">
      <c r="O4016" s="4">
        <f t="shared" ca="1" si="343"/>
        <v>0.31805849952899112</v>
      </c>
      <c r="P4016" s="4">
        <f t="shared" ca="1" si="344"/>
        <v>-0.47313481593841344</v>
      </c>
      <c r="Q4016" s="4">
        <f t="shared" ca="1" si="345"/>
        <v>1932.1917096107566</v>
      </c>
      <c r="R4016" s="4">
        <f t="shared" ca="1" si="346"/>
        <v>8.5216656107565996</v>
      </c>
      <c r="S4016" s="4">
        <f t="shared" ca="1" si="347"/>
        <v>4.3433114735685177</v>
      </c>
    </row>
    <row r="4017" spans="15:19" x14ac:dyDescent="0.2">
      <c r="O4017" s="4">
        <f t="shared" ca="1" si="343"/>
        <v>0.36912356166704408</v>
      </c>
      <c r="P4017" s="4">
        <f t="shared" ca="1" si="344"/>
        <v>-0.33417550949618252</v>
      </c>
      <c r="Q4017" s="4">
        <f t="shared" ca="1" si="345"/>
        <v>1929.5697320969118</v>
      </c>
      <c r="R4017" s="4">
        <f t="shared" ca="1" si="346"/>
        <v>5.8996880969118592</v>
      </c>
      <c r="S4017" s="4">
        <f t="shared" ca="1" si="347"/>
        <v>3.000648483130643</v>
      </c>
    </row>
    <row r="4018" spans="15:19" x14ac:dyDescent="0.2">
      <c r="O4018" s="4">
        <f t="shared" ca="1" si="343"/>
        <v>0.12855068552484339</v>
      </c>
      <c r="P4018" s="4">
        <f t="shared" ca="1" si="344"/>
        <v>-1.1332688446025283</v>
      </c>
      <c r="Q4018" s="4">
        <f t="shared" ca="1" si="345"/>
        <v>1944.6475617850083</v>
      </c>
      <c r="R4018" s="4">
        <f t="shared" ca="1" si="346"/>
        <v>20.977517785008331</v>
      </c>
      <c r="S4018" s="4">
        <f t="shared" ca="1" si="347"/>
        <v>10.798158333525539</v>
      </c>
    </row>
    <row r="4019" spans="15:19" x14ac:dyDescent="0.2">
      <c r="O4019" s="4">
        <f t="shared" ca="1" si="343"/>
        <v>0.56087226350580766</v>
      </c>
      <c r="P4019" s="4">
        <f t="shared" ca="1" si="344"/>
        <v>0.15318108578721393</v>
      </c>
      <c r="Q4019" s="4">
        <f t="shared" ca="1" si="345"/>
        <v>1920.3739605665742</v>
      </c>
      <c r="R4019" s="4">
        <f t="shared" ca="1" si="346"/>
        <v>-3.2960834334257925</v>
      </c>
      <c r="S4019" s="4">
        <f t="shared" ca="1" si="347"/>
        <v>-1.6640872511838465</v>
      </c>
    </row>
    <row r="4020" spans="15:19" x14ac:dyDescent="0.2">
      <c r="O4020" s="4">
        <f t="shared" ca="1" si="343"/>
        <v>0.90493852586342516</v>
      </c>
      <c r="P4020" s="4">
        <f t="shared" ca="1" si="344"/>
        <v>1.3102154862604491</v>
      </c>
      <c r="Q4020" s="4">
        <f t="shared" ca="1" si="345"/>
        <v>1898.542258477253</v>
      </c>
      <c r="R4020" s="4">
        <f t="shared" ca="1" si="346"/>
        <v>-25.12778552274699</v>
      </c>
      <c r="S4020" s="4">
        <f t="shared" ca="1" si="347"/>
        <v>-12.462905365035276</v>
      </c>
    </row>
    <row r="4021" spans="15:19" x14ac:dyDescent="0.2">
      <c r="O4021" s="4">
        <f t="shared" ca="1" si="343"/>
        <v>0.81812344171597551</v>
      </c>
      <c r="P4021" s="4">
        <f t="shared" ca="1" si="344"/>
        <v>0.90823681635184772</v>
      </c>
      <c r="Q4021" s="4">
        <f t="shared" ca="1" si="345"/>
        <v>1906.1270619749853</v>
      </c>
      <c r="R4021" s="4">
        <f t="shared" ca="1" si="346"/>
        <v>-17.54298202501468</v>
      </c>
      <c r="S4021" s="4">
        <f t="shared" ca="1" si="347"/>
        <v>-8.7551512474030879</v>
      </c>
    </row>
    <row r="4022" spans="15:19" x14ac:dyDescent="0.2">
      <c r="O4022" s="4">
        <f t="shared" ca="1" si="343"/>
        <v>0.77681542266585402</v>
      </c>
      <c r="P4022" s="4">
        <f t="shared" ca="1" si="344"/>
        <v>0.76148211960485834</v>
      </c>
      <c r="Q4022" s="4">
        <f t="shared" ca="1" si="345"/>
        <v>1908.8961281481938</v>
      </c>
      <c r="R4022" s="4">
        <f t="shared" ca="1" si="346"/>
        <v>-14.773915851806123</v>
      </c>
      <c r="S4022" s="4">
        <f t="shared" ca="1" si="347"/>
        <v>-7.3898504875247433</v>
      </c>
    </row>
    <row r="4023" spans="15:19" x14ac:dyDescent="0.2">
      <c r="O4023" s="4">
        <f t="shared" ca="1" si="343"/>
        <v>0.61885170455343708</v>
      </c>
      <c r="P4023" s="4">
        <f t="shared" ca="1" si="344"/>
        <v>0.30246633788703142</v>
      </c>
      <c r="Q4023" s="4">
        <f t="shared" ca="1" si="345"/>
        <v>1917.5571461755421</v>
      </c>
      <c r="R4023" s="4">
        <f t="shared" ca="1" si="346"/>
        <v>-6.112897824457832</v>
      </c>
      <c r="S4023" s="4">
        <f t="shared" ca="1" si="347"/>
        <v>-3.0791975866392987</v>
      </c>
    </row>
    <row r="4024" spans="15:19" x14ac:dyDescent="0.2">
      <c r="O4024" s="4">
        <f t="shared" ca="1" si="343"/>
        <v>0.75090956011460308</v>
      </c>
      <c r="P4024" s="4">
        <f t="shared" ca="1" si="344"/>
        <v>0.67735478353723322</v>
      </c>
      <c r="Q4024" s="4">
        <f t="shared" ca="1" si="345"/>
        <v>1910.4834992219021</v>
      </c>
      <c r="R4024" s="4">
        <f t="shared" ca="1" si="346"/>
        <v>-13.186544778097868</v>
      </c>
      <c r="S4024" s="4">
        <f t="shared" ca="1" si="347"/>
        <v>-6.6043749103025098</v>
      </c>
    </row>
    <row r="4025" spans="15:19" x14ac:dyDescent="0.2">
      <c r="O4025" s="4">
        <f t="shared" ca="1" si="343"/>
        <v>0.57308797226820896</v>
      </c>
      <c r="P4025" s="4">
        <f t="shared" ca="1" si="344"/>
        <v>0.18424143490593362</v>
      </c>
      <c r="Q4025" s="4">
        <f t="shared" ca="1" si="345"/>
        <v>1919.787893040429</v>
      </c>
      <c r="R4025" s="4">
        <f t="shared" ca="1" si="346"/>
        <v>-3.8821509595709358</v>
      </c>
      <c r="S4025" s="4">
        <f t="shared" ca="1" si="347"/>
        <v>-1.9590478616270868</v>
      </c>
    </row>
    <row r="4026" spans="15:19" x14ac:dyDescent="0.2">
      <c r="O4026" s="4">
        <f t="shared" ca="1" si="343"/>
        <v>6.9293912076018427E-2</v>
      </c>
      <c r="P4026" s="4">
        <f t="shared" ca="1" si="344"/>
        <v>-1.4810703640446619</v>
      </c>
      <c r="Q4026" s="4">
        <f t="shared" ca="1" si="345"/>
        <v>1951.2101144243836</v>
      </c>
      <c r="R4026" s="4">
        <f t="shared" ca="1" si="346"/>
        <v>27.540070424383657</v>
      </c>
      <c r="S4026" s="4">
        <f t="shared" ca="1" si="347"/>
        <v>14.249797285789075</v>
      </c>
    </row>
    <row r="4027" spans="15:19" x14ac:dyDescent="0.2">
      <c r="O4027" s="4">
        <f t="shared" ca="1" si="343"/>
        <v>0.17035878918477232</v>
      </c>
      <c r="P4027" s="4">
        <f t="shared" ca="1" si="344"/>
        <v>-0.95274837183662708</v>
      </c>
      <c r="Q4027" s="4">
        <f t="shared" ca="1" si="345"/>
        <v>1941.2413802740377</v>
      </c>
      <c r="R4027" s="4">
        <f t="shared" ca="1" si="346"/>
        <v>17.571336274037776</v>
      </c>
      <c r="S4027" s="4">
        <f t="shared" ca="1" si="347"/>
        <v>9.0204659114599188</v>
      </c>
    </row>
    <row r="4028" spans="15:19" x14ac:dyDescent="0.2">
      <c r="O4028" s="4">
        <f t="shared" ca="1" si="343"/>
        <v>0.85689665839546592</v>
      </c>
      <c r="P4028" s="4">
        <f t="shared" ca="1" si="344"/>
        <v>1.066480070159173</v>
      </c>
      <c r="Q4028" s="4">
        <f t="shared" ca="1" si="345"/>
        <v>1903.1412219918757</v>
      </c>
      <c r="R4028" s="4">
        <f t="shared" ca="1" si="346"/>
        <v>-20.52882200812428</v>
      </c>
      <c r="S4028" s="4">
        <f t="shared" ca="1" si="347"/>
        <v>-10.220338563459981</v>
      </c>
    </row>
    <row r="4029" spans="15:19" x14ac:dyDescent="0.2">
      <c r="O4029" s="4">
        <f t="shared" ca="1" si="343"/>
        <v>0.81506154716037149</v>
      </c>
      <c r="P4029" s="4">
        <f t="shared" ca="1" si="344"/>
        <v>0.89670396244711725</v>
      </c>
      <c r="Q4029" s="4">
        <f t="shared" ca="1" si="345"/>
        <v>1906.344671607495</v>
      </c>
      <c r="R4029" s="4">
        <f t="shared" ca="1" si="346"/>
        <v>-17.32537239250496</v>
      </c>
      <c r="S4029" s="4">
        <f t="shared" ca="1" si="347"/>
        <v>-8.64808383496921</v>
      </c>
    </row>
    <row r="4030" spans="15:19" x14ac:dyDescent="0.2">
      <c r="O4030" s="4">
        <f t="shared" ca="1" si="343"/>
        <v>0.51200993804320716</v>
      </c>
      <c r="P4030" s="4">
        <f t="shared" ca="1" si="344"/>
        <v>3.0108998885045167E-2</v>
      </c>
      <c r="Q4030" s="4">
        <f t="shared" ca="1" si="345"/>
        <v>1922.6961673528724</v>
      </c>
      <c r="R4030" s="4">
        <f t="shared" ca="1" si="346"/>
        <v>-0.97387664712755395</v>
      </c>
      <c r="S4030" s="4">
        <f t="shared" ca="1" si="347"/>
        <v>-0.49259981880989612</v>
      </c>
    </row>
    <row r="4031" spans="15:19" x14ac:dyDescent="0.2">
      <c r="O4031" s="4">
        <f t="shared" ca="1" si="343"/>
        <v>0.84309647658399367</v>
      </c>
      <c r="P4031" s="4">
        <f t="shared" ca="1" si="344"/>
        <v>1.007265827518024</v>
      </c>
      <c r="Q4031" s="4">
        <f t="shared" ca="1" si="345"/>
        <v>1904.2585160881081</v>
      </c>
      <c r="R4031" s="4">
        <f t="shared" ca="1" si="346"/>
        <v>-19.411527911891881</v>
      </c>
      <c r="S4031" s="4">
        <f t="shared" ca="1" si="347"/>
        <v>-9.6729188600504887</v>
      </c>
    </row>
    <row r="4032" spans="15:19" x14ac:dyDescent="0.2">
      <c r="O4032" s="4">
        <f t="shared" ca="1" si="343"/>
        <v>0.87335679579388037</v>
      </c>
      <c r="P4032" s="4">
        <f t="shared" ca="1" si="344"/>
        <v>1.1424033283921726</v>
      </c>
      <c r="Q4032" s="4">
        <f t="shared" ca="1" si="345"/>
        <v>1901.7086509683043</v>
      </c>
      <c r="R4032" s="4">
        <f t="shared" ca="1" si="346"/>
        <v>-21.961393031695707</v>
      </c>
      <c r="S4032" s="4">
        <f t="shared" ca="1" si="347"/>
        <v>-10.920741641605424</v>
      </c>
    </row>
    <row r="4033" spans="15:19" x14ac:dyDescent="0.2">
      <c r="O4033" s="4">
        <f t="shared" ca="1" si="343"/>
        <v>0.58954099978108665</v>
      </c>
      <c r="P4033" s="4">
        <f t="shared" ca="1" si="344"/>
        <v>0.22636441745410424</v>
      </c>
      <c r="Q4033" s="4">
        <f t="shared" ca="1" si="345"/>
        <v>1918.9930883174848</v>
      </c>
      <c r="R4033" s="4">
        <f t="shared" ca="1" si="346"/>
        <v>-4.6769556825151994</v>
      </c>
      <c r="S4033" s="4">
        <f t="shared" ca="1" si="347"/>
        <v>-2.3586165794064997</v>
      </c>
    </row>
    <row r="4034" spans="15:19" x14ac:dyDescent="0.2">
      <c r="O4034" s="4">
        <f t="shared" ca="1" si="343"/>
        <v>0.98463498614084832</v>
      </c>
      <c r="P4034" s="4">
        <f t="shared" ca="1" si="344"/>
        <v>2.1605511586784569</v>
      </c>
      <c r="Q4034" s="4">
        <f t="shared" ca="1" si="345"/>
        <v>1882.4975539563159</v>
      </c>
      <c r="R4034" s="4">
        <f t="shared" ca="1" si="346"/>
        <v>-41.172490043684093</v>
      </c>
      <c r="S4034" s="4">
        <f t="shared" ca="1" si="347"/>
        <v>-20.15186459899077</v>
      </c>
    </row>
    <row r="4035" spans="15:19" x14ac:dyDescent="0.2">
      <c r="O4035" s="4">
        <f t="shared" ref="O4035:O4098" ca="1" si="348">RAND()</f>
        <v>0.91840900316703156</v>
      </c>
      <c r="P4035" s="4">
        <f t="shared" ref="P4035:P4098" ca="1" si="349">NORMSINV(O4035)</f>
        <v>1.3944492200311371</v>
      </c>
      <c r="Q4035" s="4">
        <f t="shared" ref="Q4035:Q4098" ca="1" si="350">$B$4*(1+$B$17-$B$32*P4035)</f>
        <v>1896.9528798202305</v>
      </c>
      <c r="R4035" s="4">
        <f t="shared" ref="R4035:R4098" ca="1" si="351">Q4035-$B$4</f>
        <v>-26.717164179769497</v>
      </c>
      <c r="S4035" s="4">
        <f t="shared" ref="S4035:S4098" ca="1" si="352">R4035*$B$12+0.5*$B$13*R4035^2</f>
        <v>-13.233921393338132</v>
      </c>
    </row>
    <row r="4036" spans="15:19" x14ac:dyDescent="0.2">
      <c r="O4036" s="4">
        <f t="shared" ca="1" si="348"/>
        <v>0.32225427785167149</v>
      </c>
      <c r="P4036" s="4">
        <f t="shared" ca="1" si="349"/>
        <v>-0.46140431582735336</v>
      </c>
      <c r="Q4036" s="4">
        <f t="shared" ca="1" si="350"/>
        <v>1931.9703706568941</v>
      </c>
      <c r="R4036" s="4">
        <f t="shared" ca="1" si="351"/>
        <v>8.3003266568941854</v>
      </c>
      <c r="S4036" s="4">
        <f t="shared" ca="1" si="352"/>
        <v>4.2297518609734146</v>
      </c>
    </row>
    <row r="4037" spans="15:19" x14ac:dyDescent="0.2">
      <c r="O4037" s="4">
        <f t="shared" ca="1" si="348"/>
        <v>0.95184181036483928</v>
      </c>
      <c r="P4037" s="4">
        <f t="shared" ca="1" si="349"/>
        <v>1.6629802984309046</v>
      </c>
      <c r="Q4037" s="4">
        <f t="shared" ca="1" si="350"/>
        <v>1891.8860550975169</v>
      </c>
      <c r="R4037" s="4">
        <f t="shared" ca="1" si="351"/>
        <v>-31.783988902483088</v>
      </c>
      <c r="S4037" s="4">
        <f t="shared" ca="1" si="352"/>
        <v>-15.678136236374558</v>
      </c>
    </row>
    <row r="4038" spans="15:19" x14ac:dyDescent="0.2">
      <c r="O4038" s="4">
        <f t="shared" ca="1" si="348"/>
        <v>0.3303715311985469</v>
      </c>
      <c r="P4038" s="4">
        <f t="shared" ca="1" si="349"/>
        <v>-0.43888748911258241</v>
      </c>
      <c r="Q4038" s="4">
        <f t="shared" ca="1" si="350"/>
        <v>1931.545508048978</v>
      </c>
      <c r="R4038" s="4">
        <f t="shared" ca="1" si="351"/>
        <v>7.8754640489780741</v>
      </c>
      <c r="S4038" s="4">
        <f t="shared" ca="1" si="352"/>
        <v>4.0118846687340213</v>
      </c>
    </row>
    <row r="4039" spans="15:19" x14ac:dyDescent="0.2">
      <c r="O4039" s="4">
        <f t="shared" ca="1" si="348"/>
        <v>0.93146404343322398</v>
      </c>
      <c r="P4039" s="4">
        <f t="shared" ca="1" si="349"/>
        <v>1.4867838316406796</v>
      </c>
      <c r="Q4039" s="4">
        <f t="shared" ca="1" si="350"/>
        <v>1895.2106483598968</v>
      </c>
      <c r="R4039" s="4">
        <f t="shared" ca="1" si="351"/>
        <v>-28.459395640103139</v>
      </c>
      <c r="S4039" s="4">
        <f t="shared" ca="1" si="352"/>
        <v>-14.076724321133261</v>
      </c>
    </row>
    <row r="4040" spans="15:19" x14ac:dyDescent="0.2">
      <c r="O4040" s="4">
        <f t="shared" ca="1" si="348"/>
        <v>0.19707424975728871</v>
      </c>
      <c r="P4040" s="4">
        <f t="shared" ca="1" si="349"/>
        <v>-0.85211818552905361</v>
      </c>
      <c r="Q4040" s="4">
        <f t="shared" ca="1" si="350"/>
        <v>1939.3426223393026</v>
      </c>
      <c r="R4040" s="4">
        <f t="shared" ca="1" si="351"/>
        <v>15.672578339302618</v>
      </c>
      <c r="S4040" s="4">
        <f t="shared" ca="1" si="352"/>
        <v>8.0336009633776939</v>
      </c>
    </row>
    <row r="4041" spans="15:19" x14ac:dyDescent="0.2">
      <c r="O4041" s="4">
        <f t="shared" ca="1" si="348"/>
        <v>5.7316422568144731E-2</v>
      </c>
      <c r="P4041" s="4">
        <f t="shared" ca="1" si="349"/>
        <v>-1.5777074014918357</v>
      </c>
      <c r="Q4041" s="4">
        <f t="shared" ca="1" si="350"/>
        <v>1953.0335269447708</v>
      </c>
      <c r="R4041" s="4">
        <f t="shared" ca="1" si="351"/>
        <v>29.363482944770794</v>
      </c>
      <c r="S4041" s="4">
        <f t="shared" ca="1" si="352"/>
        <v>15.215063517759639</v>
      </c>
    </row>
    <row r="4042" spans="15:19" x14ac:dyDescent="0.2">
      <c r="O4042" s="4">
        <f t="shared" ca="1" si="348"/>
        <v>0.66359105008465624</v>
      </c>
      <c r="P4042" s="4">
        <f t="shared" ca="1" si="349"/>
        <v>0.42228377454801985</v>
      </c>
      <c r="Q4042" s="4">
        <f t="shared" ca="1" si="350"/>
        <v>1915.2963503156964</v>
      </c>
      <c r="R4042" s="4">
        <f t="shared" ca="1" si="351"/>
        <v>-8.3736936843035892</v>
      </c>
      <c r="S4042" s="4">
        <f t="shared" ca="1" si="352"/>
        <v>-4.2103025789220734</v>
      </c>
    </row>
    <row r="4043" spans="15:19" x14ac:dyDescent="0.2">
      <c r="O4043" s="4">
        <f t="shared" ca="1" si="348"/>
        <v>8.0837288147249664E-2</v>
      </c>
      <c r="P4043" s="4">
        <f t="shared" ca="1" si="349"/>
        <v>-1.3994616983666115</v>
      </c>
      <c r="Q4043" s="4">
        <f t="shared" ca="1" si="350"/>
        <v>1949.6702673150312</v>
      </c>
      <c r="R4043" s="4">
        <f t="shared" ca="1" si="351"/>
        <v>26.000223315031235</v>
      </c>
      <c r="S4043" s="4">
        <f t="shared" ca="1" si="352"/>
        <v>13.436751235455825</v>
      </c>
    </row>
    <row r="4044" spans="15:19" x14ac:dyDescent="0.2">
      <c r="O4044" s="4">
        <f t="shared" ca="1" si="348"/>
        <v>0.68780014933807387</v>
      </c>
      <c r="P4044" s="4">
        <f t="shared" ca="1" si="349"/>
        <v>0.48962440821874714</v>
      </c>
      <c r="Q4044" s="4">
        <f t="shared" ca="1" si="350"/>
        <v>1914.0257220161368</v>
      </c>
      <c r="R4044" s="4">
        <f t="shared" ca="1" si="351"/>
        <v>-9.6443219838631649</v>
      </c>
      <c r="S4044" s="4">
        <f t="shared" ca="1" si="352"/>
        <v>-4.844187545327185</v>
      </c>
    </row>
    <row r="4045" spans="15:19" x14ac:dyDescent="0.2">
      <c r="O4045" s="4">
        <f t="shared" ca="1" si="348"/>
        <v>0.21660942644819436</v>
      </c>
      <c r="P4045" s="4">
        <f t="shared" ca="1" si="349"/>
        <v>-0.78369541606668813</v>
      </c>
      <c r="Q4045" s="4">
        <f t="shared" ca="1" si="350"/>
        <v>1938.0515755749043</v>
      </c>
      <c r="R4045" s="4">
        <f t="shared" ca="1" si="351"/>
        <v>14.381531574904329</v>
      </c>
      <c r="S4045" s="4">
        <f t="shared" ca="1" si="352"/>
        <v>7.3642656461384188</v>
      </c>
    </row>
    <row r="4046" spans="15:19" x14ac:dyDescent="0.2">
      <c r="O4046" s="4">
        <f t="shared" ca="1" si="348"/>
        <v>0.5409184391466989</v>
      </c>
      <c r="P4046" s="4">
        <f t="shared" ca="1" si="349"/>
        <v>0.10274781732659613</v>
      </c>
      <c r="Q4046" s="4">
        <f t="shared" ca="1" si="350"/>
        <v>1921.3255693449933</v>
      </c>
      <c r="R4046" s="4">
        <f t="shared" ca="1" si="351"/>
        <v>-2.3444746550067066</v>
      </c>
      <c r="S4046" s="4">
        <f t="shared" ca="1" si="352"/>
        <v>-1.1845585532754468</v>
      </c>
    </row>
    <row r="4047" spans="15:19" x14ac:dyDescent="0.2">
      <c r="O4047" s="4">
        <f t="shared" ca="1" si="348"/>
        <v>0.81986425897163862</v>
      </c>
      <c r="P4047" s="4">
        <f t="shared" ca="1" si="349"/>
        <v>0.91484790454550935</v>
      </c>
      <c r="Q4047" s="4">
        <f t="shared" ca="1" si="350"/>
        <v>1906.002319523187</v>
      </c>
      <c r="R4047" s="4">
        <f t="shared" ca="1" si="351"/>
        <v>-17.667724476812964</v>
      </c>
      <c r="S4047" s="4">
        <f t="shared" ca="1" si="352"/>
        <v>-8.8165091404533609</v>
      </c>
    </row>
    <row r="4048" spans="15:19" x14ac:dyDescent="0.2">
      <c r="O4048" s="4">
        <f t="shared" ca="1" si="348"/>
        <v>0.98676805241516818</v>
      </c>
      <c r="P4048" s="4">
        <f t="shared" ca="1" si="349"/>
        <v>2.2193356912729407</v>
      </c>
      <c r="Q4048" s="4">
        <f t="shared" ca="1" si="350"/>
        <v>1881.3883679178214</v>
      </c>
      <c r="R4048" s="4">
        <f t="shared" ca="1" si="351"/>
        <v>-42.281676082178592</v>
      </c>
      <c r="S4048" s="4">
        <f t="shared" ca="1" si="352"/>
        <v>-20.675664586346592</v>
      </c>
    </row>
    <row r="4049" spans="15:19" x14ac:dyDescent="0.2">
      <c r="O4049" s="4">
        <f t="shared" ca="1" si="348"/>
        <v>0.65283446466686434</v>
      </c>
      <c r="P4049" s="4">
        <f t="shared" ca="1" si="349"/>
        <v>0.39298430890570352</v>
      </c>
      <c r="Q4049" s="4">
        <f t="shared" ca="1" si="350"/>
        <v>1915.8491923098652</v>
      </c>
      <c r="R4049" s="4">
        <f t="shared" ca="1" si="351"/>
        <v>-7.8208516901347593</v>
      </c>
      <c r="S4049" s="4">
        <f t="shared" ca="1" si="352"/>
        <v>-3.934093047295538</v>
      </c>
    </row>
    <row r="4050" spans="15:19" x14ac:dyDescent="0.2">
      <c r="O4050" s="4">
        <f t="shared" ca="1" si="348"/>
        <v>3.8042973556329018E-2</v>
      </c>
      <c r="P4050" s="4">
        <f t="shared" ca="1" si="349"/>
        <v>-1.7738621966897439</v>
      </c>
      <c r="Q4050" s="4">
        <f t="shared" ca="1" si="350"/>
        <v>1956.7347073508167</v>
      </c>
      <c r="R4050" s="4">
        <f t="shared" ca="1" si="351"/>
        <v>33.064663350816772</v>
      </c>
      <c r="S4050" s="4">
        <f t="shared" ca="1" si="352"/>
        <v>17.182693824724641</v>
      </c>
    </row>
    <row r="4051" spans="15:19" x14ac:dyDescent="0.2">
      <c r="O4051" s="4">
        <f t="shared" ca="1" si="348"/>
        <v>0.18438745622164687</v>
      </c>
      <c r="P4051" s="4">
        <f t="shared" ca="1" si="349"/>
        <v>-0.8987705072418174</v>
      </c>
      <c r="Q4051" s="4">
        <f t="shared" ca="1" si="350"/>
        <v>1940.2228896753404</v>
      </c>
      <c r="R4051" s="4">
        <f t="shared" ca="1" si="351"/>
        <v>16.55284567534045</v>
      </c>
      <c r="S4051" s="4">
        <f t="shared" ca="1" si="352"/>
        <v>8.4907482389179503</v>
      </c>
    </row>
    <row r="4052" spans="15:19" x14ac:dyDescent="0.2">
      <c r="O4052" s="4">
        <f t="shared" ca="1" si="348"/>
        <v>0.72356781855653785</v>
      </c>
      <c r="P4052" s="4">
        <f t="shared" ca="1" si="349"/>
        <v>0.59347342492991584</v>
      </c>
      <c r="Q4052" s="4">
        <f t="shared" ca="1" si="350"/>
        <v>1912.0662290277</v>
      </c>
      <c r="R4052" s="4">
        <f t="shared" ca="1" si="351"/>
        <v>-11.603814972299915</v>
      </c>
      <c r="S4052" s="4">
        <f t="shared" ca="1" si="352"/>
        <v>-5.8191535276884059</v>
      </c>
    </row>
    <row r="4053" spans="15:19" x14ac:dyDescent="0.2">
      <c r="O4053" s="4">
        <f t="shared" ca="1" si="348"/>
        <v>0.29435320515987784</v>
      </c>
      <c r="P4053" s="4">
        <f t="shared" ca="1" si="349"/>
        <v>-0.54071155858417386</v>
      </c>
      <c r="Q4053" s="4">
        <f t="shared" ca="1" si="350"/>
        <v>1933.4667929730192</v>
      </c>
      <c r="R4053" s="4">
        <f t="shared" ca="1" si="351"/>
        <v>9.7967489730192483</v>
      </c>
      <c r="S4053" s="4">
        <f t="shared" ca="1" si="352"/>
        <v>4.998279282610393</v>
      </c>
    </row>
    <row r="4054" spans="15:19" x14ac:dyDescent="0.2">
      <c r="O4054" s="4">
        <f t="shared" ca="1" si="348"/>
        <v>0.69614697450238716</v>
      </c>
      <c r="P4054" s="4">
        <f t="shared" ca="1" si="349"/>
        <v>0.51335066250167694</v>
      </c>
      <c r="Q4054" s="4">
        <f t="shared" ca="1" si="350"/>
        <v>1913.5780391166579</v>
      </c>
      <c r="R4054" s="4">
        <f t="shared" ca="1" si="351"/>
        <v>-10.092004883342042</v>
      </c>
      <c r="S4054" s="4">
        <f t="shared" ca="1" si="352"/>
        <v>-5.0672123066760344</v>
      </c>
    </row>
    <row r="4055" spans="15:19" x14ac:dyDescent="0.2">
      <c r="O4055" s="4">
        <f t="shared" ca="1" si="348"/>
        <v>0.970118818770211</v>
      </c>
      <c r="P4055" s="4">
        <f t="shared" ca="1" si="349"/>
        <v>1.8825427405316495</v>
      </c>
      <c r="Q4055" s="4">
        <f t="shared" ca="1" si="350"/>
        <v>1887.7432034900048</v>
      </c>
      <c r="R4055" s="4">
        <f t="shared" ca="1" si="351"/>
        <v>-35.926840509995145</v>
      </c>
      <c r="S4055" s="4">
        <f t="shared" ca="1" si="352"/>
        <v>-17.661098901197001</v>
      </c>
    </row>
    <row r="4056" spans="15:19" x14ac:dyDescent="0.2">
      <c r="O4056" s="4">
        <f t="shared" ca="1" si="348"/>
        <v>0.22640872162046111</v>
      </c>
      <c r="P4056" s="4">
        <f t="shared" ca="1" si="349"/>
        <v>-0.75072621433763009</v>
      </c>
      <c r="Q4056" s="4">
        <f t="shared" ca="1" si="350"/>
        <v>1937.4294905357933</v>
      </c>
      <c r="R4056" s="4">
        <f t="shared" ca="1" si="351"/>
        <v>13.759446535793359</v>
      </c>
      <c r="S4056" s="4">
        <f t="shared" ca="1" si="352"/>
        <v>7.0422339190472849</v>
      </c>
    </row>
    <row r="4057" spans="15:19" x14ac:dyDescent="0.2">
      <c r="O4057" s="4">
        <f t="shared" ca="1" si="348"/>
        <v>0.45252438128348349</v>
      </c>
      <c r="P4057" s="4">
        <f t="shared" ca="1" si="349"/>
        <v>-0.11928601529528127</v>
      </c>
      <c r="Q4057" s="4">
        <f t="shared" ca="1" si="350"/>
        <v>1925.5150528085519</v>
      </c>
      <c r="R4057" s="4">
        <f t="shared" ca="1" si="351"/>
        <v>1.8450088085519383</v>
      </c>
      <c r="S4057" s="4">
        <f t="shared" ca="1" si="352"/>
        <v>0.93534721762817741</v>
      </c>
    </row>
    <row r="4058" spans="15:19" x14ac:dyDescent="0.2">
      <c r="O4058" s="4">
        <f t="shared" ca="1" si="348"/>
        <v>6.53173416490338E-3</v>
      </c>
      <c r="P4058" s="4">
        <f t="shared" ca="1" si="349"/>
        <v>-2.482034345692969</v>
      </c>
      <c r="Q4058" s="4">
        <f t="shared" ca="1" si="350"/>
        <v>1970.096975040238</v>
      </c>
      <c r="R4058" s="4">
        <f t="shared" ca="1" si="351"/>
        <v>46.42693104023806</v>
      </c>
      <c r="S4058" s="4">
        <f t="shared" ca="1" si="352"/>
        <v>24.379188643065035</v>
      </c>
    </row>
    <row r="4059" spans="15:19" x14ac:dyDescent="0.2">
      <c r="O4059" s="4">
        <f t="shared" ca="1" si="348"/>
        <v>0.42960761060225694</v>
      </c>
      <c r="P4059" s="4">
        <f t="shared" ca="1" si="349"/>
        <v>-0.17737324536039459</v>
      </c>
      <c r="Q4059" s="4">
        <f t="shared" ca="1" si="350"/>
        <v>1926.6110816746398</v>
      </c>
      <c r="R4059" s="4">
        <f t="shared" ca="1" si="351"/>
        <v>2.9410376746398015</v>
      </c>
      <c r="S4059" s="4">
        <f t="shared" ca="1" si="352"/>
        <v>1.4923031058302947</v>
      </c>
    </row>
    <row r="4060" spans="15:19" x14ac:dyDescent="0.2">
      <c r="O4060" s="4">
        <f t="shared" ca="1" si="348"/>
        <v>0.47717855682642041</v>
      </c>
      <c r="P4060" s="4">
        <f t="shared" ca="1" si="349"/>
        <v>-5.7236110028076742E-2</v>
      </c>
      <c r="Q4060" s="4">
        <f t="shared" ca="1" si="350"/>
        <v>1924.3442535255658</v>
      </c>
      <c r="R4060" s="4">
        <f t="shared" ca="1" si="351"/>
        <v>0.67420952556585689</v>
      </c>
      <c r="S4060" s="4">
        <f t="shared" ca="1" si="352"/>
        <v>0.34147650243027367</v>
      </c>
    </row>
    <row r="4061" spans="15:19" x14ac:dyDescent="0.2">
      <c r="O4061" s="4">
        <f t="shared" ca="1" si="348"/>
        <v>0.10752008012901004</v>
      </c>
      <c r="P4061" s="4">
        <f t="shared" ca="1" si="349"/>
        <v>-1.2398249161050638</v>
      </c>
      <c r="Q4061" s="4">
        <f t="shared" ca="1" si="350"/>
        <v>1946.6581333012055</v>
      </c>
      <c r="R4061" s="4">
        <f t="shared" ca="1" si="351"/>
        <v>22.988089301205491</v>
      </c>
      <c r="S4061" s="4">
        <f t="shared" ca="1" si="352"/>
        <v>11.851912618561053</v>
      </c>
    </row>
    <row r="4062" spans="15:19" x14ac:dyDescent="0.2">
      <c r="O4062" s="4">
        <f t="shared" ca="1" si="348"/>
        <v>0.55613263802853263</v>
      </c>
      <c r="P4062" s="4">
        <f t="shared" ca="1" si="349"/>
        <v>0.14117116622718393</v>
      </c>
      <c r="Q4062" s="4">
        <f t="shared" ca="1" si="350"/>
        <v>1920.6005717942473</v>
      </c>
      <c r="R4062" s="4">
        <f t="shared" ca="1" si="351"/>
        <v>-3.0694722057526178</v>
      </c>
      <c r="S4062" s="4">
        <f t="shared" ca="1" si="352"/>
        <v>-1.5499616280546293</v>
      </c>
    </row>
    <row r="4063" spans="15:19" x14ac:dyDescent="0.2">
      <c r="O4063" s="4">
        <f t="shared" ca="1" si="348"/>
        <v>0.62155044413817773</v>
      </c>
      <c r="P4063" s="4">
        <f t="shared" ca="1" si="349"/>
        <v>0.30955535423907865</v>
      </c>
      <c r="Q4063" s="4">
        <f t="shared" ca="1" si="350"/>
        <v>1917.4233858542923</v>
      </c>
      <c r="R4063" s="4">
        <f t="shared" ca="1" si="351"/>
        <v>-6.24665814570767</v>
      </c>
      <c r="S4063" s="4">
        <f t="shared" ca="1" si="352"/>
        <v>-3.1462353971823598</v>
      </c>
    </row>
    <row r="4064" spans="15:19" x14ac:dyDescent="0.2">
      <c r="O4064" s="4">
        <f t="shared" ca="1" si="348"/>
        <v>0.84814364540089793</v>
      </c>
      <c r="P4064" s="4">
        <f t="shared" ca="1" si="349"/>
        <v>1.0285042148837478</v>
      </c>
      <c r="Q4064" s="4">
        <f t="shared" ca="1" si="350"/>
        <v>1903.8577759323819</v>
      </c>
      <c r="R4064" s="4">
        <f t="shared" ca="1" si="351"/>
        <v>-19.812268067618106</v>
      </c>
      <c r="S4064" s="4">
        <f t="shared" ca="1" si="352"/>
        <v>-9.8693789140685482</v>
      </c>
    </row>
    <row r="4065" spans="15:19" x14ac:dyDescent="0.2">
      <c r="O4065" s="4">
        <f t="shared" ca="1" si="348"/>
        <v>0.56497499155017228</v>
      </c>
      <c r="P4065" s="4">
        <f t="shared" ca="1" si="349"/>
        <v>0.163594954523477</v>
      </c>
      <c r="Q4065" s="4">
        <f t="shared" ca="1" si="350"/>
        <v>1920.1774646976924</v>
      </c>
      <c r="R4065" s="4">
        <f t="shared" ca="1" si="351"/>
        <v>-3.4925793023076039</v>
      </c>
      <c r="S4065" s="4">
        <f t="shared" ca="1" si="352"/>
        <v>-1.763012377044614</v>
      </c>
    </row>
    <row r="4066" spans="15:19" x14ac:dyDescent="0.2">
      <c r="O4066" s="4">
        <f t="shared" ca="1" si="348"/>
        <v>0.45398212021524031</v>
      </c>
      <c r="P4066" s="4">
        <f t="shared" ca="1" si="349"/>
        <v>-0.11560671545881815</v>
      </c>
      <c r="Q4066" s="4">
        <f t="shared" ca="1" si="350"/>
        <v>1925.4456293083565</v>
      </c>
      <c r="R4066" s="4">
        <f t="shared" ca="1" si="351"/>
        <v>1.7755853083565398</v>
      </c>
      <c r="S4066" s="4">
        <f t="shared" ca="1" si="352"/>
        <v>0.90010204322569209</v>
      </c>
    </row>
    <row r="4067" spans="15:19" x14ac:dyDescent="0.2">
      <c r="O4067" s="4">
        <f t="shared" ca="1" si="348"/>
        <v>0.50065858256993889</v>
      </c>
      <c r="P4067" s="4">
        <f t="shared" ca="1" si="349"/>
        <v>1.6508224407952759E-3</v>
      </c>
      <c r="Q4067" s="4">
        <f t="shared" ca="1" si="350"/>
        <v>1923.2331353374734</v>
      </c>
      <c r="R4067" s="4">
        <f t="shared" ca="1" si="351"/>
        <v>-0.43690866252654814</v>
      </c>
      <c r="S4067" s="4">
        <f t="shared" ca="1" si="352"/>
        <v>-0.22108973933952389</v>
      </c>
    </row>
    <row r="4068" spans="15:19" x14ac:dyDescent="0.2">
      <c r="O4068" s="4">
        <f t="shared" ca="1" si="348"/>
        <v>0.43522217967727672</v>
      </c>
      <c r="P4068" s="4">
        <f t="shared" ca="1" si="349"/>
        <v>-0.16309408191949132</v>
      </c>
      <c r="Q4068" s="4">
        <f t="shared" ca="1" si="350"/>
        <v>1926.3416528294827</v>
      </c>
      <c r="R4068" s="4">
        <f t="shared" ca="1" si="351"/>
        <v>2.6716088294826932</v>
      </c>
      <c r="S4068" s="4">
        <f t="shared" ca="1" si="352"/>
        <v>1.355300011689524</v>
      </c>
    </row>
    <row r="4069" spans="15:19" x14ac:dyDescent="0.2">
      <c r="O4069" s="4">
        <f t="shared" ca="1" si="348"/>
        <v>0.82557845080913428</v>
      </c>
      <c r="P4069" s="4">
        <f t="shared" ca="1" si="349"/>
        <v>0.93683566136702712</v>
      </c>
      <c r="Q4069" s="4">
        <f t="shared" ca="1" si="350"/>
        <v>1905.5874397613204</v>
      </c>
      <c r="R4069" s="4">
        <f t="shared" ca="1" si="351"/>
        <v>-18.082604238679551</v>
      </c>
      <c r="S4069" s="4">
        <f t="shared" ca="1" si="352"/>
        <v>-9.0204876530954348</v>
      </c>
    </row>
    <row r="4070" spans="15:19" x14ac:dyDescent="0.2">
      <c r="O4070" s="4">
        <f t="shared" ca="1" si="348"/>
        <v>0.52945203775735972</v>
      </c>
      <c r="P4070" s="4">
        <f t="shared" ca="1" si="349"/>
        <v>7.3892498973395712E-2</v>
      </c>
      <c r="Q4070" s="4">
        <f t="shared" ca="1" si="350"/>
        <v>1921.8700308698378</v>
      </c>
      <c r="R4070" s="4">
        <f t="shared" ca="1" si="351"/>
        <v>-1.8000131301621423</v>
      </c>
      <c r="S4070" s="4">
        <f t="shared" ca="1" si="352"/>
        <v>-0.90986535391347179</v>
      </c>
    </row>
    <row r="4071" spans="15:19" x14ac:dyDescent="0.2">
      <c r="O4071" s="4">
        <f t="shared" ca="1" si="348"/>
        <v>0.73173220654516569</v>
      </c>
      <c r="P4071" s="4">
        <f t="shared" ca="1" si="349"/>
        <v>0.61806030558735314</v>
      </c>
      <c r="Q4071" s="4">
        <f t="shared" ca="1" si="350"/>
        <v>1911.6023072518226</v>
      </c>
      <c r="R4071" s="4">
        <f t="shared" ca="1" si="351"/>
        <v>-12.067736748177367</v>
      </c>
      <c r="S4071" s="4">
        <f t="shared" ca="1" si="352"/>
        <v>-6.0495249429249851</v>
      </c>
    </row>
    <row r="4072" spans="15:19" x14ac:dyDescent="0.2">
      <c r="O4072" s="4">
        <f t="shared" ca="1" si="348"/>
        <v>9.801642477734962E-2</v>
      </c>
      <c r="P4072" s="4">
        <f t="shared" ca="1" si="349"/>
        <v>-1.2929369992176285</v>
      </c>
      <c r="Q4072" s="4">
        <f t="shared" ca="1" si="350"/>
        <v>1947.6602877534694</v>
      </c>
      <c r="R4072" s="4">
        <f t="shared" ca="1" si="351"/>
        <v>23.990243753469485</v>
      </c>
      <c r="S4072" s="4">
        <f t="shared" ca="1" si="352"/>
        <v>12.378377652492864</v>
      </c>
    </row>
    <row r="4073" spans="15:19" x14ac:dyDescent="0.2">
      <c r="O4073" s="4">
        <f t="shared" ca="1" si="348"/>
        <v>0.66203578659752227</v>
      </c>
      <c r="P4073" s="4">
        <f t="shared" ca="1" si="349"/>
        <v>0.41802556360900878</v>
      </c>
      <c r="Q4073" s="4">
        <f t="shared" ca="1" si="350"/>
        <v>1915.3766970993495</v>
      </c>
      <c r="R4073" s="4">
        <f t="shared" ca="1" si="351"/>
        <v>-8.2933469006504765</v>
      </c>
      <c r="S4073" s="4">
        <f t="shared" ca="1" si="352"/>
        <v>-4.1701753739942138</v>
      </c>
    </row>
    <row r="4074" spans="15:19" x14ac:dyDescent="0.2">
      <c r="O4074" s="4">
        <f t="shared" ca="1" si="348"/>
        <v>0.47974993035026481</v>
      </c>
      <c r="P4074" s="4">
        <f t="shared" ca="1" si="349"/>
        <v>-5.0781213895211896E-2</v>
      </c>
      <c r="Q4074" s="4">
        <f t="shared" ca="1" si="350"/>
        <v>1924.2224582104632</v>
      </c>
      <c r="R4074" s="4">
        <f t="shared" ca="1" si="351"/>
        <v>0.55241421046321193</v>
      </c>
      <c r="S4074" s="4">
        <f t="shared" ca="1" si="352"/>
        <v>0.27976170602065276</v>
      </c>
    </row>
    <row r="4075" spans="15:19" x14ac:dyDescent="0.2">
      <c r="O4075" s="4">
        <f t="shared" ca="1" si="348"/>
        <v>0.6845002265013026</v>
      </c>
      <c r="P4075" s="4">
        <f t="shared" ca="1" si="349"/>
        <v>0.48032045388892047</v>
      </c>
      <c r="Q4075" s="4">
        <f t="shared" ca="1" si="350"/>
        <v>1914.2012752746207</v>
      </c>
      <c r="R4075" s="4">
        <f t="shared" ca="1" si="351"/>
        <v>-9.4687687253792774</v>
      </c>
      <c r="S4075" s="4">
        <f t="shared" ca="1" si="352"/>
        <v>-4.7566866323316521</v>
      </c>
    </row>
    <row r="4076" spans="15:19" x14ac:dyDescent="0.2">
      <c r="O4076" s="4">
        <f t="shared" ca="1" si="348"/>
        <v>0.65177054193356865</v>
      </c>
      <c r="P4076" s="4">
        <f t="shared" ca="1" si="349"/>
        <v>0.390104985896295</v>
      </c>
      <c r="Q4076" s="4">
        <f t="shared" ca="1" si="350"/>
        <v>1915.9035213100524</v>
      </c>
      <c r="R4076" s="4">
        <f t="shared" ca="1" si="351"/>
        <v>-7.7665226899475783</v>
      </c>
      <c r="S4076" s="4">
        <f t="shared" ca="1" si="352"/>
        <v>-3.9069359003884374</v>
      </c>
    </row>
    <row r="4077" spans="15:19" x14ac:dyDescent="0.2">
      <c r="O4077" s="4">
        <f t="shared" ca="1" si="348"/>
        <v>0.87141988840769891</v>
      </c>
      <c r="P4077" s="4">
        <f t="shared" ca="1" si="349"/>
        <v>1.1331286699484193</v>
      </c>
      <c r="Q4077" s="4">
        <f t="shared" ca="1" si="350"/>
        <v>1901.8836514523359</v>
      </c>
      <c r="R4077" s="4">
        <f t="shared" ca="1" si="351"/>
        <v>-21.786392547664036</v>
      </c>
      <c r="S4077" s="4">
        <f t="shared" ca="1" si="352"/>
        <v>-10.835271157105787</v>
      </c>
    </row>
    <row r="4078" spans="15:19" x14ac:dyDescent="0.2">
      <c r="O4078" s="4">
        <f t="shared" ca="1" si="348"/>
        <v>0.22331125330042279</v>
      </c>
      <c r="P4078" s="4">
        <f t="shared" ca="1" si="349"/>
        <v>-0.76105786366037143</v>
      </c>
      <c r="Q4078" s="4">
        <f t="shared" ca="1" si="350"/>
        <v>1937.6244350335651</v>
      </c>
      <c r="R4078" s="4">
        <f t="shared" ca="1" si="351"/>
        <v>13.954391033565116</v>
      </c>
      <c r="S4078" s="4">
        <f t="shared" ca="1" si="352"/>
        <v>7.1431159899649117</v>
      </c>
    </row>
    <row r="4079" spans="15:19" x14ac:dyDescent="0.2">
      <c r="O4079" s="4">
        <f t="shared" ca="1" si="348"/>
        <v>0.68616136155772134</v>
      </c>
      <c r="P4079" s="4">
        <f t="shared" ca="1" si="349"/>
        <v>0.48499868701172594</v>
      </c>
      <c r="Q4079" s="4">
        <f t="shared" ca="1" si="350"/>
        <v>1914.1130032303327</v>
      </c>
      <c r="R4079" s="4">
        <f t="shared" ca="1" si="351"/>
        <v>-9.5570407696673101</v>
      </c>
      <c r="S4079" s="4">
        <f t="shared" ca="1" si="352"/>
        <v>-4.8006871545365941</v>
      </c>
    </row>
    <row r="4080" spans="15:19" x14ac:dyDescent="0.2">
      <c r="O4080" s="4">
        <f t="shared" ca="1" si="348"/>
        <v>0.54205191395266639</v>
      </c>
      <c r="P4080" s="4">
        <f t="shared" ca="1" si="349"/>
        <v>0.10560447749263092</v>
      </c>
      <c r="Q4080" s="4">
        <f t="shared" ca="1" si="350"/>
        <v>1921.2716679625537</v>
      </c>
      <c r="R4080" s="4">
        <f t="shared" ca="1" si="351"/>
        <v>-2.398376037446269</v>
      </c>
      <c r="S4080" s="4">
        <f t="shared" ca="1" si="352"/>
        <v>-1.211739895320928</v>
      </c>
    </row>
    <row r="4081" spans="15:19" x14ac:dyDescent="0.2">
      <c r="O4081" s="4">
        <f t="shared" ca="1" si="348"/>
        <v>0.66044950772087663</v>
      </c>
      <c r="P4081" s="4">
        <f t="shared" ca="1" si="349"/>
        <v>0.41369022802516858</v>
      </c>
      <c r="Q4081" s="4">
        <f t="shared" ca="1" si="350"/>
        <v>1915.4584991225952</v>
      </c>
      <c r="R4081" s="4">
        <f t="shared" ca="1" si="351"/>
        <v>-8.2115448774047763</v>
      </c>
      <c r="S4081" s="4">
        <f t="shared" ca="1" si="352"/>
        <v>-4.1293159863992841</v>
      </c>
    </row>
    <row r="4082" spans="15:19" x14ac:dyDescent="0.2">
      <c r="O4082" s="4">
        <f t="shared" ca="1" si="348"/>
        <v>0.46333780919569578</v>
      </c>
      <c r="P4082" s="4">
        <f t="shared" ca="1" si="349"/>
        <v>-9.2028220020082707E-2</v>
      </c>
      <c r="Q4082" s="4">
        <f t="shared" ca="1" si="350"/>
        <v>1925.0007344219796</v>
      </c>
      <c r="R4082" s="4">
        <f t="shared" ca="1" si="351"/>
        <v>1.3306904219796252</v>
      </c>
      <c r="S4082" s="4">
        <f t="shared" ca="1" si="352"/>
        <v>0.67432933813217188</v>
      </c>
    </row>
    <row r="4083" spans="15:19" x14ac:dyDescent="0.2">
      <c r="O4083" s="4">
        <f t="shared" ca="1" si="348"/>
        <v>0.52674328981023311</v>
      </c>
      <c r="P4083" s="4">
        <f t="shared" ca="1" si="349"/>
        <v>6.7085772372759478E-2</v>
      </c>
      <c r="Q4083" s="4">
        <f t="shared" ca="1" si="350"/>
        <v>1921.9984647584827</v>
      </c>
      <c r="R4083" s="4">
        <f t="shared" ca="1" si="351"/>
        <v>-1.6715792415172928</v>
      </c>
      <c r="S4083" s="4">
        <f t="shared" ca="1" si="352"/>
        <v>-0.84503236148332783</v>
      </c>
    </row>
    <row r="4084" spans="15:19" x14ac:dyDescent="0.2">
      <c r="O4084" s="4">
        <f t="shared" ca="1" si="348"/>
        <v>0.15460118661832545</v>
      </c>
      <c r="P4084" s="4">
        <f t="shared" ca="1" si="349"/>
        <v>-1.0168971206701964</v>
      </c>
      <c r="Q4084" s="4">
        <f t="shared" ca="1" si="350"/>
        <v>1942.451781946939</v>
      </c>
      <c r="R4084" s="4">
        <f t="shared" ca="1" si="351"/>
        <v>18.781737946939074</v>
      </c>
      <c r="S4084" s="4">
        <f t="shared" ca="1" si="352"/>
        <v>9.6510948816046351</v>
      </c>
    </row>
    <row r="4085" spans="15:19" x14ac:dyDescent="0.2">
      <c r="O4085" s="4">
        <f t="shared" ca="1" si="348"/>
        <v>0.1597820433296897</v>
      </c>
      <c r="P4085" s="4">
        <f t="shared" ca="1" si="349"/>
        <v>-0.99535407439791934</v>
      </c>
      <c r="Q4085" s="4">
        <f t="shared" ca="1" si="350"/>
        <v>1942.0452932823664</v>
      </c>
      <c r="R4085" s="4">
        <f t="shared" ca="1" si="351"/>
        <v>18.37524928236644</v>
      </c>
      <c r="S4085" s="4">
        <f t="shared" ca="1" si="352"/>
        <v>9.4391780075956326</v>
      </c>
    </row>
    <row r="4086" spans="15:19" x14ac:dyDescent="0.2">
      <c r="O4086" s="4">
        <f t="shared" ca="1" si="348"/>
        <v>0.50055876411214606</v>
      </c>
      <c r="P4086" s="4">
        <f t="shared" ca="1" si="349"/>
        <v>1.4006143802899557E-3</v>
      </c>
      <c r="Q4086" s="4">
        <f t="shared" ca="1" si="350"/>
        <v>1923.2378564311894</v>
      </c>
      <c r="R4086" s="4">
        <f t="shared" ca="1" si="351"/>
        <v>-0.43218756881060472</v>
      </c>
      <c r="S4086" s="4">
        <f t="shared" ca="1" si="352"/>
        <v>-0.21870154569738165</v>
      </c>
    </row>
    <row r="4087" spans="15:19" x14ac:dyDescent="0.2">
      <c r="O4087" s="4">
        <f t="shared" ca="1" si="348"/>
        <v>0.81135871504706425</v>
      </c>
      <c r="P4087" s="4">
        <f t="shared" ca="1" si="349"/>
        <v>0.88291431264195985</v>
      </c>
      <c r="Q4087" s="4">
        <f t="shared" ca="1" si="350"/>
        <v>1906.6048639806336</v>
      </c>
      <c r="R4087" s="4">
        <f t="shared" ca="1" si="351"/>
        <v>-17.06518001936638</v>
      </c>
      <c r="S4087" s="4">
        <f t="shared" ca="1" si="352"/>
        <v>-8.5200144274640053</v>
      </c>
    </row>
    <row r="4088" spans="15:19" x14ac:dyDescent="0.2">
      <c r="O4088" s="4">
        <f t="shared" ca="1" si="348"/>
        <v>0.81373507085472507</v>
      </c>
      <c r="P4088" s="4">
        <f t="shared" ca="1" si="349"/>
        <v>0.891744569767006</v>
      </c>
      <c r="Q4088" s="4">
        <f t="shared" ca="1" si="350"/>
        <v>1906.4382487591265</v>
      </c>
      <c r="R4088" s="4">
        <f t="shared" ca="1" si="351"/>
        <v>-17.231795240873453</v>
      </c>
      <c r="S4088" s="4">
        <f t="shared" ca="1" si="352"/>
        <v>-8.6020305289489247</v>
      </c>
    </row>
    <row r="4089" spans="15:19" x14ac:dyDescent="0.2">
      <c r="O4089" s="4">
        <f t="shared" ca="1" si="348"/>
        <v>0.55476111070933876</v>
      </c>
      <c r="P4089" s="4">
        <f t="shared" ca="1" si="349"/>
        <v>0.13769967207030762</v>
      </c>
      <c r="Q4089" s="4">
        <f t="shared" ca="1" si="350"/>
        <v>1920.6660742773256</v>
      </c>
      <c r="R4089" s="4">
        <f t="shared" ca="1" si="351"/>
        <v>-3.0039697226743556</v>
      </c>
      <c r="S4089" s="4">
        <f t="shared" ca="1" si="352"/>
        <v>-1.5169655720590949</v>
      </c>
    </row>
    <row r="4090" spans="15:19" x14ac:dyDescent="0.2">
      <c r="O4090" s="4">
        <f t="shared" ca="1" si="348"/>
        <v>0.45593956028207661</v>
      </c>
      <c r="P4090" s="4">
        <f t="shared" ca="1" si="349"/>
        <v>-0.11066863278033812</v>
      </c>
      <c r="Q4090" s="4">
        <f t="shared" ca="1" si="350"/>
        <v>1925.3524542481468</v>
      </c>
      <c r="R4090" s="4">
        <f t="shared" ca="1" si="351"/>
        <v>1.6824102481468799</v>
      </c>
      <c r="S4090" s="4">
        <f t="shared" ca="1" si="352"/>
        <v>0.85280475783191745</v>
      </c>
    </row>
    <row r="4091" spans="15:19" x14ac:dyDescent="0.2">
      <c r="O4091" s="4">
        <f t="shared" ca="1" si="348"/>
        <v>0.57242211799089049</v>
      </c>
      <c r="P4091" s="4">
        <f t="shared" ca="1" si="349"/>
        <v>0.182544080739767</v>
      </c>
      <c r="Q4091" s="4">
        <f t="shared" ca="1" si="350"/>
        <v>1919.819919858716</v>
      </c>
      <c r="R4091" s="4">
        <f t="shared" ca="1" si="351"/>
        <v>-3.8501241412839136</v>
      </c>
      <c r="S4091" s="4">
        <f t="shared" ca="1" si="352"/>
        <v>-1.9429363792026382</v>
      </c>
    </row>
    <row r="4092" spans="15:19" x14ac:dyDescent="0.2">
      <c r="O4092" s="4">
        <f t="shared" ca="1" si="348"/>
        <v>0.96173837125018369</v>
      </c>
      <c r="P4092" s="4">
        <f t="shared" ca="1" si="349"/>
        <v>1.7712252168559544</v>
      </c>
      <c r="Q4092" s="4">
        <f t="shared" ca="1" si="350"/>
        <v>1889.843617283419</v>
      </c>
      <c r="R4092" s="4">
        <f t="shared" ca="1" si="351"/>
        <v>-33.826426716580954</v>
      </c>
      <c r="S4092" s="4">
        <f t="shared" ca="1" si="352"/>
        <v>-16.657488872847981</v>
      </c>
    </row>
    <row r="4093" spans="15:19" x14ac:dyDescent="0.2">
      <c r="O4093" s="4">
        <f t="shared" ca="1" si="348"/>
        <v>0.46209380136473599</v>
      </c>
      <c r="P4093" s="4">
        <f t="shared" ca="1" si="349"/>
        <v>-9.5160174250494931E-2</v>
      </c>
      <c r="Q4093" s="4">
        <f t="shared" ca="1" si="350"/>
        <v>1925.059830237703</v>
      </c>
      <c r="R4093" s="4">
        <f t="shared" ca="1" si="351"/>
        <v>1.3897862377029924</v>
      </c>
      <c r="S4093" s="4">
        <f t="shared" ca="1" si="352"/>
        <v>0.70430966291506047</v>
      </c>
    </row>
    <row r="4094" spans="15:19" x14ac:dyDescent="0.2">
      <c r="O4094" s="4">
        <f t="shared" ca="1" si="348"/>
        <v>0.74917033047888737</v>
      </c>
      <c r="P4094" s="4">
        <f t="shared" ca="1" si="349"/>
        <v>0.67188118535589791</v>
      </c>
      <c r="Q4094" s="4">
        <f t="shared" ca="1" si="350"/>
        <v>1910.5867787482523</v>
      </c>
      <c r="R4094" s="4">
        <f t="shared" ca="1" si="351"/>
        <v>-13.083265251747662</v>
      </c>
      <c r="S4094" s="4">
        <f t="shared" ca="1" si="352"/>
        <v>-6.5531982356191314</v>
      </c>
    </row>
    <row r="4095" spans="15:19" x14ac:dyDescent="0.2">
      <c r="O4095" s="4">
        <f t="shared" ca="1" si="348"/>
        <v>0.68383130076148324</v>
      </c>
      <c r="P4095" s="4">
        <f t="shared" ca="1" si="349"/>
        <v>0.47843953766713976</v>
      </c>
      <c r="Q4095" s="4">
        <f t="shared" ca="1" si="350"/>
        <v>1914.2367656650467</v>
      </c>
      <c r="R4095" s="4">
        <f t="shared" ca="1" si="351"/>
        <v>-9.4332783349532292</v>
      </c>
      <c r="S4095" s="4">
        <f t="shared" ca="1" si="352"/>
        <v>-4.7389941278116483</v>
      </c>
    </row>
    <row r="4096" spans="15:19" x14ac:dyDescent="0.2">
      <c r="O4096" s="4">
        <f t="shared" ca="1" si="348"/>
        <v>0.63078454142316698</v>
      </c>
      <c r="P4096" s="4">
        <f t="shared" ca="1" si="349"/>
        <v>0.33393194010306554</v>
      </c>
      <c r="Q4096" s="4">
        <f t="shared" ca="1" si="350"/>
        <v>1916.9634320618038</v>
      </c>
      <c r="R4096" s="4">
        <f t="shared" ca="1" si="351"/>
        <v>-6.7066119381961471</v>
      </c>
      <c r="S4096" s="4">
        <f t="shared" ca="1" si="352"/>
        <v>-3.3766432320835671</v>
      </c>
    </row>
    <row r="4097" spans="15:19" x14ac:dyDescent="0.2">
      <c r="O4097" s="4">
        <f t="shared" ca="1" si="348"/>
        <v>0.60062147220097772</v>
      </c>
      <c r="P4097" s="4">
        <f t="shared" ca="1" si="349"/>
        <v>0.25495603584605364</v>
      </c>
      <c r="Q4097" s="4">
        <f t="shared" ca="1" si="350"/>
        <v>1918.4536024605998</v>
      </c>
      <c r="R4097" s="4">
        <f t="shared" ca="1" si="351"/>
        <v>-5.2164415394001935</v>
      </c>
      <c r="S4097" s="4">
        <f t="shared" ca="1" si="352"/>
        <v>-2.6295369343065813</v>
      </c>
    </row>
    <row r="4098" spans="15:19" x14ac:dyDescent="0.2">
      <c r="O4098" s="4">
        <f t="shared" ca="1" si="348"/>
        <v>0.28873416333815716</v>
      </c>
      <c r="P4098" s="4">
        <f t="shared" ca="1" si="349"/>
        <v>-0.55708650596811682</v>
      </c>
      <c r="Q4098" s="4">
        <f t="shared" ca="1" si="350"/>
        <v>1933.7757664770638</v>
      </c>
      <c r="R4098" s="4">
        <f t="shared" ca="1" si="351"/>
        <v>10.105722477063864</v>
      </c>
      <c r="S4098" s="4">
        <f t="shared" ca="1" si="352"/>
        <v>5.1571879023079754</v>
      </c>
    </row>
    <row r="4099" spans="15:19" x14ac:dyDescent="0.2">
      <c r="O4099" s="4">
        <f t="shared" ref="O4099:O4162" ca="1" si="353">RAND()</f>
        <v>0.71759975578625634</v>
      </c>
      <c r="P4099" s="4">
        <f t="shared" ref="P4099:P4162" ca="1" si="354">NORMSINV(O4099)</f>
        <v>0.5757258669892461</v>
      </c>
      <c r="Q4099" s="4">
        <f t="shared" ref="Q4099:Q4162" ca="1" si="355">$B$4*(1+$B$17-$B$32*P4099)</f>
        <v>1912.4011018695232</v>
      </c>
      <c r="R4099" s="4">
        <f t="shared" ref="R4099:R4162" ca="1" si="356">Q4099-$B$4</f>
        <v>-11.268942130476717</v>
      </c>
      <c r="S4099" s="4">
        <f t="shared" ref="S4099:S4162" ca="1" si="357">R4099*$B$12+0.5*$B$13*R4099^2</f>
        <v>-5.6527555476664926</v>
      </c>
    </row>
    <row r="4100" spans="15:19" x14ac:dyDescent="0.2">
      <c r="O4100" s="4">
        <f t="shared" ca="1" si="353"/>
        <v>0.94940875367896416</v>
      </c>
      <c r="P4100" s="4">
        <f t="shared" ca="1" si="354"/>
        <v>1.639147749355842</v>
      </c>
      <c r="Q4100" s="4">
        <f t="shared" ca="1" si="355"/>
        <v>1892.3357436385172</v>
      </c>
      <c r="R4100" s="4">
        <f t="shared" ca="1" si="356"/>
        <v>-31.334300361482747</v>
      </c>
      <c r="S4100" s="4">
        <f t="shared" ca="1" si="357"/>
        <v>-15.46205357070062</v>
      </c>
    </row>
    <row r="4101" spans="15:19" x14ac:dyDescent="0.2">
      <c r="O4101" s="4">
        <f t="shared" ca="1" si="353"/>
        <v>0.64816253123419387</v>
      </c>
      <c r="P4101" s="4">
        <f t="shared" ca="1" si="354"/>
        <v>0.38036439919972648</v>
      </c>
      <c r="Q4101" s="4">
        <f t="shared" ca="1" si="355"/>
        <v>1916.0873132412585</v>
      </c>
      <c r="R4101" s="4">
        <f t="shared" ca="1" si="356"/>
        <v>-7.5827307587414907</v>
      </c>
      <c r="S4101" s="4">
        <f t="shared" ca="1" si="357"/>
        <v>-3.8150469949339874</v>
      </c>
    </row>
    <row r="4102" spans="15:19" x14ac:dyDescent="0.2">
      <c r="O4102" s="4">
        <f t="shared" ca="1" si="353"/>
        <v>0.29956126139025796</v>
      </c>
      <c r="P4102" s="4">
        <f t="shared" ca="1" si="354"/>
        <v>-0.52566278844602132</v>
      </c>
      <c r="Q4102" s="4">
        <f t="shared" ca="1" si="355"/>
        <v>1933.1828426718594</v>
      </c>
      <c r="R4102" s="4">
        <f t="shared" ca="1" si="356"/>
        <v>9.5127986718594002</v>
      </c>
      <c r="S4102" s="4">
        <f t="shared" ca="1" si="357"/>
        <v>4.8523089179248791</v>
      </c>
    </row>
    <row r="4103" spans="15:19" x14ac:dyDescent="0.2">
      <c r="O4103" s="4">
        <f t="shared" ca="1" si="353"/>
        <v>0.23099241139562721</v>
      </c>
      <c r="P4103" s="4">
        <f t="shared" ca="1" si="354"/>
        <v>-0.73558248853097952</v>
      </c>
      <c r="Q4103" s="4">
        <f t="shared" ca="1" si="355"/>
        <v>1937.1437485473111</v>
      </c>
      <c r="R4103" s="4">
        <f t="shared" ca="1" si="356"/>
        <v>13.473704547311172</v>
      </c>
      <c r="S4103" s="4">
        <f t="shared" ca="1" si="357"/>
        <v>6.8944208534906499</v>
      </c>
    </row>
    <row r="4104" spans="15:19" x14ac:dyDescent="0.2">
      <c r="O4104" s="4">
        <f t="shared" ca="1" si="353"/>
        <v>0.86423469391168761</v>
      </c>
      <c r="P4104" s="4">
        <f t="shared" ca="1" si="354"/>
        <v>1.0995445522360627</v>
      </c>
      <c r="Q4104" s="4">
        <f t="shared" ca="1" si="355"/>
        <v>1902.5173391391747</v>
      </c>
      <c r="R4104" s="4">
        <f t="shared" ca="1" si="356"/>
        <v>-21.152704860825224</v>
      </c>
      <c r="S4104" s="4">
        <f t="shared" ca="1" si="357"/>
        <v>-10.525568587513456</v>
      </c>
    </row>
    <row r="4105" spans="15:19" x14ac:dyDescent="0.2">
      <c r="O4105" s="4">
        <f t="shared" ca="1" si="353"/>
        <v>0.84820853938823737</v>
      </c>
      <c r="P4105" s="4">
        <f t="shared" ca="1" si="354"/>
        <v>1.0287803101460826</v>
      </c>
      <c r="Q4105" s="4">
        <f t="shared" ca="1" si="355"/>
        <v>1903.8525663815567</v>
      </c>
      <c r="R4105" s="4">
        <f t="shared" ca="1" si="356"/>
        <v>-19.817477618443263</v>
      </c>
      <c r="S4105" s="4">
        <f t="shared" ca="1" si="357"/>
        <v>-9.8719319989894725</v>
      </c>
    </row>
    <row r="4106" spans="15:19" x14ac:dyDescent="0.2">
      <c r="O4106" s="4">
        <f t="shared" ca="1" si="353"/>
        <v>0.12166467983015072</v>
      </c>
      <c r="P4106" s="4">
        <f t="shared" ca="1" si="354"/>
        <v>-1.1667054041516507</v>
      </c>
      <c r="Q4106" s="4">
        <f t="shared" ca="1" si="355"/>
        <v>1945.2784652453288</v>
      </c>
      <c r="R4106" s="4">
        <f t="shared" ca="1" si="356"/>
        <v>21.608421245328827</v>
      </c>
      <c r="S4106" s="4">
        <f t="shared" ca="1" si="357"/>
        <v>11.128464824542066</v>
      </c>
    </row>
    <row r="4107" spans="15:19" x14ac:dyDescent="0.2">
      <c r="O4107" s="4">
        <f t="shared" ca="1" si="353"/>
        <v>0.70571823700237302</v>
      </c>
      <c r="P4107" s="4">
        <f t="shared" ca="1" si="354"/>
        <v>0.54091883790850925</v>
      </c>
      <c r="Q4107" s="4">
        <f t="shared" ca="1" si="355"/>
        <v>1913.0578642693224</v>
      </c>
      <c r="R4107" s="4">
        <f t="shared" ca="1" si="356"/>
        <v>-10.612179730677553</v>
      </c>
      <c r="S4107" s="4">
        <f t="shared" ca="1" si="357"/>
        <v>-5.3261458569128912</v>
      </c>
    </row>
    <row r="4108" spans="15:19" x14ac:dyDescent="0.2">
      <c r="O4108" s="4">
        <f t="shared" ca="1" si="353"/>
        <v>0.17085275410941148</v>
      </c>
      <c r="P4108" s="4">
        <f t="shared" ca="1" si="354"/>
        <v>-0.95080079644402438</v>
      </c>
      <c r="Q4108" s="4">
        <f t="shared" ca="1" si="355"/>
        <v>1941.2046321136111</v>
      </c>
      <c r="R4108" s="4">
        <f t="shared" ca="1" si="356"/>
        <v>17.534588113611107</v>
      </c>
      <c r="S4108" s="4">
        <f t="shared" ca="1" si="357"/>
        <v>9.0013384815970614</v>
      </c>
    </row>
    <row r="4109" spans="15:19" x14ac:dyDescent="0.2">
      <c r="O4109" s="4">
        <f t="shared" ca="1" si="353"/>
        <v>0.97340559735929</v>
      </c>
      <c r="P4109" s="4">
        <f t="shared" ca="1" si="354"/>
        <v>1.9333848571493317</v>
      </c>
      <c r="Q4109" s="4">
        <f t="shared" ca="1" si="355"/>
        <v>1886.7838802899912</v>
      </c>
      <c r="R4109" s="4">
        <f t="shared" ca="1" si="356"/>
        <v>-36.886163710008759</v>
      </c>
      <c r="S4109" s="4">
        <f t="shared" ca="1" si="357"/>
        <v>-18.118283425909379</v>
      </c>
    </row>
    <row r="4110" spans="15:19" x14ac:dyDescent="0.2">
      <c r="O4110" s="4">
        <f t="shared" ca="1" si="353"/>
        <v>9.1187339089374375E-2</v>
      </c>
      <c r="P4110" s="4">
        <f t="shared" ca="1" si="354"/>
        <v>-1.3334789521620158</v>
      </c>
      <c r="Q4110" s="4">
        <f t="shared" ca="1" si="355"/>
        <v>1948.425260548089</v>
      </c>
      <c r="R4110" s="4">
        <f t="shared" ca="1" si="356"/>
        <v>24.755216548089038</v>
      </c>
      <c r="S4110" s="4">
        <f t="shared" ca="1" si="357"/>
        <v>12.780793558374086</v>
      </c>
    </row>
    <row r="4111" spans="15:19" x14ac:dyDescent="0.2">
      <c r="O4111" s="4">
        <f t="shared" ca="1" si="353"/>
        <v>6.5239651509818808E-2</v>
      </c>
      <c r="P4111" s="4">
        <f t="shared" ca="1" si="354"/>
        <v>-1.5122145017201223</v>
      </c>
      <c r="Q4111" s="4">
        <f t="shared" ca="1" si="355"/>
        <v>1951.7977629292868</v>
      </c>
      <c r="R4111" s="4">
        <f t="shared" ca="1" si="356"/>
        <v>28.127718929286857</v>
      </c>
      <c r="S4111" s="4">
        <f t="shared" ca="1" si="357"/>
        <v>14.560587208446695</v>
      </c>
    </row>
    <row r="4112" spans="15:19" x14ac:dyDescent="0.2">
      <c r="O4112" s="4">
        <f t="shared" ca="1" si="353"/>
        <v>0.3824250693841631</v>
      </c>
      <c r="P4112" s="4">
        <f t="shared" ca="1" si="354"/>
        <v>-0.29911783471074843</v>
      </c>
      <c r="Q4112" s="4">
        <f t="shared" ca="1" si="355"/>
        <v>1928.9082403456321</v>
      </c>
      <c r="R4112" s="4">
        <f t="shared" ca="1" si="356"/>
        <v>5.2381963456321046</v>
      </c>
      <c r="S4112" s="4">
        <f t="shared" ca="1" si="357"/>
        <v>2.6627957485499003</v>
      </c>
    </row>
    <row r="4113" spans="15:19" x14ac:dyDescent="0.2">
      <c r="O4113" s="4">
        <f t="shared" ca="1" si="353"/>
        <v>0.64204096252148757</v>
      </c>
      <c r="P4113" s="4">
        <f t="shared" ca="1" si="354"/>
        <v>0.36391956401776898</v>
      </c>
      <c r="Q4113" s="4">
        <f t="shared" ca="1" si="355"/>
        <v>1916.3976054352104</v>
      </c>
      <c r="R4113" s="4">
        <f t="shared" ca="1" si="356"/>
        <v>-7.2724385647895815</v>
      </c>
      <c r="S4113" s="4">
        <f t="shared" ca="1" si="357"/>
        <v>-3.6598504094988336</v>
      </c>
    </row>
    <row r="4114" spans="15:19" x14ac:dyDescent="0.2">
      <c r="O4114" s="4">
        <f t="shared" ca="1" si="353"/>
        <v>0.66748509005248191</v>
      </c>
      <c r="P4114" s="4">
        <f t="shared" ca="1" si="354"/>
        <v>0.43297928384192114</v>
      </c>
      <c r="Q4114" s="4">
        <f t="shared" ca="1" si="355"/>
        <v>1915.0945402636335</v>
      </c>
      <c r="R4114" s="4">
        <f t="shared" ca="1" si="356"/>
        <v>-8.5755037363664997</v>
      </c>
      <c r="S4114" s="4">
        <f t="shared" ca="1" si="357"/>
        <v>-4.311068416204356</v>
      </c>
    </row>
    <row r="4115" spans="15:19" x14ac:dyDescent="0.2">
      <c r="O4115" s="4">
        <f t="shared" ca="1" si="353"/>
        <v>0.2031020295012903</v>
      </c>
      <c r="P4115" s="4">
        <f t="shared" ca="1" si="354"/>
        <v>-0.8305921709831946</v>
      </c>
      <c r="Q4115" s="4">
        <f t="shared" ca="1" si="355"/>
        <v>1938.9364550407822</v>
      </c>
      <c r="R4115" s="4">
        <f t="shared" ca="1" si="356"/>
        <v>15.266411040782259</v>
      </c>
      <c r="S4115" s="4">
        <f t="shared" ca="1" si="357"/>
        <v>7.8228797014434424</v>
      </c>
    </row>
    <row r="4116" spans="15:19" x14ac:dyDescent="0.2">
      <c r="O4116" s="4">
        <f t="shared" ca="1" si="353"/>
        <v>0.87512434389758242</v>
      </c>
      <c r="P4116" s="4">
        <f t="shared" ca="1" si="354"/>
        <v>1.1509536310086492</v>
      </c>
      <c r="Q4116" s="4">
        <f t="shared" ca="1" si="355"/>
        <v>1901.5473181164718</v>
      </c>
      <c r="R4116" s="4">
        <f t="shared" ca="1" si="356"/>
        <v>-22.122725883528119</v>
      </c>
      <c r="S4116" s="4">
        <f t="shared" ca="1" si="357"/>
        <v>-10.999514746928202</v>
      </c>
    </row>
    <row r="4117" spans="15:19" x14ac:dyDescent="0.2">
      <c r="O4117" s="4">
        <f t="shared" ca="1" si="353"/>
        <v>0.58018704317402614</v>
      </c>
      <c r="P4117" s="4">
        <f t="shared" ca="1" si="354"/>
        <v>0.20237200336478373</v>
      </c>
      <c r="Q4117" s="4">
        <f t="shared" ca="1" si="355"/>
        <v>1919.4457932989333</v>
      </c>
      <c r="R4117" s="4">
        <f t="shared" ca="1" si="356"/>
        <v>-4.2242507010666941</v>
      </c>
      <c r="S4117" s="4">
        <f t="shared" ca="1" si="357"/>
        <v>-2.1310932180797946</v>
      </c>
    </row>
    <row r="4118" spans="15:19" x14ac:dyDescent="0.2">
      <c r="O4118" s="4">
        <f t="shared" ca="1" si="353"/>
        <v>0.64479367016215716</v>
      </c>
      <c r="P4118" s="4">
        <f t="shared" ca="1" si="354"/>
        <v>0.37130193126153449</v>
      </c>
      <c r="Q4118" s="4">
        <f t="shared" ca="1" si="355"/>
        <v>1916.2583099723322</v>
      </c>
      <c r="R4118" s="4">
        <f t="shared" ca="1" si="356"/>
        <v>-7.4117340276677623</v>
      </c>
      <c r="S4118" s="4">
        <f t="shared" ca="1" si="357"/>
        <v>-3.7295305020790455</v>
      </c>
    </row>
    <row r="4119" spans="15:19" x14ac:dyDescent="0.2">
      <c r="O4119" s="4">
        <f t="shared" ca="1" si="353"/>
        <v>0.53884039979718668</v>
      </c>
      <c r="P4119" s="4">
        <f t="shared" ca="1" si="354"/>
        <v>9.7512761387676769E-2</v>
      </c>
      <c r="Q4119" s="4">
        <f t="shared" ca="1" si="355"/>
        <v>1921.4243478961173</v>
      </c>
      <c r="R4119" s="4">
        <f t="shared" ca="1" si="356"/>
        <v>-2.2456961038826648</v>
      </c>
      <c r="S4119" s="4">
        <f t="shared" ca="1" si="357"/>
        <v>-1.1347404525972646</v>
      </c>
    </row>
    <row r="4120" spans="15:19" x14ac:dyDescent="0.2">
      <c r="O4120" s="4">
        <f t="shared" ca="1" si="353"/>
        <v>0.32737730594742531</v>
      </c>
      <c r="P4120" s="4">
        <f t="shared" ca="1" si="354"/>
        <v>-0.44716682598458207</v>
      </c>
      <c r="Q4120" s="4">
        <f t="shared" ca="1" si="355"/>
        <v>1931.7017281371732</v>
      </c>
      <c r="R4120" s="4">
        <f t="shared" ca="1" si="356"/>
        <v>8.0316841371732153</v>
      </c>
      <c r="S4120" s="4">
        <f t="shared" ca="1" si="357"/>
        <v>4.0919763811161287</v>
      </c>
    </row>
    <row r="4121" spans="15:19" x14ac:dyDescent="0.2">
      <c r="O4121" s="4">
        <f t="shared" ca="1" si="353"/>
        <v>0.95851926705416612</v>
      </c>
      <c r="P4121" s="4">
        <f t="shared" ca="1" si="354"/>
        <v>1.7337555480666178</v>
      </c>
      <c r="Q4121" s="4">
        <f t="shared" ca="1" si="355"/>
        <v>1890.5506201573698</v>
      </c>
      <c r="R4121" s="4">
        <f t="shared" ca="1" si="356"/>
        <v>-33.119423842630113</v>
      </c>
      <c r="S4121" s="4">
        <f t="shared" ca="1" si="357"/>
        <v>-16.31886404940353</v>
      </c>
    </row>
    <row r="4122" spans="15:19" x14ac:dyDescent="0.2">
      <c r="O4122" s="4">
        <f t="shared" ca="1" si="353"/>
        <v>0.98966293986727016</v>
      </c>
      <c r="P4122" s="4">
        <f t="shared" ca="1" si="354"/>
        <v>2.3138833754885071</v>
      </c>
      <c r="Q4122" s="4">
        <f t="shared" ca="1" si="355"/>
        <v>1879.6043787173401</v>
      </c>
      <c r="R4122" s="4">
        <f t="shared" ca="1" si="356"/>
        <v>-44.065665282659893</v>
      </c>
      <c r="S4122" s="4">
        <f t="shared" ca="1" si="357"/>
        <v>-21.516031341050045</v>
      </c>
    </row>
    <row r="4123" spans="15:19" x14ac:dyDescent="0.2">
      <c r="O4123" s="4">
        <f t="shared" ca="1" si="353"/>
        <v>0.61759942525751865</v>
      </c>
      <c r="P4123" s="4">
        <f t="shared" ca="1" si="354"/>
        <v>0.2991820433817009</v>
      </c>
      <c r="Q4123" s="4">
        <f t="shared" ca="1" si="355"/>
        <v>1917.6191164498784</v>
      </c>
      <c r="R4123" s="4">
        <f t="shared" ca="1" si="356"/>
        <v>-6.0509275501215143</v>
      </c>
      <c r="S4123" s="4">
        <f t="shared" ca="1" si="357"/>
        <v>-3.0481344737666731</v>
      </c>
    </row>
    <row r="4124" spans="15:19" x14ac:dyDescent="0.2">
      <c r="O4124" s="4">
        <f t="shared" ca="1" si="353"/>
        <v>0.81666891660714003</v>
      </c>
      <c r="P4124" s="4">
        <f t="shared" ca="1" si="354"/>
        <v>0.90274326825865525</v>
      </c>
      <c r="Q4124" s="4">
        <f t="shared" ca="1" si="355"/>
        <v>1906.2307179296702</v>
      </c>
      <c r="R4124" s="4">
        <f t="shared" ca="1" si="356"/>
        <v>-17.439326070329798</v>
      </c>
      <c r="S4124" s="4">
        <f t="shared" ca="1" si="357"/>
        <v>-8.7041556715513284</v>
      </c>
    </row>
    <row r="4125" spans="15:19" x14ac:dyDescent="0.2">
      <c r="O4125" s="4">
        <f t="shared" ca="1" si="353"/>
        <v>0.35070727775762378</v>
      </c>
      <c r="P4125" s="4">
        <f t="shared" ca="1" si="354"/>
        <v>-0.38341166506346519</v>
      </c>
      <c r="Q4125" s="4">
        <f t="shared" ca="1" si="355"/>
        <v>1930.4987529453228</v>
      </c>
      <c r="R4125" s="4">
        <f t="shared" ca="1" si="356"/>
        <v>6.8287089453228873</v>
      </c>
      <c r="S4125" s="4">
        <f t="shared" ca="1" si="357"/>
        <v>3.4757415079693983</v>
      </c>
    </row>
    <row r="4126" spans="15:19" x14ac:dyDescent="0.2">
      <c r="O4126" s="4">
        <f t="shared" ca="1" si="353"/>
        <v>0.38906338227823889</v>
      </c>
      <c r="P4126" s="4">
        <f t="shared" ca="1" si="354"/>
        <v>-0.28176101656805369</v>
      </c>
      <c r="Q4126" s="4">
        <f t="shared" ca="1" si="355"/>
        <v>1928.5807402447238</v>
      </c>
      <c r="R4126" s="4">
        <f t="shared" ca="1" si="356"/>
        <v>4.9106962447237947</v>
      </c>
      <c r="S4126" s="4">
        <f t="shared" ca="1" si="357"/>
        <v>2.4956589878652293</v>
      </c>
    </row>
    <row r="4127" spans="15:19" x14ac:dyDescent="0.2">
      <c r="O4127" s="4">
        <f t="shared" ca="1" si="353"/>
        <v>0.62446760897735343</v>
      </c>
      <c r="P4127" s="4">
        <f t="shared" ca="1" si="354"/>
        <v>0.31723567508450373</v>
      </c>
      <c r="Q4127" s="4">
        <f t="shared" ca="1" si="355"/>
        <v>1917.2784684027633</v>
      </c>
      <c r="R4127" s="4">
        <f t="shared" ca="1" si="356"/>
        <v>-6.3915755972366242</v>
      </c>
      <c r="S4127" s="4">
        <f t="shared" ca="1" si="357"/>
        <v>-3.2188484830573589</v>
      </c>
    </row>
    <row r="4128" spans="15:19" x14ac:dyDescent="0.2">
      <c r="O4128" s="4">
        <f t="shared" ca="1" si="353"/>
        <v>0.39852451881994733</v>
      </c>
      <c r="P4128" s="4">
        <f t="shared" ca="1" si="354"/>
        <v>-0.25716806229162609</v>
      </c>
      <c r="Q4128" s="4">
        <f t="shared" ca="1" si="355"/>
        <v>1928.1167038677243</v>
      </c>
      <c r="R4128" s="4">
        <f t="shared" ca="1" si="356"/>
        <v>4.4466598677242928</v>
      </c>
      <c r="S4128" s="4">
        <f t="shared" ca="1" si="357"/>
        <v>2.2589916715199951</v>
      </c>
    </row>
    <row r="4129" spans="15:19" x14ac:dyDescent="0.2">
      <c r="O4129" s="4">
        <f t="shared" ca="1" si="353"/>
        <v>0.33229127522457258</v>
      </c>
      <c r="P4129" s="4">
        <f t="shared" ca="1" si="354"/>
        <v>-0.43359502177771692</v>
      </c>
      <c r="Q4129" s="4">
        <f t="shared" ca="1" si="355"/>
        <v>1931.4456462210799</v>
      </c>
      <c r="R4129" s="4">
        <f t="shared" ca="1" si="356"/>
        <v>7.7756022210799074</v>
      </c>
      <c r="S4129" s="4">
        <f t="shared" ca="1" si="357"/>
        <v>3.9606974068757421</v>
      </c>
    </row>
    <row r="4130" spans="15:19" x14ac:dyDescent="0.2">
      <c r="O4130" s="4">
        <f t="shared" ca="1" si="353"/>
        <v>1.477292987998291E-2</v>
      </c>
      <c r="P4130" s="4">
        <f t="shared" ca="1" si="354"/>
        <v>-2.1761257393058977</v>
      </c>
      <c r="Q4130" s="4">
        <f t="shared" ca="1" si="355"/>
        <v>1964.324886018105</v>
      </c>
      <c r="R4130" s="4">
        <f t="shared" ca="1" si="356"/>
        <v>40.654842018105001</v>
      </c>
      <c r="S4130" s="4">
        <f t="shared" ca="1" si="357"/>
        <v>21.252689842370817</v>
      </c>
    </row>
    <row r="4131" spans="15:19" x14ac:dyDescent="0.2">
      <c r="O4131" s="4">
        <f t="shared" ca="1" si="353"/>
        <v>0.97397762179916758</v>
      </c>
      <c r="P4131" s="4">
        <f t="shared" ca="1" si="354"/>
        <v>1.9427633633760288</v>
      </c>
      <c r="Q4131" s="4">
        <f t="shared" ca="1" si="355"/>
        <v>1886.6069203362506</v>
      </c>
      <c r="R4131" s="4">
        <f t="shared" ca="1" si="356"/>
        <v>-37.063123663749366</v>
      </c>
      <c r="S4131" s="4">
        <f t="shared" ca="1" si="357"/>
        <v>-18.202535354480212</v>
      </c>
    </row>
    <row r="4132" spans="15:19" x14ac:dyDescent="0.2">
      <c r="O4132" s="4">
        <f t="shared" ca="1" si="353"/>
        <v>0.78544846471689211</v>
      </c>
      <c r="P4132" s="4">
        <f t="shared" ca="1" si="354"/>
        <v>0.79072742181622713</v>
      </c>
      <c r="Q4132" s="4">
        <f t="shared" ca="1" si="355"/>
        <v>1908.3443081460143</v>
      </c>
      <c r="R4132" s="4">
        <f t="shared" ca="1" si="356"/>
        <v>-15.325735853985634</v>
      </c>
      <c r="S4132" s="4">
        <f t="shared" ca="1" si="357"/>
        <v>-7.6624259247647064</v>
      </c>
    </row>
    <row r="4133" spans="15:19" x14ac:dyDescent="0.2">
      <c r="O4133" s="4">
        <f t="shared" ca="1" si="353"/>
        <v>0.44540470597887594</v>
      </c>
      <c r="P4133" s="4">
        <f t="shared" ca="1" si="354"/>
        <v>-0.13728008411790521</v>
      </c>
      <c r="Q4133" s="4">
        <f t="shared" ca="1" si="355"/>
        <v>1925.8545769832433</v>
      </c>
      <c r="R4133" s="4">
        <f t="shared" ca="1" si="356"/>
        <v>2.1845329832433436</v>
      </c>
      <c r="S4133" s="4">
        <f t="shared" ca="1" si="357"/>
        <v>1.1077746028021946</v>
      </c>
    </row>
    <row r="4134" spans="15:19" x14ac:dyDescent="0.2">
      <c r="O4134" s="4">
        <f t="shared" ca="1" si="353"/>
        <v>0.18397818150603551</v>
      </c>
      <c r="P4134" s="4">
        <f t="shared" ca="1" si="354"/>
        <v>-0.90030800354443763</v>
      </c>
      <c r="Q4134" s="4">
        <f t="shared" ca="1" si="355"/>
        <v>1940.2519001881035</v>
      </c>
      <c r="R4134" s="4">
        <f t="shared" ca="1" si="356"/>
        <v>16.581856188103529</v>
      </c>
      <c r="S4134" s="4">
        <f t="shared" ca="1" si="357"/>
        <v>8.5058249418367726</v>
      </c>
    </row>
    <row r="4135" spans="15:19" x14ac:dyDescent="0.2">
      <c r="O4135" s="4">
        <f t="shared" ca="1" si="353"/>
        <v>0.58745182714975275</v>
      </c>
      <c r="P4135" s="4">
        <f t="shared" ca="1" si="354"/>
        <v>0.22099497490348374</v>
      </c>
      <c r="Q4135" s="4">
        <f t="shared" ca="1" si="355"/>
        <v>1919.0944025654474</v>
      </c>
      <c r="R4135" s="4">
        <f t="shared" ca="1" si="356"/>
        <v>-4.5756414345526082</v>
      </c>
      <c r="S4135" s="4">
        <f t="shared" ca="1" si="357"/>
        <v>-2.3077119095248126</v>
      </c>
    </row>
    <row r="4136" spans="15:19" x14ac:dyDescent="0.2">
      <c r="O4136" s="4">
        <f t="shared" ca="1" si="353"/>
        <v>0.23409675499839966</v>
      </c>
      <c r="P4136" s="4">
        <f t="shared" ca="1" si="354"/>
        <v>-0.72542146274079999</v>
      </c>
      <c r="Q4136" s="4">
        <f t="shared" ca="1" si="355"/>
        <v>1936.9520234889358</v>
      </c>
      <c r="R4136" s="4">
        <f t="shared" ca="1" si="356"/>
        <v>13.281979488935804</v>
      </c>
      <c r="S4136" s="4">
        <f t="shared" ca="1" si="357"/>
        <v>6.7952795937234809</v>
      </c>
    </row>
    <row r="4137" spans="15:19" x14ac:dyDescent="0.2">
      <c r="O4137" s="4">
        <f t="shared" ca="1" si="353"/>
        <v>0.31717170060832967</v>
      </c>
      <c r="P4137" s="4">
        <f t="shared" ca="1" si="354"/>
        <v>-0.47562241807913086</v>
      </c>
      <c r="Q4137" s="4">
        <f t="shared" ca="1" si="355"/>
        <v>1932.2386473585284</v>
      </c>
      <c r="R4137" s="4">
        <f t="shared" ca="1" si="356"/>
        <v>8.5686033585284349</v>
      </c>
      <c r="S4137" s="4">
        <f t="shared" ca="1" si="357"/>
        <v>4.3673983635176654</v>
      </c>
    </row>
    <row r="4138" spans="15:19" x14ac:dyDescent="0.2">
      <c r="O4138" s="4">
        <f t="shared" ca="1" si="353"/>
        <v>1.8467214523800068E-2</v>
      </c>
      <c r="P4138" s="4">
        <f t="shared" ca="1" si="354"/>
        <v>-2.0864881329608749</v>
      </c>
      <c r="Q4138" s="4">
        <f t="shared" ca="1" si="355"/>
        <v>1962.6335434643106</v>
      </c>
      <c r="R4138" s="4">
        <f t="shared" ca="1" si="356"/>
        <v>38.963499464310644</v>
      </c>
      <c r="S4138" s="4">
        <f t="shared" ca="1" si="357"/>
        <v>20.341698964204173</v>
      </c>
    </row>
    <row r="4139" spans="15:19" x14ac:dyDescent="0.2">
      <c r="O4139" s="4">
        <f t="shared" ca="1" si="353"/>
        <v>0.93579041626875747</v>
      </c>
      <c r="P4139" s="4">
        <f t="shared" ca="1" si="354"/>
        <v>1.5203653918758175</v>
      </c>
      <c r="Q4139" s="4">
        <f t="shared" ca="1" si="355"/>
        <v>1894.5770089292557</v>
      </c>
      <c r="R4139" s="4">
        <f t="shared" ca="1" si="356"/>
        <v>-29.093035070744236</v>
      </c>
      <c r="S4139" s="4">
        <f t="shared" ca="1" si="357"/>
        <v>-14.382634014676425</v>
      </c>
    </row>
    <row r="4140" spans="15:19" x14ac:dyDescent="0.2">
      <c r="O4140" s="4">
        <f t="shared" ca="1" si="353"/>
        <v>0.40002833626994327</v>
      </c>
      <c r="P4140" s="4">
        <f t="shared" ca="1" si="354"/>
        <v>-0.25327375887715181</v>
      </c>
      <c r="Q4140" s="4">
        <f t="shared" ca="1" si="355"/>
        <v>1928.0432235356309</v>
      </c>
      <c r="R4140" s="4">
        <f t="shared" ca="1" si="356"/>
        <v>4.3731795356309249</v>
      </c>
      <c r="S4140" s="4">
        <f t="shared" ca="1" si="357"/>
        <v>2.2215313923328415</v>
      </c>
    </row>
    <row r="4141" spans="15:19" x14ac:dyDescent="0.2">
      <c r="O4141" s="4">
        <f t="shared" ca="1" si="353"/>
        <v>0.53506602454800267</v>
      </c>
      <c r="P4141" s="4">
        <f t="shared" ca="1" si="354"/>
        <v>8.8010977895661896E-2</v>
      </c>
      <c r="Q4141" s="4">
        <f t="shared" ca="1" si="355"/>
        <v>1921.6036339280881</v>
      </c>
      <c r="R4141" s="4">
        <f t="shared" ca="1" si="356"/>
        <v>-2.0664100719118323</v>
      </c>
      <c r="S4141" s="4">
        <f t="shared" ca="1" si="357"/>
        <v>-1.0442988125074562</v>
      </c>
    </row>
    <row r="4142" spans="15:19" x14ac:dyDescent="0.2">
      <c r="O4142" s="4">
        <f t="shared" ca="1" si="353"/>
        <v>4.5782408526800933E-2</v>
      </c>
      <c r="P4142" s="4">
        <f t="shared" ca="1" si="354"/>
        <v>-1.6872004388787305</v>
      </c>
      <c r="Q4142" s="4">
        <f t="shared" ca="1" si="355"/>
        <v>1955.0995151056309</v>
      </c>
      <c r="R4142" s="4">
        <f t="shared" ca="1" si="356"/>
        <v>31.42947110563091</v>
      </c>
      <c r="S4142" s="4">
        <f t="shared" ca="1" si="357"/>
        <v>16.312013847522202</v>
      </c>
    </row>
    <row r="4143" spans="15:19" x14ac:dyDescent="0.2">
      <c r="O4143" s="4">
        <f t="shared" ca="1" si="353"/>
        <v>0.65200603428484549</v>
      </c>
      <c r="P4143" s="4">
        <f t="shared" ca="1" si="354"/>
        <v>0.39074202576303507</v>
      </c>
      <c r="Q4143" s="4">
        <f t="shared" ca="1" si="355"/>
        <v>1915.8915012140346</v>
      </c>
      <c r="R4143" s="4">
        <f t="shared" ca="1" si="356"/>
        <v>-7.7785427859653282</v>
      </c>
      <c r="S4143" s="4">
        <f t="shared" ca="1" si="357"/>
        <v>-3.912944528549172</v>
      </c>
    </row>
    <row r="4144" spans="15:19" x14ac:dyDescent="0.2">
      <c r="O4144" s="4">
        <f t="shared" ca="1" si="353"/>
        <v>0.6432324114420106</v>
      </c>
      <c r="P4144" s="4">
        <f t="shared" ca="1" si="354"/>
        <v>0.36711240150156965</v>
      </c>
      <c r="Q4144" s="4">
        <f t="shared" ca="1" si="355"/>
        <v>1916.3373608333752</v>
      </c>
      <c r="R4144" s="4">
        <f t="shared" ca="1" si="356"/>
        <v>-7.3326831666247472</v>
      </c>
      <c r="S4144" s="4">
        <f t="shared" ca="1" si="357"/>
        <v>-3.6899886450720656</v>
      </c>
    </row>
    <row r="4145" spans="15:19" x14ac:dyDescent="0.2">
      <c r="O4145" s="4">
        <f t="shared" ca="1" si="353"/>
        <v>8.6752130231606772E-2</v>
      </c>
      <c r="P4145" s="4">
        <f t="shared" ca="1" si="354"/>
        <v>-1.3610298373588117</v>
      </c>
      <c r="Q4145" s="4">
        <f t="shared" ca="1" si="355"/>
        <v>1948.9451091521303</v>
      </c>
      <c r="R4145" s="4">
        <f t="shared" ca="1" si="356"/>
        <v>25.27506515213031</v>
      </c>
      <c r="S4145" s="4">
        <f t="shared" ca="1" si="357"/>
        <v>13.054533140087813</v>
      </c>
    </row>
    <row r="4146" spans="15:19" x14ac:dyDescent="0.2">
      <c r="O4146" s="4">
        <f t="shared" ca="1" si="353"/>
        <v>0.13642030955327622</v>
      </c>
      <c r="P4146" s="4">
        <f t="shared" ca="1" si="354"/>
        <v>-1.0965443655375684</v>
      </c>
      <c r="Q4146" s="4">
        <f t="shared" ca="1" si="355"/>
        <v>1943.9546196512188</v>
      </c>
      <c r="R4146" s="4">
        <f t="shared" ca="1" si="356"/>
        <v>20.284575651218802</v>
      </c>
      <c r="S4146" s="4">
        <f t="shared" ca="1" si="357"/>
        <v>10.435745215850034</v>
      </c>
    </row>
    <row r="4147" spans="15:19" x14ac:dyDescent="0.2">
      <c r="O4147" s="4">
        <f t="shared" ca="1" si="353"/>
        <v>0.22279708089227779</v>
      </c>
      <c r="P4147" s="4">
        <f t="shared" ca="1" si="354"/>
        <v>-0.76278075252735655</v>
      </c>
      <c r="Q4147" s="4">
        <f t="shared" ca="1" si="355"/>
        <v>1937.6569436577356</v>
      </c>
      <c r="R4147" s="4">
        <f t="shared" ca="1" si="356"/>
        <v>13.986899657735648</v>
      </c>
      <c r="S4147" s="4">
        <f t="shared" ca="1" si="357"/>
        <v>7.15994192831654</v>
      </c>
    </row>
    <row r="4148" spans="15:19" x14ac:dyDescent="0.2">
      <c r="O4148" s="4">
        <f t="shared" ca="1" si="353"/>
        <v>0.57384569367111005</v>
      </c>
      <c r="P4148" s="4">
        <f t="shared" ca="1" si="354"/>
        <v>0.18617361721465758</v>
      </c>
      <c r="Q4148" s="4">
        <f t="shared" ca="1" si="355"/>
        <v>1919.7514353270465</v>
      </c>
      <c r="R4148" s="4">
        <f t="shared" ca="1" si="356"/>
        <v>-3.9186086729534964</v>
      </c>
      <c r="S4148" s="4">
        <f t="shared" ca="1" si="357"/>
        <v>-1.9773873436249931</v>
      </c>
    </row>
    <row r="4149" spans="15:19" x14ac:dyDescent="0.2">
      <c r="O4149" s="4">
        <f t="shared" ca="1" si="353"/>
        <v>1.330436811616087E-2</v>
      </c>
      <c r="P4149" s="4">
        <f t="shared" ca="1" si="354"/>
        <v>-2.2172101219115072</v>
      </c>
      <c r="Q4149" s="4">
        <f t="shared" ca="1" si="355"/>
        <v>1965.1000937398485</v>
      </c>
      <c r="R4149" s="4">
        <f t="shared" ca="1" si="356"/>
        <v>41.430049739848528</v>
      </c>
      <c r="S4149" s="4">
        <f t="shared" ca="1" si="357"/>
        <v>21.671010555898956</v>
      </c>
    </row>
    <row r="4150" spans="15:19" x14ac:dyDescent="0.2">
      <c r="O4150" s="4">
        <f t="shared" ca="1" si="353"/>
        <v>0.69119726568633411</v>
      </c>
      <c r="P4150" s="4">
        <f t="shared" ca="1" si="354"/>
        <v>0.49924688498120179</v>
      </c>
      <c r="Q4150" s="4">
        <f t="shared" ca="1" si="355"/>
        <v>1913.8441586624856</v>
      </c>
      <c r="R4150" s="4">
        <f t="shared" ca="1" si="356"/>
        <v>-9.8258853375143644</v>
      </c>
      <c r="S4150" s="4">
        <f t="shared" ca="1" si="357"/>
        <v>-4.9346576726350895</v>
      </c>
    </row>
    <row r="4151" spans="15:19" x14ac:dyDescent="0.2">
      <c r="O4151" s="4">
        <f t="shared" ca="1" si="353"/>
        <v>0.71706324210949979</v>
      </c>
      <c r="P4151" s="4">
        <f t="shared" ca="1" si="354"/>
        <v>0.57413933717044152</v>
      </c>
      <c r="Q4151" s="4">
        <f t="shared" ca="1" si="355"/>
        <v>1912.4310375795988</v>
      </c>
      <c r="R4151" s="4">
        <f t="shared" ca="1" si="356"/>
        <v>-11.239006420401211</v>
      </c>
      <c r="S4151" s="4">
        <f t="shared" ca="1" si="357"/>
        <v>-5.6378760777613666</v>
      </c>
    </row>
    <row r="4152" spans="15:19" x14ac:dyDescent="0.2">
      <c r="O4152" s="4">
        <f t="shared" ca="1" si="353"/>
        <v>0.52028533196662385</v>
      </c>
      <c r="P4152" s="4">
        <f t="shared" ca="1" si="354"/>
        <v>5.0869717654684142E-2</v>
      </c>
      <c r="Q4152" s="4">
        <f t="shared" ca="1" si="355"/>
        <v>1922.3044401690015</v>
      </c>
      <c r="R4152" s="4">
        <f t="shared" ca="1" si="356"/>
        <v>-1.3656038309984524</v>
      </c>
      <c r="S4152" s="4">
        <f t="shared" ca="1" si="357"/>
        <v>-0.69052290246851322</v>
      </c>
    </row>
    <row r="4153" spans="15:19" x14ac:dyDescent="0.2">
      <c r="O4153" s="4">
        <f t="shared" ca="1" si="353"/>
        <v>0.87823100410832777</v>
      </c>
      <c r="P4153" s="4">
        <f t="shared" ca="1" si="354"/>
        <v>1.1661891168077123</v>
      </c>
      <c r="Q4153" s="4">
        <f t="shared" ca="1" si="355"/>
        <v>1901.2598447388305</v>
      </c>
      <c r="R4153" s="4">
        <f t="shared" ca="1" si="356"/>
        <v>-22.41019926116951</v>
      </c>
      <c r="S4153" s="4">
        <f t="shared" ca="1" si="357"/>
        <v>-11.139825273859017</v>
      </c>
    </row>
    <row r="4154" spans="15:19" x14ac:dyDescent="0.2">
      <c r="O4154" s="4">
        <f t="shared" ca="1" si="353"/>
        <v>0.14672299826445268</v>
      </c>
      <c r="P4154" s="4">
        <f t="shared" ca="1" si="354"/>
        <v>-1.050592044311903</v>
      </c>
      <c r="Q4154" s="4">
        <f t="shared" ca="1" si="355"/>
        <v>1943.087560394466</v>
      </c>
      <c r="R4154" s="4">
        <f t="shared" ca="1" si="356"/>
        <v>19.41751639446602</v>
      </c>
      <c r="S4154" s="4">
        <f t="shared" ca="1" si="357"/>
        <v>9.9828183492539502</v>
      </c>
    </row>
    <row r="4155" spans="15:19" x14ac:dyDescent="0.2">
      <c r="O4155" s="4">
        <f t="shared" ca="1" si="353"/>
        <v>0.32985389329089398</v>
      </c>
      <c r="P4155" s="4">
        <f t="shared" ca="1" si="354"/>
        <v>-0.44031664544025012</v>
      </c>
      <c r="Q4155" s="4">
        <f t="shared" ca="1" si="355"/>
        <v>1931.5724743303367</v>
      </c>
      <c r="R4155" s="4">
        <f t="shared" ca="1" si="356"/>
        <v>7.902430330336756</v>
      </c>
      <c r="S4155" s="4">
        <f t="shared" ca="1" si="357"/>
        <v>4.0257084606971194</v>
      </c>
    </row>
    <row r="4156" spans="15:19" x14ac:dyDescent="0.2">
      <c r="O4156" s="4">
        <f t="shared" ca="1" si="353"/>
        <v>0.94503288257323204</v>
      </c>
      <c r="P4156" s="4">
        <f t="shared" ca="1" si="354"/>
        <v>1.5984888052869852</v>
      </c>
      <c r="Q4156" s="4">
        <f t="shared" ca="1" si="355"/>
        <v>1893.1029239002403</v>
      </c>
      <c r="R4156" s="4">
        <f t="shared" ca="1" si="356"/>
        <v>-30.567120099759677</v>
      </c>
      <c r="S4156" s="4">
        <f t="shared" ca="1" si="357"/>
        <v>-15.093030941272813</v>
      </c>
    </row>
    <row r="4157" spans="15:19" x14ac:dyDescent="0.2">
      <c r="O4157" s="4">
        <f t="shared" ca="1" si="353"/>
        <v>0.461232198601772</v>
      </c>
      <c r="P4157" s="4">
        <f t="shared" ca="1" si="354"/>
        <v>-9.7329918570357735E-2</v>
      </c>
      <c r="Q4157" s="4">
        <f t="shared" ca="1" si="355"/>
        <v>1925.1007704306496</v>
      </c>
      <c r="R4157" s="4">
        <f t="shared" ca="1" si="356"/>
        <v>1.4307264306496563</v>
      </c>
      <c r="S4157" s="4">
        <f t="shared" ca="1" si="357"/>
        <v>0.72508099482310784</v>
      </c>
    </row>
    <row r="4158" spans="15:19" x14ac:dyDescent="0.2">
      <c r="O4158" s="4">
        <f t="shared" ca="1" si="353"/>
        <v>0.8549007616405897</v>
      </c>
      <c r="P4158" s="4">
        <f t="shared" ca="1" si="354"/>
        <v>1.0576863141538655</v>
      </c>
      <c r="Q4158" s="4">
        <f t="shared" ca="1" si="355"/>
        <v>1903.3071484857428</v>
      </c>
      <c r="R4158" s="4">
        <f t="shared" ca="1" si="356"/>
        <v>-20.362895514257161</v>
      </c>
      <c r="S4158" s="4">
        <f t="shared" ca="1" si="357"/>
        <v>-10.139106919589945</v>
      </c>
    </row>
    <row r="4159" spans="15:19" x14ac:dyDescent="0.2">
      <c r="O4159" s="4">
        <f t="shared" ca="1" si="353"/>
        <v>0.87350568475414769</v>
      </c>
      <c r="P4159" s="4">
        <f t="shared" ca="1" si="354"/>
        <v>1.1431203397106451</v>
      </c>
      <c r="Q4159" s="4">
        <f t="shared" ca="1" si="355"/>
        <v>1901.6951219172292</v>
      </c>
      <c r="R4159" s="4">
        <f t="shared" ca="1" si="356"/>
        <v>-21.974922082770718</v>
      </c>
      <c r="S4159" s="4">
        <f t="shared" ca="1" si="357"/>
        <v>-10.927348211049392</v>
      </c>
    </row>
    <row r="4160" spans="15:19" x14ac:dyDescent="0.2">
      <c r="O4160" s="4">
        <f t="shared" ca="1" si="353"/>
        <v>0.88359285739590687</v>
      </c>
      <c r="P4160" s="4">
        <f t="shared" ca="1" si="354"/>
        <v>1.1931406716969315</v>
      </c>
      <c r="Q4160" s="4">
        <f t="shared" ca="1" si="355"/>
        <v>1900.7513047015207</v>
      </c>
      <c r="R4160" s="4">
        <f t="shared" ca="1" si="356"/>
        <v>-22.918739298479295</v>
      </c>
      <c r="S4160" s="4">
        <f t="shared" ca="1" si="357"/>
        <v>-11.387869632981044</v>
      </c>
    </row>
    <row r="4161" spans="15:19" x14ac:dyDescent="0.2">
      <c r="O4161" s="4">
        <f t="shared" ca="1" si="353"/>
        <v>0.22843213214834956</v>
      </c>
      <c r="P4161" s="4">
        <f t="shared" ca="1" si="354"/>
        <v>-0.74402018396232916</v>
      </c>
      <c r="Q4161" s="4">
        <f t="shared" ca="1" si="355"/>
        <v>1937.3029566511516</v>
      </c>
      <c r="R4161" s="4">
        <f t="shared" ca="1" si="356"/>
        <v>13.632912651151628</v>
      </c>
      <c r="S4161" s="4">
        <f t="shared" ca="1" si="357"/>
        <v>6.9767703002352617</v>
      </c>
    </row>
    <row r="4162" spans="15:19" x14ac:dyDescent="0.2">
      <c r="O4162" s="4">
        <f t="shared" ca="1" si="353"/>
        <v>0.88139623085509167</v>
      </c>
      <c r="P4162" s="4">
        <f t="shared" ca="1" si="354"/>
        <v>1.1819953692475957</v>
      </c>
      <c r="Q4162" s="4">
        <f t="shared" ca="1" si="355"/>
        <v>1900.9616017529045</v>
      </c>
      <c r="R4162" s="4">
        <f t="shared" ca="1" si="356"/>
        <v>-22.708442247095491</v>
      </c>
      <c r="S4162" s="4">
        <f t="shared" ca="1" si="357"/>
        <v>-11.285321141498828</v>
      </c>
    </row>
    <row r="4163" spans="15:19" x14ac:dyDescent="0.2">
      <c r="O4163" s="4">
        <f t="shared" ref="O4163:O4226" ca="1" si="358">RAND()</f>
        <v>0.47604447914176284</v>
      </c>
      <c r="P4163" s="4">
        <f t="shared" ref="P4163:P4226" ca="1" si="359">NORMSINV(O4163)</f>
        <v>-6.0083717250585388E-2</v>
      </c>
      <c r="Q4163" s="4">
        <f t="shared" ref="Q4163:Q4226" ca="1" si="360">$B$4*(1+$B$17-$B$32*P4163)</f>
        <v>1924.3979840909872</v>
      </c>
      <c r="R4163" s="4">
        <f t="shared" ref="R4163:R4226" ca="1" si="361">Q4163-$B$4</f>
        <v>0.7279400909872038</v>
      </c>
      <c r="S4163" s="4">
        <f t="shared" ref="S4163:S4226" ca="1" si="362">R4163*$B$12+0.5*$B$13*R4163^2</f>
        <v>0.36870610883243898</v>
      </c>
    </row>
    <row r="4164" spans="15:19" x14ac:dyDescent="0.2">
      <c r="O4164" s="4">
        <f t="shared" ca="1" si="358"/>
        <v>0.87039597293772275</v>
      </c>
      <c r="P4164" s="4">
        <f t="shared" ca="1" si="359"/>
        <v>1.1282649194206151</v>
      </c>
      <c r="Q4164" s="4">
        <f t="shared" ca="1" si="360"/>
        <v>1901.9754239636081</v>
      </c>
      <c r="R4164" s="4">
        <f t="shared" ca="1" si="361"/>
        <v>-21.694620036391825</v>
      </c>
      <c r="S4164" s="4">
        <f t="shared" ca="1" si="362"/>
        <v>-10.790439366451452</v>
      </c>
    </row>
    <row r="4165" spans="15:19" x14ac:dyDescent="0.2">
      <c r="O4165" s="4">
        <f t="shared" ca="1" si="358"/>
        <v>0.40357648743677543</v>
      </c>
      <c r="P4165" s="4">
        <f t="shared" ca="1" si="359"/>
        <v>-0.24410051348129191</v>
      </c>
      <c r="Q4165" s="4">
        <f t="shared" ca="1" si="360"/>
        <v>1927.8701365810916</v>
      </c>
      <c r="R4165" s="4">
        <f t="shared" ca="1" si="361"/>
        <v>4.2000925810916669</v>
      </c>
      <c r="S4165" s="4">
        <f t="shared" ca="1" si="362"/>
        <v>2.1333090217737838</v>
      </c>
    </row>
    <row r="4166" spans="15:19" x14ac:dyDescent="0.2">
      <c r="O4166" s="4">
        <f t="shared" ca="1" si="358"/>
        <v>0.51391307247621076</v>
      </c>
      <c r="P4166" s="4">
        <f t="shared" ca="1" si="359"/>
        <v>3.4881973350507342E-2</v>
      </c>
      <c r="Q4166" s="4">
        <f t="shared" ca="1" si="360"/>
        <v>1922.6061076653061</v>
      </c>
      <c r="R4166" s="4">
        <f t="shared" ca="1" si="361"/>
        <v>-1.0639363346938353</v>
      </c>
      <c r="S4166" s="4">
        <f t="shared" ca="1" si="362"/>
        <v>-0.53811420748364613</v>
      </c>
    </row>
    <row r="4167" spans="15:19" x14ac:dyDescent="0.2">
      <c r="O4167" s="4">
        <f t="shared" ca="1" si="358"/>
        <v>0.41812057296567318</v>
      </c>
      <c r="P4167" s="4">
        <f t="shared" ca="1" si="359"/>
        <v>-0.20670385581414349</v>
      </c>
      <c r="Q4167" s="4">
        <f t="shared" ca="1" si="360"/>
        <v>1927.164511330026</v>
      </c>
      <c r="R4167" s="4">
        <f t="shared" ca="1" si="361"/>
        <v>3.4944673300260547</v>
      </c>
      <c r="S4167" s="4">
        <f t="shared" ca="1" si="362"/>
        <v>1.7739044356542886</v>
      </c>
    </row>
    <row r="4168" spans="15:19" x14ac:dyDescent="0.2">
      <c r="O4168" s="4">
        <f t="shared" ca="1" si="358"/>
        <v>0.85765697316787115</v>
      </c>
      <c r="P4168" s="4">
        <f t="shared" ca="1" si="359"/>
        <v>1.0698517291446343</v>
      </c>
      <c r="Q4168" s="4">
        <f t="shared" ca="1" si="360"/>
        <v>1903.0776032658575</v>
      </c>
      <c r="R4168" s="4">
        <f t="shared" ca="1" si="361"/>
        <v>-20.592440734142428</v>
      </c>
      <c r="S4168" s="4">
        <f t="shared" ca="1" si="362"/>
        <v>-10.251478059093959</v>
      </c>
    </row>
    <row r="4169" spans="15:19" x14ac:dyDescent="0.2">
      <c r="O4169" s="4">
        <f t="shared" ca="1" si="358"/>
        <v>0.67596428842482603</v>
      </c>
      <c r="P4169" s="4">
        <f t="shared" ca="1" si="359"/>
        <v>0.45644303808865988</v>
      </c>
      <c r="Q4169" s="4">
        <f t="shared" ca="1" si="360"/>
        <v>1914.651810391123</v>
      </c>
      <c r="R4169" s="4">
        <f t="shared" ca="1" si="361"/>
        <v>-9.0182336088769262</v>
      </c>
      <c r="S4169" s="4">
        <f t="shared" ca="1" si="362"/>
        <v>-4.5320118407998695</v>
      </c>
    </row>
    <row r="4170" spans="15:19" x14ac:dyDescent="0.2">
      <c r="O4170" s="4">
        <f t="shared" ca="1" si="358"/>
        <v>0.9884491126392686</v>
      </c>
      <c r="P4170" s="4">
        <f t="shared" ca="1" si="359"/>
        <v>2.2717473464837159</v>
      </c>
      <c r="Q4170" s="4">
        <f t="shared" ca="1" si="360"/>
        <v>1880.3994296095896</v>
      </c>
      <c r="R4170" s="4">
        <f t="shared" ca="1" si="361"/>
        <v>-43.270614390410401</v>
      </c>
      <c r="S4170" s="4">
        <f t="shared" ca="1" si="362"/>
        <v>-21.141834371098899</v>
      </c>
    </row>
    <row r="4171" spans="15:19" x14ac:dyDescent="0.2">
      <c r="O4171" s="4">
        <f t="shared" ca="1" si="358"/>
        <v>0.99514765682237194</v>
      </c>
      <c r="P4171" s="4">
        <f t="shared" ca="1" si="359"/>
        <v>2.5861777709863536</v>
      </c>
      <c r="Q4171" s="4">
        <f t="shared" ca="1" si="360"/>
        <v>1874.4665452003164</v>
      </c>
      <c r="R4171" s="4">
        <f t="shared" ca="1" si="361"/>
        <v>-49.20349879968353</v>
      </c>
      <c r="S4171" s="4">
        <f t="shared" ca="1" si="362"/>
        <v>-23.921784833898844</v>
      </c>
    </row>
    <row r="4172" spans="15:19" x14ac:dyDescent="0.2">
      <c r="O4172" s="4">
        <f t="shared" ca="1" si="358"/>
        <v>0.74004005351436841</v>
      </c>
      <c r="P4172" s="4">
        <f t="shared" ca="1" si="359"/>
        <v>0.6434688930653345</v>
      </c>
      <c r="Q4172" s="4">
        <f t="shared" ca="1" si="360"/>
        <v>1911.1228809598274</v>
      </c>
      <c r="R4172" s="4">
        <f t="shared" ca="1" si="361"/>
        <v>-12.547163040172563</v>
      </c>
      <c r="S4172" s="4">
        <f t="shared" ca="1" si="362"/>
        <v>-6.2874113916689334</v>
      </c>
    </row>
    <row r="4173" spans="15:19" x14ac:dyDescent="0.2">
      <c r="O4173" s="4">
        <f t="shared" ca="1" si="358"/>
        <v>0.60286443777391785</v>
      </c>
      <c r="P4173" s="4">
        <f t="shared" ca="1" si="359"/>
        <v>0.26076838729886009</v>
      </c>
      <c r="Q4173" s="4">
        <f t="shared" ca="1" si="360"/>
        <v>1918.3439311100294</v>
      </c>
      <c r="R4173" s="4">
        <f t="shared" ca="1" si="361"/>
        <v>-5.3261128899705454</v>
      </c>
      <c r="S4173" s="4">
        <f t="shared" ca="1" si="362"/>
        <v>-2.6845829861595214</v>
      </c>
    </row>
    <row r="4174" spans="15:19" x14ac:dyDescent="0.2">
      <c r="O4174" s="4">
        <f t="shared" ca="1" si="358"/>
        <v>0.2057564081790797</v>
      </c>
      <c r="P4174" s="4">
        <f t="shared" ca="1" si="359"/>
        <v>-0.8212343108936353</v>
      </c>
      <c r="Q4174" s="4">
        <f t="shared" ca="1" si="360"/>
        <v>1938.7598846522224</v>
      </c>
      <c r="R4174" s="4">
        <f t="shared" ca="1" si="361"/>
        <v>15.089840652222392</v>
      </c>
      <c r="S4174" s="4">
        <f t="shared" ca="1" si="362"/>
        <v>7.731316144044448</v>
      </c>
    </row>
    <row r="4175" spans="15:19" x14ac:dyDescent="0.2">
      <c r="O4175" s="4">
        <f t="shared" ca="1" si="358"/>
        <v>0.17664253490709225</v>
      </c>
      <c r="P4175" s="4">
        <f t="shared" ca="1" si="359"/>
        <v>-0.92823618192719526</v>
      </c>
      <c r="Q4175" s="4">
        <f t="shared" ca="1" si="360"/>
        <v>1940.7788678133534</v>
      </c>
      <c r="R4175" s="4">
        <f t="shared" ca="1" si="361"/>
        <v>17.108823813353411</v>
      </c>
      <c r="S4175" s="4">
        <f t="shared" ca="1" si="362"/>
        <v>8.7798081806996784</v>
      </c>
    </row>
    <row r="4176" spans="15:19" x14ac:dyDescent="0.2">
      <c r="O4176" s="4">
        <f t="shared" ca="1" si="358"/>
        <v>0.43738567378467252</v>
      </c>
      <c r="P4176" s="4">
        <f t="shared" ca="1" si="359"/>
        <v>-0.15760083245258996</v>
      </c>
      <c r="Q4176" s="4">
        <f t="shared" ca="1" si="360"/>
        <v>1926.2380025094794</v>
      </c>
      <c r="R4176" s="4">
        <f t="shared" ca="1" si="361"/>
        <v>2.5679585094794675</v>
      </c>
      <c r="S4176" s="4">
        <f t="shared" ca="1" si="362"/>
        <v>1.3026101321511361</v>
      </c>
    </row>
    <row r="4177" spans="15:19" x14ac:dyDescent="0.2">
      <c r="O4177" s="4">
        <f t="shared" ca="1" si="358"/>
        <v>4.701833828854185E-2</v>
      </c>
      <c r="P4177" s="4">
        <f t="shared" ca="1" si="359"/>
        <v>-1.6744780916419257</v>
      </c>
      <c r="Q4177" s="4">
        <f t="shared" ca="1" si="360"/>
        <v>1954.8594613141127</v>
      </c>
      <c r="R4177" s="4">
        <f t="shared" ca="1" si="361"/>
        <v>31.189417314112688</v>
      </c>
      <c r="S4177" s="4">
        <f t="shared" ca="1" si="362"/>
        <v>16.184377242411681</v>
      </c>
    </row>
    <row r="4178" spans="15:19" x14ac:dyDescent="0.2">
      <c r="O4178" s="4">
        <f t="shared" ca="1" si="358"/>
        <v>0.95692409132619316</v>
      </c>
      <c r="P4178" s="4">
        <f t="shared" ca="1" si="359"/>
        <v>1.716055869030759</v>
      </c>
      <c r="Q4178" s="4">
        <f t="shared" ca="1" si="360"/>
        <v>1890.8845895878633</v>
      </c>
      <c r="R4178" s="4">
        <f t="shared" ca="1" si="361"/>
        <v>-32.785454412136687</v>
      </c>
      <c r="S4178" s="4">
        <f t="shared" ca="1" si="362"/>
        <v>-16.158765133527563</v>
      </c>
    </row>
    <row r="4179" spans="15:19" x14ac:dyDescent="0.2">
      <c r="O4179" s="4">
        <f t="shared" ca="1" si="358"/>
        <v>0.67688991185011105</v>
      </c>
      <c r="P4179" s="4">
        <f t="shared" ca="1" si="359"/>
        <v>0.45901948146022237</v>
      </c>
      <c r="Q4179" s="4">
        <f t="shared" ca="1" si="360"/>
        <v>1914.6031963273449</v>
      </c>
      <c r="R4179" s="4">
        <f t="shared" ca="1" si="361"/>
        <v>-9.066847672655058</v>
      </c>
      <c r="S4179" s="4">
        <f t="shared" ca="1" si="362"/>
        <v>-4.5562628651489909</v>
      </c>
    </row>
    <row r="4180" spans="15:19" x14ac:dyDescent="0.2">
      <c r="O4180" s="4">
        <f t="shared" ca="1" si="358"/>
        <v>0.3930190785346438</v>
      </c>
      <c r="P4180" s="4">
        <f t="shared" ca="1" si="359"/>
        <v>-0.27145883399755394</v>
      </c>
      <c r="Q4180" s="4">
        <f t="shared" ca="1" si="360"/>
        <v>1928.3863517454215</v>
      </c>
      <c r="R4180" s="4">
        <f t="shared" ca="1" si="361"/>
        <v>4.7163077454215454</v>
      </c>
      <c r="S4180" s="4">
        <f t="shared" ca="1" si="362"/>
        <v>2.3964958447585114</v>
      </c>
    </row>
    <row r="4181" spans="15:19" x14ac:dyDescent="0.2">
      <c r="O4181" s="4">
        <f t="shared" ca="1" si="358"/>
        <v>0.3340327458987129</v>
      </c>
      <c r="P4181" s="4">
        <f t="shared" ca="1" si="359"/>
        <v>-0.42880451644488871</v>
      </c>
      <c r="Q4181" s="4">
        <f t="shared" ca="1" si="360"/>
        <v>1931.3552557493354</v>
      </c>
      <c r="R4181" s="4">
        <f t="shared" ca="1" si="361"/>
        <v>7.6852117493353944</v>
      </c>
      <c r="S4181" s="4">
        <f t="shared" ca="1" si="362"/>
        <v>3.9143719812896602</v>
      </c>
    </row>
    <row r="4182" spans="15:19" x14ac:dyDescent="0.2">
      <c r="O4182" s="4">
        <f t="shared" ca="1" si="358"/>
        <v>0.82116753541040299</v>
      </c>
      <c r="P4182" s="4">
        <f t="shared" ca="1" si="359"/>
        <v>0.91982363699661995</v>
      </c>
      <c r="Q4182" s="4">
        <f t="shared" ca="1" si="360"/>
        <v>1905.9084340617828</v>
      </c>
      <c r="R4182" s="4">
        <f t="shared" ca="1" si="361"/>
        <v>-17.761609938217134</v>
      </c>
      <c r="S4182" s="4">
        <f t="shared" ca="1" si="362"/>
        <v>-8.8626808464904805</v>
      </c>
    </row>
    <row r="4183" spans="15:19" x14ac:dyDescent="0.2">
      <c r="O4183" s="4">
        <f t="shared" ca="1" si="358"/>
        <v>0.60075255825812268</v>
      </c>
      <c r="P4183" s="4">
        <f t="shared" ca="1" si="359"/>
        <v>0.25529548940575369</v>
      </c>
      <c r="Q4183" s="4">
        <f t="shared" ca="1" si="360"/>
        <v>1918.4471974228709</v>
      </c>
      <c r="R4183" s="4">
        <f t="shared" ca="1" si="361"/>
        <v>-5.2228465771290757</v>
      </c>
      <c r="S4183" s="4">
        <f t="shared" ca="1" si="362"/>
        <v>-2.6327520088510297</v>
      </c>
    </row>
    <row r="4184" spans="15:19" x14ac:dyDescent="0.2">
      <c r="O4184" s="4">
        <f t="shared" ca="1" si="358"/>
        <v>0.63625977230262176</v>
      </c>
      <c r="P4184" s="4">
        <f t="shared" ca="1" si="359"/>
        <v>0.34847903574034433</v>
      </c>
      <c r="Q4184" s="4">
        <f t="shared" ca="1" si="360"/>
        <v>1916.6889476920323</v>
      </c>
      <c r="R4184" s="4">
        <f t="shared" ca="1" si="361"/>
        <v>-6.9810963079676185</v>
      </c>
      <c r="S4184" s="4">
        <f t="shared" ca="1" si="362"/>
        <v>-3.5140605243025465</v>
      </c>
    </row>
    <row r="4185" spans="15:19" x14ac:dyDescent="0.2">
      <c r="O4185" s="4">
        <f t="shared" ca="1" si="358"/>
        <v>0.35044324010207284</v>
      </c>
      <c r="P4185" s="4">
        <f t="shared" ca="1" si="359"/>
        <v>-0.3841240861640941</v>
      </c>
      <c r="Q4185" s="4">
        <f t="shared" ca="1" si="360"/>
        <v>1930.5121953850851</v>
      </c>
      <c r="R4185" s="4">
        <f t="shared" ca="1" si="361"/>
        <v>6.842151385085117</v>
      </c>
      <c r="S4185" s="4">
        <f t="shared" ca="1" si="362"/>
        <v>3.4826210096406696</v>
      </c>
    </row>
    <row r="4186" spans="15:19" x14ac:dyDescent="0.2">
      <c r="O4186" s="4">
        <f t="shared" ca="1" si="358"/>
        <v>0.39808136205037037</v>
      </c>
      <c r="P4186" s="4">
        <f t="shared" ca="1" si="359"/>
        <v>-0.25831640803704198</v>
      </c>
      <c r="Q4186" s="4">
        <f t="shared" ca="1" si="360"/>
        <v>1928.1383716264349</v>
      </c>
      <c r="R4186" s="4">
        <f t="shared" ca="1" si="361"/>
        <v>4.4683276264349843</v>
      </c>
      <c r="S4186" s="4">
        <f t="shared" ca="1" si="362"/>
        <v>2.2700387358789356</v>
      </c>
    </row>
    <row r="4187" spans="15:19" x14ac:dyDescent="0.2">
      <c r="O4187" s="4">
        <f t="shared" ca="1" si="358"/>
        <v>0.86533322578607907</v>
      </c>
      <c r="P4187" s="4">
        <f t="shared" ca="1" si="359"/>
        <v>1.1045986220635593</v>
      </c>
      <c r="Q4187" s="4">
        <f t="shared" ca="1" si="360"/>
        <v>1902.4219755555446</v>
      </c>
      <c r="R4187" s="4">
        <f t="shared" ca="1" si="361"/>
        <v>-21.248068444455384</v>
      </c>
      <c r="S4187" s="4">
        <f t="shared" ca="1" si="362"/>
        <v>-10.572196587406529</v>
      </c>
    </row>
    <row r="4188" spans="15:19" x14ac:dyDescent="0.2">
      <c r="O4188" s="4">
        <f t="shared" ca="1" si="358"/>
        <v>0.99750924453048506</v>
      </c>
      <c r="P4188" s="4">
        <f t="shared" ca="1" si="359"/>
        <v>2.8082269328380334</v>
      </c>
      <c r="Q4188" s="4">
        <f t="shared" ca="1" si="360"/>
        <v>1870.2767724945554</v>
      </c>
      <c r="R4188" s="4">
        <f t="shared" ca="1" si="361"/>
        <v>-53.393271505444545</v>
      </c>
      <c r="S4188" s="4">
        <f t="shared" ca="1" si="362"/>
        <v>-25.86770719960219</v>
      </c>
    </row>
    <row r="4189" spans="15:19" x14ac:dyDescent="0.2">
      <c r="O4189" s="4">
        <f t="shared" ca="1" si="358"/>
        <v>0.97335208211977331</v>
      </c>
      <c r="P4189" s="4">
        <f t="shared" ca="1" si="359"/>
        <v>1.9325161086270346</v>
      </c>
      <c r="Q4189" s="4">
        <f t="shared" ca="1" si="360"/>
        <v>1886.8002724205292</v>
      </c>
      <c r="R4189" s="4">
        <f t="shared" ca="1" si="361"/>
        <v>-36.869771579470807</v>
      </c>
      <c r="S4189" s="4">
        <f t="shared" ca="1" si="362"/>
        <v>-18.110477722452902</v>
      </c>
    </row>
    <row r="4190" spans="15:19" x14ac:dyDescent="0.2">
      <c r="O4190" s="4">
        <f t="shared" ca="1" si="358"/>
        <v>0.88549705913985544</v>
      </c>
      <c r="P4190" s="4">
        <f t="shared" ca="1" si="359"/>
        <v>1.2029236130750649</v>
      </c>
      <c r="Q4190" s="4">
        <f t="shared" ca="1" si="360"/>
        <v>1900.566713593739</v>
      </c>
      <c r="R4190" s="4">
        <f t="shared" ca="1" si="361"/>
        <v>-23.103330406260966</v>
      </c>
      <c r="S4190" s="4">
        <f t="shared" ca="1" si="362"/>
        <v>-11.477853298916168</v>
      </c>
    </row>
    <row r="4191" spans="15:19" x14ac:dyDescent="0.2">
      <c r="O4191" s="4">
        <f t="shared" ca="1" si="358"/>
        <v>3.4137270129356856E-2</v>
      </c>
      <c r="P4191" s="4">
        <f t="shared" ca="1" si="359"/>
        <v>-1.823190520816024</v>
      </c>
      <c r="Q4191" s="4">
        <f t="shared" ca="1" si="360"/>
        <v>1957.6654672974958</v>
      </c>
      <c r="R4191" s="4">
        <f t="shared" ca="1" si="361"/>
        <v>33.99542329749579</v>
      </c>
      <c r="S4191" s="4">
        <f t="shared" ca="1" si="362"/>
        <v>17.679261602258762</v>
      </c>
    </row>
    <row r="4192" spans="15:19" x14ac:dyDescent="0.2">
      <c r="O4192" s="4">
        <f t="shared" ca="1" si="358"/>
        <v>0.45346897583510637</v>
      </c>
      <c r="P4192" s="4">
        <f t="shared" ca="1" si="359"/>
        <v>-0.11690169913763147</v>
      </c>
      <c r="Q4192" s="4">
        <f t="shared" ca="1" si="360"/>
        <v>1925.4700639300715</v>
      </c>
      <c r="R4192" s="4">
        <f t="shared" ca="1" si="361"/>
        <v>1.8000199300715849</v>
      </c>
      <c r="S4192" s="4">
        <f t="shared" ca="1" si="362"/>
        <v>0.91250665312530099</v>
      </c>
    </row>
    <row r="4193" spans="15:19" x14ac:dyDescent="0.2">
      <c r="O4193" s="4">
        <f t="shared" ca="1" si="358"/>
        <v>0.91663741133543308</v>
      </c>
      <c r="P4193" s="4">
        <f t="shared" ca="1" si="359"/>
        <v>1.3828033310994323</v>
      </c>
      <c r="Q4193" s="4">
        <f t="shared" ca="1" si="360"/>
        <v>1897.172622273539</v>
      </c>
      <c r="R4193" s="4">
        <f t="shared" ca="1" si="361"/>
        <v>-26.497421726460971</v>
      </c>
      <c r="S4193" s="4">
        <f t="shared" ca="1" si="362"/>
        <v>-13.127445676597292</v>
      </c>
    </row>
    <row r="4194" spans="15:19" x14ac:dyDescent="0.2">
      <c r="O4194" s="4">
        <f t="shared" ca="1" si="358"/>
        <v>0.17023530076018378</v>
      </c>
      <c r="P4194" s="4">
        <f t="shared" ca="1" si="359"/>
        <v>-0.95323581949876812</v>
      </c>
      <c r="Q4194" s="4">
        <f t="shared" ca="1" si="360"/>
        <v>1941.2505777638787</v>
      </c>
      <c r="R4194" s="4">
        <f t="shared" ca="1" si="361"/>
        <v>17.580533763878748</v>
      </c>
      <c r="S4194" s="4">
        <f t="shared" ca="1" si="362"/>
        <v>9.0252533800370607</v>
      </c>
    </row>
    <row r="4195" spans="15:19" x14ac:dyDescent="0.2">
      <c r="O4195" s="4">
        <f t="shared" ca="1" si="358"/>
        <v>0.71737547740235297</v>
      </c>
      <c r="P4195" s="4">
        <f t="shared" ca="1" si="359"/>
        <v>0.57506247514203335</v>
      </c>
      <c r="Q4195" s="4">
        <f t="shared" ca="1" si="360"/>
        <v>1912.4136191924058</v>
      </c>
      <c r="R4195" s="4">
        <f t="shared" ca="1" si="361"/>
        <v>-11.256424807594158</v>
      </c>
      <c r="S4195" s="4">
        <f t="shared" ca="1" si="362"/>
        <v>-5.6465339323534876</v>
      </c>
    </row>
    <row r="4196" spans="15:19" x14ac:dyDescent="0.2">
      <c r="O4196" s="4">
        <f t="shared" ca="1" si="358"/>
        <v>0.53676932334619964</v>
      </c>
      <c r="P4196" s="4">
        <f t="shared" ca="1" si="359"/>
        <v>9.2297904404440745E-2</v>
      </c>
      <c r="Q4196" s="4">
        <f t="shared" ca="1" si="360"/>
        <v>1921.5227453197804</v>
      </c>
      <c r="R4196" s="4">
        <f t="shared" ca="1" si="361"/>
        <v>-2.1472986802195919</v>
      </c>
      <c r="S4196" s="4">
        <f t="shared" ca="1" si="362"/>
        <v>-1.0851066724321774</v>
      </c>
    </row>
    <row r="4197" spans="15:19" x14ac:dyDescent="0.2">
      <c r="O4197" s="4">
        <f t="shared" ca="1" si="358"/>
        <v>0.42844036716132994</v>
      </c>
      <c r="P4197" s="4">
        <f t="shared" ca="1" si="359"/>
        <v>-0.18034626821569413</v>
      </c>
      <c r="Q4197" s="4">
        <f t="shared" ca="1" si="360"/>
        <v>1926.6671786664451</v>
      </c>
      <c r="R4197" s="4">
        <f t="shared" ca="1" si="361"/>
        <v>2.997134666445163</v>
      </c>
      <c r="S4197" s="4">
        <f t="shared" ca="1" si="362"/>
        <v>1.520835552844231</v>
      </c>
    </row>
    <row r="4198" spans="15:19" x14ac:dyDescent="0.2">
      <c r="O4198" s="4">
        <f t="shared" ca="1" si="358"/>
        <v>0.44110387772389648</v>
      </c>
      <c r="P4198" s="4">
        <f t="shared" ca="1" si="359"/>
        <v>-0.14817107902169457</v>
      </c>
      <c r="Q4198" s="4">
        <f t="shared" ca="1" si="360"/>
        <v>1926.0600755890741</v>
      </c>
      <c r="R4198" s="4">
        <f t="shared" ca="1" si="361"/>
        <v>2.3900315890741695</v>
      </c>
      <c r="S4198" s="4">
        <f t="shared" ca="1" si="362"/>
        <v>1.2121826821132249</v>
      </c>
    </row>
    <row r="4199" spans="15:19" x14ac:dyDescent="0.2">
      <c r="O4199" s="4">
        <f t="shared" ca="1" si="358"/>
        <v>2.0204340742808746E-3</v>
      </c>
      <c r="P4199" s="4">
        <f t="shared" ca="1" si="359"/>
        <v>-2.874953648171747</v>
      </c>
      <c r="Q4199" s="4">
        <f t="shared" ca="1" si="360"/>
        <v>1977.5108403093714</v>
      </c>
      <c r="R4199" s="4">
        <f t="shared" ca="1" si="361"/>
        <v>53.840796309371399</v>
      </c>
      <c r="S4199" s="4">
        <f t="shared" ca="1" si="362"/>
        <v>28.434763489354793</v>
      </c>
    </row>
    <row r="4200" spans="15:19" x14ac:dyDescent="0.2">
      <c r="O4200" s="4">
        <f t="shared" ca="1" si="358"/>
        <v>0.67655953421849002</v>
      </c>
      <c r="P4200" s="4">
        <f t="shared" ca="1" si="359"/>
        <v>0.45809953698863382</v>
      </c>
      <c r="Q4200" s="4">
        <f t="shared" ca="1" si="360"/>
        <v>1914.6205544574352</v>
      </c>
      <c r="R4200" s="4">
        <f t="shared" ca="1" si="361"/>
        <v>-9.0494895425647428</v>
      </c>
      <c r="S4200" s="4">
        <f t="shared" ca="1" si="362"/>
        <v>-4.5476040190005742</v>
      </c>
    </row>
    <row r="4201" spans="15:19" x14ac:dyDescent="0.2">
      <c r="O4201" s="4">
        <f t="shared" ca="1" si="358"/>
        <v>0.45384315130819086</v>
      </c>
      <c r="P4201" s="4">
        <f t="shared" ca="1" si="359"/>
        <v>-0.11595740155084619</v>
      </c>
      <c r="Q4201" s="4">
        <f t="shared" ca="1" si="360"/>
        <v>1925.4522462890488</v>
      </c>
      <c r="R4201" s="4">
        <f t="shared" ca="1" si="361"/>
        <v>1.7822022890488824</v>
      </c>
      <c r="S4201" s="4">
        <f t="shared" ca="1" si="362"/>
        <v>0.90346120681197406</v>
      </c>
    </row>
    <row r="4202" spans="15:19" x14ac:dyDescent="0.2">
      <c r="O4202" s="4">
        <f t="shared" ca="1" si="358"/>
        <v>2.858725330121703E-2</v>
      </c>
      <c r="P4202" s="4">
        <f t="shared" ca="1" si="359"/>
        <v>-1.9019743606592796</v>
      </c>
      <c r="Q4202" s="4">
        <f t="shared" ca="1" si="360"/>
        <v>1959.1520136959496</v>
      </c>
      <c r="R4202" s="4">
        <f t="shared" ca="1" si="361"/>
        <v>35.481969695949601</v>
      </c>
      <c r="S4202" s="4">
        <f t="shared" ca="1" si="362"/>
        <v>18.473808616375411</v>
      </c>
    </row>
    <row r="4203" spans="15:19" x14ac:dyDescent="0.2">
      <c r="O4203" s="4">
        <f t="shared" ca="1" si="358"/>
        <v>0.95326499826041355</v>
      </c>
      <c r="P4203" s="4">
        <f t="shared" ca="1" si="359"/>
        <v>1.6773707599731038</v>
      </c>
      <c r="Q4203" s="4">
        <f t="shared" ca="1" si="360"/>
        <v>1891.6145262050409</v>
      </c>
      <c r="R4203" s="4">
        <f t="shared" ca="1" si="361"/>
        <v>-32.055517794959087</v>
      </c>
      <c r="S4203" s="4">
        <f t="shared" ca="1" si="362"/>
        <v>-15.808530573254423</v>
      </c>
    </row>
    <row r="4204" spans="15:19" x14ac:dyDescent="0.2">
      <c r="O4204" s="4">
        <f t="shared" ca="1" si="358"/>
        <v>0.20459797522632617</v>
      </c>
      <c r="P4204" s="4">
        <f t="shared" ca="1" si="359"/>
        <v>-0.82530941063806829</v>
      </c>
      <c r="Q4204" s="4">
        <f t="shared" ca="1" si="360"/>
        <v>1938.8367763708852</v>
      </c>
      <c r="R4204" s="4">
        <f t="shared" ca="1" si="361"/>
        <v>15.166732370885256</v>
      </c>
      <c r="S4204" s="4">
        <f t="shared" ca="1" si="362"/>
        <v>7.7711865235505195</v>
      </c>
    </row>
    <row r="4205" spans="15:19" x14ac:dyDescent="0.2">
      <c r="O4205" s="4">
        <f t="shared" ca="1" si="358"/>
        <v>0.81924100804208777</v>
      </c>
      <c r="P4205" s="4">
        <f t="shared" ca="1" si="359"/>
        <v>0.91247640666146668</v>
      </c>
      <c r="Q4205" s="4">
        <f t="shared" ca="1" si="360"/>
        <v>1906.0470665378725</v>
      </c>
      <c r="R4205" s="4">
        <f t="shared" ca="1" si="361"/>
        <v>-17.622977462127437</v>
      </c>
      <c r="S4205" s="4">
        <f t="shared" ca="1" si="362"/>
        <v>-8.7945005881429044</v>
      </c>
    </row>
    <row r="4206" spans="15:19" x14ac:dyDescent="0.2">
      <c r="O4206" s="4">
        <f t="shared" ca="1" si="358"/>
        <v>0.79034448391774925</v>
      </c>
      <c r="P4206" s="4">
        <f t="shared" ca="1" si="359"/>
        <v>0.8076171130790567</v>
      </c>
      <c r="Q4206" s="4">
        <f t="shared" ca="1" si="360"/>
        <v>1908.02562210878</v>
      </c>
      <c r="R4206" s="4">
        <f t="shared" ca="1" si="361"/>
        <v>-15.644421891219963</v>
      </c>
      <c r="S4206" s="4">
        <f t="shared" ca="1" si="362"/>
        <v>-7.8197302440355436</v>
      </c>
    </row>
    <row r="4207" spans="15:19" x14ac:dyDescent="0.2">
      <c r="O4207" s="4">
        <f t="shared" ca="1" si="358"/>
        <v>0.51542187505294224</v>
      </c>
      <c r="P4207" s="4">
        <f t="shared" ca="1" si="359"/>
        <v>3.8666540961628443E-2</v>
      </c>
      <c r="Q4207" s="4">
        <f t="shared" ca="1" si="360"/>
        <v>1922.5346979020449</v>
      </c>
      <c r="R4207" s="4">
        <f t="shared" ca="1" si="361"/>
        <v>-1.1353460979551073</v>
      </c>
      <c r="S4207" s="4">
        <f t="shared" ca="1" si="362"/>
        <v>-0.57419859877965485</v>
      </c>
    </row>
    <row r="4208" spans="15:19" x14ac:dyDescent="0.2">
      <c r="O4208" s="4">
        <f t="shared" ca="1" si="358"/>
        <v>0.49266627437120769</v>
      </c>
      <c r="P4208" s="4">
        <f t="shared" ca="1" si="359"/>
        <v>-1.8383959504719907E-2</v>
      </c>
      <c r="Q4208" s="4">
        <f t="shared" ca="1" si="360"/>
        <v>1923.6111650578343</v>
      </c>
      <c r="R4208" s="4">
        <f t="shared" ca="1" si="361"/>
        <v>-5.8878942165620174E-2</v>
      </c>
      <c r="S4208" s="4">
        <f t="shared" ca="1" si="362"/>
        <v>-2.9803686038880582E-2</v>
      </c>
    </row>
    <row r="4209" spans="15:19" x14ac:dyDescent="0.2">
      <c r="O4209" s="4">
        <f t="shared" ca="1" si="358"/>
        <v>0.70092401733962006</v>
      </c>
      <c r="P4209" s="4">
        <f t="shared" ca="1" si="359"/>
        <v>0.52705993905354986</v>
      </c>
      <c r="Q4209" s="4">
        <f t="shared" ca="1" si="360"/>
        <v>1913.3193632800378</v>
      </c>
      <c r="R4209" s="4">
        <f t="shared" ca="1" si="361"/>
        <v>-10.350680719962156</v>
      </c>
      <c r="S4209" s="4">
        <f t="shared" ca="1" si="362"/>
        <v>-5.1960039550887505</v>
      </c>
    </row>
    <row r="4210" spans="15:19" x14ac:dyDescent="0.2">
      <c r="O4210" s="4">
        <f t="shared" ca="1" si="358"/>
        <v>0.93451877767913272</v>
      </c>
      <c r="P4210" s="4">
        <f t="shared" ca="1" si="359"/>
        <v>1.5103174364073133</v>
      </c>
      <c r="Q4210" s="4">
        <f t="shared" ca="1" si="360"/>
        <v>1894.766600500868</v>
      </c>
      <c r="R4210" s="4">
        <f t="shared" ca="1" si="361"/>
        <v>-28.903443499131981</v>
      </c>
      <c r="S4210" s="4">
        <f t="shared" ca="1" si="362"/>
        <v>-14.291136892188904</v>
      </c>
    </row>
    <row r="4211" spans="15:19" x14ac:dyDescent="0.2">
      <c r="O4211" s="4">
        <f t="shared" ca="1" si="358"/>
        <v>0.65488916208232617</v>
      </c>
      <c r="P4211" s="4">
        <f t="shared" ca="1" si="359"/>
        <v>0.39855425223241236</v>
      </c>
      <c r="Q4211" s="4">
        <f t="shared" ca="1" si="360"/>
        <v>1915.7440948786104</v>
      </c>
      <c r="R4211" s="4">
        <f t="shared" ca="1" si="361"/>
        <v>-7.9259491213895217</v>
      </c>
      <c r="S4211" s="4">
        <f t="shared" ca="1" si="362"/>
        <v>-3.9866207178865745</v>
      </c>
    </row>
    <row r="4212" spans="15:19" x14ac:dyDescent="0.2">
      <c r="O4212" s="4">
        <f t="shared" ca="1" si="358"/>
        <v>0.37926394330842328</v>
      </c>
      <c r="P4212" s="4">
        <f t="shared" ca="1" si="359"/>
        <v>-0.30741450811754345</v>
      </c>
      <c r="Q4212" s="4">
        <f t="shared" ca="1" si="360"/>
        <v>1929.0647875512082</v>
      </c>
      <c r="R4212" s="4">
        <f t="shared" ca="1" si="361"/>
        <v>5.3947435512081938</v>
      </c>
      <c r="S4212" s="4">
        <f t="shared" ca="1" si="362"/>
        <v>2.7427190673181308</v>
      </c>
    </row>
    <row r="4213" spans="15:19" x14ac:dyDescent="0.2">
      <c r="O4213" s="4">
        <f t="shared" ca="1" si="358"/>
        <v>0.97787500102344083</v>
      </c>
      <c r="P4213" s="4">
        <f t="shared" ca="1" si="359"/>
        <v>2.0117149102663929</v>
      </c>
      <c r="Q4213" s="4">
        <f t="shared" ca="1" si="360"/>
        <v>1885.3058962442335</v>
      </c>
      <c r="R4213" s="4">
        <f t="shared" ca="1" si="361"/>
        <v>-38.364147755766453</v>
      </c>
      <c r="S4213" s="4">
        <f t="shared" ca="1" si="362"/>
        <v>-18.821179692153542</v>
      </c>
    </row>
    <row r="4214" spans="15:19" x14ac:dyDescent="0.2">
      <c r="O4214" s="4">
        <f t="shared" ca="1" si="358"/>
        <v>0.81822670562725952</v>
      </c>
      <c r="P4214" s="4">
        <f t="shared" ca="1" si="359"/>
        <v>0.90862787250085242</v>
      </c>
      <c r="Q4214" s="4">
        <f t="shared" ca="1" si="360"/>
        <v>1906.1196832649473</v>
      </c>
      <c r="R4214" s="4">
        <f t="shared" ca="1" si="361"/>
        <v>-17.550360735052664</v>
      </c>
      <c r="S4214" s="4">
        <f t="shared" ca="1" si="362"/>
        <v>-8.7587810147271217</v>
      </c>
    </row>
    <row r="4215" spans="15:19" x14ac:dyDescent="0.2">
      <c r="O4215" s="4">
        <f t="shared" ca="1" si="358"/>
        <v>0.64926729269072991</v>
      </c>
      <c r="P4215" s="4">
        <f t="shared" ca="1" si="359"/>
        <v>0.3833430618358673</v>
      </c>
      <c r="Q4215" s="4">
        <f t="shared" ca="1" si="360"/>
        <v>1916.0311098342811</v>
      </c>
      <c r="R4215" s="4">
        <f t="shared" ca="1" si="361"/>
        <v>-7.6389341657188652</v>
      </c>
      <c r="S4215" s="4">
        <f t="shared" ca="1" si="362"/>
        <v>-3.8431494584922761</v>
      </c>
    </row>
    <row r="4216" spans="15:19" x14ac:dyDescent="0.2">
      <c r="O4216" s="4">
        <f t="shared" ca="1" si="358"/>
        <v>0.51216561952948692</v>
      </c>
      <c r="P4216" s="4">
        <f t="shared" ca="1" si="359"/>
        <v>3.0499413729460096E-2</v>
      </c>
      <c r="Q4216" s="4">
        <f t="shared" ca="1" si="360"/>
        <v>1922.6888007433997</v>
      </c>
      <c r="R4216" s="4">
        <f t="shared" ca="1" si="361"/>
        <v>-0.98124325660023715</v>
      </c>
      <c r="S4216" s="4">
        <f t="shared" ca="1" si="362"/>
        <v>-0.49632300582302596</v>
      </c>
    </row>
    <row r="4217" spans="15:19" x14ac:dyDescent="0.2">
      <c r="O4217" s="4">
        <f t="shared" ca="1" si="358"/>
        <v>0.44544994782506098</v>
      </c>
      <c r="P4217" s="4">
        <f t="shared" ca="1" si="359"/>
        <v>-0.13716560687543661</v>
      </c>
      <c r="Q4217" s="4">
        <f t="shared" ca="1" si="360"/>
        <v>1925.8524169497537</v>
      </c>
      <c r="R4217" s="4">
        <f t="shared" ca="1" si="361"/>
        <v>2.1823729497536988</v>
      </c>
      <c r="S4217" s="4">
        <f t="shared" ca="1" si="362"/>
        <v>1.1066773329455635</v>
      </c>
    </row>
    <row r="4218" spans="15:19" x14ac:dyDescent="0.2">
      <c r="O4218" s="4">
        <f t="shared" ca="1" si="358"/>
        <v>1.084069192878756E-2</v>
      </c>
      <c r="P4218" s="4">
        <f t="shared" ca="1" si="359"/>
        <v>-2.2959037751075293</v>
      </c>
      <c r="Q4218" s="4">
        <f t="shared" ca="1" si="360"/>
        <v>1966.5849384360761</v>
      </c>
      <c r="R4218" s="4">
        <f t="shared" ca="1" si="361"/>
        <v>42.914894436076111</v>
      </c>
      <c r="S4218" s="4">
        <f t="shared" ca="1" si="362"/>
        <v>22.47363448602043</v>
      </c>
    </row>
    <row r="4219" spans="15:19" x14ac:dyDescent="0.2">
      <c r="O4219" s="4">
        <f t="shared" ca="1" si="358"/>
        <v>0.13188659517270018</v>
      </c>
      <c r="P4219" s="4">
        <f t="shared" ca="1" si="359"/>
        <v>-1.1175173385421029</v>
      </c>
      <c r="Q4219" s="4">
        <f t="shared" ca="1" si="360"/>
        <v>1944.3503517905356</v>
      </c>
      <c r="R4219" s="4">
        <f t="shared" ca="1" si="361"/>
        <v>20.680307790535608</v>
      </c>
      <c r="S4219" s="4">
        <f t="shared" ca="1" si="362"/>
        <v>10.642667749389032</v>
      </c>
    </row>
    <row r="4220" spans="15:19" x14ac:dyDescent="0.2">
      <c r="O4220" s="4">
        <f t="shared" ca="1" si="358"/>
        <v>0.7486937722138719</v>
      </c>
      <c r="P4220" s="4">
        <f t="shared" ca="1" si="359"/>
        <v>0.67038490378165561</v>
      </c>
      <c r="Q4220" s="4">
        <f t="shared" ca="1" si="360"/>
        <v>1910.6150115938422</v>
      </c>
      <c r="R4220" s="4">
        <f t="shared" ca="1" si="361"/>
        <v>-13.055032406157807</v>
      </c>
      <c r="S4220" s="4">
        <f t="shared" ca="1" si="362"/>
        <v>-6.5392068928475666</v>
      </c>
    </row>
    <row r="4221" spans="15:19" x14ac:dyDescent="0.2">
      <c r="O4221" s="4">
        <f t="shared" ca="1" si="358"/>
        <v>0.9762663703606016</v>
      </c>
      <c r="P4221" s="4">
        <f t="shared" ca="1" si="359"/>
        <v>1.9821070624563926</v>
      </c>
      <c r="Q4221" s="4">
        <f t="shared" ca="1" si="360"/>
        <v>1885.86455700024</v>
      </c>
      <c r="R4221" s="4">
        <f t="shared" ca="1" si="361"/>
        <v>-37.805486999759978</v>
      </c>
      <c r="S4221" s="4">
        <f t="shared" ca="1" si="362"/>
        <v>-18.555702156390403</v>
      </c>
    </row>
    <row r="4222" spans="15:19" x14ac:dyDescent="0.2">
      <c r="O4222" s="4">
        <f t="shared" ca="1" si="358"/>
        <v>0.63385518647673422</v>
      </c>
      <c r="P4222" s="4">
        <f t="shared" ca="1" si="359"/>
        <v>0.34208141010904963</v>
      </c>
      <c r="Q4222" s="4">
        <f t="shared" ca="1" si="360"/>
        <v>1916.8096623888505</v>
      </c>
      <c r="R4222" s="4">
        <f t="shared" ca="1" si="361"/>
        <v>-6.860381611149478</v>
      </c>
      <c r="S4222" s="4">
        <f t="shared" ca="1" si="362"/>
        <v>-3.4536337220642288</v>
      </c>
    </row>
    <row r="4223" spans="15:19" x14ac:dyDescent="0.2">
      <c r="O4223" s="4">
        <f t="shared" ca="1" si="358"/>
        <v>0.31524276965406084</v>
      </c>
      <c r="P4223" s="4">
        <f t="shared" ca="1" si="359"/>
        <v>-0.48104356087796624</v>
      </c>
      <c r="Q4223" s="4">
        <f t="shared" ca="1" si="360"/>
        <v>1932.3409371214943</v>
      </c>
      <c r="R4223" s="4">
        <f t="shared" ca="1" si="361"/>
        <v>8.6708931214943732</v>
      </c>
      <c r="S4223" s="4">
        <f t="shared" ca="1" si="362"/>
        <v>4.4198962790953944</v>
      </c>
    </row>
    <row r="4224" spans="15:19" x14ac:dyDescent="0.2">
      <c r="O4224" s="4">
        <f t="shared" ca="1" si="358"/>
        <v>0.32779600032336942</v>
      </c>
      <c r="P4224" s="4">
        <f t="shared" ca="1" si="359"/>
        <v>-0.44600726144974928</v>
      </c>
      <c r="Q4224" s="4">
        <f t="shared" ca="1" si="360"/>
        <v>1931.6798486948094</v>
      </c>
      <c r="R4224" s="4">
        <f t="shared" ca="1" si="361"/>
        <v>8.0098046948094179</v>
      </c>
      <c r="S4224" s="4">
        <f t="shared" ca="1" si="362"/>
        <v>4.080757920403796</v>
      </c>
    </row>
    <row r="4225" spans="15:19" x14ac:dyDescent="0.2">
      <c r="O4225" s="4">
        <f t="shared" ca="1" si="358"/>
        <v>0.64903011307227554</v>
      </c>
      <c r="P4225" s="4">
        <f t="shared" ca="1" si="359"/>
        <v>0.38270329124360802</v>
      </c>
      <c r="Q4225" s="4">
        <f t="shared" ca="1" si="360"/>
        <v>1916.0431814554618</v>
      </c>
      <c r="R4225" s="4">
        <f t="shared" ca="1" si="361"/>
        <v>-7.6268625445381986</v>
      </c>
      <c r="S4225" s="4">
        <f t="shared" ca="1" si="362"/>
        <v>-3.8371137015137213</v>
      </c>
    </row>
    <row r="4226" spans="15:19" x14ac:dyDescent="0.2">
      <c r="O4226" s="4">
        <f t="shared" ca="1" si="358"/>
        <v>0.30213189080101122</v>
      </c>
      <c r="P4226" s="4">
        <f t="shared" ca="1" si="359"/>
        <v>-0.51827877210948969</v>
      </c>
      <c r="Q4226" s="4">
        <f t="shared" ca="1" si="360"/>
        <v>1933.0435160927912</v>
      </c>
      <c r="R4226" s="4">
        <f t="shared" ca="1" si="361"/>
        <v>9.3734720927911894</v>
      </c>
      <c r="S4226" s="4">
        <f t="shared" ca="1" si="362"/>
        <v>4.7807092934368187</v>
      </c>
    </row>
    <row r="4227" spans="15:19" x14ac:dyDescent="0.2">
      <c r="O4227" s="4">
        <f t="shared" ref="O4227:O4290" ca="1" si="363">RAND()</f>
        <v>0.98240134193955853</v>
      </c>
      <c r="P4227" s="4">
        <f t="shared" ref="P4227:P4290" ca="1" si="364">NORMSINV(O4227)</f>
        <v>2.1060810095377396</v>
      </c>
      <c r="Q4227" s="4">
        <f t="shared" ref="Q4227:Q4290" ca="1" si="365">$B$4*(1+$B$17-$B$32*P4227)</f>
        <v>1883.5253333104256</v>
      </c>
      <c r="R4227" s="4">
        <f t="shared" ref="R4227:R4290" ca="1" si="366">Q4227-$B$4</f>
        <v>-40.144710689574367</v>
      </c>
      <c r="S4227" s="4">
        <f t="shared" ref="S4227:S4290" ca="1" si="367">R4227*$B$12+0.5*$B$13*R4227^2</f>
        <v>-19.665613897557641</v>
      </c>
    </row>
    <row r="4228" spans="15:19" x14ac:dyDescent="0.2">
      <c r="O4228" s="4">
        <f t="shared" ca="1" si="363"/>
        <v>0.49207465724289767</v>
      </c>
      <c r="P4228" s="4">
        <f t="shared" ca="1" si="364"/>
        <v>-1.9867195112056143E-2</v>
      </c>
      <c r="Q4228" s="4">
        <f t="shared" ca="1" si="365"/>
        <v>1923.6391517433594</v>
      </c>
      <c r="R4228" s="4">
        <f t="shared" ca="1" si="366"/>
        <v>-3.0892256640527194E-2</v>
      </c>
      <c r="S4228" s="4">
        <f t="shared" ca="1" si="367"/>
        <v>-1.5637574419174762E-2</v>
      </c>
    </row>
    <row r="4229" spans="15:19" x14ac:dyDescent="0.2">
      <c r="O4229" s="4">
        <f t="shared" ca="1" si="363"/>
        <v>0.99360643522810466</v>
      </c>
      <c r="P4229" s="4">
        <f t="shared" ca="1" si="364"/>
        <v>2.489643474771988</v>
      </c>
      <c r="Q4229" s="4">
        <f t="shared" ca="1" si="365"/>
        <v>1876.2880191301253</v>
      </c>
      <c r="R4229" s="4">
        <f t="shared" ca="1" si="366"/>
        <v>-47.382024869874613</v>
      </c>
      <c r="S4229" s="4">
        <f t="shared" ca="1" si="367"/>
        <v>-23.07135176964799</v>
      </c>
    </row>
    <row r="4230" spans="15:19" x14ac:dyDescent="0.2">
      <c r="O4230" s="4">
        <f t="shared" ca="1" si="363"/>
        <v>0.5048858505057634</v>
      </c>
      <c r="P4230" s="4">
        <f t="shared" ca="1" si="364"/>
        <v>1.2247317192831892E-2</v>
      </c>
      <c r="Q4230" s="4">
        <f t="shared" ca="1" si="365"/>
        <v>1923.0331935582808</v>
      </c>
      <c r="R4230" s="4">
        <f t="shared" ca="1" si="366"/>
        <v>-0.63685044171916161</v>
      </c>
      <c r="S4230" s="4">
        <f t="shared" ca="1" si="367"/>
        <v>-0.32221483296819264</v>
      </c>
    </row>
    <row r="4231" spans="15:19" x14ac:dyDescent="0.2">
      <c r="O4231" s="4">
        <f t="shared" ca="1" si="363"/>
        <v>0.28251995227781757</v>
      </c>
      <c r="P4231" s="4">
        <f t="shared" ca="1" si="364"/>
        <v>-0.57537175163058218</v>
      </c>
      <c r="Q4231" s="4">
        <f t="shared" ca="1" si="365"/>
        <v>1934.1207847719129</v>
      </c>
      <c r="R4231" s="4">
        <f t="shared" ca="1" si="366"/>
        <v>10.450740771912933</v>
      </c>
      <c r="S4231" s="4">
        <f t="shared" ca="1" si="367"/>
        <v>5.3347266224062793</v>
      </c>
    </row>
    <row r="4232" spans="15:19" x14ac:dyDescent="0.2">
      <c r="O4232" s="4">
        <f t="shared" ca="1" si="363"/>
        <v>0.49158829510176294</v>
      </c>
      <c r="P4232" s="4">
        <f t="shared" ca="1" si="364"/>
        <v>-2.1086579901239119E-2</v>
      </c>
      <c r="Q4232" s="4">
        <f t="shared" ca="1" si="365"/>
        <v>1923.6621599144551</v>
      </c>
      <c r="R4232" s="4">
        <f t="shared" ca="1" si="366"/>
        <v>-7.884085544901609E-3</v>
      </c>
      <c r="S4232" s="4">
        <f t="shared" ca="1" si="367"/>
        <v>-3.9909760237651021E-3</v>
      </c>
    </row>
    <row r="4233" spans="15:19" x14ac:dyDescent="0.2">
      <c r="O4233" s="4">
        <f t="shared" ca="1" si="363"/>
        <v>0.26863382698293614</v>
      </c>
      <c r="P4233" s="4">
        <f t="shared" ca="1" si="364"/>
        <v>-0.616950078527149</v>
      </c>
      <c r="Q4233" s="4">
        <f t="shared" ca="1" si="365"/>
        <v>1934.9053125662526</v>
      </c>
      <c r="R4233" s="4">
        <f t="shared" ca="1" si="366"/>
        <v>11.235268566252671</v>
      </c>
      <c r="S4233" s="4">
        <f t="shared" ca="1" si="367"/>
        <v>5.7387878578023335</v>
      </c>
    </row>
    <row r="4234" spans="15:19" x14ac:dyDescent="0.2">
      <c r="O4234" s="4">
        <f t="shared" ca="1" si="363"/>
        <v>0.71198998717585316</v>
      </c>
      <c r="P4234" s="4">
        <f t="shared" ca="1" si="364"/>
        <v>0.55920763120806205</v>
      </c>
      <c r="Q4234" s="4">
        <f t="shared" ca="1" si="365"/>
        <v>1912.7127790352743</v>
      </c>
      <c r="R4234" s="4">
        <f t="shared" ca="1" si="366"/>
        <v>-10.957264964725709</v>
      </c>
      <c r="S4234" s="4">
        <f t="shared" ca="1" si="367"/>
        <v>-5.4978014453711399</v>
      </c>
    </row>
    <row r="4235" spans="15:19" x14ac:dyDescent="0.2">
      <c r="O4235" s="4">
        <f t="shared" ca="1" si="363"/>
        <v>0.9466058211180628</v>
      </c>
      <c r="P4235" s="4">
        <f t="shared" ca="1" si="364"/>
        <v>1.6127981979532169</v>
      </c>
      <c r="Q4235" s="4">
        <f t="shared" ca="1" si="365"/>
        <v>1892.8329246697588</v>
      </c>
      <c r="R4235" s="4">
        <f t="shared" ca="1" si="366"/>
        <v>-30.837119330241194</v>
      </c>
      <c r="S4235" s="4">
        <f t="shared" ca="1" si="367"/>
        <v>-15.222958356019827</v>
      </c>
    </row>
    <row r="4236" spans="15:19" x14ac:dyDescent="0.2">
      <c r="O4236" s="4">
        <f t="shared" ca="1" si="363"/>
        <v>0.96459377883106701</v>
      </c>
      <c r="P4236" s="4">
        <f t="shared" ca="1" si="364"/>
        <v>1.8066783687523569</v>
      </c>
      <c r="Q4236" s="4">
        <f t="shared" ca="1" si="365"/>
        <v>1889.1746634044218</v>
      </c>
      <c r="R4236" s="4">
        <f t="shared" ca="1" si="366"/>
        <v>-34.495380595578126</v>
      </c>
      <c r="S4236" s="4">
        <f t="shared" ca="1" si="367"/>
        <v>-16.977515130659189</v>
      </c>
    </row>
    <row r="4237" spans="15:19" x14ac:dyDescent="0.2">
      <c r="O4237" s="4">
        <f t="shared" ca="1" si="363"/>
        <v>0.66619989546331893</v>
      </c>
      <c r="P4237" s="4">
        <f t="shared" ca="1" si="364"/>
        <v>0.42944390375505204</v>
      </c>
      <c r="Q4237" s="4">
        <f t="shared" ca="1" si="365"/>
        <v>1915.1612481893421</v>
      </c>
      <c r="R4237" s="4">
        <f t="shared" ca="1" si="366"/>
        <v>-8.5087958106578299</v>
      </c>
      <c r="S4237" s="4">
        <f t="shared" ca="1" si="367"/>
        <v>-4.2777641305877561</v>
      </c>
    </row>
    <row r="4238" spans="15:19" x14ac:dyDescent="0.2">
      <c r="O4238" s="4">
        <f t="shared" ca="1" si="363"/>
        <v>0.1884989491794471</v>
      </c>
      <c r="P4238" s="4">
        <f t="shared" ca="1" si="364"/>
        <v>-0.88344127489075541</v>
      </c>
      <c r="Q4238" s="4">
        <f t="shared" ca="1" si="365"/>
        <v>1939.9336474247991</v>
      </c>
      <c r="R4238" s="4">
        <f t="shared" ca="1" si="366"/>
        <v>16.263603424799157</v>
      </c>
      <c r="S4238" s="4">
        <f t="shared" ca="1" si="367"/>
        <v>8.3404671167473357</v>
      </c>
    </row>
    <row r="4239" spans="15:19" x14ac:dyDescent="0.2">
      <c r="O4239" s="4">
        <f t="shared" ca="1" si="363"/>
        <v>0.96001216289338331</v>
      </c>
      <c r="P4239" s="4">
        <f t="shared" ca="1" si="364"/>
        <v>1.7508272324874179</v>
      </c>
      <c r="Q4239" s="4">
        <f t="shared" ca="1" si="365"/>
        <v>1890.2285001510108</v>
      </c>
      <c r="R4239" s="4">
        <f t="shared" ca="1" si="366"/>
        <v>-33.441543848989113</v>
      </c>
      <c r="S4239" s="4">
        <f t="shared" ca="1" si="367"/>
        <v>-16.473196535445119</v>
      </c>
    </row>
    <row r="4240" spans="15:19" x14ac:dyDescent="0.2">
      <c r="O4240" s="4">
        <f t="shared" ca="1" si="363"/>
        <v>0.83375094195997357</v>
      </c>
      <c r="P4240" s="4">
        <f t="shared" ca="1" si="364"/>
        <v>0.96909435075119188</v>
      </c>
      <c r="Q4240" s="4">
        <f t="shared" ca="1" si="365"/>
        <v>1904.9787611462859</v>
      </c>
      <c r="R4240" s="4">
        <f t="shared" ca="1" si="366"/>
        <v>-18.691282853714029</v>
      </c>
      <c r="S4240" s="4">
        <f t="shared" ca="1" si="367"/>
        <v>-9.3194951046461032</v>
      </c>
    </row>
    <row r="4241" spans="15:19" x14ac:dyDescent="0.2">
      <c r="O4241" s="4">
        <f t="shared" ca="1" si="363"/>
        <v>0.3507034642519109</v>
      </c>
      <c r="P4241" s="4">
        <f t="shared" ca="1" si="364"/>
        <v>-0.38342195320226313</v>
      </c>
      <c r="Q4241" s="4">
        <f t="shared" ca="1" si="365"/>
        <v>1930.4989470688349</v>
      </c>
      <c r="R4241" s="4">
        <f t="shared" ca="1" si="366"/>
        <v>6.8289030688349612</v>
      </c>
      <c r="S4241" s="4">
        <f t="shared" ca="1" si="367"/>
        <v>3.4758408544404569</v>
      </c>
    </row>
    <row r="4242" spans="15:19" x14ac:dyDescent="0.2">
      <c r="O4242" s="4">
        <f t="shared" ca="1" si="363"/>
        <v>0.48821018140656669</v>
      </c>
      <c r="P4242" s="4">
        <f t="shared" ca="1" si="364"/>
        <v>-2.9556995652524044E-2</v>
      </c>
      <c r="Q4242" s="4">
        <f t="shared" ca="1" si="365"/>
        <v>1923.8219854072659</v>
      </c>
      <c r="R4242" s="4">
        <f t="shared" ca="1" si="366"/>
        <v>0.15194140726589467</v>
      </c>
      <c r="S4242" s="4">
        <f t="shared" ca="1" si="367"/>
        <v>7.6923626287708144E-2</v>
      </c>
    </row>
    <row r="4243" spans="15:19" x14ac:dyDescent="0.2">
      <c r="O4243" s="4">
        <f t="shared" ca="1" si="363"/>
        <v>0.37587870246922128</v>
      </c>
      <c r="P4243" s="4">
        <f t="shared" ca="1" si="364"/>
        <v>-0.31632293456549077</v>
      </c>
      <c r="Q4243" s="4">
        <f t="shared" ca="1" si="365"/>
        <v>1929.2328777239954</v>
      </c>
      <c r="R4243" s="4">
        <f t="shared" ca="1" si="366"/>
        <v>5.5628337239954817</v>
      </c>
      <c r="S4243" s="4">
        <f t="shared" ca="1" si="367"/>
        <v>2.8285577241649946</v>
      </c>
    </row>
    <row r="4244" spans="15:19" x14ac:dyDescent="0.2">
      <c r="O4244" s="4">
        <f t="shared" ca="1" si="363"/>
        <v>0.90061307883839992</v>
      </c>
      <c r="P4244" s="4">
        <f t="shared" ca="1" si="364"/>
        <v>1.2850527757891284</v>
      </c>
      <c r="Q4244" s="4">
        <f t="shared" ca="1" si="365"/>
        <v>1899.0170453967646</v>
      </c>
      <c r="R4244" s="4">
        <f t="shared" ca="1" si="366"/>
        <v>-24.652998603235346</v>
      </c>
      <c r="S4244" s="4">
        <f t="shared" ca="1" si="367"/>
        <v>-12.232184764968453</v>
      </c>
    </row>
    <row r="4245" spans="15:19" x14ac:dyDescent="0.2">
      <c r="O4245" s="4">
        <f t="shared" ca="1" si="363"/>
        <v>0.96204648433933793</v>
      </c>
      <c r="P4245" s="4">
        <f t="shared" ca="1" si="364"/>
        <v>1.7749446228374506</v>
      </c>
      <c r="Q4245" s="4">
        <f t="shared" ca="1" si="365"/>
        <v>1889.7734370335456</v>
      </c>
      <c r="R4245" s="4">
        <f t="shared" ca="1" si="366"/>
        <v>-33.896606966454328</v>
      </c>
      <c r="S4245" s="4">
        <f t="shared" ca="1" si="367"/>
        <v>-16.691080076218995</v>
      </c>
    </row>
    <row r="4246" spans="15:19" x14ac:dyDescent="0.2">
      <c r="O4246" s="4">
        <f t="shared" ca="1" si="363"/>
        <v>0.63491419052346942</v>
      </c>
      <c r="P4246" s="4">
        <f t="shared" ca="1" si="364"/>
        <v>0.34489724885240791</v>
      </c>
      <c r="Q4246" s="4">
        <f t="shared" ca="1" si="365"/>
        <v>1916.7565312524284</v>
      </c>
      <c r="R4246" s="4">
        <f t="shared" ca="1" si="366"/>
        <v>-6.9135127475715308</v>
      </c>
      <c r="S4246" s="4">
        <f t="shared" ca="1" si="367"/>
        <v>-3.4802313212518547</v>
      </c>
    </row>
    <row r="4247" spans="15:19" x14ac:dyDescent="0.2">
      <c r="O4247" s="4">
        <f t="shared" ca="1" si="363"/>
        <v>9.7690369433769519E-2</v>
      </c>
      <c r="P4247" s="4">
        <f t="shared" ca="1" si="364"/>
        <v>-1.2948246140857886</v>
      </c>
      <c r="Q4247" s="4">
        <f t="shared" ca="1" si="365"/>
        <v>1947.6959045384533</v>
      </c>
      <c r="R4247" s="4">
        <f t="shared" ca="1" si="366"/>
        <v>24.025860538453344</v>
      </c>
      <c r="S4247" s="4">
        <f t="shared" ca="1" si="367"/>
        <v>12.397103379262912</v>
      </c>
    </row>
    <row r="4248" spans="15:19" x14ac:dyDescent="0.2">
      <c r="O4248" s="4">
        <f t="shared" ca="1" si="363"/>
        <v>0.18361236544611848</v>
      </c>
      <c r="P4248" s="4">
        <f t="shared" ca="1" si="364"/>
        <v>-0.9016840449433281</v>
      </c>
      <c r="Q4248" s="4">
        <f t="shared" ca="1" si="365"/>
        <v>1940.2778642613159</v>
      </c>
      <c r="R4248" s="4">
        <f t="shared" ca="1" si="366"/>
        <v>16.607820261315965</v>
      </c>
      <c r="S4248" s="4">
        <f t="shared" ca="1" si="367"/>
        <v>8.5193189975170931</v>
      </c>
    </row>
    <row r="4249" spans="15:19" x14ac:dyDescent="0.2">
      <c r="O4249" s="4">
        <f t="shared" ca="1" si="363"/>
        <v>0.44192446571610999</v>
      </c>
      <c r="P4249" s="4">
        <f t="shared" ca="1" si="364"/>
        <v>-0.14609178503508682</v>
      </c>
      <c r="Q4249" s="4">
        <f t="shared" ca="1" si="365"/>
        <v>1926.0208420737586</v>
      </c>
      <c r="R4249" s="4">
        <f t="shared" ca="1" si="366"/>
        <v>2.3507980737585967</v>
      </c>
      <c r="S4249" s="4">
        <f t="shared" ca="1" si="367"/>
        <v>1.1922465777347973</v>
      </c>
    </row>
    <row r="4250" spans="15:19" x14ac:dyDescent="0.2">
      <c r="O4250" s="4">
        <f t="shared" ca="1" si="363"/>
        <v>0.99676398100253005</v>
      </c>
      <c r="P4250" s="4">
        <f t="shared" ca="1" si="364"/>
        <v>2.7228553936115532</v>
      </c>
      <c r="Q4250" s="4">
        <f t="shared" ca="1" si="365"/>
        <v>1871.8876200290254</v>
      </c>
      <c r="R4250" s="4">
        <f t="shared" ca="1" si="366"/>
        <v>-51.782423970974605</v>
      </c>
      <c r="S4250" s="4">
        <f t="shared" ca="1" si="367"/>
        <v>-25.121246885882702</v>
      </c>
    </row>
    <row r="4251" spans="15:19" x14ac:dyDescent="0.2">
      <c r="O4251" s="4">
        <f t="shared" ca="1" si="363"/>
        <v>0.62413824296190579</v>
      </c>
      <c r="P4251" s="4">
        <f t="shared" ca="1" si="364"/>
        <v>0.31636758990755298</v>
      </c>
      <c r="Q4251" s="4">
        <f t="shared" ca="1" si="365"/>
        <v>1917.2948480168559</v>
      </c>
      <c r="R4251" s="4">
        <f t="shared" ca="1" si="366"/>
        <v>-6.3751959831440672</v>
      </c>
      <c r="S4251" s="4">
        <f t="shared" ca="1" si="367"/>
        <v>-3.2106420861632796</v>
      </c>
    </row>
    <row r="4252" spans="15:19" x14ac:dyDescent="0.2">
      <c r="O4252" s="4">
        <f t="shared" ca="1" si="363"/>
        <v>0.57890724314017117</v>
      </c>
      <c r="P4252" s="4">
        <f t="shared" ca="1" si="364"/>
        <v>0.19909873119650864</v>
      </c>
      <c r="Q4252" s="4">
        <f t="shared" ca="1" si="365"/>
        <v>1919.507555596412</v>
      </c>
      <c r="R4252" s="4">
        <f t="shared" ca="1" si="366"/>
        <v>-4.1624884035879859</v>
      </c>
      <c r="S4252" s="4">
        <f t="shared" ca="1" si="367"/>
        <v>-2.1000393935981601</v>
      </c>
    </row>
    <row r="4253" spans="15:19" x14ac:dyDescent="0.2">
      <c r="O4253" s="4">
        <f t="shared" ca="1" si="363"/>
        <v>1.7658039559425576E-2</v>
      </c>
      <c r="P4253" s="4">
        <f t="shared" ca="1" si="364"/>
        <v>-2.1047155150543748</v>
      </c>
      <c r="Q4253" s="4">
        <f t="shared" ca="1" si="365"/>
        <v>1962.9774699504812</v>
      </c>
      <c r="R4253" s="4">
        <f t="shared" ca="1" si="366"/>
        <v>39.307425950481274</v>
      </c>
      <c r="S4253" s="4">
        <f t="shared" ca="1" si="367"/>
        <v>20.526755997598709</v>
      </c>
    </row>
    <row r="4254" spans="15:19" x14ac:dyDescent="0.2">
      <c r="O4254" s="4">
        <f t="shared" ca="1" si="363"/>
        <v>5.9279932486369091E-2</v>
      </c>
      <c r="P4254" s="4">
        <f t="shared" ca="1" si="364"/>
        <v>-1.5608469574639603</v>
      </c>
      <c r="Q4254" s="4">
        <f t="shared" ca="1" si="365"/>
        <v>1952.7153927640065</v>
      </c>
      <c r="R4254" s="4">
        <f t="shared" ca="1" si="366"/>
        <v>29.045348764006576</v>
      </c>
      <c r="S4254" s="4">
        <f t="shared" ca="1" si="367"/>
        <v>15.0464567817699</v>
      </c>
    </row>
    <row r="4255" spans="15:19" x14ac:dyDescent="0.2">
      <c r="O4255" s="4">
        <f t="shared" ca="1" si="363"/>
        <v>0.28188360587189576</v>
      </c>
      <c r="P4255" s="4">
        <f t="shared" ca="1" si="364"/>
        <v>-0.57725499405148417</v>
      </c>
      <c r="Q4255" s="4">
        <f t="shared" ca="1" si="365"/>
        <v>1934.156319054626</v>
      </c>
      <c r="R4255" s="4">
        <f t="shared" ca="1" si="366"/>
        <v>10.486275054626049</v>
      </c>
      <c r="S4255" s="4">
        <f t="shared" ca="1" si="367"/>
        <v>5.3530172764819817</v>
      </c>
    </row>
    <row r="4256" spans="15:19" x14ac:dyDescent="0.2">
      <c r="O4256" s="4">
        <f t="shared" ca="1" si="363"/>
        <v>0.72871955030376301</v>
      </c>
      <c r="P4256" s="4">
        <f t="shared" ca="1" si="364"/>
        <v>0.60894499388089429</v>
      </c>
      <c r="Q4256" s="4">
        <f t="shared" ca="1" si="365"/>
        <v>1911.7743010746037</v>
      </c>
      <c r="R4256" s="4">
        <f t="shared" ca="1" si="366"/>
        <v>-11.895742925396235</v>
      </c>
      <c r="S4256" s="4">
        <f t="shared" ca="1" si="367"/>
        <v>-5.9641377496724868</v>
      </c>
    </row>
    <row r="4257" spans="15:19" x14ac:dyDescent="0.2">
      <c r="O4257" s="4">
        <f t="shared" ca="1" si="363"/>
        <v>0.11658659837355445</v>
      </c>
      <c r="P4257" s="4">
        <f t="shared" ca="1" si="364"/>
        <v>-1.1922245829813207</v>
      </c>
      <c r="Q4257" s="4">
        <f t="shared" ca="1" si="365"/>
        <v>1945.7599782492164</v>
      </c>
      <c r="R4257" s="4">
        <f t="shared" ca="1" si="366"/>
        <v>22.089934249216412</v>
      </c>
      <c r="S4257" s="4">
        <f t="shared" ca="1" si="367"/>
        <v>11.380776699938105</v>
      </c>
    </row>
    <row r="4258" spans="15:19" x14ac:dyDescent="0.2">
      <c r="O4258" s="4">
        <f t="shared" ca="1" si="363"/>
        <v>0.50208841536872462</v>
      </c>
      <c r="P4258" s="4">
        <f t="shared" ca="1" si="364"/>
        <v>5.2349049220767867E-3</v>
      </c>
      <c r="Q4258" s="4">
        <f t="shared" ca="1" si="365"/>
        <v>1923.1655084622803</v>
      </c>
      <c r="R4258" s="4">
        <f t="shared" ca="1" si="366"/>
        <v>-0.50453553771967563</v>
      </c>
      <c r="S4258" s="4">
        <f t="shared" ca="1" si="367"/>
        <v>-0.25529720911346521</v>
      </c>
    </row>
    <row r="4259" spans="15:19" x14ac:dyDescent="0.2">
      <c r="O4259" s="4">
        <f t="shared" ca="1" si="363"/>
        <v>0.19185634210051339</v>
      </c>
      <c r="P4259" s="4">
        <f t="shared" ca="1" si="364"/>
        <v>-0.87107595100205248</v>
      </c>
      <c r="Q4259" s="4">
        <f t="shared" ca="1" si="365"/>
        <v>1939.7003301895766</v>
      </c>
      <c r="R4259" s="4">
        <f t="shared" ca="1" si="366"/>
        <v>16.0302861895766</v>
      </c>
      <c r="S4259" s="4">
        <f t="shared" ca="1" si="367"/>
        <v>8.2192924938978038</v>
      </c>
    </row>
    <row r="4260" spans="15:19" x14ac:dyDescent="0.2">
      <c r="O4260" s="4">
        <f t="shared" ca="1" si="363"/>
        <v>0.66498028836751555</v>
      </c>
      <c r="P4260" s="4">
        <f t="shared" ca="1" si="364"/>
        <v>0.42609390227818428</v>
      </c>
      <c r="Q4260" s="4">
        <f t="shared" ca="1" si="365"/>
        <v>1915.2244582669439</v>
      </c>
      <c r="R4260" s="4">
        <f t="shared" ca="1" si="366"/>
        <v>-8.4455857330560775</v>
      </c>
      <c r="S4260" s="4">
        <f t="shared" ca="1" si="367"/>
        <v>-4.246202821281023</v>
      </c>
    </row>
    <row r="4261" spans="15:19" x14ac:dyDescent="0.2">
      <c r="O4261" s="4">
        <f t="shared" ca="1" si="363"/>
        <v>0.45732976729070807</v>
      </c>
      <c r="P4261" s="4">
        <f t="shared" ca="1" si="364"/>
        <v>-0.10716316827229999</v>
      </c>
      <c r="Q4261" s="4">
        <f t="shared" ca="1" si="365"/>
        <v>1925.2863107896699</v>
      </c>
      <c r="R4261" s="4">
        <f t="shared" ca="1" si="366"/>
        <v>1.6162667896699077</v>
      </c>
      <c r="S4261" s="4">
        <f t="shared" ca="1" si="367"/>
        <v>0.8192334745134473</v>
      </c>
    </row>
    <row r="4262" spans="15:19" x14ac:dyDescent="0.2">
      <c r="O4262" s="4">
        <f t="shared" ca="1" si="363"/>
        <v>0.48917417469001401</v>
      </c>
      <c r="P4262" s="4">
        <f t="shared" ca="1" si="364"/>
        <v>-2.713965111673174E-2</v>
      </c>
      <c r="Q4262" s="4">
        <f t="shared" ca="1" si="365"/>
        <v>1923.7763733271661</v>
      </c>
      <c r="R4262" s="4">
        <f t="shared" ca="1" si="366"/>
        <v>0.10632932716612231</v>
      </c>
      <c r="S4262" s="4">
        <f t="shared" ca="1" si="367"/>
        <v>5.3829549191665348E-2</v>
      </c>
    </row>
    <row r="4263" spans="15:19" x14ac:dyDescent="0.2">
      <c r="O4263" s="4">
        <f t="shared" ca="1" si="363"/>
        <v>0.2483721420656998</v>
      </c>
      <c r="P4263" s="4">
        <f t="shared" ca="1" si="364"/>
        <v>-0.67962129228784363</v>
      </c>
      <c r="Q4263" s="4">
        <f t="shared" ca="1" si="365"/>
        <v>1936.0878351151414</v>
      </c>
      <c r="R4263" s="4">
        <f t="shared" ca="1" si="366"/>
        <v>12.417791115141426</v>
      </c>
      <c r="S4263" s="4">
        <f t="shared" ca="1" si="367"/>
        <v>6.3487781935135725</v>
      </c>
    </row>
    <row r="4264" spans="15:19" x14ac:dyDescent="0.2">
      <c r="O4264" s="4">
        <f t="shared" ca="1" si="363"/>
        <v>0.69951482797889564</v>
      </c>
      <c r="P4264" s="4">
        <f t="shared" ca="1" si="364"/>
        <v>0.52300561752616814</v>
      </c>
      <c r="Q4264" s="4">
        <f t="shared" ca="1" si="365"/>
        <v>1913.3958629413478</v>
      </c>
      <c r="R4264" s="4">
        <f t="shared" ca="1" si="366"/>
        <v>-10.274181058652175</v>
      </c>
      <c r="S4264" s="4">
        <f t="shared" ca="1" si="367"/>
        <v>-5.1579213489915334</v>
      </c>
    </row>
    <row r="4265" spans="15:19" x14ac:dyDescent="0.2">
      <c r="O4265" s="4">
        <f t="shared" ca="1" si="363"/>
        <v>8.4782515512731305E-3</v>
      </c>
      <c r="P4265" s="4">
        <f t="shared" ca="1" si="364"/>
        <v>-2.3876495333328362</v>
      </c>
      <c r="Q4265" s="4">
        <f t="shared" ca="1" si="365"/>
        <v>1968.3160590153041</v>
      </c>
      <c r="R4265" s="4">
        <f t="shared" ca="1" si="366"/>
        <v>44.646015015304101</v>
      </c>
      <c r="S4265" s="4">
        <f t="shared" ca="1" si="367"/>
        <v>23.411647618880924</v>
      </c>
    </row>
    <row r="4266" spans="15:19" x14ac:dyDescent="0.2">
      <c r="O4266" s="4">
        <f t="shared" ca="1" si="363"/>
        <v>0.30766854878301542</v>
      </c>
      <c r="P4266" s="4">
        <f t="shared" ca="1" si="364"/>
        <v>-0.50246979019726679</v>
      </c>
      <c r="Q4266" s="4">
        <f t="shared" ca="1" si="365"/>
        <v>1932.7452216053482</v>
      </c>
      <c r="R4266" s="4">
        <f t="shared" ca="1" si="366"/>
        <v>9.0751776053482445</v>
      </c>
      <c r="S4266" s="4">
        <f t="shared" ca="1" si="367"/>
        <v>4.6274695470528355</v>
      </c>
    </row>
    <row r="4267" spans="15:19" x14ac:dyDescent="0.2">
      <c r="O4267" s="4">
        <f t="shared" ca="1" si="363"/>
        <v>0.29561789587551346</v>
      </c>
      <c r="P4267" s="4">
        <f t="shared" ca="1" si="364"/>
        <v>-0.5370460697065107</v>
      </c>
      <c r="Q4267" s="4">
        <f t="shared" ca="1" si="365"/>
        <v>1933.3976300672698</v>
      </c>
      <c r="R4267" s="4">
        <f t="shared" ca="1" si="366"/>
        <v>9.72758606726984</v>
      </c>
      <c r="S4267" s="4">
        <f t="shared" ca="1" si="367"/>
        <v>4.9627186523803841</v>
      </c>
    </row>
    <row r="4268" spans="15:19" x14ac:dyDescent="0.2">
      <c r="O4268" s="4">
        <f t="shared" ca="1" si="363"/>
        <v>0.16469148839993175</v>
      </c>
      <c r="P4268" s="4">
        <f t="shared" ca="1" si="364"/>
        <v>-0.97535746103518972</v>
      </c>
      <c r="Q4268" s="4">
        <f t="shared" ca="1" si="365"/>
        <v>1941.667983752458</v>
      </c>
      <c r="R4268" s="4">
        <f t="shared" ca="1" si="366"/>
        <v>17.997939752458024</v>
      </c>
      <c r="S4268" s="4">
        <f t="shared" ca="1" si="367"/>
        <v>9.2425936297958948</v>
      </c>
    </row>
    <row r="4269" spans="15:19" x14ac:dyDescent="0.2">
      <c r="O4269" s="4">
        <f t="shared" ca="1" si="363"/>
        <v>0.81916145165393217</v>
      </c>
      <c r="P4269" s="4">
        <f t="shared" ca="1" si="364"/>
        <v>0.91217406029927328</v>
      </c>
      <c r="Q4269" s="4">
        <f t="shared" ca="1" si="365"/>
        <v>1906.052771412079</v>
      </c>
      <c r="R4269" s="4">
        <f t="shared" ca="1" si="366"/>
        <v>-17.617272587920979</v>
      </c>
      <c r="S4269" s="4">
        <f t="shared" ca="1" si="367"/>
        <v>-8.7916945626238867</v>
      </c>
    </row>
    <row r="4270" spans="15:19" x14ac:dyDescent="0.2">
      <c r="O4270" s="4">
        <f t="shared" ca="1" si="363"/>
        <v>0.46813822904506563</v>
      </c>
      <c r="P4270" s="4">
        <f t="shared" ca="1" si="364"/>
        <v>-7.9950710052277579E-2</v>
      </c>
      <c r="Q4270" s="4">
        <f t="shared" ca="1" si="365"/>
        <v>1924.7728478531014</v>
      </c>
      <c r="R4270" s="4">
        <f t="shared" ca="1" si="366"/>
        <v>1.1028038531014772</v>
      </c>
      <c r="S4270" s="4">
        <f t="shared" ca="1" si="367"/>
        <v>0.55874518025987197</v>
      </c>
    </row>
    <row r="4271" spans="15:19" x14ac:dyDescent="0.2">
      <c r="O4271" s="4">
        <f t="shared" ca="1" si="363"/>
        <v>0.24368586894367228</v>
      </c>
      <c r="P4271" s="4">
        <f t="shared" ca="1" si="364"/>
        <v>-0.69449515547961238</v>
      </c>
      <c r="Q4271" s="4">
        <f t="shared" ca="1" si="365"/>
        <v>1936.3684851545761</v>
      </c>
      <c r="R4271" s="4">
        <f t="shared" ca="1" si="366"/>
        <v>12.69844115457613</v>
      </c>
      <c r="S4271" s="4">
        <f t="shared" ca="1" si="367"/>
        <v>6.4937153711111293</v>
      </c>
    </row>
    <row r="4272" spans="15:19" x14ac:dyDescent="0.2">
      <c r="O4272" s="4">
        <f t="shared" ca="1" si="363"/>
        <v>0.91992431987847079</v>
      </c>
      <c r="P4272" s="4">
        <f t="shared" ca="1" si="364"/>
        <v>1.4045626816364896</v>
      </c>
      <c r="Q4272" s="4">
        <f t="shared" ca="1" si="365"/>
        <v>1896.7620522348368</v>
      </c>
      <c r="R4272" s="4">
        <f t="shared" ca="1" si="366"/>
        <v>-26.90799176516316</v>
      </c>
      <c r="S4272" s="4">
        <f t="shared" ca="1" si="367"/>
        <v>-13.326354582081334</v>
      </c>
    </row>
    <row r="4273" spans="15:19" x14ac:dyDescent="0.2">
      <c r="O4273" s="4">
        <f t="shared" ca="1" si="363"/>
        <v>0.41265649165160112</v>
      </c>
      <c r="P4273" s="4">
        <f t="shared" ca="1" si="364"/>
        <v>-0.22071675663715659</v>
      </c>
      <c r="Q4273" s="4">
        <f t="shared" ca="1" si="365"/>
        <v>1927.428916153297</v>
      </c>
      <c r="R4273" s="4">
        <f t="shared" ca="1" si="366"/>
        <v>3.7588721532970339</v>
      </c>
      <c r="S4273" s="4">
        <f t="shared" ca="1" si="367"/>
        <v>1.9085294316799473</v>
      </c>
    </row>
    <row r="4274" spans="15:19" x14ac:dyDescent="0.2">
      <c r="O4274" s="4">
        <f t="shared" ca="1" si="363"/>
        <v>9.3734027765723704E-2</v>
      </c>
      <c r="P4274" s="4">
        <f t="shared" ca="1" si="364"/>
        <v>-1.3181063308011651</v>
      </c>
      <c r="Q4274" s="4">
        <f t="shared" ca="1" si="365"/>
        <v>1948.1351996045726</v>
      </c>
      <c r="R4274" s="4">
        <f t="shared" ca="1" si="366"/>
        <v>24.465155604572601</v>
      </c>
      <c r="S4274" s="4">
        <f t="shared" ca="1" si="367"/>
        <v>12.628150177929339</v>
      </c>
    </row>
    <row r="4275" spans="15:19" x14ac:dyDescent="0.2">
      <c r="O4275" s="4">
        <f t="shared" ca="1" si="363"/>
        <v>0.55096530446990877</v>
      </c>
      <c r="P4275" s="4">
        <f t="shared" ca="1" si="364"/>
        <v>0.1281005623054999</v>
      </c>
      <c r="Q4275" s="4">
        <f t="shared" ca="1" si="365"/>
        <v>1920.8471967267724</v>
      </c>
      <c r="R4275" s="4">
        <f t="shared" ca="1" si="366"/>
        <v>-2.8228472732275804</v>
      </c>
      <c r="S4275" s="4">
        <f t="shared" ca="1" si="367"/>
        <v>-1.4257092216487255</v>
      </c>
    </row>
    <row r="4276" spans="15:19" x14ac:dyDescent="0.2">
      <c r="O4276" s="4">
        <f t="shared" ca="1" si="363"/>
        <v>0.87194685122575544</v>
      </c>
      <c r="P4276" s="4">
        <f t="shared" ca="1" si="364"/>
        <v>1.1356423011101162</v>
      </c>
      <c r="Q4276" s="4">
        <f t="shared" ca="1" si="365"/>
        <v>1901.8362225715161</v>
      </c>
      <c r="R4276" s="4">
        <f t="shared" ca="1" si="366"/>
        <v>-21.833821428483816</v>
      </c>
      <c r="S4276" s="4">
        <f t="shared" ca="1" si="367"/>
        <v>-10.858437952742445</v>
      </c>
    </row>
    <row r="4277" spans="15:19" x14ac:dyDescent="0.2">
      <c r="O4277" s="4">
        <f t="shared" ca="1" si="363"/>
        <v>0.5310492746922103</v>
      </c>
      <c r="P4277" s="4">
        <f t="shared" ca="1" si="364"/>
        <v>7.7907729794592998E-2</v>
      </c>
      <c r="Q4277" s="4">
        <f t="shared" ca="1" si="365"/>
        <v>1921.7942687982243</v>
      </c>
      <c r="R4277" s="4">
        <f t="shared" ca="1" si="366"/>
        <v>-1.8757752017756957</v>
      </c>
      <c r="S4277" s="4">
        <f t="shared" ca="1" si="367"/>
        <v>-0.94810349383532155</v>
      </c>
    </row>
    <row r="4278" spans="15:19" x14ac:dyDescent="0.2">
      <c r="O4278" s="4">
        <f t="shared" ca="1" si="363"/>
        <v>0.52331272796606876</v>
      </c>
      <c r="P4278" s="4">
        <f t="shared" ca="1" si="364"/>
        <v>5.8469641017818645E-2</v>
      </c>
      <c r="Q4278" s="4">
        <f t="shared" ca="1" si="365"/>
        <v>1922.1610397111606</v>
      </c>
      <c r="R4278" s="4">
        <f t="shared" ca="1" si="366"/>
        <v>-1.5090042888393782</v>
      </c>
      <c r="S4278" s="4">
        <f t="shared" ca="1" si="367"/>
        <v>-0.76294581669623396</v>
      </c>
    </row>
    <row r="4279" spans="15:19" x14ac:dyDescent="0.2">
      <c r="O4279" s="4">
        <f t="shared" ca="1" si="363"/>
        <v>0.43909797650564453</v>
      </c>
      <c r="P4279" s="4">
        <f t="shared" ca="1" si="364"/>
        <v>-0.15325656379775482</v>
      </c>
      <c r="Q4279" s="4">
        <f t="shared" ca="1" si="365"/>
        <v>1926.1560319310511</v>
      </c>
      <c r="R4279" s="4">
        <f t="shared" ca="1" si="366"/>
        <v>2.4859879310511133</v>
      </c>
      <c r="S4279" s="4">
        <f t="shared" ca="1" si="367"/>
        <v>1.2609471838885318</v>
      </c>
    </row>
    <row r="4280" spans="15:19" x14ac:dyDescent="0.2">
      <c r="O4280" s="4">
        <f t="shared" ca="1" si="363"/>
        <v>0.81457999763128186</v>
      </c>
      <c r="P4280" s="4">
        <f t="shared" ca="1" si="364"/>
        <v>0.89490101387559728</v>
      </c>
      <c r="Q4280" s="4">
        <f t="shared" ca="1" si="365"/>
        <v>1906.3786908519353</v>
      </c>
      <c r="R4280" s="4">
        <f t="shared" ca="1" si="366"/>
        <v>-17.291353148064672</v>
      </c>
      <c r="S4280" s="4">
        <f t="shared" ca="1" si="367"/>
        <v>-8.631342339123977</v>
      </c>
    </row>
    <row r="4281" spans="15:19" x14ac:dyDescent="0.2">
      <c r="O4281" s="4">
        <f t="shared" ca="1" si="363"/>
        <v>0.80489665019177803</v>
      </c>
      <c r="P4281" s="4">
        <f t="shared" ca="1" si="364"/>
        <v>0.85924257348040534</v>
      </c>
      <c r="Q4281" s="4">
        <f t="shared" ca="1" si="365"/>
        <v>1907.051518252192</v>
      </c>
      <c r="R4281" s="4">
        <f t="shared" ca="1" si="366"/>
        <v>-16.618525747808008</v>
      </c>
      <c r="S4281" s="4">
        <f t="shared" ca="1" si="367"/>
        <v>-8.3000380049864919</v>
      </c>
    </row>
    <row r="4282" spans="15:19" x14ac:dyDescent="0.2">
      <c r="O4282" s="4">
        <f t="shared" ca="1" si="363"/>
        <v>0.26207839774731212</v>
      </c>
      <c r="P4282" s="4">
        <f t="shared" ca="1" si="364"/>
        <v>-0.63695094746965752</v>
      </c>
      <c r="Q4282" s="4">
        <f t="shared" ca="1" si="365"/>
        <v>1935.2827023932982</v>
      </c>
      <c r="R4282" s="4">
        <f t="shared" ca="1" si="366"/>
        <v>11.612658393298261</v>
      </c>
      <c r="S4282" s="4">
        <f t="shared" ca="1" si="367"/>
        <v>5.9333362697624317</v>
      </c>
    </row>
    <row r="4283" spans="15:19" x14ac:dyDescent="0.2">
      <c r="O4283" s="4">
        <f t="shared" ca="1" si="363"/>
        <v>0.2515738972257926</v>
      </c>
      <c r="P4283" s="4">
        <f t="shared" ca="1" si="364"/>
        <v>-0.66954514230045359</v>
      </c>
      <c r="Q4283" s="4">
        <f t="shared" ca="1" si="365"/>
        <v>1935.8977115504124</v>
      </c>
      <c r="R4283" s="4">
        <f t="shared" ca="1" si="366"/>
        <v>12.227667550412434</v>
      </c>
      <c r="S4283" s="4">
        <f t="shared" ca="1" si="367"/>
        <v>6.2506283856760794</v>
      </c>
    </row>
    <row r="4284" spans="15:19" x14ac:dyDescent="0.2">
      <c r="O4284" s="4">
        <f t="shared" ca="1" si="363"/>
        <v>0.46527390667273738</v>
      </c>
      <c r="P4284" s="4">
        <f t="shared" ca="1" si="364"/>
        <v>-8.7155622298241239E-2</v>
      </c>
      <c r="Q4284" s="4">
        <f t="shared" ca="1" si="365"/>
        <v>1924.9087949759089</v>
      </c>
      <c r="R4284" s="4">
        <f t="shared" ca="1" si="366"/>
        <v>1.2387509759089426</v>
      </c>
      <c r="S4284" s="4">
        <f t="shared" ca="1" si="367"/>
        <v>0.62769252680094234</v>
      </c>
    </row>
    <row r="4285" spans="15:19" x14ac:dyDescent="0.2">
      <c r="O4285" s="4">
        <f t="shared" ca="1" si="363"/>
        <v>9.5825836659280572E-2</v>
      </c>
      <c r="P4285" s="4">
        <f t="shared" ca="1" si="364"/>
        <v>-1.3057085969380067</v>
      </c>
      <c r="Q4285" s="4">
        <f t="shared" ca="1" si="365"/>
        <v>1947.9012708361863</v>
      </c>
      <c r="R4285" s="4">
        <f t="shared" ca="1" si="366"/>
        <v>24.231226836186352</v>
      </c>
      <c r="S4285" s="4">
        <f t="shared" ca="1" si="367"/>
        <v>12.505096021177108</v>
      </c>
    </row>
    <row r="4286" spans="15:19" x14ac:dyDescent="0.2">
      <c r="O4286" s="4">
        <f t="shared" ca="1" si="363"/>
        <v>0.49703839704564368</v>
      </c>
      <c r="P4286" s="4">
        <f t="shared" ca="1" si="364"/>
        <v>-7.4237058915387266E-3</v>
      </c>
      <c r="Q4286" s="4">
        <f t="shared" ca="1" si="365"/>
        <v>1923.4043596321631</v>
      </c>
      <c r="R4286" s="4">
        <f t="shared" ca="1" si="366"/>
        <v>-0.26568436783691141</v>
      </c>
      <c r="S4286" s="4">
        <f t="shared" ca="1" si="367"/>
        <v>-0.13446329507518046</v>
      </c>
    </row>
    <row r="4287" spans="15:19" x14ac:dyDescent="0.2">
      <c r="O4287" s="4">
        <f t="shared" ca="1" si="363"/>
        <v>0.55129906754223612</v>
      </c>
      <c r="P4287" s="4">
        <f t="shared" ca="1" si="364"/>
        <v>0.12894412053724191</v>
      </c>
      <c r="Q4287" s="4">
        <f t="shared" ca="1" si="365"/>
        <v>1920.8312799035537</v>
      </c>
      <c r="R4287" s="4">
        <f t="shared" ca="1" si="366"/>
        <v>-2.8387640964463117</v>
      </c>
      <c r="S4287" s="4">
        <f t="shared" ca="1" si="367"/>
        <v>-1.4337297904765653</v>
      </c>
    </row>
    <row r="4288" spans="15:19" x14ac:dyDescent="0.2">
      <c r="O4288" s="4">
        <f t="shared" ca="1" si="363"/>
        <v>0.18050603735925586</v>
      </c>
      <c r="P4288" s="4">
        <f t="shared" ca="1" si="364"/>
        <v>-0.91343829091095585</v>
      </c>
      <c r="Q4288" s="4">
        <f t="shared" ca="1" si="365"/>
        <v>1940.4996512679468</v>
      </c>
      <c r="R4288" s="4">
        <f t="shared" ca="1" si="366"/>
        <v>16.829607267946812</v>
      </c>
      <c r="S4288" s="4">
        <f t="shared" ca="1" si="367"/>
        <v>8.6346085727266981</v>
      </c>
    </row>
    <row r="4289" spans="15:19" x14ac:dyDescent="0.2">
      <c r="O4289" s="4">
        <f t="shared" ca="1" si="363"/>
        <v>0.77511525676048598</v>
      </c>
      <c r="P4289" s="4">
        <f t="shared" ca="1" si="364"/>
        <v>0.75579938343394548</v>
      </c>
      <c r="Q4289" s="4">
        <f t="shared" ca="1" si="365"/>
        <v>1909.0033538305806</v>
      </c>
      <c r="R4289" s="4">
        <f t="shared" ca="1" si="366"/>
        <v>-14.666690169419326</v>
      </c>
      <c r="S4289" s="4">
        <f t="shared" ca="1" si="367"/>
        <v>-7.3368568285178544</v>
      </c>
    </row>
    <row r="4290" spans="15:19" x14ac:dyDescent="0.2">
      <c r="O4290" s="4">
        <f t="shared" ca="1" si="363"/>
        <v>0.42950824931264986</v>
      </c>
      <c r="P4290" s="4">
        <f t="shared" ca="1" si="364"/>
        <v>-0.17762626173648963</v>
      </c>
      <c r="Q4290" s="4">
        <f t="shared" ca="1" si="365"/>
        <v>1926.61585575754</v>
      </c>
      <c r="R4290" s="4">
        <f t="shared" ca="1" si="366"/>
        <v>2.9458117575400138</v>
      </c>
      <c r="S4290" s="4">
        <f t="shared" ca="1" si="367"/>
        <v>1.4947312337546486</v>
      </c>
    </row>
    <row r="4291" spans="15:19" x14ac:dyDescent="0.2">
      <c r="O4291" s="4">
        <f t="shared" ref="O4291:O4354" ca="1" si="368">RAND()</f>
        <v>0.16599599009385857</v>
      </c>
      <c r="P4291" s="4">
        <f t="shared" ref="P4291:P4354" ca="1" si="369">NORMSINV(O4291)</f>
        <v>-0.97010936754097876</v>
      </c>
      <c r="Q4291" s="4">
        <f t="shared" ref="Q4291:Q4354" ca="1" si="370">$B$4*(1+$B$17-$B$32*P4291)</f>
        <v>1941.5689591999851</v>
      </c>
      <c r="R4291" s="4">
        <f t="shared" ref="R4291:R4354" ca="1" si="371">Q4291-$B$4</f>
        <v>17.89891519998514</v>
      </c>
      <c r="S4291" s="4">
        <f t="shared" ref="S4291:S4354" ca="1" si="372">R4291*$B$12+0.5*$B$13*R4291^2</f>
        <v>9.1910194346346437</v>
      </c>
    </row>
    <row r="4292" spans="15:19" x14ac:dyDescent="0.2">
      <c r="O4292" s="4">
        <f t="shared" ca="1" si="368"/>
        <v>0.52757900057688611</v>
      </c>
      <c r="P4292" s="4">
        <f t="shared" ca="1" si="369"/>
        <v>6.9185457194089833E-2</v>
      </c>
      <c r="Q4292" s="4">
        <f t="shared" ca="1" si="370"/>
        <v>1921.9588464952037</v>
      </c>
      <c r="R4292" s="4">
        <f t="shared" ca="1" si="371"/>
        <v>-1.711197504796246</v>
      </c>
      <c r="S4292" s="4">
        <f t="shared" ca="1" si="372"/>
        <v>-0.86503295910058442</v>
      </c>
    </row>
    <row r="4293" spans="15:19" x14ac:dyDescent="0.2">
      <c r="O4293" s="4">
        <f t="shared" ca="1" si="368"/>
        <v>0.23037676495537607</v>
      </c>
      <c r="P4293" s="4">
        <f t="shared" ca="1" si="369"/>
        <v>-0.73760662250117637</v>
      </c>
      <c r="Q4293" s="4">
        <f t="shared" ca="1" si="370"/>
        <v>1937.1819412663938</v>
      </c>
      <c r="R4293" s="4">
        <f t="shared" ca="1" si="371"/>
        <v>13.511897266393817</v>
      </c>
      <c r="S4293" s="4">
        <f t="shared" ca="1" si="372"/>
        <v>6.9141739293104036</v>
      </c>
    </row>
    <row r="4294" spans="15:19" x14ac:dyDescent="0.2">
      <c r="O4294" s="4">
        <f t="shared" ca="1" si="368"/>
        <v>0.20114034750039123</v>
      </c>
      <c r="P4294" s="4">
        <f t="shared" ca="1" si="369"/>
        <v>-0.8375549645972119</v>
      </c>
      <c r="Q4294" s="4">
        <f t="shared" ca="1" si="370"/>
        <v>1939.0678337066445</v>
      </c>
      <c r="R4294" s="4">
        <f t="shared" ca="1" si="371"/>
        <v>15.397789706644517</v>
      </c>
      <c r="S4294" s="4">
        <f t="shared" ca="1" si="372"/>
        <v>7.891024796894877</v>
      </c>
    </row>
    <row r="4295" spans="15:19" x14ac:dyDescent="0.2">
      <c r="O4295" s="4">
        <f t="shared" ca="1" si="368"/>
        <v>0.370020763898946</v>
      </c>
      <c r="P4295" s="4">
        <f t="shared" ca="1" si="369"/>
        <v>-0.33179835328957846</v>
      </c>
      <c r="Q4295" s="4">
        <f t="shared" ca="1" si="370"/>
        <v>1929.524878317196</v>
      </c>
      <c r="R4295" s="4">
        <f t="shared" ca="1" si="371"/>
        <v>5.8548343171960369</v>
      </c>
      <c r="S4295" s="4">
        <f t="shared" ca="1" si="372"/>
        <v>2.9777284394548262</v>
      </c>
    </row>
    <row r="4296" spans="15:19" x14ac:dyDescent="0.2">
      <c r="O4296" s="4">
        <f t="shared" ca="1" si="368"/>
        <v>0.23476134696892648</v>
      </c>
      <c r="P4296" s="4">
        <f t="shared" ca="1" si="369"/>
        <v>-0.72325587916228717</v>
      </c>
      <c r="Q4296" s="4">
        <f t="shared" ca="1" si="370"/>
        <v>1936.9111618036509</v>
      </c>
      <c r="R4296" s="4">
        <f t="shared" ca="1" si="371"/>
        <v>13.241117803650923</v>
      </c>
      <c r="S4296" s="4">
        <f t="shared" ca="1" si="372"/>
        <v>6.7741538355396527</v>
      </c>
    </row>
    <row r="4297" spans="15:19" x14ac:dyDescent="0.2">
      <c r="O4297" s="4">
        <f t="shared" ca="1" si="368"/>
        <v>0.32838126340631857</v>
      </c>
      <c r="P4297" s="4">
        <f t="shared" ca="1" si="369"/>
        <v>-0.44438739269158439</v>
      </c>
      <c r="Q4297" s="4">
        <f t="shared" ca="1" si="370"/>
        <v>1931.6492839232369</v>
      </c>
      <c r="R4297" s="4">
        <f t="shared" ca="1" si="371"/>
        <v>7.9792399232369462</v>
      </c>
      <c r="S4297" s="4">
        <f t="shared" ca="1" si="372"/>
        <v>4.0650867983150043</v>
      </c>
    </row>
    <row r="4298" spans="15:19" x14ac:dyDescent="0.2">
      <c r="O4298" s="4">
        <f t="shared" ca="1" si="368"/>
        <v>0.86357538024701996</v>
      </c>
      <c r="P4298" s="4">
        <f t="shared" ca="1" si="369"/>
        <v>1.0965246557225143</v>
      </c>
      <c r="Q4298" s="4">
        <f t="shared" ca="1" si="370"/>
        <v>1902.5743205746423</v>
      </c>
      <c r="R4298" s="4">
        <f t="shared" ca="1" si="371"/>
        <v>-21.095723425357619</v>
      </c>
      <c r="S4298" s="4">
        <f t="shared" ca="1" si="372"/>
        <v>-10.497703995472982</v>
      </c>
    </row>
    <row r="4299" spans="15:19" x14ac:dyDescent="0.2">
      <c r="O4299" s="4">
        <f t="shared" ca="1" si="368"/>
        <v>0.1959474401414264</v>
      </c>
      <c r="P4299" s="4">
        <f t="shared" ca="1" si="369"/>
        <v>-0.85618604498302242</v>
      </c>
      <c r="Q4299" s="4">
        <f t="shared" ca="1" si="370"/>
        <v>1939.4193774433033</v>
      </c>
      <c r="R4299" s="4">
        <f t="shared" ca="1" si="371"/>
        <v>15.749333443303385</v>
      </c>
      <c r="S4299" s="4">
        <f t="shared" ca="1" si="372"/>
        <v>8.0734369151773997</v>
      </c>
    </row>
    <row r="4300" spans="15:19" x14ac:dyDescent="0.2">
      <c r="O4300" s="4">
        <f t="shared" ca="1" si="368"/>
        <v>0.47491614451845199</v>
      </c>
      <c r="P4300" s="4">
        <f t="shared" ca="1" si="369"/>
        <v>-6.2917387520173521E-2</v>
      </c>
      <c r="Q4300" s="4">
        <f t="shared" ca="1" si="370"/>
        <v>1924.4514516846209</v>
      </c>
      <c r="R4300" s="4">
        <f t="shared" ca="1" si="371"/>
        <v>0.78140768462094456</v>
      </c>
      <c r="S4300" s="4">
        <f t="shared" ca="1" si="372"/>
        <v>0.39580477941222397</v>
      </c>
    </row>
    <row r="4301" spans="15:19" x14ac:dyDescent="0.2">
      <c r="O4301" s="4">
        <f t="shared" ca="1" si="368"/>
        <v>0.34713828756988396</v>
      </c>
      <c r="P4301" s="4">
        <f t="shared" ca="1" si="369"/>
        <v>-0.39305809297173222</v>
      </c>
      <c r="Q4301" s="4">
        <f t="shared" ca="1" si="370"/>
        <v>1930.6807682252777</v>
      </c>
      <c r="R4301" s="4">
        <f t="shared" ca="1" si="371"/>
        <v>7.0107242252777269</v>
      </c>
      <c r="S4301" s="4">
        <f t="shared" ca="1" si="372"/>
        <v>3.5689048281231095</v>
      </c>
    </row>
    <row r="4302" spans="15:19" x14ac:dyDescent="0.2">
      <c r="O4302" s="4">
        <f t="shared" ca="1" si="368"/>
        <v>5.6082309055694113E-2</v>
      </c>
      <c r="P4302" s="4">
        <f t="shared" ca="1" si="369"/>
        <v>-1.5885385188990233</v>
      </c>
      <c r="Q4302" s="4">
        <f t="shared" ca="1" si="370"/>
        <v>1953.2378957417843</v>
      </c>
      <c r="R4302" s="4">
        <f t="shared" ca="1" si="371"/>
        <v>29.567851741784352</v>
      </c>
      <c r="S4302" s="4">
        <f t="shared" ca="1" si="372"/>
        <v>15.323419634789037</v>
      </c>
    </row>
    <row r="4303" spans="15:19" x14ac:dyDescent="0.2">
      <c r="O4303" s="4">
        <f t="shared" ca="1" si="368"/>
        <v>0.20197447349320496</v>
      </c>
      <c r="P4303" s="4">
        <f t="shared" ca="1" si="369"/>
        <v>-0.83458937411879208</v>
      </c>
      <c r="Q4303" s="4">
        <f t="shared" ca="1" si="370"/>
        <v>1939.0118769539174</v>
      </c>
      <c r="R4303" s="4">
        <f t="shared" ca="1" si="371"/>
        <v>15.341832953917447</v>
      </c>
      <c r="S4303" s="4">
        <f t="shared" ca="1" si="372"/>
        <v>7.8619987450869742</v>
      </c>
    </row>
    <row r="4304" spans="15:19" x14ac:dyDescent="0.2">
      <c r="O4304" s="4">
        <f t="shared" ca="1" si="368"/>
        <v>0.64160644409203405</v>
      </c>
      <c r="P4304" s="4">
        <f t="shared" ca="1" si="369"/>
        <v>0.36275606850549275</v>
      </c>
      <c r="Q4304" s="4">
        <f t="shared" ca="1" si="370"/>
        <v>1916.4195590498962</v>
      </c>
      <c r="R4304" s="4">
        <f t="shared" ca="1" si="371"/>
        <v>-7.2504849501037825</v>
      </c>
      <c r="S4304" s="4">
        <f t="shared" ca="1" si="372"/>
        <v>-3.6488670608640401</v>
      </c>
    </row>
    <row r="4305" spans="15:19" x14ac:dyDescent="0.2">
      <c r="O4305" s="4">
        <f t="shared" ca="1" si="368"/>
        <v>0.77732198878924297</v>
      </c>
      <c r="P4305" s="4">
        <f t="shared" ca="1" si="369"/>
        <v>0.76318005410482248</v>
      </c>
      <c r="Q4305" s="4">
        <f t="shared" ca="1" si="370"/>
        <v>1908.8640903797789</v>
      </c>
      <c r="R4305" s="4">
        <f t="shared" ca="1" si="371"/>
        <v>-14.805953620221089</v>
      </c>
      <c r="S4305" s="4">
        <f t="shared" ca="1" si="372"/>
        <v>-7.4056825511857438</v>
      </c>
    </row>
    <row r="4306" spans="15:19" x14ac:dyDescent="0.2">
      <c r="O4306" s="4">
        <f t="shared" ca="1" si="368"/>
        <v>0.97295967691755081</v>
      </c>
      <c r="P4306" s="4">
        <f t="shared" ca="1" si="369"/>
        <v>1.926190062828961</v>
      </c>
      <c r="Q4306" s="4">
        <f t="shared" ca="1" si="370"/>
        <v>1886.9196365009839</v>
      </c>
      <c r="R4306" s="4">
        <f t="shared" ca="1" si="371"/>
        <v>-36.750407499016092</v>
      </c>
      <c r="S4306" s="4">
        <f t="shared" ca="1" si="372"/>
        <v>-18.053631619321521</v>
      </c>
    </row>
    <row r="4307" spans="15:19" x14ac:dyDescent="0.2">
      <c r="O4307" s="4">
        <f t="shared" ca="1" si="368"/>
        <v>0.45365535429738302</v>
      </c>
      <c r="P4307" s="4">
        <f t="shared" ca="1" si="369"/>
        <v>-0.11643132734515954</v>
      </c>
      <c r="Q4307" s="4">
        <f t="shared" ca="1" si="370"/>
        <v>1925.4611886392067</v>
      </c>
      <c r="R4307" s="4">
        <f t="shared" ca="1" si="371"/>
        <v>1.7911446392067774</v>
      </c>
      <c r="S4307" s="4">
        <f t="shared" ca="1" si="372"/>
        <v>0.90800091959004547</v>
      </c>
    </row>
    <row r="4308" spans="15:19" x14ac:dyDescent="0.2">
      <c r="O4308" s="4">
        <f t="shared" ca="1" si="368"/>
        <v>0.24623726636296583</v>
      </c>
      <c r="P4308" s="4">
        <f t="shared" ca="1" si="369"/>
        <v>-0.68637838255308292</v>
      </c>
      <c r="Q4308" s="4">
        <f t="shared" ca="1" si="370"/>
        <v>1936.2153324320759</v>
      </c>
      <c r="R4308" s="4">
        <f t="shared" ca="1" si="371"/>
        <v>12.545288432075949</v>
      </c>
      <c r="S4308" s="4">
        <f t="shared" ca="1" si="372"/>
        <v>6.4146141738420352</v>
      </c>
    </row>
    <row r="4309" spans="15:19" x14ac:dyDescent="0.2">
      <c r="O4309" s="4">
        <f t="shared" ca="1" si="368"/>
        <v>0.76689962955533064</v>
      </c>
      <c r="P4309" s="4">
        <f t="shared" ca="1" si="369"/>
        <v>0.72867458802077045</v>
      </c>
      <c r="Q4309" s="4">
        <f t="shared" ca="1" si="370"/>
        <v>1909.5151626864383</v>
      </c>
      <c r="R4309" s="4">
        <f t="shared" ca="1" si="371"/>
        <v>-14.154881313561646</v>
      </c>
      <c r="S4309" s="4">
        <f t="shared" ca="1" si="372"/>
        <v>-7.0837789058800533</v>
      </c>
    </row>
    <row r="4310" spans="15:19" x14ac:dyDescent="0.2">
      <c r="O4310" s="4">
        <f t="shared" ca="1" si="368"/>
        <v>0.64485507025102329</v>
      </c>
      <c r="P4310" s="4">
        <f t="shared" ca="1" si="369"/>
        <v>0.37146682693554162</v>
      </c>
      <c r="Q4310" s="4">
        <f t="shared" ca="1" si="370"/>
        <v>1916.255198610017</v>
      </c>
      <c r="R4310" s="4">
        <f t="shared" ca="1" si="371"/>
        <v>-7.4148453899829292</v>
      </c>
      <c r="S4310" s="4">
        <f t="shared" ca="1" si="372"/>
        <v>-3.7310867257048321</v>
      </c>
    </row>
    <row r="4311" spans="15:19" x14ac:dyDescent="0.2">
      <c r="O4311" s="4">
        <f t="shared" ca="1" si="368"/>
        <v>0.17286158930068807</v>
      </c>
      <c r="P4311" s="4">
        <f t="shared" ca="1" si="369"/>
        <v>-0.94291735214885242</v>
      </c>
      <c r="Q4311" s="4">
        <f t="shared" ca="1" si="370"/>
        <v>1941.0558819924224</v>
      </c>
      <c r="R4311" s="4">
        <f t="shared" ca="1" si="371"/>
        <v>17.385837992422466</v>
      </c>
      <c r="S4311" s="4">
        <f t="shared" ca="1" si="372"/>
        <v>8.9239252257012396</v>
      </c>
    </row>
    <row r="4312" spans="15:19" x14ac:dyDescent="0.2">
      <c r="O4312" s="4">
        <f t="shared" ca="1" si="368"/>
        <v>0.86538205180706596</v>
      </c>
      <c r="P4312" s="4">
        <f t="shared" ca="1" si="369"/>
        <v>1.1048239136297573</v>
      </c>
      <c r="Q4312" s="4">
        <f t="shared" ca="1" si="370"/>
        <v>1902.417724602976</v>
      </c>
      <c r="R4312" s="4">
        <f t="shared" ca="1" si="371"/>
        <v>-21.252319397023939</v>
      </c>
      <c r="S4312" s="4">
        <f t="shared" ca="1" si="372"/>
        <v>-10.574274917204521</v>
      </c>
    </row>
    <row r="4313" spans="15:19" x14ac:dyDescent="0.2">
      <c r="O4313" s="4">
        <f t="shared" ca="1" si="368"/>
        <v>0.86123047915098427</v>
      </c>
      <c r="P4313" s="4">
        <f t="shared" ca="1" si="369"/>
        <v>1.0858642813365245</v>
      </c>
      <c r="Q4313" s="4">
        <f t="shared" ca="1" si="370"/>
        <v>1902.7754676776674</v>
      </c>
      <c r="R4313" s="4">
        <f t="shared" ca="1" si="371"/>
        <v>-20.894576322332568</v>
      </c>
      <c r="S4313" s="4">
        <f t="shared" ca="1" si="372"/>
        <v>-10.399319560850904</v>
      </c>
    </row>
    <row r="4314" spans="15:19" x14ac:dyDescent="0.2">
      <c r="O4314" s="4">
        <f t="shared" ca="1" si="368"/>
        <v>0.38024498170112653</v>
      </c>
      <c r="P4314" s="4">
        <f t="shared" ca="1" si="369"/>
        <v>-0.30483744182411848</v>
      </c>
      <c r="Q4314" s="4">
        <f t="shared" ca="1" si="370"/>
        <v>1929.0161617337221</v>
      </c>
      <c r="R4314" s="4">
        <f t="shared" ca="1" si="371"/>
        <v>5.346117733722167</v>
      </c>
      <c r="S4314" s="4">
        <f t="shared" ca="1" si="372"/>
        <v>2.7178915968196682</v>
      </c>
    </row>
    <row r="4315" spans="15:19" x14ac:dyDescent="0.2">
      <c r="O4315" s="4">
        <f t="shared" ca="1" si="368"/>
        <v>0.57933465233100623</v>
      </c>
      <c r="P4315" s="4">
        <f t="shared" ca="1" si="369"/>
        <v>0.20019165254798368</v>
      </c>
      <c r="Q4315" s="4">
        <f t="shared" ca="1" si="370"/>
        <v>1919.4869336223871</v>
      </c>
      <c r="R4315" s="4">
        <f t="shared" ca="1" si="371"/>
        <v>-4.1831103776128202</v>
      </c>
      <c r="S4315" s="4">
        <f t="shared" ca="1" si="372"/>
        <v>-2.1104083811183161</v>
      </c>
    </row>
    <row r="4316" spans="15:19" x14ac:dyDescent="0.2">
      <c r="O4316" s="4">
        <f t="shared" ca="1" si="368"/>
        <v>4.2126589817415905E-2</v>
      </c>
      <c r="P4316" s="4">
        <f t="shared" ca="1" si="369"/>
        <v>-1.7265240322140472</v>
      </c>
      <c r="Q4316" s="4">
        <f t="shared" ca="1" si="370"/>
        <v>1955.8414990729416</v>
      </c>
      <c r="R4316" s="4">
        <f t="shared" ca="1" si="371"/>
        <v>32.171455072941626</v>
      </c>
      <c r="S4316" s="4">
        <f t="shared" ca="1" si="372"/>
        <v>16.706823349344972</v>
      </c>
    </row>
    <row r="4317" spans="15:19" x14ac:dyDescent="0.2">
      <c r="O4317" s="4">
        <f t="shared" ca="1" si="368"/>
        <v>0.70227849731142367</v>
      </c>
      <c r="P4317" s="4">
        <f t="shared" ca="1" si="369"/>
        <v>0.53096504023583491</v>
      </c>
      <c r="Q4317" s="4">
        <f t="shared" ca="1" si="370"/>
        <v>1913.2456792084099</v>
      </c>
      <c r="R4317" s="4">
        <f t="shared" ca="1" si="371"/>
        <v>-10.424364791590051</v>
      </c>
      <c r="S4317" s="4">
        <f t="shared" ca="1" si="372"/>
        <v>-5.2326804163990426</v>
      </c>
    </row>
    <row r="4318" spans="15:19" x14ac:dyDescent="0.2">
      <c r="O4318" s="4">
        <f t="shared" ca="1" si="368"/>
        <v>7.3339339791468006E-2</v>
      </c>
      <c r="P4318" s="4">
        <f t="shared" ca="1" si="369"/>
        <v>-1.4513634576749863</v>
      </c>
      <c r="Q4318" s="4">
        <f t="shared" ca="1" si="370"/>
        <v>1950.649584564949</v>
      </c>
      <c r="R4318" s="4">
        <f t="shared" ca="1" si="371"/>
        <v>26.979540564949048</v>
      </c>
      <c r="S4318" s="4">
        <f t="shared" ca="1" si="372"/>
        <v>13.953611598034051</v>
      </c>
    </row>
    <row r="4319" spans="15:19" x14ac:dyDescent="0.2">
      <c r="O4319" s="4">
        <f t="shared" ca="1" si="368"/>
        <v>0.52722931122481831</v>
      </c>
      <c r="P4319" s="4">
        <f t="shared" ca="1" si="369"/>
        <v>6.8306842218164326E-2</v>
      </c>
      <c r="Q4319" s="4">
        <f t="shared" ca="1" si="370"/>
        <v>1921.9754247926148</v>
      </c>
      <c r="R4319" s="4">
        <f t="shared" ca="1" si="371"/>
        <v>-1.6946192073851307</v>
      </c>
      <c r="S4319" s="4">
        <f t="shared" ca="1" si="372"/>
        <v>-0.85666384677233942</v>
      </c>
    </row>
    <row r="4320" spans="15:19" x14ac:dyDescent="0.2">
      <c r="O4320" s="4">
        <f t="shared" ca="1" si="368"/>
        <v>0.39893306795165873</v>
      </c>
      <c r="P4320" s="4">
        <f t="shared" ca="1" si="369"/>
        <v>-0.25610969520568178</v>
      </c>
      <c r="Q4320" s="4">
        <f t="shared" ca="1" si="370"/>
        <v>1928.0967338867865</v>
      </c>
      <c r="R4320" s="4">
        <f t="shared" ca="1" si="371"/>
        <v>4.4266898867865621</v>
      </c>
      <c r="S4320" s="4">
        <f t="shared" ca="1" si="372"/>
        <v>2.2488105386438395</v>
      </c>
    </row>
    <row r="4321" spans="15:19" x14ac:dyDescent="0.2">
      <c r="O4321" s="4">
        <f t="shared" ca="1" si="368"/>
        <v>0.16142716048277506</v>
      </c>
      <c r="P4321" s="4">
        <f t="shared" ca="1" si="369"/>
        <v>-0.98860932719213501</v>
      </c>
      <c r="Q4321" s="4">
        <f t="shared" ca="1" si="370"/>
        <v>1941.9180288625671</v>
      </c>
      <c r="R4321" s="4">
        <f t="shared" ca="1" si="371"/>
        <v>18.247984862567137</v>
      </c>
      <c r="S4321" s="4">
        <f t="shared" ca="1" si="372"/>
        <v>9.3728582294002152</v>
      </c>
    </row>
    <row r="4322" spans="15:19" x14ac:dyDescent="0.2">
      <c r="O4322" s="4">
        <f t="shared" ca="1" si="368"/>
        <v>0.43486562413655816</v>
      </c>
      <c r="P4322" s="4">
        <f t="shared" ca="1" si="369"/>
        <v>-0.16399986730359092</v>
      </c>
      <c r="Q4322" s="4">
        <f t="shared" ca="1" si="370"/>
        <v>1926.3587437964015</v>
      </c>
      <c r="R4322" s="4">
        <f t="shared" ca="1" si="371"/>
        <v>2.6886997964015791</v>
      </c>
      <c r="S4322" s="4">
        <f t="shared" ca="1" si="372"/>
        <v>1.3639889193231978</v>
      </c>
    </row>
    <row r="4323" spans="15:19" x14ac:dyDescent="0.2">
      <c r="O4323" s="4">
        <f t="shared" ca="1" si="368"/>
        <v>0.2891368793794048</v>
      </c>
      <c r="P4323" s="4">
        <f t="shared" ca="1" si="369"/>
        <v>-0.55590798576325906</v>
      </c>
      <c r="Q4323" s="4">
        <f t="shared" ca="1" si="370"/>
        <v>1933.7535293663882</v>
      </c>
      <c r="R4323" s="4">
        <f t="shared" ca="1" si="371"/>
        <v>10.083485366388231</v>
      </c>
      <c r="S4323" s="4">
        <f t="shared" ca="1" si="372"/>
        <v>5.145748505487453</v>
      </c>
    </row>
    <row r="4324" spans="15:19" x14ac:dyDescent="0.2">
      <c r="O4324" s="4">
        <f t="shared" ca="1" si="368"/>
        <v>0.41773665903333013</v>
      </c>
      <c r="P4324" s="4">
        <f t="shared" ca="1" si="369"/>
        <v>-0.2076870650423609</v>
      </c>
      <c r="Q4324" s="4">
        <f t="shared" ca="1" si="370"/>
        <v>1927.1830631820308</v>
      </c>
      <c r="R4324" s="4">
        <f t="shared" ca="1" si="371"/>
        <v>3.5130191820308028</v>
      </c>
      <c r="S4324" s="4">
        <f t="shared" ca="1" si="372"/>
        <v>1.7833484846062491</v>
      </c>
    </row>
    <row r="4325" spans="15:19" x14ac:dyDescent="0.2">
      <c r="O4325" s="4">
        <f t="shared" ca="1" si="368"/>
        <v>0.76270160974864964</v>
      </c>
      <c r="P4325" s="4">
        <f t="shared" ca="1" si="369"/>
        <v>0.71501984554127185</v>
      </c>
      <c r="Q4325" s="4">
        <f t="shared" ca="1" si="370"/>
        <v>1909.7728095375578</v>
      </c>
      <c r="R4325" s="4">
        <f t="shared" ca="1" si="371"/>
        <v>-13.897234462442157</v>
      </c>
      <c r="S4325" s="4">
        <f t="shared" ca="1" si="372"/>
        <v>-6.9562976550423645</v>
      </c>
    </row>
    <row r="4326" spans="15:19" x14ac:dyDescent="0.2">
      <c r="O4326" s="4">
        <f t="shared" ca="1" si="368"/>
        <v>0.18145332418306948</v>
      </c>
      <c r="P4326" s="4">
        <f t="shared" ca="1" si="369"/>
        <v>-0.90984046967949961</v>
      </c>
      <c r="Q4326" s="4">
        <f t="shared" ca="1" si="370"/>
        <v>1940.4317651607889</v>
      </c>
      <c r="R4326" s="4">
        <f t="shared" ca="1" si="371"/>
        <v>16.761721160788966</v>
      </c>
      <c r="S4326" s="4">
        <f t="shared" ca="1" si="372"/>
        <v>8.5993156859839441</v>
      </c>
    </row>
    <row r="4327" spans="15:19" x14ac:dyDescent="0.2">
      <c r="O4327" s="4">
        <f t="shared" ca="1" si="368"/>
        <v>0.31955616595650527</v>
      </c>
      <c r="P4327" s="4">
        <f t="shared" ca="1" si="369"/>
        <v>-0.46894026843480996</v>
      </c>
      <c r="Q4327" s="4">
        <f t="shared" ca="1" si="370"/>
        <v>1932.1125640715568</v>
      </c>
      <c r="R4327" s="4">
        <f t="shared" ca="1" si="371"/>
        <v>8.442520071556828</v>
      </c>
      <c r="S4327" s="4">
        <f t="shared" ca="1" si="372"/>
        <v>4.3027006791307851</v>
      </c>
    </row>
    <row r="4328" spans="15:19" x14ac:dyDescent="0.2">
      <c r="O4328" s="4">
        <f t="shared" ca="1" si="368"/>
        <v>0.68105981214284839</v>
      </c>
      <c r="P4328" s="4">
        <f t="shared" ca="1" si="369"/>
        <v>0.47066444897556903</v>
      </c>
      <c r="Q4328" s="4">
        <f t="shared" ca="1" si="370"/>
        <v>1914.3834712599389</v>
      </c>
      <c r="R4328" s="4">
        <f t="shared" ca="1" si="371"/>
        <v>-9.2865727400610467</v>
      </c>
      <c r="S4328" s="4">
        <f t="shared" ca="1" si="372"/>
        <v>-4.6658482557284158</v>
      </c>
    </row>
    <row r="4329" spans="15:19" x14ac:dyDescent="0.2">
      <c r="O4329" s="4">
        <f t="shared" ca="1" si="368"/>
        <v>0.51467373868488087</v>
      </c>
      <c r="P4329" s="4">
        <f t="shared" ca="1" si="369"/>
        <v>3.6789905769607362E-2</v>
      </c>
      <c r="Q4329" s="4">
        <f t="shared" ca="1" si="370"/>
        <v>1922.5701075151262</v>
      </c>
      <c r="R4329" s="4">
        <f t="shared" ca="1" si="371"/>
        <v>-1.0999364848737514</v>
      </c>
      <c r="S4329" s="4">
        <f t="shared" ca="1" si="372"/>
        <v>-0.55630612553330472</v>
      </c>
    </row>
    <row r="4330" spans="15:19" x14ac:dyDescent="0.2">
      <c r="O4330" s="4">
        <f t="shared" ca="1" si="368"/>
        <v>0.38535417643209435</v>
      </c>
      <c r="P4330" s="4">
        <f t="shared" ca="1" si="369"/>
        <v>-0.29144846485981302</v>
      </c>
      <c r="Q4330" s="4">
        <f t="shared" ca="1" si="370"/>
        <v>1928.7635295248219</v>
      </c>
      <c r="R4330" s="4">
        <f t="shared" ca="1" si="371"/>
        <v>5.0934855248219719</v>
      </c>
      <c r="S4330" s="4">
        <f t="shared" ca="1" si="372"/>
        <v>2.58893310191851</v>
      </c>
    </row>
    <row r="4331" spans="15:19" x14ac:dyDescent="0.2">
      <c r="O4331" s="4">
        <f t="shared" ca="1" si="368"/>
        <v>0.76924207058953287</v>
      </c>
      <c r="P4331" s="4">
        <f t="shared" ca="1" si="369"/>
        <v>0.73635306707771786</v>
      </c>
      <c r="Q4331" s="4">
        <f t="shared" ca="1" si="370"/>
        <v>1909.3702799870114</v>
      </c>
      <c r="R4331" s="4">
        <f t="shared" ca="1" si="371"/>
        <v>-14.299764012988589</v>
      </c>
      <c r="S4331" s="4">
        <f t="shared" ca="1" si="372"/>
        <v>-7.1554417696220538</v>
      </c>
    </row>
    <row r="4332" spans="15:19" x14ac:dyDescent="0.2">
      <c r="O4332" s="4">
        <f t="shared" ca="1" si="368"/>
        <v>0.52091641844998005</v>
      </c>
      <c r="P4332" s="4">
        <f t="shared" ca="1" si="369"/>
        <v>5.2453729443970094E-2</v>
      </c>
      <c r="Q4332" s="4">
        <f t="shared" ca="1" si="370"/>
        <v>1922.274551970798</v>
      </c>
      <c r="R4332" s="4">
        <f t="shared" ca="1" si="371"/>
        <v>-1.3954920292019324</v>
      </c>
      <c r="S4332" s="4">
        <f t="shared" ca="1" si="372"/>
        <v>-0.70561900809699973</v>
      </c>
    </row>
    <row r="4333" spans="15:19" x14ac:dyDescent="0.2">
      <c r="O4333" s="4">
        <f t="shared" ca="1" si="368"/>
        <v>3.1996043364678206E-2</v>
      </c>
      <c r="P4333" s="4">
        <f t="shared" ca="1" si="369"/>
        <v>-1.8522349873724684</v>
      </c>
      <c r="Q4333" s="4">
        <f t="shared" ca="1" si="370"/>
        <v>1958.2134977976641</v>
      </c>
      <c r="R4333" s="4">
        <f t="shared" ca="1" si="371"/>
        <v>34.543453797664142</v>
      </c>
      <c r="S4333" s="4">
        <f t="shared" ca="1" si="372"/>
        <v>17.971970097369809</v>
      </c>
    </row>
    <row r="4334" spans="15:19" x14ac:dyDescent="0.2">
      <c r="O4334" s="4">
        <f t="shared" ca="1" si="368"/>
        <v>0.60828472490455399</v>
      </c>
      <c r="P4334" s="4">
        <f t="shared" ca="1" si="369"/>
        <v>0.27485121327083484</v>
      </c>
      <c r="Q4334" s="4">
        <f t="shared" ca="1" si="370"/>
        <v>1918.0782068920889</v>
      </c>
      <c r="R4334" s="4">
        <f t="shared" ca="1" si="371"/>
        <v>-5.5918371079110329</v>
      </c>
      <c r="S4334" s="4">
        <f t="shared" ca="1" si="372"/>
        <v>-2.8179142135534532</v>
      </c>
    </row>
    <row r="4335" spans="15:19" x14ac:dyDescent="0.2">
      <c r="O4335" s="4">
        <f t="shared" ca="1" si="368"/>
        <v>8.0925236553688995E-2</v>
      </c>
      <c r="P4335" s="4">
        <f t="shared" ca="1" si="369"/>
        <v>-1.3988749917459469</v>
      </c>
      <c r="Q4335" s="4">
        <f t="shared" ca="1" si="370"/>
        <v>1949.6591969405019</v>
      </c>
      <c r="R4335" s="4">
        <f t="shared" ca="1" si="371"/>
        <v>25.989152940501981</v>
      </c>
      <c r="S4335" s="4">
        <f t="shared" ca="1" si="372"/>
        <v>13.430913018053795</v>
      </c>
    </row>
    <row r="4336" spans="15:19" x14ac:dyDescent="0.2">
      <c r="O4336" s="4">
        <f t="shared" ca="1" si="368"/>
        <v>0.69302460135081501</v>
      </c>
      <c r="P4336" s="4">
        <f t="shared" ca="1" si="369"/>
        <v>0.50444201829563184</v>
      </c>
      <c r="Q4336" s="4">
        <f t="shared" ca="1" si="370"/>
        <v>1913.7461333982512</v>
      </c>
      <c r="R4336" s="4">
        <f t="shared" ca="1" si="371"/>
        <v>-9.9239106017487302</v>
      </c>
      <c r="S4336" s="4">
        <f t="shared" ca="1" si="372"/>
        <v>-4.9834909440801933</v>
      </c>
    </row>
    <row r="4337" spans="15:19" x14ac:dyDescent="0.2">
      <c r="O4337" s="4">
        <f t="shared" ca="1" si="368"/>
        <v>0.77407027444956633</v>
      </c>
      <c r="P4337" s="4">
        <f t="shared" ca="1" si="369"/>
        <v>0.75231865632389283</v>
      </c>
      <c r="Q4337" s="4">
        <f t="shared" ca="1" si="370"/>
        <v>1909.0690305272196</v>
      </c>
      <c r="R4337" s="4">
        <f t="shared" ca="1" si="371"/>
        <v>-14.601013472780323</v>
      </c>
      <c r="S4337" s="4">
        <f t="shared" ca="1" si="372"/>
        <v>-7.3043931123283059</v>
      </c>
    </row>
    <row r="4338" spans="15:19" x14ac:dyDescent="0.2">
      <c r="O4338" s="4">
        <f t="shared" ca="1" si="368"/>
        <v>2.930599800155409E-2</v>
      </c>
      <c r="P4338" s="4">
        <f t="shared" ca="1" si="369"/>
        <v>-1.8910925113822337</v>
      </c>
      <c r="Q4338" s="4">
        <f t="shared" ca="1" si="370"/>
        <v>1958.9466876559459</v>
      </c>
      <c r="R4338" s="4">
        <f t="shared" ca="1" si="371"/>
        <v>35.276643655945918</v>
      </c>
      <c r="S4338" s="4">
        <f t="shared" ca="1" si="372"/>
        <v>18.363956423573008</v>
      </c>
    </row>
    <row r="4339" spans="15:19" x14ac:dyDescent="0.2">
      <c r="O4339" s="4">
        <f t="shared" ca="1" si="368"/>
        <v>0.96638681072345056</v>
      </c>
      <c r="P4339" s="4">
        <f t="shared" ca="1" si="369"/>
        <v>1.8301575823290426</v>
      </c>
      <c r="Q4339" s="4">
        <f t="shared" ca="1" si="370"/>
        <v>1888.7316418348921</v>
      </c>
      <c r="R4339" s="4">
        <f t="shared" ca="1" si="371"/>
        <v>-34.938402165107846</v>
      </c>
      <c r="S4339" s="4">
        <f t="shared" ca="1" si="372"/>
        <v>-17.189255269069367</v>
      </c>
    </row>
    <row r="4340" spans="15:19" x14ac:dyDescent="0.2">
      <c r="O4340" s="4">
        <f t="shared" ca="1" si="368"/>
        <v>0.84232373120705584</v>
      </c>
      <c r="P4340" s="4">
        <f t="shared" ca="1" si="369"/>
        <v>1.0040541004197647</v>
      </c>
      <c r="Q4340" s="4">
        <f t="shared" ca="1" si="370"/>
        <v>1904.3191171118742</v>
      </c>
      <c r="R4340" s="4">
        <f t="shared" ca="1" si="371"/>
        <v>-19.350926888125741</v>
      </c>
      <c r="S4340" s="4">
        <f t="shared" ca="1" si="372"/>
        <v>-9.6431982519420316</v>
      </c>
    </row>
    <row r="4341" spans="15:19" x14ac:dyDescent="0.2">
      <c r="O4341" s="4">
        <f t="shared" ca="1" si="368"/>
        <v>0.56117137877011003</v>
      </c>
      <c r="P4341" s="4">
        <f t="shared" ca="1" si="369"/>
        <v>0.15393974900148646</v>
      </c>
      <c r="Q4341" s="4">
        <f t="shared" ca="1" si="370"/>
        <v>1920.3596455995573</v>
      </c>
      <c r="R4341" s="4">
        <f t="shared" ca="1" si="371"/>
        <v>-3.3103984004426366</v>
      </c>
      <c r="S4341" s="4">
        <f t="shared" ca="1" si="372"/>
        <v>-1.6712951305259289</v>
      </c>
    </row>
    <row r="4342" spans="15:19" x14ac:dyDescent="0.2">
      <c r="O4342" s="4">
        <f t="shared" ca="1" si="368"/>
        <v>0.91656498840138256</v>
      </c>
      <c r="P4342" s="4">
        <f t="shared" ca="1" si="369"/>
        <v>1.3823312231430842</v>
      </c>
      <c r="Q4342" s="4">
        <f t="shared" ca="1" si="370"/>
        <v>1897.1815303235094</v>
      </c>
      <c r="R4342" s="4">
        <f t="shared" ca="1" si="371"/>
        <v>-26.488513676490584</v>
      </c>
      <c r="S4342" s="4">
        <f t="shared" ca="1" si="372"/>
        <v>-13.123128471677056</v>
      </c>
    </row>
    <row r="4343" spans="15:19" x14ac:dyDescent="0.2">
      <c r="O4343" s="4">
        <f t="shared" ca="1" si="368"/>
        <v>0.88736565089784769</v>
      </c>
      <c r="P4343" s="4">
        <f t="shared" ca="1" si="369"/>
        <v>1.2126368379199834</v>
      </c>
      <c r="Q4343" s="4">
        <f t="shared" ca="1" si="370"/>
        <v>1900.3834379443254</v>
      </c>
      <c r="R4343" s="4">
        <f t="shared" ca="1" si="371"/>
        <v>-23.286606055674611</v>
      </c>
      <c r="S4343" s="4">
        <f t="shared" ca="1" si="372"/>
        <v>-11.567168265937108</v>
      </c>
    </row>
    <row r="4344" spans="15:19" x14ac:dyDescent="0.2">
      <c r="O4344" s="4">
        <f t="shared" ca="1" si="368"/>
        <v>0.75202086017638214</v>
      </c>
      <c r="P4344" s="4">
        <f t="shared" ca="1" si="369"/>
        <v>0.68086284556898946</v>
      </c>
      <c r="Q4344" s="4">
        <f t="shared" ca="1" si="370"/>
        <v>1910.4173067516033</v>
      </c>
      <c r="R4344" s="4">
        <f t="shared" ca="1" si="371"/>
        <v>-13.25273724839667</v>
      </c>
      <c r="S4344" s="4">
        <f t="shared" ca="1" si="372"/>
        <v>-6.6371697828402514</v>
      </c>
    </row>
    <row r="4345" spans="15:19" x14ac:dyDescent="0.2">
      <c r="O4345" s="4">
        <f t="shared" ca="1" si="368"/>
        <v>0.81002896047027972</v>
      </c>
      <c r="P4345" s="4">
        <f t="shared" ca="1" si="369"/>
        <v>0.87800302140751785</v>
      </c>
      <c r="Q4345" s="4">
        <f t="shared" ca="1" si="370"/>
        <v>1906.6975335218851</v>
      </c>
      <c r="R4345" s="4">
        <f t="shared" ca="1" si="371"/>
        <v>-16.972510478114827</v>
      </c>
      <c r="S4345" s="4">
        <f t="shared" ca="1" si="372"/>
        <v>-8.4743881990144434</v>
      </c>
    </row>
    <row r="4346" spans="15:19" x14ac:dyDescent="0.2">
      <c r="O4346" s="4">
        <f t="shared" ca="1" si="368"/>
        <v>0.63407736873399101</v>
      </c>
      <c r="P4346" s="4">
        <f t="shared" ca="1" si="369"/>
        <v>0.34267195606983375</v>
      </c>
      <c r="Q4346" s="4">
        <f t="shared" ca="1" si="370"/>
        <v>1916.7985195710737</v>
      </c>
      <c r="R4346" s="4">
        <f t="shared" ca="1" si="371"/>
        <v>-6.87152442892625</v>
      </c>
      <c r="S4346" s="4">
        <f t="shared" ca="1" si="372"/>
        <v>-3.4592120390377206</v>
      </c>
    </row>
    <row r="4347" spans="15:19" x14ac:dyDescent="0.2">
      <c r="O4347" s="4">
        <f t="shared" ca="1" si="368"/>
        <v>0.55517499376387403</v>
      </c>
      <c r="P4347" s="4">
        <f t="shared" ca="1" si="369"/>
        <v>0.13874708118699391</v>
      </c>
      <c r="Q4347" s="4">
        <f t="shared" ca="1" si="370"/>
        <v>1920.6463110587108</v>
      </c>
      <c r="R4347" s="4">
        <f t="shared" ca="1" si="371"/>
        <v>-3.023732941289154</v>
      </c>
      <c r="S4347" s="4">
        <f t="shared" ca="1" si="372"/>
        <v>-1.5269214140442879</v>
      </c>
    </row>
    <row r="4348" spans="15:19" x14ac:dyDescent="0.2">
      <c r="O4348" s="4">
        <f t="shared" ca="1" si="368"/>
        <v>0.61042016313966452</v>
      </c>
      <c r="P4348" s="4">
        <f t="shared" ca="1" si="369"/>
        <v>0.28041429144691782</v>
      </c>
      <c r="Q4348" s="4">
        <f t="shared" ca="1" si="370"/>
        <v>1917.9732389971068</v>
      </c>
      <c r="R4348" s="4">
        <f t="shared" ca="1" si="371"/>
        <v>-5.696805002893143</v>
      </c>
      <c r="S4348" s="4">
        <f t="shared" ca="1" si="372"/>
        <v>-2.8705676355004912</v>
      </c>
    </row>
    <row r="4349" spans="15:19" x14ac:dyDescent="0.2">
      <c r="O4349" s="4">
        <f t="shared" ca="1" si="368"/>
        <v>0.30715642152008404</v>
      </c>
      <c r="P4349" s="4">
        <f t="shared" ca="1" si="369"/>
        <v>-0.5039267628064571</v>
      </c>
      <c r="Q4349" s="4">
        <f t="shared" ca="1" si="370"/>
        <v>1932.7727127429871</v>
      </c>
      <c r="R4349" s="4">
        <f t="shared" ca="1" si="371"/>
        <v>9.1026687429871345</v>
      </c>
      <c r="S4349" s="4">
        <f t="shared" ca="1" si="372"/>
        <v>4.6415892547709969</v>
      </c>
    </row>
    <row r="4350" spans="15:19" x14ac:dyDescent="0.2">
      <c r="O4350" s="4">
        <f t="shared" ca="1" si="368"/>
        <v>0.81863349620318715</v>
      </c>
      <c r="P4350" s="4">
        <f t="shared" ca="1" si="369"/>
        <v>0.91016972537258356</v>
      </c>
      <c r="Q4350" s="4">
        <f t="shared" ca="1" si="370"/>
        <v>1906.0905905495126</v>
      </c>
      <c r="R4350" s="4">
        <f t="shared" ca="1" si="371"/>
        <v>-17.579453450487335</v>
      </c>
      <c r="S4350" s="4">
        <f t="shared" ca="1" si="372"/>
        <v>-8.7730919986635918</v>
      </c>
    </row>
    <row r="4351" spans="15:19" x14ac:dyDescent="0.2">
      <c r="O4351" s="4">
        <f t="shared" ca="1" si="368"/>
        <v>0.27353385133899466</v>
      </c>
      <c r="P4351" s="4">
        <f t="shared" ca="1" si="369"/>
        <v>-0.60215990394718599</v>
      </c>
      <c r="Q4351" s="4">
        <f t="shared" ca="1" si="370"/>
        <v>1934.6262416197476</v>
      </c>
      <c r="R4351" s="4">
        <f t="shared" ca="1" si="371"/>
        <v>10.956197619747627</v>
      </c>
      <c r="S4351" s="4">
        <f t="shared" ca="1" si="372"/>
        <v>5.5949984341499874</v>
      </c>
    </row>
    <row r="4352" spans="15:19" x14ac:dyDescent="0.2">
      <c r="O4352" s="4">
        <f t="shared" ca="1" si="368"/>
        <v>0.98407228819569847</v>
      </c>
      <c r="P4352" s="4">
        <f t="shared" ca="1" si="369"/>
        <v>2.1462200883984894</v>
      </c>
      <c r="Q4352" s="4">
        <f t="shared" ca="1" si="370"/>
        <v>1882.7679622145711</v>
      </c>
      <c r="R4352" s="4">
        <f t="shared" ca="1" si="371"/>
        <v>-40.902081785428891</v>
      </c>
      <c r="S4352" s="4">
        <f t="shared" ca="1" si="372"/>
        <v>-20.024015638710011</v>
      </c>
    </row>
    <row r="4353" spans="15:19" x14ac:dyDescent="0.2">
      <c r="O4353" s="4">
        <f t="shared" ca="1" si="368"/>
        <v>2.2236649837700129E-2</v>
      </c>
      <c r="P4353" s="4">
        <f t="shared" ca="1" si="369"/>
        <v>-2.0096022807807139</v>
      </c>
      <c r="Q4353" s="4">
        <f t="shared" ca="1" si="370"/>
        <v>1961.1828095717017</v>
      </c>
      <c r="R4353" s="4">
        <f t="shared" ca="1" si="371"/>
        <v>37.512765571701721</v>
      </c>
      <c r="S4353" s="4">
        <f t="shared" ca="1" si="372"/>
        <v>19.56216026676227</v>
      </c>
    </row>
    <row r="4354" spans="15:19" x14ac:dyDescent="0.2">
      <c r="O4354" s="4">
        <f t="shared" ca="1" si="368"/>
        <v>0.20951646725208906</v>
      </c>
      <c r="P4354" s="4">
        <f t="shared" ca="1" si="369"/>
        <v>-0.80810014439417388</v>
      </c>
      <c r="Q4354" s="4">
        <f t="shared" ca="1" si="370"/>
        <v>1938.5120603782937</v>
      </c>
      <c r="R4354" s="4">
        <f t="shared" ca="1" si="371"/>
        <v>14.842016378293692</v>
      </c>
      <c r="S4354" s="4">
        <f t="shared" ca="1" si="372"/>
        <v>7.6028454944814365</v>
      </c>
    </row>
    <row r="4355" spans="15:19" x14ac:dyDescent="0.2">
      <c r="O4355" s="4">
        <f t="shared" ref="O4355:O4418" ca="1" si="373">RAND()</f>
        <v>4.020273674941488E-2</v>
      </c>
      <c r="P4355" s="4">
        <f t="shared" ref="P4355:P4418" ca="1" si="374">NORMSINV(O4355)</f>
        <v>-1.7483382505947069</v>
      </c>
      <c r="Q4355" s="4">
        <f t="shared" ref="Q4355:Q4418" ca="1" si="375">$B$4*(1+$B$17-$B$32*P4355)</f>
        <v>1956.2531043949643</v>
      </c>
      <c r="R4355" s="4">
        <f t="shared" ref="R4355:R4418" ca="1" si="376">Q4355-$B$4</f>
        <v>32.583060394964377</v>
      </c>
      <c r="S4355" s="4">
        <f t="shared" ref="S4355:S4418" ca="1" si="377">R4355*$B$12+0.5*$B$13*R4355^2</f>
        <v>16.926031734481491</v>
      </c>
    </row>
    <row r="4356" spans="15:19" x14ac:dyDescent="0.2">
      <c r="O4356" s="4">
        <f t="shared" ca="1" si="373"/>
        <v>0.60968873912378352</v>
      </c>
      <c r="P4356" s="4">
        <f t="shared" ca="1" si="374"/>
        <v>0.27850787364863017</v>
      </c>
      <c r="Q4356" s="4">
        <f t="shared" ca="1" si="375"/>
        <v>1918.0092105684041</v>
      </c>
      <c r="R4356" s="4">
        <f t="shared" ca="1" si="376"/>
        <v>-5.6608334315958473</v>
      </c>
      <c r="S4356" s="4">
        <f t="shared" ca="1" si="377"/>
        <v>-2.8525247827589695</v>
      </c>
    </row>
    <row r="4357" spans="15:19" x14ac:dyDescent="0.2">
      <c r="O4357" s="4">
        <f t="shared" ca="1" si="373"/>
        <v>0.9561438865385774</v>
      </c>
      <c r="P4357" s="4">
        <f t="shared" ca="1" si="374"/>
        <v>1.7075911755017261</v>
      </c>
      <c r="Q4357" s="4">
        <f t="shared" ca="1" si="375"/>
        <v>1891.0443071099419</v>
      </c>
      <c r="R4357" s="4">
        <f t="shared" ca="1" si="376"/>
        <v>-32.625736890058079</v>
      </c>
      <c r="S4357" s="4">
        <f t="shared" ca="1" si="377"/>
        <v>-16.082167339206393</v>
      </c>
    </row>
    <row r="4358" spans="15:19" x14ac:dyDescent="0.2">
      <c r="O4358" s="4">
        <f t="shared" ca="1" si="373"/>
        <v>0.22423719533594</v>
      </c>
      <c r="P4358" s="4">
        <f t="shared" ca="1" si="374"/>
        <v>-0.75796089955822143</v>
      </c>
      <c r="Q4358" s="4">
        <f t="shared" ca="1" si="375"/>
        <v>1937.5659994350801</v>
      </c>
      <c r="R4358" s="4">
        <f t="shared" ca="1" si="376"/>
        <v>13.895955435080168</v>
      </c>
      <c r="S4358" s="4">
        <f t="shared" ca="1" si="377"/>
        <v>7.1128728321519263</v>
      </c>
    </row>
    <row r="4359" spans="15:19" x14ac:dyDescent="0.2">
      <c r="O4359" s="4">
        <f t="shared" ca="1" si="373"/>
        <v>0.93395888075261102</v>
      </c>
      <c r="P4359" s="4">
        <f t="shared" ca="1" si="374"/>
        <v>1.5059413183036012</v>
      </c>
      <c r="Q4359" s="4">
        <f t="shared" ca="1" si="375"/>
        <v>1894.8491720360867</v>
      </c>
      <c r="R4359" s="4">
        <f t="shared" ca="1" si="376"/>
        <v>-28.820871963913305</v>
      </c>
      <c r="S4359" s="4">
        <f t="shared" ca="1" si="377"/>
        <v>-14.251278621073665</v>
      </c>
    </row>
    <row r="4360" spans="15:19" x14ac:dyDescent="0.2">
      <c r="O4360" s="4">
        <f t="shared" ca="1" si="373"/>
        <v>0.61111417504153021</v>
      </c>
      <c r="P4360" s="4">
        <f t="shared" ca="1" si="374"/>
        <v>0.2822241392234599</v>
      </c>
      <c r="Q4360" s="4">
        <f t="shared" ca="1" si="375"/>
        <v>1917.9390895738325</v>
      </c>
      <c r="R4360" s="4">
        <f t="shared" ca="1" si="376"/>
        <v>-5.7309544261675001</v>
      </c>
      <c r="S4360" s="4">
        <f t="shared" ca="1" si="377"/>
        <v>-2.8876955487196199</v>
      </c>
    </row>
    <row r="4361" spans="15:19" x14ac:dyDescent="0.2">
      <c r="O4361" s="4">
        <f t="shared" ca="1" si="373"/>
        <v>0.99612409971750493</v>
      </c>
      <c r="P4361" s="4">
        <f t="shared" ca="1" si="374"/>
        <v>2.6626934157544828</v>
      </c>
      <c r="Q4361" s="4">
        <f t="shared" ca="1" si="375"/>
        <v>1873.0227966297753</v>
      </c>
      <c r="R4361" s="4">
        <f t="shared" ca="1" si="376"/>
        <v>-50.647247370224704</v>
      </c>
      <c r="S4361" s="4">
        <f t="shared" ca="1" si="377"/>
        <v>-24.593941657725097</v>
      </c>
    </row>
    <row r="4362" spans="15:19" x14ac:dyDescent="0.2">
      <c r="O4362" s="4">
        <f t="shared" ca="1" si="373"/>
        <v>0.83934590088423588</v>
      </c>
      <c r="P4362" s="4">
        <f t="shared" ca="1" si="374"/>
        <v>0.99177314998302502</v>
      </c>
      <c r="Q4362" s="4">
        <f t="shared" ca="1" si="375"/>
        <v>1904.5508423321432</v>
      </c>
      <c r="R4362" s="4">
        <f t="shared" ca="1" si="376"/>
        <v>-19.119201667856714</v>
      </c>
      <c r="S4362" s="4">
        <f t="shared" ca="1" si="377"/>
        <v>-9.529525493926398</v>
      </c>
    </row>
    <row r="4363" spans="15:19" x14ac:dyDescent="0.2">
      <c r="O4363" s="4">
        <f t="shared" ca="1" si="373"/>
        <v>0.13123883581971252</v>
      </c>
      <c r="P4363" s="4">
        <f t="shared" ca="1" si="374"/>
        <v>-1.1205541950577218</v>
      </c>
      <c r="Q4363" s="4">
        <f t="shared" ca="1" si="375"/>
        <v>1944.4076532387119</v>
      </c>
      <c r="R4363" s="4">
        <f t="shared" ca="1" si="376"/>
        <v>20.737609238711912</v>
      </c>
      <c r="S4363" s="4">
        <f t="shared" ca="1" si="377"/>
        <v>10.672640403808904</v>
      </c>
    </row>
    <row r="4364" spans="15:19" x14ac:dyDescent="0.2">
      <c r="O4364" s="4">
        <f t="shared" ca="1" si="373"/>
        <v>0.36537194754255453</v>
      </c>
      <c r="P4364" s="4">
        <f t="shared" ca="1" si="374"/>
        <v>-0.34413615332725372</v>
      </c>
      <c r="Q4364" s="4">
        <f t="shared" ca="1" si="375"/>
        <v>1929.7576762139138</v>
      </c>
      <c r="R4364" s="4">
        <f t="shared" ca="1" si="376"/>
        <v>6.087632213913821</v>
      </c>
      <c r="S4364" s="4">
        <f t="shared" ca="1" si="377"/>
        <v>3.0967047411704822</v>
      </c>
    </row>
    <row r="4365" spans="15:19" x14ac:dyDescent="0.2">
      <c r="O4365" s="4">
        <f t="shared" ca="1" si="373"/>
        <v>0.65127768834548649</v>
      </c>
      <c r="P4365" s="4">
        <f t="shared" ca="1" si="374"/>
        <v>0.38877225960692352</v>
      </c>
      <c r="Q4365" s="4">
        <f t="shared" ca="1" si="375"/>
        <v>1915.9286680846899</v>
      </c>
      <c r="R4365" s="4">
        <f t="shared" ca="1" si="376"/>
        <v>-7.7413759153100727</v>
      </c>
      <c r="S4365" s="4">
        <f t="shared" ca="1" si="377"/>
        <v>-3.8943651030208124</v>
      </c>
    </row>
    <row r="4366" spans="15:19" x14ac:dyDescent="0.2">
      <c r="O4366" s="4">
        <f t="shared" ca="1" si="373"/>
        <v>0.27158946120068339</v>
      </c>
      <c r="P4366" s="4">
        <f t="shared" ca="1" si="374"/>
        <v>-0.60801289362843147</v>
      </c>
      <c r="Q4366" s="4">
        <f t="shared" ca="1" si="375"/>
        <v>1934.7366797597033</v>
      </c>
      <c r="R4366" s="4">
        <f t="shared" ca="1" si="376"/>
        <v>11.066635759703331</v>
      </c>
      <c r="S4366" s="4">
        <f t="shared" ca="1" si="377"/>
        <v>5.651893360122088</v>
      </c>
    </row>
    <row r="4367" spans="15:19" x14ac:dyDescent="0.2">
      <c r="O4367" s="4">
        <f t="shared" ca="1" si="373"/>
        <v>0.86165296555928617</v>
      </c>
      <c r="P4367" s="4">
        <f t="shared" ca="1" si="374"/>
        <v>1.0877758600194547</v>
      </c>
      <c r="Q4367" s="4">
        <f t="shared" ca="1" si="375"/>
        <v>1902.7393987273329</v>
      </c>
      <c r="R4367" s="4">
        <f t="shared" ca="1" si="376"/>
        <v>-20.930645272667107</v>
      </c>
      <c r="S4367" s="4">
        <f t="shared" ca="1" si="377"/>
        <v>-10.416963915489772</v>
      </c>
    </row>
    <row r="4368" spans="15:19" x14ac:dyDescent="0.2">
      <c r="O4368" s="4">
        <f t="shared" ca="1" si="373"/>
        <v>0.55999227487268222</v>
      </c>
      <c r="P4368" s="4">
        <f t="shared" ca="1" si="374"/>
        <v>0.15094962957148869</v>
      </c>
      <c r="Q4368" s="4">
        <f t="shared" ca="1" si="375"/>
        <v>1920.4160651810155</v>
      </c>
      <c r="R4368" s="4">
        <f t="shared" ca="1" si="376"/>
        <v>-3.2539788189844785</v>
      </c>
      <c r="S4368" s="4">
        <f t="shared" ca="1" si="377"/>
        <v>-1.642885747687753</v>
      </c>
    </row>
    <row r="4369" spans="15:19" x14ac:dyDescent="0.2">
      <c r="O4369" s="4">
        <f t="shared" ca="1" si="373"/>
        <v>0.14584617266248601</v>
      </c>
      <c r="P4369" s="4">
        <f t="shared" ca="1" si="374"/>
        <v>-1.0544163381775122</v>
      </c>
      <c r="Q4369" s="4">
        <f t="shared" ca="1" si="375"/>
        <v>1943.1597197393758</v>
      </c>
      <c r="R4369" s="4">
        <f t="shared" ca="1" si="376"/>
        <v>19.489675739375798</v>
      </c>
      <c r="S4369" s="4">
        <f t="shared" ca="1" si="377"/>
        <v>10.020488970414831</v>
      </c>
    </row>
    <row r="4370" spans="15:19" x14ac:dyDescent="0.2">
      <c r="O4370" s="4">
        <f t="shared" ca="1" si="373"/>
        <v>0.47952554024614458</v>
      </c>
      <c r="P4370" s="4">
        <f t="shared" ca="1" si="374"/>
        <v>-5.1344410245868562E-2</v>
      </c>
      <c r="Q4370" s="4">
        <f t="shared" ca="1" si="375"/>
        <v>1924.2330849774289</v>
      </c>
      <c r="R4370" s="4">
        <f t="shared" ca="1" si="376"/>
        <v>0.56304097742895465</v>
      </c>
      <c r="S4370" s="4">
        <f t="shared" ca="1" si="377"/>
        <v>0.28514590481618257</v>
      </c>
    </row>
    <row r="4371" spans="15:19" x14ac:dyDescent="0.2">
      <c r="O4371" s="4">
        <f t="shared" ca="1" si="373"/>
        <v>0.60308588114735373</v>
      </c>
      <c r="P4371" s="4">
        <f t="shared" ca="1" si="374"/>
        <v>0.26134270369160123</v>
      </c>
      <c r="Q4371" s="4">
        <f t="shared" ca="1" si="375"/>
        <v>1918.3330945226417</v>
      </c>
      <c r="R4371" s="4">
        <f t="shared" ca="1" si="376"/>
        <v>-5.3369494773583028</v>
      </c>
      <c r="S4371" s="4">
        <f t="shared" ca="1" si="377"/>
        <v>-2.6900215354981198</v>
      </c>
    </row>
    <row r="4372" spans="15:19" x14ac:dyDescent="0.2">
      <c r="O4372" s="4">
        <f t="shared" ca="1" si="373"/>
        <v>0.75310853283586432</v>
      </c>
      <c r="P4372" s="4">
        <f t="shared" ca="1" si="374"/>
        <v>0.68430445512231519</v>
      </c>
      <c r="Q4372" s="4">
        <f t="shared" ca="1" si="375"/>
        <v>1910.3523681512943</v>
      </c>
      <c r="R4372" s="4">
        <f t="shared" ca="1" si="376"/>
        <v>-13.317675848705676</v>
      </c>
      <c r="S4372" s="4">
        <f t="shared" ca="1" si="377"/>
        <v>-6.6693399626463821</v>
      </c>
    </row>
    <row r="4373" spans="15:19" x14ac:dyDescent="0.2">
      <c r="O4373" s="4">
        <f t="shared" ca="1" si="373"/>
        <v>0.63002665666945035</v>
      </c>
      <c r="P4373" s="4">
        <f t="shared" ca="1" si="374"/>
        <v>0.33192394804694403</v>
      </c>
      <c r="Q4373" s="4">
        <f t="shared" ca="1" si="375"/>
        <v>1917.0013202044115</v>
      </c>
      <c r="R4373" s="4">
        <f t="shared" ca="1" si="376"/>
        <v>-6.6687237955884484</v>
      </c>
      <c r="S4373" s="4">
        <f t="shared" ca="1" si="377"/>
        <v>-3.3576701722835431</v>
      </c>
    </row>
    <row r="4374" spans="15:19" x14ac:dyDescent="0.2">
      <c r="O4374" s="4">
        <f t="shared" ca="1" si="373"/>
        <v>0.32731329009221999</v>
      </c>
      <c r="P4374" s="4">
        <f t="shared" ca="1" si="374"/>
        <v>-0.44734416940207566</v>
      </c>
      <c r="Q4374" s="4">
        <f t="shared" ca="1" si="375"/>
        <v>1931.7050743718717</v>
      </c>
      <c r="R4374" s="4">
        <f t="shared" ca="1" si="376"/>
        <v>8.0350303718716987</v>
      </c>
      <c r="S4374" s="4">
        <f t="shared" ca="1" si="377"/>
        <v>4.0936921631583525</v>
      </c>
    </row>
    <row r="4375" spans="15:19" x14ac:dyDescent="0.2">
      <c r="O4375" s="4">
        <f t="shared" ca="1" si="373"/>
        <v>0.76394949910740928</v>
      </c>
      <c r="P4375" s="4">
        <f t="shared" ca="1" si="374"/>
        <v>0.71906478796960072</v>
      </c>
      <c r="Q4375" s="4">
        <f t="shared" ca="1" si="375"/>
        <v>1909.6964868473874</v>
      </c>
      <c r="R4375" s="4">
        <f t="shared" ca="1" si="376"/>
        <v>-13.973557152612557</v>
      </c>
      <c r="S4375" s="4">
        <f t="shared" ca="1" si="377"/>
        <v>-6.994067041391145</v>
      </c>
    </row>
    <row r="4376" spans="15:19" x14ac:dyDescent="0.2">
      <c r="O4376" s="4">
        <f t="shared" ca="1" si="373"/>
        <v>0.53807186121415496</v>
      </c>
      <c r="P4376" s="4">
        <f t="shared" ca="1" si="374"/>
        <v>9.5577321469155263E-2</v>
      </c>
      <c r="Q4376" s="4">
        <f t="shared" ca="1" si="375"/>
        <v>1921.4608670762693</v>
      </c>
      <c r="R4376" s="4">
        <f t="shared" ca="1" si="376"/>
        <v>-2.209176923730638</v>
      </c>
      <c r="S4376" s="4">
        <f t="shared" ca="1" si="377"/>
        <v>-1.1163203113070437</v>
      </c>
    </row>
    <row r="4377" spans="15:19" x14ac:dyDescent="0.2">
      <c r="O4377" s="4">
        <f t="shared" ca="1" si="373"/>
        <v>0.53212534898763475</v>
      </c>
      <c r="P4377" s="4">
        <f t="shared" ca="1" si="374"/>
        <v>8.0613534800930628E-2</v>
      </c>
      <c r="Q4377" s="4">
        <f t="shared" ca="1" si="375"/>
        <v>1921.743213852247</v>
      </c>
      <c r="R4377" s="4">
        <f t="shared" ca="1" si="376"/>
        <v>-1.9268301477529803</v>
      </c>
      <c r="S4377" s="4">
        <f t="shared" ca="1" si="377"/>
        <v>-0.97386897841083064</v>
      </c>
    </row>
    <row r="4378" spans="15:19" x14ac:dyDescent="0.2">
      <c r="O4378" s="4">
        <f t="shared" ca="1" si="373"/>
        <v>0.51163747591942299</v>
      </c>
      <c r="P4378" s="4">
        <f t="shared" ca="1" si="374"/>
        <v>2.9174964507265182E-2</v>
      </c>
      <c r="Q4378" s="4">
        <f t="shared" ca="1" si="375"/>
        <v>1922.7137913407748</v>
      </c>
      <c r="R4378" s="4">
        <f t="shared" ca="1" si="376"/>
        <v>-0.95625265922512881</v>
      </c>
      <c r="S4378" s="4">
        <f t="shared" ca="1" si="377"/>
        <v>-0.48369223060946259</v>
      </c>
    </row>
    <row r="4379" spans="15:19" x14ac:dyDescent="0.2">
      <c r="O4379" s="4">
        <f t="shared" ca="1" si="373"/>
        <v>0.17028818124095368</v>
      </c>
      <c r="P4379" s="4">
        <f t="shared" ca="1" si="374"/>
        <v>-0.95302705588247749</v>
      </c>
      <c r="Q4379" s="4">
        <f t="shared" ca="1" si="375"/>
        <v>1941.2466386717688</v>
      </c>
      <c r="R4379" s="4">
        <f t="shared" ca="1" si="376"/>
        <v>17.576594671768817</v>
      </c>
      <c r="S4379" s="4">
        <f t="shared" ca="1" si="377"/>
        <v>9.0232029991640417</v>
      </c>
    </row>
    <row r="4380" spans="15:19" x14ac:dyDescent="0.2">
      <c r="O4380" s="4">
        <f t="shared" ca="1" si="373"/>
        <v>0.80287263256787889</v>
      </c>
      <c r="P4380" s="4">
        <f t="shared" ca="1" si="374"/>
        <v>0.85192677520459059</v>
      </c>
      <c r="Q4380" s="4">
        <f t="shared" ca="1" si="375"/>
        <v>1907.1895576470774</v>
      </c>
      <c r="R4380" s="4">
        <f t="shared" ca="1" si="376"/>
        <v>-16.480486352922526</v>
      </c>
      <c r="S4380" s="4">
        <f t="shared" ca="1" si="377"/>
        <v>-8.2320209973166527</v>
      </c>
    </row>
    <row r="4381" spans="15:19" x14ac:dyDescent="0.2">
      <c r="O4381" s="4">
        <f t="shared" ca="1" si="373"/>
        <v>0.49016153968989118</v>
      </c>
      <c r="P4381" s="4">
        <f t="shared" ca="1" si="374"/>
        <v>-2.4663863093910873E-2</v>
      </c>
      <c r="Q4381" s="4">
        <f t="shared" ca="1" si="375"/>
        <v>1923.7296584961045</v>
      </c>
      <c r="R4381" s="4">
        <f t="shared" ca="1" si="376"/>
        <v>5.9614496104586578E-2</v>
      </c>
      <c r="S4381" s="4">
        <f t="shared" ca="1" si="377"/>
        <v>3.0178888524990451E-2</v>
      </c>
    </row>
    <row r="4382" spans="15:19" x14ac:dyDescent="0.2">
      <c r="O4382" s="4">
        <f t="shared" ca="1" si="373"/>
        <v>0.87091794589902349</v>
      </c>
      <c r="P4382" s="4">
        <f t="shared" ca="1" si="374"/>
        <v>1.1307410261384538</v>
      </c>
      <c r="Q4382" s="4">
        <f t="shared" ca="1" si="375"/>
        <v>1901.928703119195</v>
      </c>
      <c r="R4382" s="4">
        <f t="shared" ca="1" si="376"/>
        <v>-21.741340880804955</v>
      </c>
      <c r="S4382" s="4">
        <f t="shared" ca="1" si="377"/>
        <v>-10.813263823573189</v>
      </c>
    </row>
    <row r="4383" spans="15:19" x14ac:dyDescent="0.2">
      <c r="O4383" s="4">
        <f t="shared" ca="1" si="373"/>
        <v>0.35794770851947644</v>
      </c>
      <c r="P4383" s="4">
        <f t="shared" ca="1" si="374"/>
        <v>-0.36394990577750908</v>
      </c>
      <c r="Q4383" s="4">
        <f t="shared" ca="1" si="375"/>
        <v>1930.1315354013232</v>
      </c>
      <c r="R4383" s="4">
        <f t="shared" ca="1" si="376"/>
        <v>6.461491401323201</v>
      </c>
      <c r="S4383" s="4">
        <f t="shared" ca="1" si="377"/>
        <v>3.2878657318314009</v>
      </c>
    </row>
    <row r="4384" spans="15:19" x14ac:dyDescent="0.2">
      <c r="O4384" s="4">
        <f t="shared" ca="1" si="373"/>
        <v>0.41326656863661682</v>
      </c>
      <c r="P4384" s="4">
        <f t="shared" ca="1" si="374"/>
        <v>-0.21915008426724744</v>
      </c>
      <c r="Q4384" s="4">
        <f t="shared" ca="1" si="375"/>
        <v>1927.3993551269025</v>
      </c>
      <c r="R4384" s="4">
        <f t="shared" ca="1" si="376"/>
        <v>3.7293111269025303</v>
      </c>
      <c r="S4384" s="4">
        <f t="shared" ca="1" si="377"/>
        <v>1.8934752423857726</v>
      </c>
    </row>
    <row r="4385" spans="15:19" x14ac:dyDescent="0.2">
      <c r="O4385" s="4">
        <f t="shared" ca="1" si="373"/>
        <v>0.38889248474826466</v>
      </c>
      <c r="P4385" s="4">
        <f t="shared" ca="1" si="374"/>
        <v>-0.28220676740549483</v>
      </c>
      <c r="Q4385" s="4">
        <f t="shared" ca="1" si="375"/>
        <v>1928.5891509708742</v>
      </c>
      <c r="R4385" s="4">
        <f t="shared" ca="1" si="376"/>
        <v>4.9191069708742816</v>
      </c>
      <c r="S4385" s="4">
        <f t="shared" ca="1" si="377"/>
        <v>2.4999502345918292</v>
      </c>
    </row>
    <row r="4386" spans="15:19" x14ac:dyDescent="0.2">
      <c r="O4386" s="4">
        <f t="shared" ca="1" si="373"/>
        <v>0.35478432015631745</v>
      </c>
      <c r="P4386" s="4">
        <f t="shared" ca="1" si="374"/>
        <v>-0.37243548174036722</v>
      </c>
      <c r="Q4386" s="4">
        <f t="shared" ca="1" si="375"/>
        <v>1930.2916469471868</v>
      </c>
      <c r="R4386" s="4">
        <f t="shared" ca="1" si="376"/>
        <v>6.6216029471868296</v>
      </c>
      <c r="S4386" s="4">
        <f t="shared" ca="1" si="377"/>
        <v>3.3697684747014867</v>
      </c>
    </row>
    <row r="4387" spans="15:19" x14ac:dyDescent="0.2">
      <c r="O4387" s="4">
        <f t="shared" ca="1" si="373"/>
        <v>1.9290476994153871E-2</v>
      </c>
      <c r="P4387" s="4">
        <f t="shared" ca="1" si="374"/>
        <v>-2.0686285788048275</v>
      </c>
      <c r="Q4387" s="4">
        <f t="shared" ca="1" si="375"/>
        <v>1962.2965574026832</v>
      </c>
      <c r="R4387" s="4">
        <f t="shared" ca="1" si="376"/>
        <v>38.626513402683258</v>
      </c>
      <c r="S4387" s="4">
        <f t="shared" ca="1" si="377"/>
        <v>20.16046978062062</v>
      </c>
    </row>
    <row r="4388" spans="15:19" x14ac:dyDescent="0.2">
      <c r="O4388" s="4">
        <f t="shared" ca="1" si="373"/>
        <v>0.69502929581773509</v>
      </c>
      <c r="P4388" s="4">
        <f t="shared" ca="1" si="374"/>
        <v>0.51015709447804514</v>
      </c>
      <c r="Q4388" s="4">
        <f t="shared" ca="1" si="375"/>
        <v>1913.6382975028091</v>
      </c>
      <c r="R4388" s="4">
        <f t="shared" ca="1" si="376"/>
        <v>-10.031746497190852</v>
      </c>
      <c r="S4388" s="4">
        <f t="shared" ca="1" si="377"/>
        <v>-5.0372025436120147</v>
      </c>
    </row>
    <row r="4389" spans="15:19" x14ac:dyDescent="0.2">
      <c r="O4389" s="4">
        <f t="shared" ca="1" si="373"/>
        <v>0.15823160045613394</v>
      </c>
      <c r="P4389" s="4">
        <f t="shared" ca="1" si="374"/>
        <v>-1.0017523814202858</v>
      </c>
      <c r="Q4389" s="4">
        <f t="shared" ca="1" si="375"/>
        <v>1942.1660208361291</v>
      </c>
      <c r="R4389" s="4">
        <f t="shared" ca="1" si="376"/>
        <v>18.495976836129103</v>
      </c>
      <c r="S4389" s="4">
        <f t="shared" ca="1" si="377"/>
        <v>9.5021034947587548</v>
      </c>
    </row>
    <row r="4390" spans="15:19" x14ac:dyDescent="0.2">
      <c r="O4390" s="4">
        <f t="shared" ca="1" si="373"/>
        <v>0.74044866368109563</v>
      </c>
      <c r="P4390" s="4">
        <f t="shared" ca="1" si="374"/>
        <v>0.64472922692824175</v>
      </c>
      <c r="Q4390" s="4">
        <f t="shared" ca="1" si="375"/>
        <v>1911.0991001341088</v>
      </c>
      <c r="R4390" s="4">
        <f t="shared" ca="1" si="376"/>
        <v>-12.570943865891195</v>
      </c>
      <c r="S4390" s="4">
        <f t="shared" ca="1" si="377"/>
        <v>-6.2992063241937402</v>
      </c>
    </row>
    <row r="4391" spans="15:19" x14ac:dyDescent="0.2">
      <c r="O4391" s="4">
        <f t="shared" ca="1" si="373"/>
        <v>0.38919078317319844</v>
      </c>
      <c r="P4391" s="4">
        <f t="shared" ca="1" si="374"/>
        <v>-0.28142875412589319</v>
      </c>
      <c r="Q4391" s="4">
        <f t="shared" ca="1" si="375"/>
        <v>1928.5744708938298</v>
      </c>
      <c r="R4391" s="4">
        <f t="shared" ca="1" si="376"/>
        <v>4.9044268938298501</v>
      </c>
      <c r="S4391" s="4">
        <f t="shared" ca="1" si="377"/>
        <v>2.4924603322536818</v>
      </c>
    </row>
    <row r="4392" spans="15:19" x14ac:dyDescent="0.2">
      <c r="O4392" s="4">
        <f t="shared" ca="1" si="373"/>
        <v>0.49318543826269057</v>
      </c>
      <c r="P4392" s="4">
        <f t="shared" ca="1" si="374"/>
        <v>-1.7082403892101944E-2</v>
      </c>
      <c r="Q4392" s="4">
        <f t="shared" ca="1" si="375"/>
        <v>1923.5866064324591</v>
      </c>
      <c r="R4392" s="4">
        <f t="shared" ca="1" si="376"/>
        <v>-8.3437567540840973E-2</v>
      </c>
      <c r="S4392" s="4">
        <f t="shared" ca="1" si="377"/>
        <v>-4.2234080006456648E-2</v>
      </c>
    </row>
    <row r="4393" spans="15:19" x14ac:dyDescent="0.2">
      <c r="O4393" s="4">
        <f t="shared" ca="1" si="373"/>
        <v>0.71212167169156027</v>
      </c>
      <c r="P4393" s="4">
        <f t="shared" ca="1" si="374"/>
        <v>0.55959362145309788</v>
      </c>
      <c r="Q4393" s="4">
        <f t="shared" ca="1" si="375"/>
        <v>1912.7054959121144</v>
      </c>
      <c r="R4393" s="4">
        <f t="shared" ca="1" si="376"/>
        <v>-10.964548087885532</v>
      </c>
      <c r="S4393" s="4">
        <f t="shared" ca="1" si="377"/>
        <v>-5.501423241279026</v>
      </c>
    </row>
    <row r="4394" spans="15:19" x14ac:dyDescent="0.2">
      <c r="O4394" s="4">
        <f t="shared" ca="1" si="373"/>
        <v>0.19185056292695435</v>
      </c>
      <c r="P4394" s="4">
        <f t="shared" ca="1" si="374"/>
        <v>-0.87109712121405714</v>
      </c>
      <c r="Q4394" s="4">
        <f t="shared" ca="1" si="375"/>
        <v>1939.7007296433535</v>
      </c>
      <c r="R4394" s="4">
        <f t="shared" ca="1" si="376"/>
        <v>16.030685643353536</v>
      </c>
      <c r="S4394" s="4">
        <f t="shared" ca="1" si="377"/>
        <v>8.2194999145975167</v>
      </c>
    </row>
    <row r="4395" spans="15:19" x14ac:dyDescent="0.2">
      <c r="O4395" s="4">
        <f t="shared" ca="1" si="373"/>
        <v>0.41353114352085851</v>
      </c>
      <c r="P4395" s="4">
        <f t="shared" ca="1" si="374"/>
        <v>-0.21847082568265519</v>
      </c>
      <c r="Q4395" s="4">
        <f t="shared" ca="1" si="375"/>
        <v>1927.3865384197638</v>
      </c>
      <c r="R4395" s="4">
        <f t="shared" ca="1" si="376"/>
        <v>3.7164944197638761</v>
      </c>
      <c r="S4395" s="4">
        <f t="shared" ca="1" si="377"/>
        <v>1.8869484527888856</v>
      </c>
    </row>
    <row r="4396" spans="15:19" x14ac:dyDescent="0.2">
      <c r="O4396" s="4">
        <f t="shared" ca="1" si="373"/>
        <v>0.40059503421602227</v>
      </c>
      <c r="P4396" s="4">
        <f t="shared" ca="1" si="374"/>
        <v>-0.25180723025343504</v>
      </c>
      <c r="Q4396" s="4">
        <f t="shared" ca="1" si="375"/>
        <v>1928.0155520886924</v>
      </c>
      <c r="R4396" s="4">
        <f t="shared" ca="1" si="376"/>
        <v>4.3455080886924407</v>
      </c>
      <c r="S4396" s="4">
        <f t="shared" ca="1" si="377"/>
        <v>2.2074256258603624</v>
      </c>
    </row>
    <row r="4397" spans="15:19" x14ac:dyDescent="0.2">
      <c r="O4397" s="4">
        <f t="shared" ca="1" si="373"/>
        <v>0.75983254068809425</v>
      </c>
      <c r="P4397" s="4">
        <f t="shared" ca="1" si="374"/>
        <v>0.70576399124467426</v>
      </c>
      <c r="Q4397" s="4">
        <f t="shared" ca="1" si="375"/>
        <v>1909.9474552123129</v>
      </c>
      <c r="R4397" s="4">
        <f t="shared" ca="1" si="376"/>
        <v>-13.722588787687073</v>
      </c>
      <c r="S4397" s="4">
        <f t="shared" ca="1" si="377"/>
        <v>-6.8698538766123614</v>
      </c>
    </row>
    <row r="4398" spans="15:19" x14ac:dyDescent="0.2">
      <c r="O4398" s="4">
        <f t="shared" ca="1" si="373"/>
        <v>0.72171218585979191</v>
      </c>
      <c r="P4398" s="4">
        <f t="shared" ca="1" si="374"/>
        <v>0.58793543867719356</v>
      </c>
      <c r="Q4398" s="4">
        <f t="shared" ca="1" si="375"/>
        <v>1912.1707234714215</v>
      </c>
      <c r="R4398" s="4">
        <f t="shared" ca="1" si="376"/>
        <v>-11.499320528578437</v>
      </c>
      <c r="S4398" s="4">
        <f t="shared" ca="1" si="377"/>
        <v>-5.7672401426466484</v>
      </c>
    </row>
    <row r="4399" spans="15:19" x14ac:dyDescent="0.2">
      <c r="O4399" s="4">
        <f t="shared" ca="1" si="373"/>
        <v>0.48307755035435362</v>
      </c>
      <c r="P4399" s="4">
        <f t="shared" ca="1" si="374"/>
        <v>-4.24310193939091E-2</v>
      </c>
      <c r="Q4399" s="4">
        <f t="shared" ca="1" si="375"/>
        <v>1924.0649011329328</v>
      </c>
      <c r="R4399" s="4">
        <f t="shared" ca="1" si="376"/>
        <v>0.39485713293288427</v>
      </c>
      <c r="S4399" s="4">
        <f t="shared" ca="1" si="377"/>
        <v>0.19994401531930206</v>
      </c>
    </row>
    <row r="4400" spans="15:19" x14ac:dyDescent="0.2">
      <c r="O4400" s="4">
        <f t="shared" ca="1" si="373"/>
        <v>0.47799521881506335</v>
      </c>
      <c r="P4400" s="4">
        <f t="shared" ca="1" si="374"/>
        <v>-5.5185805051061368E-2</v>
      </c>
      <c r="Q4400" s="4">
        <f t="shared" ca="1" si="375"/>
        <v>1924.305566994351</v>
      </c>
      <c r="R4400" s="4">
        <f t="shared" ca="1" si="376"/>
        <v>0.63552299435104942</v>
      </c>
      <c r="S4400" s="4">
        <f t="shared" ca="1" si="377"/>
        <v>0.32187237560456144</v>
      </c>
    </row>
    <row r="4401" spans="15:19" x14ac:dyDescent="0.2">
      <c r="O4401" s="4">
        <f t="shared" ca="1" si="373"/>
        <v>0.43759717042479829</v>
      </c>
      <c r="P4401" s="4">
        <f t="shared" ca="1" si="374"/>
        <v>-0.15706408676159866</v>
      </c>
      <c r="Q4401" s="4">
        <f t="shared" ca="1" si="375"/>
        <v>1926.2278748313233</v>
      </c>
      <c r="R4401" s="4">
        <f t="shared" ca="1" si="376"/>
        <v>2.557830831323372</v>
      </c>
      <c r="S4401" s="4">
        <f t="shared" ca="1" si="377"/>
        <v>1.2974622703508916</v>
      </c>
    </row>
    <row r="4402" spans="15:19" x14ac:dyDescent="0.2">
      <c r="O4402" s="4">
        <f t="shared" ca="1" si="373"/>
        <v>0.18401981882799701</v>
      </c>
      <c r="P4402" s="4">
        <f t="shared" ca="1" si="374"/>
        <v>-0.9001514900458053</v>
      </c>
      <c r="Q4402" s="4">
        <f t="shared" ca="1" si="375"/>
        <v>1940.2489469863024</v>
      </c>
      <c r="R4402" s="4">
        <f t="shared" ca="1" si="376"/>
        <v>16.57890298630241</v>
      </c>
      <c r="S4402" s="4">
        <f t="shared" ca="1" si="377"/>
        <v>8.5042901377010249</v>
      </c>
    </row>
    <row r="4403" spans="15:19" x14ac:dyDescent="0.2">
      <c r="O4403" s="4">
        <f t="shared" ca="1" si="373"/>
        <v>0.94361676313032938</v>
      </c>
      <c r="P4403" s="4">
        <f t="shared" ca="1" si="374"/>
        <v>1.5858802634857005</v>
      </c>
      <c r="Q4403" s="4">
        <f t="shared" ca="1" si="375"/>
        <v>1893.3408303343738</v>
      </c>
      <c r="R4403" s="4">
        <f t="shared" ca="1" si="376"/>
        <v>-30.329213665626185</v>
      </c>
      <c r="S4403" s="4">
        <f t="shared" ca="1" si="377"/>
        <v>-14.978497842214663</v>
      </c>
    </row>
    <row r="4404" spans="15:19" x14ac:dyDescent="0.2">
      <c r="O4404" s="4">
        <f t="shared" ca="1" si="373"/>
        <v>0.6788964265559233</v>
      </c>
      <c r="P4404" s="4">
        <f t="shared" ca="1" si="374"/>
        <v>0.46461505807099535</v>
      </c>
      <c r="Q4404" s="4">
        <f t="shared" ca="1" si="375"/>
        <v>1914.4976152300721</v>
      </c>
      <c r="R4404" s="4">
        <f t="shared" ca="1" si="376"/>
        <v>-9.1724287699278193</v>
      </c>
      <c r="S4404" s="4">
        <f t="shared" ca="1" si="377"/>
        <v>-4.6089251482479074</v>
      </c>
    </row>
    <row r="4405" spans="15:19" x14ac:dyDescent="0.2">
      <c r="O4405" s="4">
        <f t="shared" ca="1" si="373"/>
        <v>0.59587971245206495</v>
      </c>
      <c r="P4405" s="4">
        <f t="shared" ca="1" si="374"/>
        <v>0.24269642759565127</v>
      </c>
      <c r="Q4405" s="4">
        <f t="shared" ca="1" si="375"/>
        <v>1918.6849249821644</v>
      </c>
      <c r="R4405" s="4">
        <f t="shared" ca="1" si="376"/>
        <v>-4.9851190178355864</v>
      </c>
      <c r="S4405" s="4">
        <f t="shared" ca="1" si="377"/>
        <v>-2.5133998307105228</v>
      </c>
    </row>
    <row r="4406" spans="15:19" x14ac:dyDescent="0.2">
      <c r="O4406" s="4">
        <f t="shared" ca="1" si="373"/>
        <v>0.21499446716744042</v>
      </c>
      <c r="P4406" s="4">
        <f t="shared" ca="1" si="374"/>
        <v>-0.78921058852125248</v>
      </c>
      <c r="Q4406" s="4">
        <f t="shared" ca="1" si="375"/>
        <v>1938.1556395525613</v>
      </c>
      <c r="R4406" s="4">
        <f t="shared" ca="1" si="376"/>
        <v>14.485595552561335</v>
      </c>
      <c r="S4406" s="4">
        <f t="shared" ca="1" si="377"/>
        <v>7.41816669830673</v>
      </c>
    </row>
    <row r="4407" spans="15:19" x14ac:dyDescent="0.2">
      <c r="O4407" s="4">
        <f t="shared" ca="1" si="373"/>
        <v>0.90242142447957052</v>
      </c>
      <c r="P4407" s="4">
        <f t="shared" ca="1" si="374"/>
        <v>1.2954728798722726</v>
      </c>
      <c r="Q4407" s="4">
        <f t="shared" ca="1" si="375"/>
        <v>1898.8204318751702</v>
      </c>
      <c r="R4407" s="4">
        <f t="shared" ca="1" si="376"/>
        <v>-24.849612124829719</v>
      </c>
      <c r="S4407" s="4">
        <f t="shared" ca="1" si="377"/>
        <v>-12.327750498416753</v>
      </c>
    </row>
    <row r="4408" spans="15:19" x14ac:dyDescent="0.2">
      <c r="O4408" s="4">
        <f t="shared" ca="1" si="373"/>
        <v>0.84359290623411531</v>
      </c>
      <c r="P4408" s="4">
        <f t="shared" ca="1" si="374"/>
        <v>1.009334608834878</v>
      </c>
      <c r="Q4408" s="4">
        <f t="shared" ca="1" si="375"/>
        <v>1904.2194809329051</v>
      </c>
      <c r="R4408" s="4">
        <f t="shared" ca="1" si="376"/>
        <v>-19.45056306709489</v>
      </c>
      <c r="S4408" s="4">
        <f t="shared" ca="1" si="377"/>
        <v>-9.6920613189298983</v>
      </c>
    </row>
    <row r="4409" spans="15:19" x14ac:dyDescent="0.2">
      <c r="O4409" s="4">
        <f t="shared" ca="1" si="373"/>
        <v>0.31051915711369438</v>
      </c>
      <c r="P4409" s="4">
        <f t="shared" ca="1" si="374"/>
        <v>-0.49437932264648404</v>
      </c>
      <c r="Q4409" s="4">
        <f t="shared" ca="1" si="375"/>
        <v>1932.5925652303436</v>
      </c>
      <c r="R4409" s="4">
        <f t="shared" ca="1" si="376"/>
        <v>8.922521230343591</v>
      </c>
      <c r="S4409" s="4">
        <f t="shared" ca="1" si="377"/>
        <v>4.5490749869462412</v>
      </c>
    </row>
    <row r="4410" spans="15:19" x14ac:dyDescent="0.2">
      <c r="O4410" s="4">
        <f t="shared" ca="1" si="373"/>
        <v>0.63846023717328648</v>
      </c>
      <c r="P4410" s="4">
        <f t="shared" ca="1" si="374"/>
        <v>0.354346096752513</v>
      </c>
      <c r="Q4410" s="4">
        <f t="shared" ca="1" si="375"/>
        <v>1916.5782440447551</v>
      </c>
      <c r="R4410" s="4">
        <f t="shared" ca="1" si="376"/>
        <v>-7.0917999552448236</v>
      </c>
      <c r="S4410" s="4">
        <f t="shared" ca="1" si="377"/>
        <v>-3.5694656132135636</v>
      </c>
    </row>
    <row r="4411" spans="15:19" x14ac:dyDescent="0.2">
      <c r="O4411" s="4">
        <f t="shared" ca="1" si="373"/>
        <v>0.14908605507347261</v>
      </c>
      <c r="P4411" s="4">
        <f t="shared" ca="1" si="374"/>
        <v>-1.040361222991051</v>
      </c>
      <c r="Q4411" s="4">
        <f t="shared" ca="1" si="375"/>
        <v>1942.894518387146</v>
      </c>
      <c r="R4411" s="4">
        <f t="shared" ca="1" si="376"/>
        <v>19.224474387146074</v>
      </c>
      <c r="S4411" s="4">
        <f t="shared" ca="1" si="377"/>
        <v>9.8820620502499388</v>
      </c>
    </row>
    <row r="4412" spans="15:19" x14ac:dyDescent="0.2">
      <c r="O4412" s="4">
        <f t="shared" ca="1" si="373"/>
        <v>0.82579851619049205</v>
      </c>
      <c r="P4412" s="4">
        <f t="shared" ca="1" si="374"/>
        <v>0.9376915110375027</v>
      </c>
      <c r="Q4412" s="4">
        <f t="shared" ca="1" si="375"/>
        <v>1905.5712910149809</v>
      </c>
      <c r="R4412" s="4">
        <f t="shared" ca="1" si="376"/>
        <v>-18.098752985019019</v>
      </c>
      <c r="S4412" s="4">
        <f t="shared" ca="1" si="377"/>
        <v>-9.0284244628115307</v>
      </c>
    </row>
    <row r="4413" spans="15:19" x14ac:dyDescent="0.2">
      <c r="O4413" s="4">
        <f t="shared" ca="1" si="373"/>
        <v>0.28519567725905159</v>
      </c>
      <c r="P4413" s="4">
        <f t="shared" ca="1" si="374"/>
        <v>-0.56747522457963684</v>
      </c>
      <c r="Q4413" s="4">
        <f t="shared" ca="1" si="375"/>
        <v>1933.9717877965024</v>
      </c>
      <c r="R4413" s="4">
        <f t="shared" ca="1" si="376"/>
        <v>10.301743796502478</v>
      </c>
      <c r="S4413" s="4">
        <f t="shared" ca="1" si="377"/>
        <v>5.258044212617075</v>
      </c>
    </row>
    <row r="4414" spans="15:19" x14ac:dyDescent="0.2">
      <c r="O4414" s="4">
        <f t="shared" ca="1" si="373"/>
        <v>0.66973704467388917</v>
      </c>
      <c r="P4414" s="4">
        <f t="shared" ca="1" si="374"/>
        <v>0.43918718391794231</v>
      </c>
      <c r="Q4414" s="4">
        <f t="shared" ca="1" si="375"/>
        <v>1914.9774054360048</v>
      </c>
      <c r="R4414" s="4">
        <f t="shared" ca="1" si="376"/>
        <v>-8.6926385639951604</v>
      </c>
      <c r="S4414" s="4">
        <f t="shared" ca="1" si="377"/>
        <v>-4.3695398339967682</v>
      </c>
    </row>
    <row r="4415" spans="15:19" x14ac:dyDescent="0.2">
      <c r="O4415" s="4">
        <f t="shared" ca="1" si="373"/>
        <v>0.48179897104499914</v>
      </c>
      <c r="P4415" s="4">
        <f t="shared" ca="1" si="374"/>
        <v>-4.5639052630026537E-2</v>
      </c>
      <c r="Q4415" s="4">
        <f t="shared" ca="1" si="375"/>
        <v>1924.1254324584274</v>
      </c>
      <c r="R4415" s="4">
        <f t="shared" ca="1" si="376"/>
        <v>0.45538845842747833</v>
      </c>
      <c r="S4415" s="4">
        <f t="shared" ca="1" si="377"/>
        <v>0.23060651560858611</v>
      </c>
    </row>
    <row r="4416" spans="15:19" x14ac:dyDescent="0.2">
      <c r="O4416" s="4">
        <f t="shared" ca="1" si="373"/>
        <v>0.11928167126354294</v>
      </c>
      <c r="P4416" s="4">
        <f t="shared" ca="1" si="374"/>
        <v>-1.1785853135713731</v>
      </c>
      <c r="Q4416" s="4">
        <f t="shared" ca="1" si="375"/>
        <v>1945.5026233543642</v>
      </c>
      <c r="R4416" s="4">
        <f t="shared" ca="1" si="376"/>
        <v>21.83257935436427</v>
      </c>
      <c r="S4416" s="4">
        <f t="shared" ca="1" si="377"/>
        <v>11.245899753626869</v>
      </c>
    </row>
    <row r="4417" spans="15:19" x14ac:dyDescent="0.2">
      <c r="O4417" s="4">
        <f t="shared" ca="1" si="373"/>
        <v>0.9145544101221208</v>
      </c>
      <c r="P4417" s="4">
        <f t="shared" ca="1" si="374"/>
        <v>1.3693458899014115</v>
      </c>
      <c r="Q4417" s="4">
        <f t="shared" ca="1" si="375"/>
        <v>1897.4265463115794</v>
      </c>
      <c r="R4417" s="4">
        <f t="shared" ca="1" si="376"/>
        <v>-26.243497688420575</v>
      </c>
      <c r="S4417" s="4">
        <f t="shared" ca="1" si="377"/>
        <v>-13.004358388664965</v>
      </c>
    </row>
    <row r="4418" spans="15:19" x14ac:dyDescent="0.2">
      <c r="O4418" s="4">
        <f t="shared" ca="1" si="373"/>
        <v>0.58970107990510001</v>
      </c>
      <c r="P4418" s="4">
        <f t="shared" ca="1" si="374"/>
        <v>0.2267761113274169</v>
      </c>
      <c r="Q4418" s="4">
        <f t="shared" ca="1" si="375"/>
        <v>1918.9853202010047</v>
      </c>
      <c r="R4418" s="4">
        <f t="shared" ca="1" si="376"/>
        <v>-4.6847237989952646</v>
      </c>
      <c r="S4418" s="4">
        <f t="shared" ca="1" si="377"/>
        <v>-2.3625192729174174</v>
      </c>
    </row>
    <row r="4419" spans="15:19" x14ac:dyDescent="0.2">
      <c r="O4419" s="4">
        <f t="shared" ref="O4419:O4482" ca="1" si="378">RAND()</f>
        <v>0.46524373231314831</v>
      </c>
      <c r="P4419" s="4">
        <f t="shared" ref="P4419:P4482" ca="1" si="379">NORMSINV(O4419)</f>
        <v>-8.7231546267688656E-2</v>
      </c>
      <c r="Q4419" s="4">
        <f t="shared" ref="Q4419:Q4482" ca="1" si="380">$B$4*(1+$B$17-$B$32*P4419)</f>
        <v>1924.9102275603523</v>
      </c>
      <c r="R4419" s="4">
        <f t="shared" ref="R4419:R4482" ca="1" si="381">Q4419-$B$4</f>
        <v>1.2401835603523068</v>
      </c>
      <c r="S4419" s="4">
        <f t="shared" ref="S4419:S4482" ca="1" si="382">R4419*$B$12+0.5*$B$13*R4419^2</f>
        <v>0.62841916069624515</v>
      </c>
    </row>
    <row r="4420" spans="15:19" x14ac:dyDescent="0.2">
      <c r="O4420" s="4">
        <f t="shared" ca="1" si="378"/>
        <v>0.60538422235382783</v>
      </c>
      <c r="P4420" s="4">
        <f t="shared" ca="1" si="379"/>
        <v>0.26730861361504626</v>
      </c>
      <c r="Q4420" s="4">
        <f t="shared" ca="1" si="380"/>
        <v>1918.2205257277235</v>
      </c>
      <c r="R4420" s="4">
        <f t="shared" ca="1" si="381"/>
        <v>-5.4495182722764639</v>
      </c>
      <c r="S4420" s="4">
        <f t="shared" ca="1" si="382"/>
        <v>-2.746510690623019</v>
      </c>
    </row>
    <row r="4421" spans="15:19" x14ac:dyDescent="0.2">
      <c r="O4421" s="4">
        <f t="shared" ca="1" si="378"/>
        <v>0.72269799266545021</v>
      </c>
      <c r="P4421" s="4">
        <f t="shared" ca="1" si="379"/>
        <v>0.59087524356728982</v>
      </c>
      <c r="Q4421" s="4">
        <f t="shared" ca="1" si="380"/>
        <v>1912.1152532584917</v>
      </c>
      <c r="R4421" s="4">
        <f t="shared" ca="1" si="381"/>
        <v>-11.554790741508214</v>
      </c>
      <c r="S4421" s="4">
        <f t="shared" ca="1" si="382"/>
        <v>-5.7947991409305368</v>
      </c>
    </row>
    <row r="4422" spans="15:19" x14ac:dyDescent="0.2">
      <c r="O4422" s="4">
        <f t="shared" ca="1" si="378"/>
        <v>0.22725657710540981</v>
      </c>
      <c r="P4422" s="4">
        <f t="shared" ca="1" si="379"/>
        <v>-0.74791214044775989</v>
      </c>
      <c r="Q4422" s="4">
        <f t="shared" ca="1" si="380"/>
        <v>1937.376392699812</v>
      </c>
      <c r="R4422" s="4">
        <f t="shared" ca="1" si="381"/>
        <v>13.706348699811997</v>
      </c>
      <c r="S4422" s="4">
        <f t="shared" ca="1" si="382"/>
        <v>7.0147616150919685</v>
      </c>
    </row>
    <row r="4423" spans="15:19" x14ac:dyDescent="0.2">
      <c r="O4423" s="4">
        <f t="shared" ca="1" si="378"/>
        <v>0.58002215213427921</v>
      </c>
      <c r="P4423" s="4">
        <f t="shared" ca="1" si="379"/>
        <v>0.20195014991371926</v>
      </c>
      <c r="Q4423" s="4">
        <f t="shared" ca="1" si="380"/>
        <v>1919.4537531131491</v>
      </c>
      <c r="R4423" s="4">
        <f t="shared" ca="1" si="381"/>
        <v>-4.2162908868508566</v>
      </c>
      <c r="S4423" s="4">
        <f t="shared" ca="1" si="382"/>
        <v>-2.1270912311622192</v>
      </c>
    </row>
    <row r="4424" spans="15:19" x14ac:dyDescent="0.2">
      <c r="O4424" s="4">
        <f t="shared" ca="1" si="378"/>
        <v>0.73959204953053692</v>
      </c>
      <c r="P4424" s="4">
        <f t="shared" ca="1" si="379"/>
        <v>0.64208822489467043</v>
      </c>
      <c r="Q4424" s="4">
        <f t="shared" ca="1" si="380"/>
        <v>1911.1489323340768</v>
      </c>
      <c r="R4424" s="4">
        <f t="shared" ca="1" si="381"/>
        <v>-12.521111665923172</v>
      </c>
      <c r="S4424" s="4">
        <f t="shared" ca="1" si="382"/>
        <v>-6.2744897727054134</v>
      </c>
    </row>
    <row r="4425" spans="15:19" x14ac:dyDescent="0.2">
      <c r="O4425" s="4">
        <f t="shared" ca="1" si="378"/>
        <v>0.89258076663889341</v>
      </c>
      <c r="P4425" s="4">
        <f t="shared" ca="1" si="379"/>
        <v>1.2403702846367657</v>
      </c>
      <c r="Q4425" s="4">
        <f t="shared" ca="1" si="380"/>
        <v>1899.8601446469236</v>
      </c>
      <c r="R4425" s="4">
        <f t="shared" ca="1" si="381"/>
        <v>-23.809899353076389</v>
      </c>
      <c r="S4425" s="4">
        <f t="shared" ca="1" si="382"/>
        <v>-11.822032121358479</v>
      </c>
    </row>
    <row r="4426" spans="15:19" x14ac:dyDescent="0.2">
      <c r="O4426" s="4">
        <f t="shared" ca="1" si="378"/>
        <v>0.14767968511376262</v>
      </c>
      <c r="P4426" s="4">
        <f t="shared" ca="1" si="379"/>
        <v>-1.0464368857424049</v>
      </c>
      <c r="Q4426" s="4">
        <f t="shared" ca="1" si="380"/>
        <v>1943.0091580721273</v>
      </c>
      <c r="R4426" s="4">
        <f t="shared" ca="1" si="381"/>
        <v>19.339114072127359</v>
      </c>
      <c r="S4426" s="4">
        <f t="shared" ca="1" si="382"/>
        <v>9.9418934011901126</v>
      </c>
    </row>
    <row r="4427" spans="15:19" x14ac:dyDescent="0.2">
      <c r="O4427" s="4">
        <f t="shared" ca="1" si="378"/>
        <v>0.14261055580977822</v>
      </c>
      <c r="P4427" s="4">
        <f t="shared" ca="1" si="379"/>
        <v>-1.0686639713672093</v>
      </c>
      <c r="Q4427" s="4">
        <f t="shared" ca="1" si="380"/>
        <v>1943.4285536505784</v>
      </c>
      <c r="R4427" s="4">
        <f t="shared" ca="1" si="381"/>
        <v>19.758509650578389</v>
      </c>
      <c r="S4427" s="4">
        <f t="shared" ca="1" si="382"/>
        <v>10.160870415862549</v>
      </c>
    </row>
    <row r="4428" spans="15:19" x14ac:dyDescent="0.2">
      <c r="O4428" s="4">
        <f t="shared" ca="1" si="378"/>
        <v>0.89701842542213228</v>
      </c>
      <c r="P4428" s="4">
        <f t="shared" ca="1" si="379"/>
        <v>1.264743895382473</v>
      </c>
      <c r="Q4428" s="4">
        <f t="shared" ca="1" si="380"/>
        <v>1899.4002469909649</v>
      </c>
      <c r="R4428" s="4">
        <f t="shared" ca="1" si="381"/>
        <v>-24.269797009035074</v>
      </c>
      <c r="S4428" s="4">
        <f t="shared" ca="1" si="382"/>
        <v>-12.045835810717422</v>
      </c>
    </row>
    <row r="4429" spans="15:19" x14ac:dyDescent="0.2">
      <c r="O4429" s="4">
        <f t="shared" ca="1" si="378"/>
        <v>0.74026969744844551</v>
      </c>
      <c r="P4429" s="4">
        <f t="shared" ca="1" si="379"/>
        <v>0.64417709025003689</v>
      </c>
      <c r="Q4429" s="4">
        <f t="shared" ca="1" si="380"/>
        <v>1911.1095182197475</v>
      </c>
      <c r="R4429" s="4">
        <f t="shared" ca="1" si="381"/>
        <v>-12.560525780252419</v>
      </c>
      <c r="S4429" s="4">
        <f t="shared" ca="1" si="382"/>
        <v>-6.2940391667978552</v>
      </c>
    </row>
    <row r="4430" spans="15:19" x14ac:dyDescent="0.2">
      <c r="O4430" s="4">
        <f t="shared" ca="1" si="378"/>
        <v>0.85484425667115238</v>
      </c>
      <c r="P4430" s="4">
        <f t="shared" ca="1" si="379"/>
        <v>1.0574385477779631</v>
      </c>
      <c r="Q4430" s="4">
        <f t="shared" ca="1" si="380"/>
        <v>1903.311823508114</v>
      </c>
      <c r="R4430" s="4">
        <f t="shared" ca="1" si="381"/>
        <v>-20.358220491885959</v>
      </c>
      <c r="S4430" s="4">
        <f t="shared" ca="1" si="382"/>
        <v>-10.136817872109114</v>
      </c>
    </row>
    <row r="4431" spans="15:19" x14ac:dyDescent="0.2">
      <c r="O4431" s="4">
        <f t="shared" ca="1" si="378"/>
        <v>0.44004304352173418</v>
      </c>
      <c r="P4431" s="4">
        <f t="shared" ca="1" si="379"/>
        <v>-0.150860085709075</v>
      </c>
      <c r="Q4431" s="4">
        <f t="shared" ca="1" si="380"/>
        <v>1926.1108135730883</v>
      </c>
      <c r="R4431" s="4">
        <f t="shared" ca="1" si="381"/>
        <v>2.4407695730883461</v>
      </c>
      <c r="S4431" s="4">
        <f t="shared" ca="1" si="382"/>
        <v>1.2379665213431796</v>
      </c>
    </row>
    <row r="4432" spans="15:19" x14ac:dyDescent="0.2">
      <c r="O4432" s="4">
        <f t="shared" ca="1" si="378"/>
        <v>0.90778794905266014</v>
      </c>
      <c r="P4432" s="4">
        <f t="shared" ca="1" si="379"/>
        <v>1.3272557326291963</v>
      </c>
      <c r="Q4432" s="4">
        <f t="shared" ca="1" si="380"/>
        <v>1898.2207316651729</v>
      </c>
      <c r="R4432" s="4">
        <f t="shared" ca="1" si="381"/>
        <v>-25.449312334827027</v>
      </c>
      <c r="S4432" s="4">
        <f t="shared" ca="1" si="382"/>
        <v>-12.619045670426843</v>
      </c>
    </row>
    <row r="4433" spans="15:19" x14ac:dyDescent="0.2">
      <c r="O4433" s="4">
        <f t="shared" ca="1" si="378"/>
        <v>0.9791372211141155</v>
      </c>
      <c r="P4433" s="4">
        <f t="shared" ca="1" si="379"/>
        <v>2.0362470111782196</v>
      </c>
      <c r="Q4433" s="4">
        <f t="shared" ca="1" si="380"/>
        <v>1884.8430080893841</v>
      </c>
      <c r="R4433" s="4">
        <f t="shared" ca="1" si="381"/>
        <v>-38.827035910615905</v>
      </c>
      <c r="S4433" s="4">
        <f t="shared" ca="1" si="382"/>
        <v>-19.040953266564191</v>
      </c>
    </row>
    <row r="4434" spans="15:19" x14ac:dyDescent="0.2">
      <c r="O4434" s="4">
        <f t="shared" ca="1" si="378"/>
        <v>0.57376142591966661</v>
      </c>
      <c r="P4434" s="4">
        <f t="shared" ca="1" si="379"/>
        <v>0.18595870103511647</v>
      </c>
      <c r="Q4434" s="4">
        <f t="shared" ca="1" si="380"/>
        <v>1919.7554905098518</v>
      </c>
      <c r="R4434" s="4">
        <f t="shared" ca="1" si="381"/>
        <v>-3.9145534901481369</v>
      </c>
      <c r="S4434" s="4">
        <f t="shared" ca="1" si="382"/>
        <v>-1.9753475008838743</v>
      </c>
    </row>
    <row r="4435" spans="15:19" x14ac:dyDescent="0.2">
      <c r="O4435" s="4">
        <f t="shared" ca="1" si="378"/>
        <v>0.95680000220666406</v>
      </c>
      <c r="P4435" s="4">
        <f t="shared" ca="1" si="379"/>
        <v>1.7147013519298628</v>
      </c>
      <c r="Q4435" s="4">
        <f t="shared" ca="1" si="380"/>
        <v>1890.9101475261662</v>
      </c>
      <c r="R4435" s="4">
        <f t="shared" ca="1" si="381"/>
        <v>-32.759896473833805</v>
      </c>
      <c r="S4435" s="4">
        <f t="shared" ca="1" si="382"/>
        <v>-16.146509378830114</v>
      </c>
    </row>
    <row r="4436" spans="15:19" x14ac:dyDescent="0.2">
      <c r="O4436" s="4">
        <f t="shared" ca="1" si="378"/>
        <v>0.42411123341866797</v>
      </c>
      <c r="P4436" s="4">
        <f t="shared" ca="1" si="379"/>
        <v>-0.19138692018970851</v>
      </c>
      <c r="Q4436" s="4">
        <f t="shared" ca="1" si="380"/>
        <v>1926.8755011023809</v>
      </c>
      <c r="R4436" s="4">
        <f t="shared" ca="1" si="381"/>
        <v>3.2054571023809331</v>
      </c>
      <c r="S4436" s="4">
        <f t="shared" ca="1" si="382"/>
        <v>1.626816400446494</v>
      </c>
    </row>
    <row r="4437" spans="15:19" x14ac:dyDescent="0.2">
      <c r="O4437" s="4">
        <f t="shared" ca="1" si="378"/>
        <v>0.78031876694549906</v>
      </c>
      <c r="P4437" s="4">
        <f t="shared" ca="1" si="379"/>
        <v>0.77327023712132559</v>
      </c>
      <c r="Q4437" s="4">
        <f t="shared" ca="1" si="380"/>
        <v>1908.6737020304327</v>
      </c>
      <c r="R4437" s="4">
        <f t="shared" ca="1" si="381"/>
        <v>-14.996341969567311</v>
      </c>
      <c r="S4437" s="4">
        <f t="shared" ca="1" si="382"/>
        <v>-7.4997492836585238</v>
      </c>
    </row>
    <row r="4438" spans="15:19" x14ac:dyDescent="0.2">
      <c r="O4438" s="4">
        <f t="shared" ca="1" si="378"/>
        <v>0.33397206703956062</v>
      </c>
      <c r="P4438" s="4">
        <f t="shared" ca="1" si="379"/>
        <v>-0.42897126821489961</v>
      </c>
      <c r="Q4438" s="4">
        <f t="shared" ca="1" si="380"/>
        <v>1931.3584021337163</v>
      </c>
      <c r="R4438" s="4">
        <f t="shared" ca="1" si="381"/>
        <v>7.6883581337162923</v>
      </c>
      <c r="S4438" s="4">
        <f t="shared" ca="1" si="382"/>
        <v>3.9159844022925223</v>
      </c>
    </row>
    <row r="4439" spans="15:19" x14ac:dyDescent="0.2">
      <c r="O4439" s="4">
        <f t="shared" ca="1" si="378"/>
        <v>0.99992042636827461</v>
      </c>
      <c r="P4439" s="4">
        <f t="shared" ca="1" si="379"/>
        <v>3.7763438336554942</v>
      </c>
      <c r="Q4439" s="4">
        <f t="shared" ca="1" si="380"/>
        <v>1852.0096926586928</v>
      </c>
      <c r="R4439" s="4">
        <f t="shared" ca="1" si="381"/>
        <v>-71.660351341307205</v>
      </c>
      <c r="S4439" s="4">
        <f t="shared" ca="1" si="382"/>
        <v>-34.184787443523241</v>
      </c>
    </row>
    <row r="4440" spans="15:19" x14ac:dyDescent="0.2">
      <c r="O4440" s="4">
        <f t="shared" ca="1" si="378"/>
        <v>6.328653612166002E-2</v>
      </c>
      <c r="P4440" s="4">
        <f t="shared" ca="1" si="379"/>
        <v>-1.5277562344151894</v>
      </c>
      <c r="Q4440" s="4">
        <f t="shared" ca="1" si="380"/>
        <v>1952.091014779026</v>
      </c>
      <c r="R4440" s="4">
        <f t="shared" ca="1" si="381"/>
        <v>28.420970779025993</v>
      </c>
      <c r="S4440" s="4">
        <f t="shared" ca="1" si="382"/>
        <v>14.715784599327552</v>
      </c>
    </row>
    <row r="4441" spans="15:19" x14ac:dyDescent="0.2">
      <c r="O4441" s="4">
        <f t="shared" ca="1" si="378"/>
        <v>0.73841228943968096</v>
      </c>
      <c r="P4441" s="4">
        <f t="shared" ca="1" si="379"/>
        <v>0.63845825312089599</v>
      </c>
      <c r="Q4441" s="4">
        <f t="shared" ca="1" si="380"/>
        <v>1911.2174250792582</v>
      </c>
      <c r="R4441" s="4">
        <f t="shared" ca="1" si="381"/>
        <v>-12.45261892074177</v>
      </c>
      <c r="S4441" s="4">
        <f t="shared" ca="1" si="382"/>
        <v>-6.2405143740082565</v>
      </c>
    </row>
    <row r="4442" spans="15:19" x14ac:dyDescent="0.2">
      <c r="O4442" s="4">
        <f t="shared" ca="1" si="378"/>
        <v>0.5259946473312328</v>
      </c>
      <c r="P4442" s="4">
        <f t="shared" ca="1" si="379"/>
        <v>6.5205093999554403E-2</v>
      </c>
      <c r="Q4442" s="4">
        <f t="shared" ca="1" si="380"/>
        <v>1922.0339506610221</v>
      </c>
      <c r="R4442" s="4">
        <f t="shared" ca="1" si="381"/>
        <v>-1.6360933389778438</v>
      </c>
      <c r="S4442" s="4">
        <f t="shared" ca="1" si="382"/>
        <v>-0.82711683009117776</v>
      </c>
    </row>
    <row r="4443" spans="15:19" x14ac:dyDescent="0.2">
      <c r="O4443" s="4">
        <f t="shared" ca="1" si="378"/>
        <v>0.17856290375565342</v>
      </c>
      <c r="P4443" s="4">
        <f t="shared" ca="1" si="379"/>
        <v>-0.92085562792257714</v>
      </c>
      <c r="Q4443" s="4">
        <f t="shared" ca="1" si="380"/>
        <v>1940.6396065638892</v>
      </c>
      <c r="R4443" s="4">
        <f t="shared" ca="1" si="381"/>
        <v>16.969562563889212</v>
      </c>
      <c r="S4443" s="4">
        <f t="shared" ca="1" si="382"/>
        <v>8.7073809035814342</v>
      </c>
    </row>
    <row r="4444" spans="15:19" x14ac:dyDescent="0.2">
      <c r="O4444" s="4">
        <f t="shared" ca="1" si="378"/>
        <v>0.84448940123015059</v>
      </c>
      <c r="P4444" s="4">
        <f t="shared" ca="1" si="379"/>
        <v>1.0130815763704839</v>
      </c>
      <c r="Q4444" s="4">
        <f t="shared" ca="1" si="380"/>
        <v>1904.1487806331195</v>
      </c>
      <c r="R4444" s="4">
        <f t="shared" ca="1" si="381"/>
        <v>-19.521263366880476</v>
      </c>
      <c r="S4444" s="4">
        <f t="shared" ca="1" si="382"/>
        <v>-9.7267288972815713</v>
      </c>
    </row>
    <row r="4445" spans="15:19" x14ac:dyDescent="0.2">
      <c r="O4445" s="4">
        <f t="shared" ca="1" si="378"/>
        <v>0.46358843470819699</v>
      </c>
      <c r="P4445" s="4">
        <f t="shared" ca="1" si="379"/>
        <v>-9.1397347376215798E-2</v>
      </c>
      <c r="Q4445" s="4">
        <f t="shared" ca="1" si="380"/>
        <v>1924.9888306932646</v>
      </c>
      <c r="R4445" s="4">
        <f t="shared" ca="1" si="381"/>
        <v>1.3187866932646557</v>
      </c>
      <c r="S4445" s="4">
        <f t="shared" ca="1" si="382"/>
        <v>0.6682907156441461</v>
      </c>
    </row>
    <row r="4446" spans="15:19" x14ac:dyDescent="0.2">
      <c r="O4446" s="4">
        <f t="shared" ca="1" si="378"/>
        <v>0.70236135603404848</v>
      </c>
      <c r="P4446" s="4">
        <f t="shared" ca="1" si="379"/>
        <v>0.53120419263216834</v>
      </c>
      <c r="Q4446" s="4">
        <f t="shared" ca="1" si="380"/>
        <v>1913.2411667203903</v>
      </c>
      <c r="R4446" s="4">
        <f t="shared" ca="1" si="381"/>
        <v>-10.428877279609651</v>
      </c>
      <c r="S4446" s="4">
        <f t="shared" ca="1" si="382"/>
        <v>-5.234926376817775</v>
      </c>
    </row>
    <row r="4447" spans="15:19" x14ac:dyDescent="0.2">
      <c r="O4447" s="4">
        <f t="shared" ca="1" si="378"/>
        <v>0.63462213150163871</v>
      </c>
      <c r="P4447" s="4">
        <f t="shared" ca="1" si="379"/>
        <v>0.34412040634790625</v>
      </c>
      <c r="Q4447" s="4">
        <f t="shared" ca="1" si="380"/>
        <v>1916.7711892385018</v>
      </c>
      <c r="R4447" s="4">
        <f t="shared" ca="1" si="381"/>
        <v>-6.8988547614981144</v>
      </c>
      <c r="S4447" s="4">
        <f t="shared" ca="1" si="382"/>
        <v>-3.4728937209701178</v>
      </c>
    </row>
    <row r="4448" spans="15:19" x14ac:dyDescent="0.2">
      <c r="O4448" s="4">
        <f t="shared" ca="1" si="378"/>
        <v>0.28486823133103711</v>
      </c>
      <c r="P4448" s="4">
        <f t="shared" ca="1" si="379"/>
        <v>-0.5684396662225466</v>
      </c>
      <c r="Q4448" s="4">
        <f t="shared" ca="1" si="380"/>
        <v>1933.9899855291042</v>
      </c>
      <c r="R4448" s="4">
        <f t="shared" ca="1" si="381"/>
        <v>10.319941529104199</v>
      </c>
      <c r="S4448" s="4">
        <f t="shared" ca="1" si="382"/>
        <v>5.2674088431248798</v>
      </c>
    </row>
    <row r="4449" spans="15:19" x14ac:dyDescent="0.2">
      <c r="O4449" s="4">
        <f t="shared" ca="1" si="378"/>
        <v>0.17634375566728144</v>
      </c>
      <c r="P4449" s="4">
        <f t="shared" ca="1" si="379"/>
        <v>-0.92938902907363385</v>
      </c>
      <c r="Q4449" s="4">
        <f t="shared" ca="1" si="380"/>
        <v>1940.8006205075212</v>
      </c>
      <c r="R4449" s="4">
        <f t="shared" ca="1" si="381"/>
        <v>17.130576507521255</v>
      </c>
      <c r="S4449" s="4">
        <f t="shared" ca="1" si="382"/>
        <v>8.7911227923881885</v>
      </c>
    </row>
    <row r="4450" spans="15:19" x14ac:dyDescent="0.2">
      <c r="O4450" s="4">
        <f t="shared" ca="1" si="378"/>
        <v>0.18834269248937752</v>
      </c>
      <c r="P4450" s="4">
        <f t="shared" ca="1" si="379"/>
        <v>-0.88402005844800846</v>
      </c>
      <c r="Q4450" s="4">
        <f t="shared" ca="1" si="380"/>
        <v>1939.9445683016468</v>
      </c>
      <c r="R4450" s="4">
        <f t="shared" ca="1" si="381"/>
        <v>16.274524301646807</v>
      </c>
      <c r="S4450" s="4">
        <f t="shared" ca="1" si="382"/>
        <v>8.346140021544084</v>
      </c>
    </row>
    <row r="4451" spans="15:19" x14ac:dyDescent="0.2">
      <c r="O4451" s="4">
        <f t="shared" ca="1" si="378"/>
        <v>0.38126327364240442</v>
      </c>
      <c r="P4451" s="4">
        <f t="shared" ca="1" si="379"/>
        <v>-0.30216465441095958</v>
      </c>
      <c r="Q4451" s="4">
        <f t="shared" ca="1" si="380"/>
        <v>1928.9657297858662</v>
      </c>
      <c r="R4451" s="4">
        <f t="shared" ca="1" si="381"/>
        <v>5.2956857858662261</v>
      </c>
      <c r="S4451" s="4">
        <f t="shared" ca="1" si="382"/>
        <v>2.6921439821260496</v>
      </c>
    </row>
    <row r="4452" spans="15:19" x14ac:dyDescent="0.2">
      <c r="O4452" s="4">
        <f t="shared" ca="1" si="378"/>
        <v>0.12802744247484132</v>
      </c>
      <c r="P4452" s="4">
        <f t="shared" ca="1" si="379"/>
        <v>-1.1357651046765902</v>
      </c>
      <c r="Q4452" s="4">
        <f t="shared" ca="1" si="380"/>
        <v>1944.6946628964808</v>
      </c>
      <c r="R4452" s="4">
        <f t="shared" ca="1" si="381"/>
        <v>21.024618896480888</v>
      </c>
      <c r="S4452" s="4">
        <f t="shared" ca="1" si="382"/>
        <v>10.822806701816441</v>
      </c>
    </row>
    <row r="4453" spans="15:19" x14ac:dyDescent="0.2">
      <c r="O4453" s="4">
        <f t="shared" ca="1" si="378"/>
        <v>0.47986797423250904</v>
      </c>
      <c r="P4453" s="4">
        <f t="shared" ca="1" si="379"/>
        <v>-5.0484942227446976E-2</v>
      </c>
      <c r="Q4453" s="4">
        <f t="shared" ca="1" si="380"/>
        <v>1924.2168679576707</v>
      </c>
      <c r="R4453" s="4">
        <f t="shared" ca="1" si="381"/>
        <v>0.54682395767076741</v>
      </c>
      <c r="S4453" s="4">
        <f t="shared" ca="1" si="382"/>
        <v>0.27692936385289607</v>
      </c>
    </row>
    <row r="4454" spans="15:19" x14ac:dyDescent="0.2">
      <c r="O4454" s="4">
        <f t="shared" ca="1" si="378"/>
        <v>0.78443272891482074</v>
      </c>
      <c r="P4454" s="4">
        <f t="shared" ca="1" si="379"/>
        <v>0.7872516927439599</v>
      </c>
      <c r="Q4454" s="4">
        <f t="shared" ca="1" si="380"/>
        <v>1908.4098905363201</v>
      </c>
      <c r="R4454" s="4">
        <f t="shared" ca="1" si="381"/>
        <v>-15.260153463679899</v>
      </c>
      <c r="S4454" s="4">
        <f t="shared" ca="1" si="382"/>
        <v>-7.6300440148407791</v>
      </c>
    </row>
    <row r="4455" spans="15:19" x14ac:dyDescent="0.2">
      <c r="O4455" s="4">
        <f t="shared" ca="1" si="378"/>
        <v>0.89463143555665858</v>
      </c>
      <c r="P4455" s="4">
        <f t="shared" ca="1" si="379"/>
        <v>1.2515410987590327</v>
      </c>
      <c r="Q4455" s="4">
        <f t="shared" ca="1" si="380"/>
        <v>1899.6493662241621</v>
      </c>
      <c r="R4455" s="4">
        <f t="shared" ca="1" si="381"/>
        <v>-24.020677775837839</v>
      </c>
      <c r="S4455" s="4">
        <f t="shared" ca="1" si="382"/>
        <v>-11.924626292587151</v>
      </c>
    </row>
    <row r="4456" spans="15:19" x14ac:dyDescent="0.2">
      <c r="O4456" s="4">
        <f t="shared" ca="1" si="378"/>
        <v>0.88981241025406432</v>
      </c>
      <c r="P4456" s="4">
        <f t="shared" ca="1" si="379"/>
        <v>1.225531100673662</v>
      </c>
      <c r="Q4456" s="4">
        <f t="shared" ca="1" si="380"/>
        <v>1900.1401403353825</v>
      </c>
      <c r="R4456" s="4">
        <f t="shared" ca="1" si="381"/>
        <v>-23.52990366461745</v>
      </c>
      <c r="S4456" s="4">
        <f t="shared" ca="1" si="382"/>
        <v>-11.685691239792378</v>
      </c>
    </row>
    <row r="4457" spans="15:19" x14ac:dyDescent="0.2">
      <c r="O4457" s="4">
        <f t="shared" ca="1" si="378"/>
        <v>0.29778132700605553</v>
      </c>
      <c r="P4457" s="4">
        <f t="shared" ca="1" si="379"/>
        <v>-0.53079239015978374</v>
      </c>
      <c r="Q4457" s="4">
        <f t="shared" ca="1" si="380"/>
        <v>1933.2796314418438</v>
      </c>
      <c r="R4457" s="4">
        <f t="shared" ca="1" si="381"/>
        <v>9.6095874418438143</v>
      </c>
      <c r="S4457" s="4">
        <f t="shared" ca="1" si="382"/>
        <v>4.902057758171118</v>
      </c>
    </row>
    <row r="4458" spans="15:19" x14ac:dyDescent="0.2">
      <c r="O4458" s="4">
        <f t="shared" ca="1" si="378"/>
        <v>0.33578572299827003</v>
      </c>
      <c r="P4458" s="4">
        <f t="shared" ca="1" si="379"/>
        <v>-0.42399227649768034</v>
      </c>
      <c r="Q4458" s="4">
        <f t="shared" ca="1" si="380"/>
        <v>1931.2644551742903</v>
      </c>
      <c r="R4458" s="4">
        <f t="shared" ca="1" si="381"/>
        <v>7.5944111742903715</v>
      </c>
      <c r="S4458" s="4">
        <f t="shared" ca="1" si="382"/>
        <v>3.8678430735661329</v>
      </c>
    </row>
    <row r="4459" spans="15:19" x14ac:dyDescent="0.2">
      <c r="O4459" s="4">
        <f t="shared" ca="1" si="378"/>
        <v>0.30349725051870502</v>
      </c>
      <c r="P4459" s="4">
        <f t="shared" ca="1" si="379"/>
        <v>-0.5143683241814111</v>
      </c>
      <c r="Q4459" s="4">
        <f t="shared" ca="1" si="380"/>
        <v>1932.9697311351733</v>
      </c>
      <c r="R4459" s="4">
        <f t="shared" ca="1" si="381"/>
        <v>9.2996871351733716</v>
      </c>
      <c r="S4459" s="4">
        <f t="shared" ca="1" si="382"/>
        <v>4.7427977659021767</v>
      </c>
    </row>
    <row r="4460" spans="15:19" x14ac:dyDescent="0.2">
      <c r="O4460" s="4">
        <f t="shared" ca="1" si="378"/>
        <v>0.80894829505506527</v>
      </c>
      <c r="P4460" s="4">
        <f t="shared" ca="1" si="379"/>
        <v>0.87402725742996767</v>
      </c>
      <c r="Q4460" s="4">
        <f t="shared" ca="1" si="380"/>
        <v>1906.7725509065888</v>
      </c>
      <c r="R4460" s="4">
        <f t="shared" ca="1" si="381"/>
        <v>-16.897493093411185</v>
      </c>
      <c r="S4460" s="4">
        <f t="shared" ca="1" si="382"/>
        <v>-8.4374479614894664</v>
      </c>
    </row>
    <row r="4461" spans="15:19" x14ac:dyDescent="0.2">
      <c r="O4461" s="4">
        <f t="shared" ca="1" si="378"/>
        <v>0.21706603662300183</v>
      </c>
      <c r="P4461" s="4">
        <f t="shared" ca="1" si="379"/>
        <v>-0.78214038809822384</v>
      </c>
      <c r="Q4461" s="4">
        <f t="shared" ca="1" si="380"/>
        <v>1938.0222342628963</v>
      </c>
      <c r="R4461" s="4">
        <f t="shared" ca="1" si="381"/>
        <v>14.352190262896329</v>
      </c>
      <c r="S4461" s="4">
        <f t="shared" ca="1" si="382"/>
        <v>7.3490695926066891</v>
      </c>
    </row>
    <row r="4462" spans="15:19" x14ac:dyDescent="0.2">
      <c r="O4462" s="4">
        <f t="shared" ca="1" si="378"/>
        <v>0.78076247043660119</v>
      </c>
      <c r="P4462" s="4">
        <f t="shared" ca="1" si="379"/>
        <v>0.77477088019341656</v>
      </c>
      <c r="Q4462" s="4">
        <f t="shared" ca="1" si="380"/>
        <v>1908.6453868891726</v>
      </c>
      <c r="R4462" s="4">
        <f t="shared" ca="1" si="381"/>
        <v>-15.02465711082732</v>
      </c>
      <c r="S4462" s="4">
        <f t="shared" ca="1" si="382"/>
        <v>-7.5137366567895203</v>
      </c>
    </row>
    <row r="4463" spans="15:19" x14ac:dyDescent="0.2">
      <c r="O4463" s="4">
        <f t="shared" ca="1" si="378"/>
        <v>0.98485217626338173</v>
      </c>
      <c r="P4463" s="4">
        <f t="shared" ca="1" si="379"/>
        <v>2.1662033996119621</v>
      </c>
      <c r="Q4463" s="4">
        <f t="shared" ca="1" si="380"/>
        <v>1882.3909036785481</v>
      </c>
      <c r="R4463" s="4">
        <f t="shared" ca="1" si="381"/>
        <v>-41.279140321451905</v>
      </c>
      <c r="S4463" s="4">
        <f t="shared" ca="1" si="382"/>
        <v>-20.202272455353189</v>
      </c>
    </row>
    <row r="4464" spans="15:19" x14ac:dyDescent="0.2">
      <c r="O4464" s="4">
        <f t="shared" ca="1" si="378"/>
        <v>0.42550263841853631</v>
      </c>
      <c r="P4464" s="4">
        <f t="shared" ca="1" si="379"/>
        <v>-0.18783591998028162</v>
      </c>
      <c r="Q4464" s="4">
        <f t="shared" ca="1" si="380"/>
        <v>1926.80849844571</v>
      </c>
      <c r="R4464" s="4">
        <f t="shared" ca="1" si="381"/>
        <v>3.1384544457100674</v>
      </c>
      <c r="S4464" s="4">
        <f t="shared" ca="1" si="382"/>
        <v>1.5927259709465449</v>
      </c>
    </row>
    <row r="4465" spans="15:19" x14ac:dyDescent="0.2">
      <c r="O4465" s="4">
        <f t="shared" ca="1" si="378"/>
        <v>0.22935633920957454</v>
      </c>
      <c r="P4465" s="4">
        <f t="shared" ca="1" si="379"/>
        <v>-0.74096827157531164</v>
      </c>
      <c r="Q4465" s="4">
        <f t="shared" ca="1" si="380"/>
        <v>1937.2453711186829</v>
      </c>
      <c r="R4465" s="4">
        <f t="shared" ca="1" si="381"/>
        <v>13.575327118682935</v>
      </c>
      <c r="S4465" s="4">
        <f t="shared" ca="1" si="382"/>
        <v>6.9469821431951244</v>
      </c>
    </row>
    <row r="4466" spans="15:19" x14ac:dyDescent="0.2">
      <c r="O4466" s="4">
        <f t="shared" ca="1" si="378"/>
        <v>0.52466299463481447</v>
      </c>
      <c r="P4466" s="4">
        <f t="shared" ca="1" si="379"/>
        <v>6.1860390660339305E-2</v>
      </c>
      <c r="Q4466" s="4">
        <f t="shared" ca="1" si="380"/>
        <v>1922.0970607698043</v>
      </c>
      <c r="R4466" s="4">
        <f t="shared" ca="1" si="381"/>
        <v>-1.5729832301956321</v>
      </c>
      <c r="S4466" s="4">
        <f t="shared" ca="1" si="382"/>
        <v>-0.79525231663277474</v>
      </c>
    </row>
    <row r="4467" spans="15:19" x14ac:dyDescent="0.2">
      <c r="O4467" s="4">
        <f t="shared" ca="1" si="378"/>
        <v>0.44040861875820136</v>
      </c>
      <c r="P4467" s="4">
        <f t="shared" ca="1" si="379"/>
        <v>-0.14993330196341209</v>
      </c>
      <c r="Q4467" s="4">
        <f t="shared" ca="1" si="380"/>
        <v>1926.0933263949819</v>
      </c>
      <c r="R4467" s="4">
        <f t="shared" ca="1" si="381"/>
        <v>2.4232823949819249</v>
      </c>
      <c r="S4467" s="4">
        <f t="shared" ca="1" si="382"/>
        <v>1.2290797157851776</v>
      </c>
    </row>
    <row r="4468" spans="15:19" x14ac:dyDescent="0.2">
      <c r="O4468" s="4">
        <f t="shared" ca="1" si="378"/>
        <v>0.56768727178969935</v>
      </c>
      <c r="P4468" s="4">
        <f t="shared" ca="1" si="379"/>
        <v>0.1704891628140158</v>
      </c>
      <c r="Q4468" s="4">
        <f t="shared" ca="1" si="380"/>
        <v>1920.0473801457729</v>
      </c>
      <c r="R4468" s="4">
        <f t="shared" ca="1" si="381"/>
        <v>-3.6226638542270848</v>
      </c>
      <c r="S4468" s="4">
        <f t="shared" ca="1" si="382"/>
        <v>-1.8284856749483158</v>
      </c>
    </row>
    <row r="4469" spans="15:19" x14ac:dyDescent="0.2">
      <c r="O4469" s="4">
        <f t="shared" ca="1" si="378"/>
        <v>0.90432805281919204</v>
      </c>
      <c r="P4469" s="4">
        <f t="shared" ca="1" si="379"/>
        <v>1.3066138384252985</v>
      </c>
      <c r="Q4469" s="4">
        <f t="shared" ca="1" si="380"/>
        <v>1898.6102167873391</v>
      </c>
      <c r="R4469" s="4">
        <f t="shared" ca="1" si="381"/>
        <v>-25.059827212660821</v>
      </c>
      <c r="S4469" s="4">
        <f t="shared" ca="1" si="382"/>
        <v>-12.429892579727182</v>
      </c>
    </row>
    <row r="4470" spans="15:19" x14ac:dyDescent="0.2">
      <c r="O4470" s="4">
        <f t="shared" ca="1" si="378"/>
        <v>0.46975261301211646</v>
      </c>
      <c r="P4470" s="4">
        <f t="shared" ca="1" si="379"/>
        <v>-7.5891743028371858E-2</v>
      </c>
      <c r="Q4470" s="4">
        <f t="shared" ca="1" si="380"/>
        <v>1924.6962605374435</v>
      </c>
      <c r="R4470" s="4">
        <f t="shared" ca="1" si="381"/>
        <v>1.0262165374435881</v>
      </c>
      <c r="S4470" s="4">
        <f t="shared" ca="1" si="382"/>
        <v>0.51990955584629106</v>
      </c>
    </row>
    <row r="4471" spans="15:19" x14ac:dyDescent="0.2">
      <c r="O4471" s="4">
        <f t="shared" ca="1" si="378"/>
        <v>0.46238669946172894</v>
      </c>
      <c r="P4471" s="4">
        <f t="shared" ca="1" si="379"/>
        <v>-9.4422681675941214E-2</v>
      </c>
      <c r="Q4471" s="4">
        <f t="shared" ca="1" si="380"/>
        <v>1925.0459147325337</v>
      </c>
      <c r="R4471" s="4">
        <f t="shared" ca="1" si="381"/>
        <v>1.3758707325337127</v>
      </c>
      <c r="S4471" s="4">
        <f t="shared" ca="1" si="382"/>
        <v>0.69724983162898246</v>
      </c>
    </row>
    <row r="4472" spans="15:19" x14ac:dyDescent="0.2">
      <c r="O4472" s="4">
        <f t="shared" ca="1" si="378"/>
        <v>0.44327954597367503</v>
      </c>
      <c r="P4472" s="4">
        <f t="shared" ca="1" si="379"/>
        <v>-0.14265951499603463</v>
      </c>
      <c r="Q4472" s="4">
        <f t="shared" ca="1" si="380"/>
        <v>1925.9560796976773</v>
      </c>
      <c r="R4472" s="4">
        <f t="shared" ca="1" si="381"/>
        <v>2.2860356976773346</v>
      </c>
      <c r="S4472" s="4">
        <f t="shared" ca="1" si="382"/>
        <v>1.1593409888375321</v>
      </c>
    </row>
    <row r="4473" spans="15:19" x14ac:dyDescent="0.2">
      <c r="O4473" s="4">
        <f t="shared" ca="1" si="378"/>
        <v>0.5234661576563896</v>
      </c>
      <c r="P4473" s="4">
        <f t="shared" ca="1" si="379"/>
        <v>5.8854894529225946E-2</v>
      </c>
      <c r="Q4473" s="4">
        <f t="shared" ca="1" si="380"/>
        <v>1922.1537704891853</v>
      </c>
      <c r="R4473" s="4">
        <f t="shared" ca="1" si="381"/>
        <v>-1.516273510814699</v>
      </c>
      <c r="S4473" s="4">
        <f t="shared" ca="1" si="382"/>
        <v>-0.76661661603285536</v>
      </c>
    </row>
    <row r="4474" spans="15:19" x14ac:dyDescent="0.2">
      <c r="O4474" s="4">
        <f t="shared" ca="1" si="378"/>
        <v>0.32578127004394852</v>
      </c>
      <c r="P4474" s="4">
        <f t="shared" ca="1" si="379"/>
        <v>-0.45159254710631985</v>
      </c>
      <c r="Q4474" s="4">
        <f t="shared" ca="1" si="380"/>
        <v>1931.7852356154474</v>
      </c>
      <c r="R4474" s="4">
        <f t="shared" ca="1" si="381"/>
        <v>8.1151916154474293</v>
      </c>
      <c r="S4474" s="4">
        <f t="shared" ca="1" si="382"/>
        <v>4.1347975705538964</v>
      </c>
    </row>
    <row r="4475" spans="15:19" x14ac:dyDescent="0.2">
      <c r="O4475" s="4">
        <f t="shared" ca="1" si="378"/>
        <v>0.37150612205844513</v>
      </c>
      <c r="P4475" s="4">
        <f t="shared" ca="1" si="379"/>
        <v>-0.32786697596605519</v>
      </c>
      <c r="Q4475" s="4">
        <f t="shared" ca="1" si="380"/>
        <v>1929.4506984496895</v>
      </c>
      <c r="R4475" s="4">
        <f t="shared" ca="1" si="381"/>
        <v>5.780654449689564</v>
      </c>
      <c r="S4475" s="4">
        <f t="shared" ca="1" si="382"/>
        <v>2.9398265147490701</v>
      </c>
    </row>
    <row r="4476" spans="15:19" x14ac:dyDescent="0.2">
      <c r="O4476" s="4">
        <f t="shared" ca="1" si="378"/>
        <v>0.36748277480452018</v>
      </c>
      <c r="P4476" s="4">
        <f t="shared" ca="1" si="379"/>
        <v>-0.33852770902741341</v>
      </c>
      <c r="Q4476" s="4">
        <f t="shared" ca="1" si="380"/>
        <v>1929.651852320442</v>
      </c>
      <c r="R4476" s="4">
        <f t="shared" ca="1" si="381"/>
        <v>5.9818083204420418</v>
      </c>
      <c r="S4476" s="4">
        <f t="shared" ca="1" si="382"/>
        <v>3.0426157266204221</v>
      </c>
    </row>
    <row r="4477" spans="15:19" x14ac:dyDescent="0.2">
      <c r="O4477" s="4">
        <f t="shared" ca="1" si="378"/>
        <v>0.31554094411480782</v>
      </c>
      <c r="P4477" s="4">
        <f t="shared" ca="1" si="379"/>
        <v>-0.48020463943316039</v>
      </c>
      <c r="Q4477" s="4">
        <f t="shared" ca="1" si="380"/>
        <v>1932.3251077882853</v>
      </c>
      <c r="R4477" s="4">
        <f t="shared" ca="1" si="381"/>
        <v>8.6550637882853607</v>
      </c>
      <c r="S4477" s="4">
        <f t="shared" ca="1" si="382"/>
        <v>4.4117716734459842</v>
      </c>
    </row>
    <row r="4478" spans="15:19" x14ac:dyDescent="0.2">
      <c r="O4478" s="4">
        <f t="shared" ca="1" si="378"/>
        <v>0.91623272776379028</v>
      </c>
      <c r="P4478" s="4">
        <f t="shared" ca="1" si="379"/>
        <v>1.3801692335881437</v>
      </c>
      <c r="Q4478" s="4">
        <f t="shared" ca="1" si="380"/>
        <v>1897.2223241943439</v>
      </c>
      <c r="R4478" s="4">
        <f t="shared" ca="1" si="381"/>
        <v>-26.447719805656106</v>
      </c>
      <c r="S4478" s="4">
        <f t="shared" ca="1" si="382"/>
        <v>-13.103357270045244</v>
      </c>
    </row>
    <row r="4479" spans="15:19" x14ac:dyDescent="0.2">
      <c r="O4479" s="4">
        <f t="shared" ca="1" si="378"/>
        <v>0.1628266417992702</v>
      </c>
      <c r="P4479" s="4">
        <f t="shared" ca="1" si="379"/>
        <v>-0.98290685522956012</v>
      </c>
      <c r="Q4479" s="4">
        <f t="shared" ca="1" si="380"/>
        <v>1941.8104307920096</v>
      </c>
      <c r="R4479" s="4">
        <f t="shared" ca="1" si="381"/>
        <v>18.140386792009622</v>
      </c>
      <c r="S4479" s="4">
        <f t="shared" ca="1" si="382"/>
        <v>9.3167972264679104</v>
      </c>
    </row>
    <row r="4480" spans="15:19" x14ac:dyDescent="0.2">
      <c r="O4480" s="4">
        <f t="shared" ca="1" si="378"/>
        <v>0.5436652179806889</v>
      </c>
      <c r="P4480" s="4">
        <f t="shared" ca="1" si="379"/>
        <v>0.10967192833009759</v>
      </c>
      <c r="Q4480" s="4">
        <f t="shared" ca="1" si="380"/>
        <v>1921.1949205686042</v>
      </c>
      <c r="R4480" s="4">
        <f t="shared" ca="1" si="381"/>
        <v>-2.4751234313957866</v>
      </c>
      <c r="S4480" s="4">
        <f t="shared" ca="1" si="382"/>
        <v>-1.2504379224271081</v>
      </c>
    </row>
    <row r="4481" spans="15:19" x14ac:dyDescent="0.2">
      <c r="O4481" s="4">
        <f t="shared" ca="1" si="378"/>
        <v>0.83895948909303908</v>
      </c>
      <c r="P4481" s="4">
        <f t="shared" ca="1" si="379"/>
        <v>0.99019048621688799</v>
      </c>
      <c r="Q4481" s="4">
        <f t="shared" ca="1" si="380"/>
        <v>1904.5807050949406</v>
      </c>
      <c r="R4481" s="4">
        <f t="shared" ca="1" si="381"/>
        <v>-19.089338905059321</v>
      </c>
      <c r="S4481" s="4">
        <f t="shared" ca="1" si="382"/>
        <v>-9.5148731420045252</v>
      </c>
    </row>
    <row r="4482" spans="15:19" x14ac:dyDescent="0.2">
      <c r="O4482" s="4">
        <f t="shared" ca="1" si="378"/>
        <v>4.6417075616205672E-2</v>
      </c>
      <c r="P4482" s="4">
        <f t="shared" ca="1" si="379"/>
        <v>-1.6806333633165957</v>
      </c>
      <c r="Q4482" s="4">
        <f t="shared" ca="1" si="380"/>
        <v>1954.975603113721</v>
      </c>
      <c r="R4482" s="4">
        <f t="shared" ca="1" si="381"/>
        <v>31.305559113721074</v>
      </c>
      <c r="S4482" s="4">
        <f t="shared" ca="1" si="382"/>
        <v>16.24612398099579</v>
      </c>
    </row>
    <row r="4483" spans="15:19" x14ac:dyDescent="0.2">
      <c r="O4483" s="4">
        <f t="shared" ref="O4483:O4546" ca="1" si="383">RAND()</f>
        <v>0.43605881095420618</v>
      </c>
      <c r="P4483" s="4">
        <f t="shared" ref="P4483:P4546" ca="1" si="384">NORMSINV(O4483)</f>
        <v>-0.16096924721837838</v>
      </c>
      <c r="Q4483" s="4">
        <f t="shared" ref="Q4483:Q4546" ca="1" si="385">$B$4*(1+$B$17-$B$32*P4483)</f>
        <v>1926.3015600213821</v>
      </c>
      <c r="R4483" s="4">
        <f t="shared" ref="R4483:R4546" ca="1" si="386">Q4483-$B$4</f>
        <v>2.63151602138214</v>
      </c>
      <c r="S4483" s="4">
        <f t="shared" ref="S4483:S4546" ca="1" si="387">R4483*$B$12+0.5*$B$13*R4483^2</f>
        <v>1.33491808961822</v>
      </c>
    </row>
    <row r="4484" spans="15:19" x14ac:dyDescent="0.2">
      <c r="O4484" s="4">
        <f t="shared" ca="1" si="383"/>
        <v>0.31522859736692166</v>
      </c>
      <c r="P4484" s="4">
        <f t="shared" ca="1" si="384"/>
        <v>-0.48108344339377651</v>
      </c>
      <c r="Q4484" s="4">
        <f t="shared" ca="1" si="385"/>
        <v>1932.3416896515864</v>
      </c>
      <c r="R4484" s="4">
        <f t="shared" ca="1" si="386"/>
        <v>8.6716456515864593</v>
      </c>
      <c r="S4484" s="4">
        <f t="shared" ca="1" si="387"/>
        <v>4.420282529770815</v>
      </c>
    </row>
    <row r="4485" spans="15:19" x14ac:dyDescent="0.2">
      <c r="O4485" s="4">
        <f t="shared" ca="1" si="383"/>
        <v>0.76905574885291128</v>
      </c>
      <c r="P4485" s="4">
        <f t="shared" ca="1" si="384"/>
        <v>0.73574072198412654</v>
      </c>
      <c r="Q4485" s="4">
        <f t="shared" ca="1" si="385"/>
        <v>1909.3818341254655</v>
      </c>
      <c r="R4485" s="4">
        <f t="shared" ca="1" si="386"/>
        <v>-14.288209874534459</v>
      </c>
      <c r="S4485" s="4">
        <f t="shared" ca="1" si="387"/>
        <v>-7.1497274103600157</v>
      </c>
    </row>
    <row r="4486" spans="15:19" x14ac:dyDescent="0.2">
      <c r="O4486" s="4">
        <f t="shared" ca="1" si="383"/>
        <v>0.38170912271647828</v>
      </c>
      <c r="P4486" s="4">
        <f t="shared" ca="1" si="384"/>
        <v>-0.30099508107736228</v>
      </c>
      <c r="Q4486" s="4">
        <f t="shared" ca="1" si="385"/>
        <v>1928.9436614907661</v>
      </c>
      <c r="R4486" s="4">
        <f t="shared" ca="1" si="386"/>
        <v>5.273617490766128</v>
      </c>
      <c r="S4486" s="4">
        <f t="shared" ca="1" si="387"/>
        <v>2.6808778475158457</v>
      </c>
    </row>
    <row r="4487" spans="15:19" x14ac:dyDescent="0.2">
      <c r="O4487" s="4">
        <f t="shared" ca="1" si="383"/>
        <v>0.39250229904929523</v>
      </c>
      <c r="P4487" s="4">
        <f t="shared" ca="1" si="384"/>
        <v>-0.27280307186057501</v>
      </c>
      <c r="Q4487" s="4">
        <f t="shared" ca="1" si="385"/>
        <v>1928.411715728161</v>
      </c>
      <c r="R4487" s="4">
        <f t="shared" ca="1" si="386"/>
        <v>4.741671728161009</v>
      </c>
      <c r="S4487" s="4">
        <f t="shared" ca="1" si="387"/>
        <v>2.4094329939211865</v>
      </c>
    </row>
    <row r="4488" spans="15:19" x14ac:dyDescent="0.2">
      <c r="O4488" s="4">
        <f t="shared" ca="1" si="383"/>
        <v>0.91437724158504829</v>
      </c>
      <c r="P4488" s="4">
        <f t="shared" ca="1" si="384"/>
        <v>1.3682126700209276</v>
      </c>
      <c r="Q4488" s="4">
        <f t="shared" ca="1" si="385"/>
        <v>1897.4479286653125</v>
      </c>
      <c r="R4488" s="4">
        <f t="shared" ca="1" si="386"/>
        <v>-26.222115334687487</v>
      </c>
      <c r="S4488" s="4">
        <f t="shared" ca="1" si="387"/>
        <v>-12.993991097613888</v>
      </c>
    </row>
    <row r="4489" spans="15:19" x14ac:dyDescent="0.2">
      <c r="O4489" s="4">
        <f t="shared" ca="1" si="383"/>
        <v>0.24771733709829447</v>
      </c>
      <c r="P4489" s="4">
        <f t="shared" ca="1" si="384"/>
        <v>-0.68169050252579744</v>
      </c>
      <c r="Q4489" s="4">
        <f t="shared" ca="1" si="385"/>
        <v>1936.1268783635155</v>
      </c>
      <c r="R4489" s="4">
        <f t="shared" ca="1" si="386"/>
        <v>12.456834363515554</v>
      </c>
      <c r="S4489" s="4">
        <f t="shared" ca="1" si="387"/>
        <v>6.368937608272133</v>
      </c>
    </row>
    <row r="4490" spans="15:19" x14ac:dyDescent="0.2">
      <c r="O4490" s="4">
        <f t="shared" ca="1" si="383"/>
        <v>0.41781505566057597</v>
      </c>
      <c r="P4490" s="4">
        <f t="shared" ca="1" si="384"/>
        <v>-0.20748627384398147</v>
      </c>
      <c r="Q4490" s="4">
        <f t="shared" ca="1" si="385"/>
        <v>1927.1792745188557</v>
      </c>
      <c r="R4490" s="4">
        <f t="shared" ca="1" si="386"/>
        <v>3.509230518855702</v>
      </c>
      <c r="S4490" s="4">
        <f t="shared" ca="1" si="387"/>
        <v>1.781419796145558</v>
      </c>
    </row>
    <row r="4491" spans="15:19" x14ac:dyDescent="0.2">
      <c r="O4491" s="4">
        <f t="shared" ca="1" si="383"/>
        <v>0.4291520525593927</v>
      </c>
      <c r="P4491" s="4">
        <f t="shared" ca="1" si="384"/>
        <v>-0.1785333847194055</v>
      </c>
      <c r="Q4491" s="4">
        <f t="shared" ca="1" si="385"/>
        <v>1926.6329719631717</v>
      </c>
      <c r="R4491" s="4">
        <f t="shared" ca="1" si="386"/>
        <v>2.9629279631717509</v>
      </c>
      <c r="S4491" s="4">
        <f t="shared" ca="1" si="387"/>
        <v>1.5034367937262703</v>
      </c>
    </row>
    <row r="4492" spans="15:19" x14ac:dyDescent="0.2">
      <c r="O4492" s="4">
        <f t="shared" ca="1" si="383"/>
        <v>0.54007275649009157</v>
      </c>
      <c r="P4492" s="4">
        <f t="shared" ca="1" si="384"/>
        <v>0.10061701779271463</v>
      </c>
      <c r="Q4492" s="4">
        <f t="shared" ca="1" si="385"/>
        <v>1921.3657747015641</v>
      </c>
      <c r="R4492" s="4">
        <f t="shared" ca="1" si="386"/>
        <v>-2.3042692984358837</v>
      </c>
      <c r="S4492" s="4">
        <f t="shared" ca="1" si="387"/>
        <v>-1.1642822910043842</v>
      </c>
    </row>
    <row r="4493" spans="15:19" x14ac:dyDescent="0.2">
      <c r="O4493" s="4">
        <f t="shared" ca="1" si="383"/>
        <v>0.90735030642361469</v>
      </c>
      <c r="P4493" s="4">
        <f t="shared" ca="1" si="384"/>
        <v>1.3246134663798868</v>
      </c>
      <c r="Q4493" s="4">
        <f t="shared" ca="1" si="385"/>
        <v>1898.2705877192125</v>
      </c>
      <c r="R4493" s="4">
        <f t="shared" ca="1" si="386"/>
        <v>-25.39945628078749</v>
      </c>
      <c r="S4493" s="4">
        <f t="shared" ca="1" si="387"/>
        <v>-12.594840016447227</v>
      </c>
    </row>
    <row r="4494" spans="15:19" x14ac:dyDescent="0.2">
      <c r="O4494" s="4">
        <f t="shared" ca="1" si="383"/>
        <v>0.3419507857196874</v>
      </c>
      <c r="P4494" s="4">
        <f t="shared" ca="1" si="384"/>
        <v>-0.40714489486066457</v>
      </c>
      <c r="Q4494" s="4">
        <f t="shared" ca="1" si="385"/>
        <v>1930.9465674634894</v>
      </c>
      <c r="R4494" s="4">
        <f t="shared" ca="1" si="386"/>
        <v>7.2765234634894114</v>
      </c>
      <c r="S4494" s="4">
        <f t="shared" ca="1" si="387"/>
        <v>3.7050008674693138</v>
      </c>
    </row>
    <row r="4495" spans="15:19" x14ac:dyDescent="0.2">
      <c r="O4495" s="4">
        <f t="shared" ca="1" si="383"/>
        <v>0.65057498457413165</v>
      </c>
      <c r="P4495" s="4">
        <f t="shared" ca="1" si="384"/>
        <v>0.38687326981668668</v>
      </c>
      <c r="Q4495" s="4">
        <f t="shared" ca="1" si="385"/>
        <v>1915.9644994993428</v>
      </c>
      <c r="R4495" s="4">
        <f t="shared" ca="1" si="386"/>
        <v>-7.7055445006571972</v>
      </c>
      <c r="S4495" s="4">
        <f t="shared" ca="1" si="387"/>
        <v>-3.8764521966729002</v>
      </c>
    </row>
    <row r="4496" spans="15:19" x14ac:dyDescent="0.2">
      <c r="O4496" s="4">
        <f t="shared" ca="1" si="383"/>
        <v>0.95022712121324993</v>
      </c>
      <c r="P4496" s="4">
        <f t="shared" ca="1" si="384"/>
        <v>1.647059787072058</v>
      </c>
      <c r="Q4496" s="4">
        <f t="shared" ca="1" si="385"/>
        <v>1892.1864539974579</v>
      </c>
      <c r="R4496" s="4">
        <f t="shared" ca="1" si="386"/>
        <v>-31.483590002542087</v>
      </c>
      <c r="S4496" s="4">
        <f t="shared" ca="1" si="387"/>
        <v>-15.533807929535742</v>
      </c>
    </row>
    <row r="4497" spans="15:19" x14ac:dyDescent="0.2">
      <c r="O4497" s="4">
        <f t="shared" ca="1" si="383"/>
        <v>0.30708018730782827</v>
      </c>
      <c r="P4497" s="4">
        <f t="shared" ca="1" si="384"/>
        <v>-0.50414373617983832</v>
      </c>
      <c r="Q4497" s="4">
        <f t="shared" ca="1" si="385"/>
        <v>1932.7768067423071</v>
      </c>
      <c r="R4497" s="4">
        <f t="shared" ca="1" si="386"/>
        <v>9.1067627423071826</v>
      </c>
      <c r="S4497" s="4">
        <f t="shared" ca="1" si="387"/>
        <v>4.6436920240937267</v>
      </c>
    </row>
    <row r="4498" spans="15:19" x14ac:dyDescent="0.2">
      <c r="O4498" s="4">
        <f t="shared" ca="1" si="383"/>
        <v>0.16622950654148727</v>
      </c>
      <c r="P4498" s="4">
        <f t="shared" ca="1" si="384"/>
        <v>-0.96917273322699227</v>
      </c>
      <c r="Q4498" s="4">
        <f t="shared" ca="1" si="385"/>
        <v>1941.5512861547402</v>
      </c>
      <c r="R4498" s="4">
        <f t="shared" ca="1" si="386"/>
        <v>17.881242154740221</v>
      </c>
      <c r="S4498" s="4">
        <f t="shared" ca="1" si="387"/>
        <v>9.1818157581050599</v>
      </c>
    </row>
    <row r="4499" spans="15:19" x14ac:dyDescent="0.2">
      <c r="O4499" s="4">
        <f t="shared" ca="1" si="383"/>
        <v>0.68591529220825342</v>
      </c>
      <c r="P4499" s="4">
        <f t="shared" ca="1" si="384"/>
        <v>0.48430501748411353</v>
      </c>
      <c r="Q4499" s="4">
        <f t="shared" ca="1" si="385"/>
        <v>1914.1260918528221</v>
      </c>
      <c r="R4499" s="4">
        <f t="shared" ca="1" si="386"/>
        <v>-9.5439521471778335</v>
      </c>
      <c r="S4499" s="4">
        <f t="shared" ca="1" si="387"/>
        <v>-4.7941633352514117</v>
      </c>
    </row>
    <row r="4500" spans="15:19" x14ac:dyDescent="0.2">
      <c r="O4500" s="4">
        <f t="shared" ca="1" si="383"/>
        <v>0.29265885437927441</v>
      </c>
      <c r="P4500" s="4">
        <f t="shared" ca="1" si="384"/>
        <v>-0.54563376634959571</v>
      </c>
      <c r="Q4500" s="4">
        <f t="shared" ca="1" si="385"/>
        <v>1933.5596684947084</v>
      </c>
      <c r="R4500" s="4">
        <f t="shared" ca="1" si="386"/>
        <v>9.8896244947084142</v>
      </c>
      <c r="S4500" s="4">
        <f t="shared" ca="1" si="387"/>
        <v>5.0460380595253325</v>
      </c>
    </row>
    <row r="4501" spans="15:19" x14ac:dyDescent="0.2">
      <c r="O4501" s="4">
        <f t="shared" ca="1" si="383"/>
        <v>0.54741016984484814</v>
      </c>
      <c r="P4501" s="4">
        <f t="shared" ca="1" si="384"/>
        <v>0.11912078957966447</v>
      </c>
      <c r="Q4501" s="4">
        <f t="shared" ca="1" si="385"/>
        <v>1921.0166331090443</v>
      </c>
      <c r="R4501" s="4">
        <f t="shared" ca="1" si="386"/>
        <v>-2.6534108909556835</v>
      </c>
      <c r="S4501" s="4">
        <f t="shared" ca="1" si="387"/>
        <v>-1.3403165756526292</v>
      </c>
    </row>
    <row r="4502" spans="15:19" x14ac:dyDescent="0.2">
      <c r="O4502" s="4">
        <f t="shared" ca="1" si="383"/>
        <v>0.32811865171822108</v>
      </c>
      <c r="P4502" s="4">
        <f t="shared" ca="1" si="384"/>
        <v>-0.44511409479558134</v>
      </c>
      <c r="Q4502" s="4">
        <f t="shared" ca="1" si="385"/>
        <v>1931.6629958265612</v>
      </c>
      <c r="R4502" s="4">
        <f t="shared" ca="1" si="386"/>
        <v>7.9929518265612387</v>
      </c>
      <c r="S4502" s="4">
        <f t="shared" ca="1" si="387"/>
        <v>4.0721170499693304</v>
      </c>
    </row>
    <row r="4503" spans="15:19" x14ac:dyDescent="0.2">
      <c r="O4503" s="4">
        <f t="shared" ca="1" si="383"/>
        <v>0.33907642596813403</v>
      </c>
      <c r="P4503" s="4">
        <f t="shared" ca="1" si="384"/>
        <v>-0.41498504371277212</v>
      </c>
      <c r="Q4503" s="4">
        <f t="shared" ca="1" si="385"/>
        <v>1931.0945006571826</v>
      </c>
      <c r="R4503" s="4">
        <f t="shared" ca="1" si="386"/>
        <v>7.4244566571826454</v>
      </c>
      <c r="S4503" s="4">
        <f t="shared" ca="1" si="387"/>
        <v>3.7807713781744758</v>
      </c>
    </row>
    <row r="4504" spans="15:19" x14ac:dyDescent="0.2">
      <c r="O4504" s="4">
        <f t="shared" ca="1" si="383"/>
        <v>0.9421790262420433</v>
      </c>
      <c r="P4504" s="4">
        <f t="shared" ca="1" si="384"/>
        <v>1.5733320686686481</v>
      </c>
      <c r="Q4504" s="4">
        <f t="shared" ca="1" si="385"/>
        <v>1893.577598101082</v>
      </c>
      <c r="R4504" s="4">
        <f t="shared" ca="1" si="386"/>
        <v>-30.092445898917958</v>
      </c>
      <c r="S4504" s="4">
        <f t="shared" ca="1" si="387"/>
        <v>-14.86446717179369</v>
      </c>
    </row>
    <row r="4505" spans="15:19" x14ac:dyDescent="0.2">
      <c r="O4505" s="4">
        <f t="shared" ca="1" si="383"/>
        <v>0.67440676776378672</v>
      </c>
      <c r="P4505" s="4">
        <f t="shared" ca="1" si="384"/>
        <v>0.4521145470102394</v>
      </c>
      <c r="Q4505" s="4">
        <f t="shared" ca="1" si="385"/>
        <v>1914.7334832676438</v>
      </c>
      <c r="R4505" s="4">
        <f t="shared" ca="1" si="386"/>
        <v>-8.9365607323561562</v>
      </c>
      <c r="S4505" s="4">
        <f t="shared" ca="1" si="387"/>
        <v>-4.4912651650593123</v>
      </c>
    </row>
    <row r="4506" spans="15:19" x14ac:dyDescent="0.2">
      <c r="O4506" s="4">
        <f t="shared" ca="1" si="383"/>
        <v>0.48328355345989216</v>
      </c>
      <c r="P4506" s="4">
        <f t="shared" ca="1" si="384"/>
        <v>-4.1914186782708404E-2</v>
      </c>
      <c r="Q4506" s="4">
        <f t="shared" ca="1" si="385"/>
        <v>1924.0551491881395</v>
      </c>
      <c r="R4506" s="4">
        <f t="shared" ca="1" si="386"/>
        <v>0.38510518813950512</v>
      </c>
      <c r="S4506" s="4">
        <f t="shared" ca="1" si="387"/>
        <v>0.19500438911613019</v>
      </c>
    </row>
    <row r="4507" spans="15:19" x14ac:dyDescent="0.2">
      <c r="O4507" s="4">
        <f t="shared" ca="1" si="383"/>
        <v>0.96796182603506453</v>
      </c>
      <c r="P4507" s="4">
        <f t="shared" ca="1" si="384"/>
        <v>1.8516482620870578</v>
      </c>
      <c r="Q4507" s="4">
        <f t="shared" ca="1" si="385"/>
        <v>1888.3261412568781</v>
      </c>
      <c r="R4507" s="4">
        <f t="shared" ca="1" si="386"/>
        <v>-35.343902743121816</v>
      </c>
      <c r="S4507" s="4">
        <f t="shared" ca="1" si="387"/>
        <v>-17.382922357887445</v>
      </c>
    </row>
    <row r="4508" spans="15:19" x14ac:dyDescent="0.2">
      <c r="O4508" s="4">
        <f t="shared" ca="1" si="383"/>
        <v>0.88761733525848396</v>
      </c>
      <c r="P4508" s="4">
        <f t="shared" ca="1" si="384"/>
        <v>1.2139538976965278</v>
      </c>
      <c r="Q4508" s="4">
        <f t="shared" ca="1" si="385"/>
        <v>1900.358586775973</v>
      </c>
      <c r="R4508" s="4">
        <f t="shared" ca="1" si="386"/>
        <v>-23.311457224026981</v>
      </c>
      <c r="S4508" s="4">
        <f t="shared" ca="1" si="387"/>
        <v>-11.579276777967003</v>
      </c>
    </row>
    <row r="4509" spans="15:19" x14ac:dyDescent="0.2">
      <c r="O4509" s="4">
        <f t="shared" ca="1" si="383"/>
        <v>3.7999182968728173E-2</v>
      </c>
      <c r="P4509" s="4">
        <f t="shared" ca="1" si="384"/>
        <v>-1.7743917960025346</v>
      </c>
      <c r="Q4509" s="4">
        <f t="shared" ca="1" si="385"/>
        <v>1956.7447001863093</v>
      </c>
      <c r="R4509" s="4">
        <f t="shared" ca="1" si="386"/>
        <v>33.074656186309312</v>
      </c>
      <c r="S4509" s="4">
        <f t="shared" ca="1" si="387"/>
        <v>17.188021335853737</v>
      </c>
    </row>
    <row r="4510" spans="15:19" x14ac:dyDescent="0.2">
      <c r="O4510" s="4">
        <f t="shared" ca="1" si="383"/>
        <v>9.9079390687127122E-2</v>
      </c>
      <c r="P4510" s="4">
        <f t="shared" ca="1" si="384"/>
        <v>-1.2868149886571751</v>
      </c>
      <c r="Q4510" s="4">
        <f t="shared" ca="1" si="385"/>
        <v>1947.5447735469006</v>
      </c>
      <c r="R4510" s="4">
        <f t="shared" ca="1" si="386"/>
        <v>23.874729546900653</v>
      </c>
      <c r="S4510" s="4">
        <f t="shared" ca="1" si="387"/>
        <v>12.317652509565892</v>
      </c>
    </row>
    <row r="4511" spans="15:19" x14ac:dyDescent="0.2">
      <c r="O4511" s="4">
        <f t="shared" ca="1" si="383"/>
        <v>1.8816126314551762E-2</v>
      </c>
      <c r="P4511" s="4">
        <f t="shared" ca="1" si="384"/>
        <v>-2.0788378940987209</v>
      </c>
      <c r="Q4511" s="4">
        <f t="shared" ca="1" si="385"/>
        <v>1962.4891936198442</v>
      </c>
      <c r="R4511" s="4">
        <f t="shared" ca="1" si="386"/>
        <v>38.819149619844211</v>
      </c>
      <c r="S4511" s="4">
        <f t="shared" ca="1" si="387"/>
        <v>20.264057121069602</v>
      </c>
    </row>
    <row r="4512" spans="15:19" x14ac:dyDescent="0.2">
      <c r="O4512" s="4">
        <f t="shared" ca="1" si="383"/>
        <v>0.96091033475063337</v>
      </c>
      <c r="P4512" s="4">
        <f t="shared" ca="1" si="384"/>
        <v>1.7613491231676104</v>
      </c>
      <c r="Q4512" s="4">
        <f t="shared" ca="1" si="385"/>
        <v>1890.0299660515473</v>
      </c>
      <c r="R4512" s="4">
        <f t="shared" ca="1" si="386"/>
        <v>-33.640077948452699</v>
      </c>
      <c r="S4512" s="4">
        <f t="shared" ca="1" si="387"/>
        <v>-16.568275097593499</v>
      </c>
    </row>
    <row r="4513" spans="15:19" x14ac:dyDescent="0.2">
      <c r="O4513" s="4">
        <f t="shared" ca="1" si="383"/>
        <v>0.31780321607947459</v>
      </c>
      <c r="P4513" s="4">
        <f t="shared" ca="1" si="384"/>
        <v>-0.47385062304183151</v>
      </c>
      <c r="Q4513" s="4">
        <f t="shared" ca="1" si="385"/>
        <v>1932.2052159398934</v>
      </c>
      <c r="R4513" s="4">
        <f t="shared" ca="1" si="386"/>
        <v>8.5351719398934165</v>
      </c>
      <c r="S4513" s="4">
        <f t="shared" ca="1" si="387"/>
        <v>4.3502422883503193</v>
      </c>
    </row>
    <row r="4514" spans="15:19" x14ac:dyDescent="0.2">
      <c r="O4514" s="4">
        <f t="shared" ca="1" si="383"/>
        <v>0.11988433915547925</v>
      </c>
      <c r="P4514" s="4">
        <f t="shared" ca="1" si="384"/>
        <v>-1.1755651757731911</v>
      </c>
      <c r="Q4514" s="4">
        <f t="shared" ca="1" si="385"/>
        <v>1945.445637366176</v>
      </c>
      <c r="R4514" s="4">
        <f t="shared" ca="1" si="386"/>
        <v>21.775593366176054</v>
      </c>
      <c r="S4514" s="4">
        <f t="shared" ca="1" si="387"/>
        <v>11.216041298893957</v>
      </c>
    </row>
    <row r="4515" spans="15:19" x14ac:dyDescent="0.2">
      <c r="O4515" s="4">
        <f t="shared" ca="1" si="383"/>
        <v>6.0120325016672638E-3</v>
      </c>
      <c r="P4515" s="4">
        <f t="shared" ca="1" si="384"/>
        <v>-2.5114372814502284</v>
      </c>
      <c r="Q4515" s="4">
        <f t="shared" ca="1" si="385"/>
        <v>1970.6517693780224</v>
      </c>
      <c r="R4515" s="4">
        <f t="shared" ca="1" si="386"/>
        <v>46.981725378022475</v>
      </c>
      <c r="S4515" s="4">
        <f t="shared" ca="1" si="387"/>
        <v>24.681126354094669</v>
      </c>
    </row>
    <row r="4516" spans="15:19" x14ac:dyDescent="0.2">
      <c r="O4516" s="4">
        <f t="shared" ca="1" si="383"/>
        <v>0.85224066804452969</v>
      </c>
      <c r="P4516" s="4">
        <f t="shared" ca="1" si="384"/>
        <v>1.0460917715209739</v>
      </c>
      <c r="Q4516" s="4">
        <f t="shared" ca="1" si="385"/>
        <v>1903.5259221026029</v>
      </c>
      <c r="R4516" s="4">
        <f t="shared" ca="1" si="386"/>
        <v>-20.144121897397099</v>
      </c>
      <c r="S4516" s="4">
        <f t="shared" ca="1" si="387"/>
        <v>-10.031968965087591</v>
      </c>
    </row>
    <row r="4517" spans="15:19" x14ac:dyDescent="0.2">
      <c r="O4517" s="4">
        <f t="shared" ca="1" si="383"/>
        <v>0.77804955341720861</v>
      </c>
      <c r="P4517" s="4">
        <f t="shared" ca="1" si="384"/>
        <v>0.76562259997003446</v>
      </c>
      <c r="Q4517" s="4">
        <f t="shared" ca="1" si="385"/>
        <v>1908.8180027840715</v>
      </c>
      <c r="R4517" s="4">
        <f t="shared" ca="1" si="386"/>
        <v>-14.852041215928466</v>
      </c>
      <c r="S4517" s="4">
        <f t="shared" ca="1" si="387"/>
        <v>-7.4284561346042564</v>
      </c>
    </row>
    <row r="4518" spans="15:19" x14ac:dyDescent="0.2">
      <c r="O4518" s="4">
        <f t="shared" ca="1" si="383"/>
        <v>0.13789947659054358</v>
      </c>
      <c r="P4518" s="4">
        <f t="shared" ca="1" si="384"/>
        <v>-1.089805221997201</v>
      </c>
      <c r="Q4518" s="4">
        <f t="shared" ca="1" si="385"/>
        <v>1943.8274609651414</v>
      </c>
      <c r="R4518" s="4">
        <f t="shared" ca="1" si="386"/>
        <v>20.157416965141465</v>
      </c>
      <c r="S4518" s="4">
        <f t="shared" ca="1" si="387"/>
        <v>10.369282869341667</v>
      </c>
    </row>
    <row r="4519" spans="15:19" x14ac:dyDescent="0.2">
      <c r="O4519" s="4">
        <f t="shared" ca="1" si="383"/>
        <v>0.7094032961034652</v>
      </c>
      <c r="P4519" s="4">
        <f t="shared" ca="1" si="384"/>
        <v>0.55164236053727833</v>
      </c>
      <c r="Q4519" s="4">
        <f t="shared" ca="1" si="385"/>
        <v>1912.8555256428447</v>
      </c>
      <c r="R4519" s="4">
        <f t="shared" ca="1" si="386"/>
        <v>-10.814518357155293</v>
      </c>
      <c r="S4519" s="4">
        <f t="shared" ca="1" si="387"/>
        <v>-5.4268068237939886</v>
      </c>
    </row>
    <row r="4520" spans="15:19" x14ac:dyDescent="0.2">
      <c r="O4520" s="4">
        <f t="shared" ca="1" si="383"/>
        <v>0.91789353380028016</v>
      </c>
      <c r="P4520" s="4">
        <f t="shared" ca="1" si="384"/>
        <v>1.3910412040793478</v>
      </c>
      <c r="Q4520" s="4">
        <f t="shared" ca="1" si="385"/>
        <v>1897.0171845539055</v>
      </c>
      <c r="R4520" s="4">
        <f t="shared" ca="1" si="386"/>
        <v>-26.652859446094453</v>
      </c>
      <c r="S4520" s="4">
        <f t="shared" ca="1" si="387"/>
        <v>-13.202766746550237</v>
      </c>
    </row>
    <row r="4521" spans="15:19" x14ac:dyDescent="0.2">
      <c r="O4521" s="4">
        <f t="shared" ca="1" si="383"/>
        <v>0.25719630339909583</v>
      </c>
      <c r="P4521" s="4">
        <f t="shared" ca="1" si="384"/>
        <v>-0.6520132779109421</v>
      </c>
      <c r="Q4521" s="4">
        <f t="shared" ca="1" si="385"/>
        <v>1935.5669085593643</v>
      </c>
      <c r="R4521" s="4">
        <f t="shared" ca="1" si="386"/>
        <v>11.896864559364303</v>
      </c>
      <c r="S4521" s="4">
        <f t="shared" ca="1" si="387"/>
        <v>6.079924068746327</v>
      </c>
    </row>
    <row r="4522" spans="15:19" x14ac:dyDescent="0.2">
      <c r="O4522" s="4">
        <f t="shared" ca="1" si="383"/>
        <v>0.98055483831737655</v>
      </c>
      <c r="P4522" s="4">
        <f t="shared" ca="1" si="384"/>
        <v>2.0653454783068423</v>
      </c>
      <c r="Q4522" s="4">
        <f t="shared" ca="1" si="385"/>
        <v>1884.293958670155</v>
      </c>
      <c r="R4522" s="4">
        <f t="shared" ca="1" si="386"/>
        <v>-39.376085329844955</v>
      </c>
      <c r="S4522" s="4">
        <f t="shared" ca="1" si="387"/>
        <v>-19.301408975125987</v>
      </c>
    </row>
    <row r="4523" spans="15:19" x14ac:dyDescent="0.2">
      <c r="O4523" s="4">
        <f t="shared" ca="1" si="383"/>
        <v>0.88877175427704702</v>
      </c>
      <c r="P4523" s="4">
        <f t="shared" ca="1" si="384"/>
        <v>1.2200221151819557</v>
      </c>
      <c r="Q4523" s="4">
        <f t="shared" ca="1" si="385"/>
        <v>1900.2440875732693</v>
      </c>
      <c r="R4523" s="4">
        <f t="shared" ca="1" si="386"/>
        <v>-23.425956426730636</v>
      </c>
      <c r="S4523" s="4">
        <f t="shared" ca="1" si="387"/>
        <v>-11.635059007014142</v>
      </c>
    </row>
    <row r="4524" spans="15:19" x14ac:dyDescent="0.2">
      <c r="O4524" s="4">
        <f t="shared" ca="1" si="383"/>
        <v>0.82083358168792908</v>
      </c>
      <c r="P4524" s="4">
        <f t="shared" ca="1" si="384"/>
        <v>0.91854648029700936</v>
      </c>
      <c r="Q4524" s="4">
        <f t="shared" ca="1" si="385"/>
        <v>1905.932532312082</v>
      </c>
      <c r="R4524" s="4">
        <f t="shared" ca="1" si="386"/>
        <v>-17.737511687917959</v>
      </c>
      <c r="S4524" s="4">
        <f t="shared" ca="1" si="387"/>
        <v>-8.8508303103236301</v>
      </c>
    </row>
    <row r="4525" spans="15:19" x14ac:dyDescent="0.2">
      <c r="O4525" s="4">
        <f t="shared" ca="1" si="383"/>
        <v>8.5090121719853751E-2</v>
      </c>
      <c r="P4525" s="4">
        <f t="shared" ca="1" si="384"/>
        <v>-1.3716248832627003</v>
      </c>
      <c r="Q4525" s="4">
        <f t="shared" ca="1" si="385"/>
        <v>1949.1450235934828</v>
      </c>
      <c r="R4525" s="4">
        <f t="shared" ca="1" si="386"/>
        <v>25.474979593482885</v>
      </c>
      <c r="S4525" s="4">
        <f t="shared" ca="1" si="387"/>
        <v>13.159861777190228</v>
      </c>
    </row>
    <row r="4526" spans="15:19" x14ac:dyDescent="0.2">
      <c r="O4526" s="4">
        <f t="shared" ca="1" si="383"/>
        <v>0.54217668593902668</v>
      </c>
      <c r="P4526" s="4">
        <f t="shared" ca="1" si="384"/>
        <v>0.10591898856187265</v>
      </c>
      <c r="Q4526" s="4">
        <f t="shared" ca="1" si="385"/>
        <v>1921.2657335564857</v>
      </c>
      <c r="R4526" s="4">
        <f t="shared" ca="1" si="386"/>
        <v>-2.404310443514305</v>
      </c>
      <c r="S4526" s="4">
        <f t="shared" ca="1" si="387"/>
        <v>-1.2147323478821446</v>
      </c>
    </row>
    <row r="4527" spans="15:19" x14ac:dyDescent="0.2">
      <c r="O4527" s="4">
        <f t="shared" ca="1" si="383"/>
        <v>0.9802863570756416</v>
      </c>
      <c r="P4527" s="4">
        <f t="shared" ca="1" si="384"/>
        <v>2.0596994101756367</v>
      </c>
      <c r="Q4527" s="4">
        <f t="shared" ca="1" si="385"/>
        <v>1884.4004924753435</v>
      </c>
      <c r="R4527" s="4">
        <f t="shared" ca="1" si="386"/>
        <v>-39.269551524656436</v>
      </c>
      <c r="S4527" s="4">
        <f t="shared" ca="1" si="387"/>
        <v>-19.250891115968113</v>
      </c>
    </row>
    <row r="4528" spans="15:19" x14ac:dyDescent="0.2">
      <c r="O4528" s="4">
        <f t="shared" ca="1" si="383"/>
        <v>0.58100466782457283</v>
      </c>
      <c r="P4528" s="4">
        <f t="shared" ca="1" si="384"/>
        <v>0.20446432917092269</v>
      </c>
      <c r="Q4528" s="4">
        <f t="shared" ca="1" si="385"/>
        <v>1919.4063138904949</v>
      </c>
      <c r="R4528" s="4">
        <f t="shared" ca="1" si="386"/>
        <v>-4.2637301095051043</v>
      </c>
      <c r="S4528" s="4">
        <f t="shared" ca="1" si="387"/>
        <v>-2.1509416722430923</v>
      </c>
    </row>
    <row r="4529" spans="15:19" x14ac:dyDescent="0.2">
      <c r="O4529" s="4">
        <f t="shared" ca="1" si="383"/>
        <v>0.39059637457836138</v>
      </c>
      <c r="P4529" s="4">
        <f t="shared" ca="1" si="384"/>
        <v>-0.27776501442929274</v>
      </c>
      <c r="Q4529" s="4">
        <f t="shared" ca="1" si="385"/>
        <v>1928.5053409928032</v>
      </c>
      <c r="R4529" s="4">
        <f t="shared" ca="1" si="386"/>
        <v>4.8352969928032508</v>
      </c>
      <c r="S4529" s="4">
        <f t="shared" ca="1" si="387"/>
        <v>2.4571920170207004</v>
      </c>
    </row>
    <row r="4530" spans="15:19" x14ac:dyDescent="0.2">
      <c r="O4530" s="4">
        <f t="shared" ca="1" si="383"/>
        <v>0.26464675694292283</v>
      </c>
      <c r="P4530" s="4">
        <f t="shared" ca="1" si="384"/>
        <v>-0.62908484142486165</v>
      </c>
      <c r="Q4530" s="4">
        <f t="shared" ca="1" si="385"/>
        <v>1935.1342794218615</v>
      </c>
      <c r="R4530" s="4">
        <f t="shared" ca="1" si="386"/>
        <v>11.464235421861531</v>
      </c>
      <c r="S4530" s="4">
        <f t="shared" ca="1" si="387"/>
        <v>5.8568088382755938</v>
      </c>
    </row>
    <row r="4531" spans="15:19" x14ac:dyDescent="0.2">
      <c r="O4531" s="4">
        <f t="shared" ca="1" si="383"/>
        <v>0.25541135581331686</v>
      </c>
      <c r="P4531" s="4">
        <f t="shared" ca="1" si="384"/>
        <v>-0.65755718868011037</v>
      </c>
      <c r="Q4531" s="4">
        <f t="shared" ca="1" si="385"/>
        <v>1935.6715147908408</v>
      </c>
      <c r="R4531" s="4">
        <f t="shared" ca="1" si="386"/>
        <v>12.001470790840813</v>
      </c>
      <c r="S4531" s="4">
        <f t="shared" ca="1" si="387"/>
        <v>6.1338944061097296</v>
      </c>
    </row>
    <row r="4532" spans="15:19" x14ac:dyDescent="0.2">
      <c r="O4532" s="4">
        <f t="shared" ca="1" si="383"/>
        <v>0.97237785947647626</v>
      </c>
      <c r="P4532" s="4">
        <f t="shared" ca="1" si="384"/>
        <v>1.9169500237480528</v>
      </c>
      <c r="Q4532" s="4">
        <f t="shared" ca="1" si="385"/>
        <v>1887.0939837636283</v>
      </c>
      <c r="R4532" s="4">
        <f t="shared" ca="1" si="386"/>
        <v>-36.576060236371632</v>
      </c>
      <c r="S4532" s="4">
        <f t="shared" ca="1" si="387"/>
        <v>-17.970579409710432</v>
      </c>
    </row>
    <row r="4533" spans="15:19" x14ac:dyDescent="0.2">
      <c r="O4533" s="4">
        <f t="shared" ca="1" si="383"/>
        <v>0.30125361910143056</v>
      </c>
      <c r="P4533" s="4">
        <f t="shared" ca="1" si="384"/>
        <v>-0.52079837072562396</v>
      </c>
      <c r="Q4533" s="4">
        <f t="shared" ca="1" si="385"/>
        <v>1933.0910575715488</v>
      </c>
      <c r="R4533" s="4">
        <f t="shared" ca="1" si="386"/>
        <v>9.4210135715488832</v>
      </c>
      <c r="S4533" s="4">
        <f t="shared" ca="1" si="387"/>
        <v>4.8051389791825407</v>
      </c>
    </row>
    <row r="4534" spans="15:19" x14ac:dyDescent="0.2">
      <c r="O4534" s="4">
        <f t="shared" ca="1" si="383"/>
        <v>0.99726409445674646</v>
      </c>
      <c r="P4534" s="4">
        <f t="shared" ca="1" si="384"/>
        <v>2.7778604613969176</v>
      </c>
      <c r="Q4534" s="4">
        <f t="shared" ca="1" si="385"/>
        <v>1870.8497474706971</v>
      </c>
      <c r="R4534" s="4">
        <f t="shared" ca="1" si="386"/>
        <v>-52.820296529302823</v>
      </c>
      <c r="S4534" s="4">
        <f t="shared" ca="1" si="387"/>
        <v>-25.602434958024006</v>
      </c>
    </row>
    <row r="4535" spans="15:19" x14ac:dyDescent="0.2">
      <c r="O4535" s="4">
        <f t="shared" ca="1" si="383"/>
        <v>0.5105423581166636</v>
      </c>
      <c r="P4535" s="4">
        <f t="shared" ca="1" si="384"/>
        <v>2.6428849302583813E-2</v>
      </c>
      <c r="Q4535" s="4">
        <f t="shared" ca="1" si="385"/>
        <v>1922.7656068866454</v>
      </c>
      <c r="R4535" s="4">
        <f t="shared" ca="1" si="386"/>
        <v>-0.90443711335456101</v>
      </c>
      <c r="S4535" s="4">
        <f t="shared" ca="1" si="387"/>
        <v>-0.45750194038674374</v>
      </c>
    </row>
    <row r="4536" spans="15:19" x14ac:dyDescent="0.2">
      <c r="O4536" s="4">
        <f t="shared" ca="1" si="383"/>
        <v>0.43488814921546148</v>
      </c>
      <c r="P4536" s="4">
        <f t="shared" ca="1" si="384"/>
        <v>-0.16394264114419982</v>
      </c>
      <c r="Q4536" s="4">
        <f t="shared" ca="1" si="385"/>
        <v>1926.3576640147953</v>
      </c>
      <c r="R4536" s="4">
        <f t="shared" ca="1" si="386"/>
        <v>2.6876200147953568</v>
      </c>
      <c r="S4536" s="4">
        <f t="shared" ca="1" si="387"/>
        <v>1.3634399601586416</v>
      </c>
    </row>
    <row r="4537" spans="15:19" x14ac:dyDescent="0.2">
      <c r="O4537" s="4">
        <f t="shared" ca="1" si="383"/>
        <v>6.0355978816301614E-2</v>
      </c>
      <c r="P4537" s="4">
        <f t="shared" ca="1" si="384"/>
        <v>-1.5517921801948569</v>
      </c>
      <c r="Q4537" s="4">
        <f t="shared" ca="1" si="385"/>
        <v>1952.5445411456421</v>
      </c>
      <c r="R4537" s="4">
        <f t="shared" ca="1" si="386"/>
        <v>28.874497145642181</v>
      </c>
      <c r="S4537" s="4">
        <f t="shared" ca="1" si="387"/>
        <v>14.955941784381871</v>
      </c>
    </row>
    <row r="4538" spans="15:19" x14ac:dyDescent="0.2">
      <c r="O4538" s="4">
        <f t="shared" ca="1" si="383"/>
        <v>0.78752197075930752</v>
      </c>
      <c r="P4538" s="4">
        <f t="shared" ca="1" si="384"/>
        <v>0.79785255573734593</v>
      </c>
      <c r="Q4538" s="4">
        <f t="shared" ca="1" si="385"/>
        <v>1908.2098663342165</v>
      </c>
      <c r="R4538" s="4">
        <f t="shared" ca="1" si="386"/>
        <v>-15.460177665783476</v>
      </c>
      <c r="S4538" s="4">
        <f t="shared" ca="1" si="387"/>
        <v>-7.7287968622277408</v>
      </c>
    </row>
    <row r="4539" spans="15:19" x14ac:dyDescent="0.2">
      <c r="O4539" s="4">
        <f t="shared" ca="1" si="383"/>
        <v>0.86595769628630814</v>
      </c>
      <c r="P4539" s="4">
        <f t="shared" ca="1" si="384"/>
        <v>1.10748427475497</v>
      </c>
      <c r="Q4539" s="4">
        <f t="shared" ca="1" si="385"/>
        <v>1902.3675271226662</v>
      </c>
      <c r="R4539" s="4">
        <f t="shared" ca="1" si="386"/>
        <v>-21.302516877333801</v>
      </c>
      <c r="S4539" s="4">
        <f t="shared" ca="1" si="387"/>
        <v>-10.598815814299426</v>
      </c>
    </row>
    <row r="4540" spans="15:19" x14ac:dyDescent="0.2">
      <c r="O4540" s="4">
        <f t="shared" ca="1" si="383"/>
        <v>0.98870314717867014</v>
      </c>
      <c r="P4540" s="4">
        <f t="shared" ca="1" si="384"/>
        <v>2.2802358251538339</v>
      </c>
      <c r="Q4540" s="4">
        <f t="shared" ca="1" si="385"/>
        <v>1880.2392632934957</v>
      </c>
      <c r="R4540" s="4">
        <f t="shared" ca="1" si="386"/>
        <v>-43.430780706504265</v>
      </c>
      <c r="S4540" s="4">
        <f t="shared" ca="1" si="387"/>
        <v>-21.217259304083996</v>
      </c>
    </row>
    <row r="4541" spans="15:19" x14ac:dyDescent="0.2">
      <c r="O4541" s="4">
        <f t="shared" ca="1" si="383"/>
        <v>0.51017297386316418</v>
      </c>
      <c r="P4541" s="4">
        <f t="shared" ca="1" si="384"/>
        <v>2.5502628069859742E-2</v>
      </c>
      <c r="Q4541" s="4">
        <f t="shared" ca="1" si="385"/>
        <v>1922.7830834508802</v>
      </c>
      <c r="R4541" s="4">
        <f t="shared" ca="1" si="386"/>
        <v>-0.88696054911974898</v>
      </c>
      <c r="S4541" s="4">
        <f t="shared" ca="1" si="387"/>
        <v>-0.44866787669993213</v>
      </c>
    </row>
    <row r="4542" spans="15:19" x14ac:dyDescent="0.2">
      <c r="O4542" s="4">
        <f t="shared" ca="1" si="383"/>
        <v>2.6317284866553381E-2</v>
      </c>
      <c r="P4542" s="4">
        <f t="shared" ca="1" si="384"/>
        <v>-1.9379070005631807</v>
      </c>
      <c r="Q4542" s="4">
        <f t="shared" ca="1" si="385"/>
        <v>1959.8300148766784</v>
      </c>
      <c r="R4542" s="4">
        <f t="shared" ca="1" si="386"/>
        <v>36.159970876678472</v>
      </c>
      <c r="S4542" s="4">
        <f t="shared" ca="1" si="387"/>
        <v>18.836792158902718</v>
      </c>
    </row>
    <row r="4543" spans="15:19" x14ac:dyDescent="0.2">
      <c r="O4543" s="4">
        <f t="shared" ca="1" si="383"/>
        <v>0.40081754250008195</v>
      </c>
      <c r="P4543" s="4">
        <f t="shared" ca="1" si="384"/>
        <v>-0.25123156065520852</v>
      </c>
      <c r="Q4543" s="4">
        <f t="shared" ca="1" si="385"/>
        <v>1928.0046899681147</v>
      </c>
      <c r="R4543" s="4">
        <f t="shared" ca="1" si="386"/>
        <v>4.334645968114728</v>
      </c>
      <c r="S4543" s="4">
        <f t="shared" ca="1" si="387"/>
        <v>2.2018887335573814</v>
      </c>
    </row>
    <row r="4544" spans="15:19" x14ac:dyDescent="0.2">
      <c r="O4544" s="4">
        <f t="shared" ca="1" si="383"/>
        <v>0.9568347771312421</v>
      </c>
      <c r="P4544" s="4">
        <f t="shared" ca="1" si="384"/>
        <v>1.7150806265913268</v>
      </c>
      <c r="Q4544" s="4">
        <f t="shared" ca="1" si="385"/>
        <v>1890.9029911171469</v>
      </c>
      <c r="R4544" s="4">
        <f t="shared" ca="1" si="386"/>
        <v>-32.767052882853022</v>
      </c>
      <c r="S4544" s="4">
        <f t="shared" ca="1" si="387"/>
        <v>-16.149941133085328</v>
      </c>
    </row>
    <row r="4545" spans="15:19" x14ac:dyDescent="0.2">
      <c r="O4545" s="4">
        <f t="shared" ca="1" si="383"/>
        <v>0.74801344458023089</v>
      </c>
      <c r="P4545" s="4">
        <f t="shared" ca="1" si="384"/>
        <v>0.66825143058669001</v>
      </c>
      <c r="Q4545" s="4">
        <f t="shared" ca="1" si="385"/>
        <v>1910.6552673988456</v>
      </c>
      <c r="R4545" s="4">
        <f t="shared" ca="1" si="386"/>
        <v>-13.014776601154381</v>
      </c>
      <c r="S4545" s="4">
        <f t="shared" ca="1" si="387"/>
        <v>-6.5192562133899292</v>
      </c>
    </row>
    <row r="4546" spans="15:19" x14ac:dyDescent="0.2">
      <c r="O4546" s="4">
        <f t="shared" ca="1" si="383"/>
        <v>0.75972569668079926</v>
      </c>
      <c r="P4546" s="4">
        <f t="shared" ca="1" si="384"/>
        <v>0.70542047354771642</v>
      </c>
      <c r="Q4546" s="4">
        <f t="shared" ca="1" si="385"/>
        <v>1909.9539369349127</v>
      </c>
      <c r="R4546" s="4">
        <f t="shared" ca="1" si="386"/>
        <v>-13.716107065087272</v>
      </c>
      <c r="S4546" s="4">
        <f t="shared" ca="1" si="387"/>
        <v>-6.8666451624123912</v>
      </c>
    </row>
    <row r="4547" spans="15:19" x14ac:dyDescent="0.2">
      <c r="O4547" s="4">
        <f t="shared" ref="O4547:O4610" ca="1" si="388">RAND()</f>
        <v>0.27063158749602867</v>
      </c>
      <c r="P4547" s="4">
        <f t="shared" ref="P4547:P4610" ca="1" si="389">NORMSINV(O4547)</f>
        <v>-0.6109039419911797</v>
      </c>
      <c r="Q4547" s="4">
        <f t="shared" ref="Q4547:Q4610" ca="1" si="390">$B$4*(1+$B$17-$B$32*P4547)</f>
        <v>1934.7912300017319</v>
      </c>
      <c r="R4547" s="4">
        <f t="shared" ref="R4547:R4610" ca="1" si="391">Q4547-$B$4</f>
        <v>11.121186001731985</v>
      </c>
      <c r="S4547" s="4">
        <f t="shared" ref="S4547:S4610" ca="1" si="392">R4547*$B$12+0.5*$B$13*R4547^2</f>
        <v>5.6799999236150924</v>
      </c>
    </row>
    <row r="4548" spans="15:19" x14ac:dyDescent="0.2">
      <c r="O4548" s="4">
        <f t="shared" ca="1" si="388"/>
        <v>0.57137465772816198</v>
      </c>
      <c r="P4548" s="4">
        <f t="shared" ca="1" si="389"/>
        <v>0.17987502245508249</v>
      </c>
      <c r="Q4548" s="4">
        <f t="shared" ca="1" si="390"/>
        <v>1919.8702814428716</v>
      </c>
      <c r="R4548" s="4">
        <f t="shared" ca="1" si="391"/>
        <v>-3.7997625571283606</v>
      </c>
      <c r="S4548" s="4">
        <f t="shared" ca="1" si="392"/>
        <v>-1.917599679674062</v>
      </c>
    </row>
    <row r="4549" spans="15:19" x14ac:dyDescent="0.2">
      <c r="O4549" s="4">
        <f t="shared" ca="1" si="388"/>
        <v>0.56607819431720063</v>
      </c>
      <c r="P4549" s="4">
        <f t="shared" ca="1" si="389"/>
        <v>0.16639817335735227</v>
      </c>
      <c r="Q4549" s="4">
        <f t="shared" ca="1" si="390"/>
        <v>1920.1245716821975</v>
      </c>
      <c r="R4549" s="4">
        <f t="shared" ca="1" si="391"/>
        <v>-3.5454723178024778</v>
      </c>
      <c r="S4549" s="4">
        <f t="shared" ca="1" si="392"/>
        <v>-1.789635802444201</v>
      </c>
    </row>
    <row r="4550" spans="15:19" x14ac:dyDescent="0.2">
      <c r="O4550" s="4">
        <f t="shared" ca="1" si="388"/>
        <v>0.63395809579271079</v>
      </c>
      <c r="P4550" s="4">
        <f t="shared" ca="1" si="389"/>
        <v>0.34235492152069652</v>
      </c>
      <c r="Q4550" s="4">
        <f t="shared" ca="1" si="390"/>
        <v>1916.8045015918553</v>
      </c>
      <c r="R4550" s="4">
        <f t="shared" ca="1" si="391"/>
        <v>-6.8655424081446199</v>
      </c>
      <c r="S4550" s="4">
        <f t="shared" ca="1" si="392"/>
        <v>-3.4562173326090395</v>
      </c>
    </row>
    <row r="4551" spans="15:19" x14ac:dyDescent="0.2">
      <c r="O4551" s="4">
        <f t="shared" ca="1" si="388"/>
        <v>0.12199972813202675</v>
      </c>
      <c r="P4551" s="4">
        <f t="shared" ca="1" si="389"/>
        <v>-1.1650482656573009</v>
      </c>
      <c r="Q4551" s="4">
        <f t="shared" ca="1" si="390"/>
        <v>1945.2471972433448</v>
      </c>
      <c r="R4551" s="4">
        <f t="shared" ca="1" si="391"/>
        <v>21.57715324334481</v>
      </c>
      <c r="S4551" s="4">
        <f t="shared" ca="1" si="392"/>
        <v>11.112086979255368</v>
      </c>
    </row>
    <row r="4552" spans="15:19" x14ac:dyDescent="0.2">
      <c r="O4552" s="4">
        <f t="shared" ca="1" si="388"/>
        <v>0.36432121918503846</v>
      </c>
      <c r="P4552" s="4">
        <f t="shared" ca="1" si="389"/>
        <v>-0.34693195617327482</v>
      </c>
      <c r="Q4552" s="4">
        <f t="shared" ca="1" si="390"/>
        <v>1929.8104292995695</v>
      </c>
      <c r="R4552" s="4">
        <f t="shared" ca="1" si="391"/>
        <v>6.1403852995695161</v>
      </c>
      <c r="S4552" s="4">
        <f t="shared" ca="1" si="392"/>
        <v>3.1236714562177252</v>
      </c>
    </row>
    <row r="4553" spans="15:19" x14ac:dyDescent="0.2">
      <c r="O4553" s="4">
        <f t="shared" ca="1" si="388"/>
        <v>0.75765772161740808</v>
      </c>
      <c r="P4553" s="4">
        <f t="shared" ca="1" si="389"/>
        <v>0.6987879555215738</v>
      </c>
      <c r="Q4553" s="4">
        <f t="shared" ca="1" si="390"/>
        <v>1910.0790837391819</v>
      </c>
      <c r="R4553" s="4">
        <f t="shared" ca="1" si="391"/>
        <v>-13.590960260818065</v>
      </c>
      <c r="S4553" s="4">
        <f t="shared" ca="1" si="392"/>
        <v>-6.8046857394910676</v>
      </c>
    </row>
    <row r="4554" spans="15:19" x14ac:dyDescent="0.2">
      <c r="O4554" s="4">
        <f t="shared" ca="1" si="388"/>
        <v>0.87265347161114426</v>
      </c>
      <c r="P4554" s="4">
        <f t="shared" ca="1" si="389"/>
        <v>1.1390242095104313</v>
      </c>
      <c r="Q4554" s="4">
        <f t="shared" ca="1" si="390"/>
        <v>1901.7724104526553</v>
      </c>
      <c r="R4554" s="4">
        <f t="shared" ca="1" si="391"/>
        <v>-21.89763354734464</v>
      </c>
      <c r="S4554" s="4">
        <f t="shared" ca="1" si="392"/>
        <v>-10.889604306263591</v>
      </c>
    </row>
    <row r="4555" spans="15:19" x14ac:dyDescent="0.2">
      <c r="O4555" s="4">
        <f t="shared" ca="1" si="388"/>
        <v>0.52846946914739013</v>
      </c>
      <c r="P4555" s="4">
        <f t="shared" ca="1" si="389"/>
        <v>7.1423054399307587E-2</v>
      </c>
      <c r="Q4555" s="4">
        <f t="shared" ca="1" si="390"/>
        <v>1921.9166260084489</v>
      </c>
      <c r="R4555" s="4">
        <f t="shared" ca="1" si="391"/>
        <v>-1.7534179915510322</v>
      </c>
      <c r="S4555" s="4">
        <f t="shared" ca="1" si="392"/>
        <v>-0.88634583787001031</v>
      </c>
    </row>
    <row r="4556" spans="15:19" x14ac:dyDescent="0.2">
      <c r="O4556" s="4">
        <f t="shared" ca="1" si="388"/>
        <v>0.59991268552344468</v>
      </c>
      <c r="P4556" s="4">
        <f t="shared" ca="1" si="389"/>
        <v>0.25312110684977107</v>
      </c>
      <c r="Q4556" s="4">
        <f t="shared" ca="1" si="390"/>
        <v>1918.4882251331715</v>
      </c>
      <c r="R4556" s="4">
        <f t="shared" ca="1" si="391"/>
        <v>-5.1818188668285075</v>
      </c>
      <c r="S4556" s="4">
        <f t="shared" ca="1" si="392"/>
        <v>-2.6121571495824321</v>
      </c>
    </row>
    <row r="4557" spans="15:19" x14ac:dyDescent="0.2">
      <c r="O4557" s="4">
        <f t="shared" ca="1" si="388"/>
        <v>0.75177015979725981</v>
      </c>
      <c r="P4557" s="4">
        <f t="shared" ca="1" si="389"/>
        <v>0.68007072422884185</v>
      </c>
      <c r="Q4557" s="4">
        <f t="shared" ca="1" si="390"/>
        <v>1910.4322530290083</v>
      </c>
      <c r="R4557" s="4">
        <f t="shared" ca="1" si="391"/>
        <v>-13.237790970991682</v>
      </c>
      <c r="S4557" s="4">
        <f t="shared" ca="1" si="392"/>
        <v>-6.6297650036861793</v>
      </c>
    </row>
    <row r="4558" spans="15:19" x14ac:dyDescent="0.2">
      <c r="O4558" s="4">
        <f t="shared" ca="1" si="388"/>
        <v>0.75167528518898119</v>
      </c>
      <c r="P4558" s="4">
        <f t="shared" ca="1" si="389"/>
        <v>0.67977106651959129</v>
      </c>
      <c r="Q4558" s="4">
        <f t="shared" ca="1" si="390"/>
        <v>1910.4379071719054</v>
      </c>
      <c r="R4558" s="4">
        <f t="shared" ca="1" si="391"/>
        <v>-13.232136828094553</v>
      </c>
      <c r="S4558" s="4">
        <f t="shared" ca="1" si="392"/>
        <v>-6.626963745085491</v>
      </c>
    </row>
    <row r="4559" spans="15:19" x14ac:dyDescent="0.2">
      <c r="O4559" s="4">
        <f t="shared" ca="1" si="388"/>
        <v>0.17788835064125863</v>
      </c>
      <c r="P4559" s="4">
        <f t="shared" ca="1" si="389"/>
        <v>-0.92344240600980931</v>
      </c>
      <c r="Q4559" s="4">
        <f t="shared" ca="1" si="390"/>
        <v>1940.6884156300225</v>
      </c>
      <c r="R4559" s="4">
        <f t="shared" ca="1" si="391"/>
        <v>17.018371630022557</v>
      </c>
      <c r="S4559" s="4">
        <f t="shared" ca="1" si="392"/>
        <v>8.732763825944641</v>
      </c>
    </row>
    <row r="4560" spans="15:19" x14ac:dyDescent="0.2">
      <c r="O4560" s="4">
        <f t="shared" ca="1" si="388"/>
        <v>0.59833039715846126</v>
      </c>
      <c r="P4560" s="4">
        <f t="shared" ca="1" si="389"/>
        <v>0.24902789268412726</v>
      </c>
      <c r="Q4560" s="4">
        <f t="shared" ca="1" si="390"/>
        <v>1918.5654586468991</v>
      </c>
      <c r="R4560" s="4">
        <f t="shared" ca="1" si="391"/>
        <v>-5.1045853531009016</v>
      </c>
      <c r="S4560" s="4">
        <f t="shared" ca="1" si="392"/>
        <v>-2.5733841866778935</v>
      </c>
    </row>
    <row r="4561" spans="15:19" x14ac:dyDescent="0.2">
      <c r="O4561" s="4">
        <f t="shared" ca="1" si="388"/>
        <v>0.7684020911485121</v>
      </c>
      <c r="P4561" s="4">
        <f t="shared" ca="1" si="389"/>
        <v>0.73359465796293233</v>
      </c>
      <c r="Q4561" s="4">
        <f t="shared" ca="1" si="390"/>
        <v>1909.4223275026338</v>
      </c>
      <c r="R4561" s="4">
        <f t="shared" ca="1" si="391"/>
        <v>-14.247716497366127</v>
      </c>
      <c r="S4561" s="4">
        <f t="shared" ca="1" si="392"/>
        <v>-7.1296996412240246</v>
      </c>
    </row>
    <row r="4562" spans="15:19" x14ac:dyDescent="0.2">
      <c r="O4562" s="4">
        <f t="shared" ca="1" si="388"/>
        <v>0.92572665505976848</v>
      </c>
      <c r="P4562" s="4">
        <f t="shared" ca="1" si="389"/>
        <v>1.4446839153932221</v>
      </c>
      <c r="Q4562" s="4">
        <f t="shared" ca="1" si="390"/>
        <v>1896.0050178523891</v>
      </c>
      <c r="R4562" s="4">
        <f t="shared" ca="1" si="391"/>
        <v>-27.665026147610888</v>
      </c>
      <c r="S4562" s="4">
        <f t="shared" ca="1" si="392"/>
        <v>-13.692755285666912</v>
      </c>
    </row>
    <row r="4563" spans="15:19" x14ac:dyDescent="0.2">
      <c r="O4563" s="4">
        <f t="shared" ca="1" si="388"/>
        <v>4.5584472336177351E-2</v>
      </c>
      <c r="P4563" s="4">
        <f t="shared" ca="1" si="389"/>
        <v>-1.6892635007555472</v>
      </c>
      <c r="Q4563" s="4">
        <f t="shared" ca="1" si="390"/>
        <v>1955.1384423425982</v>
      </c>
      <c r="R4563" s="4">
        <f t="shared" ca="1" si="391"/>
        <v>31.468398342598221</v>
      </c>
      <c r="S4563" s="4">
        <f t="shared" ca="1" si="392"/>
        <v>16.332715880848113</v>
      </c>
    </row>
    <row r="4564" spans="15:19" x14ac:dyDescent="0.2">
      <c r="O4564" s="4">
        <f t="shared" ca="1" si="388"/>
        <v>0.41102933775737216</v>
      </c>
      <c r="P4564" s="4">
        <f t="shared" ca="1" si="389"/>
        <v>-0.22489793534234448</v>
      </c>
      <c r="Q4564" s="4">
        <f t="shared" ca="1" si="390"/>
        <v>1927.5078094410301</v>
      </c>
      <c r="R4564" s="4">
        <f t="shared" ca="1" si="391"/>
        <v>3.8377654410301147</v>
      </c>
      <c r="S4564" s="4">
        <f t="shared" ca="1" si="392"/>
        <v>1.9487099529235714</v>
      </c>
    </row>
    <row r="4565" spans="15:19" x14ac:dyDescent="0.2">
      <c r="O4565" s="4">
        <f t="shared" ca="1" si="388"/>
        <v>0.47515953855961435</v>
      </c>
      <c r="P4565" s="4">
        <f t="shared" ca="1" si="389"/>
        <v>-6.2306092089473006E-2</v>
      </c>
      <c r="Q4565" s="4">
        <f t="shared" ca="1" si="390"/>
        <v>1924.4399173519109</v>
      </c>
      <c r="R4565" s="4">
        <f t="shared" ca="1" si="391"/>
        <v>0.76987335191097372</v>
      </c>
      <c r="S4565" s="4">
        <f t="shared" ca="1" si="392"/>
        <v>0.38995870353050094</v>
      </c>
    </row>
    <row r="4566" spans="15:19" x14ac:dyDescent="0.2">
      <c r="O4566" s="4">
        <f t="shared" ca="1" si="388"/>
        <v>1.7252320614578043E-2</v>
      </c>
      <c r="P4566" s="4">
        <f t="shared" ca="1" si="389"/>
        <v>-2.1141244287409227</v>
      </c>
      <c r="Q4566" s="4">
        <f t="shared" ca="1" si="390"/>
        <v>1963.1550036525948</v>
      </c>
      <c r="R4566" s="4">
        <f t="shared" ca="1" si="391"/>
        <v>39.484959652594853</v>
      </c>
      <c r="S4566" s="4">
        <f t="shared" ca="1" si="392"/>
        <v>20.62231950457819</v>
      </c>
    </row>
    <row r="4567" spans="15:19" x14ac:dyDescent="0.2">
      <c r="O4567" s="4">
        <f t="shared" ca="1" si="388"/>
        <v>0.66142301157778771</v>
      </c>
      <c r="P4567" s="4">
        <f t="shared" ca="1" si="389"/>
        <v>0.41634990881961098</v>
      </c>
      <c r="Q4567" s="4">
        <f t="shared" ca="1" si="390"/>
        <v>1915.408314479223</v>
      </c>
      <c r="R4567" s="4">
        <f t="shared" ca="1" si="391"/>
        <v>-8.261729520776953</v>
      </c>
      <c r="S4567" s="4">
        <f t="shared" ca="1" si="392"/>
        <v>-4.1543834181006876</v>
      </c>
    </row>
    <row r="4568" spans="15:19" x14ac:dyDescent="0.2">
      <c r="O4568" s="4">
        <f t="shared" ca="1" si="388"/>
        <v>6.5341045926395669E-2</v>
      </c>
      <c r="P4568" s="4">
        <f t="shared" ca="1" si="389"/>
        <v>-1.5114175848261191</v>
      </c>
      <c r="Q4568" s="4">
        <f t="shared" ca="1" si="390"/>
        <v>1951.7827261661512</v>
      </c>
      <c r="R4568" s="4">
        <f t="shared" ca="1" si="391"/>
        <v>28.112682166151217</v>
      </c>
      <c r="S4568" s="4">
        <f t="shared" ca="1" si="392"/>
        <v>14.552631203970289</v>
      </c>
    </row>
    <row r="4569" spans="15:19" x14ac:dyDescent="0.2">
      <c r="O4569" s="4">
        <f t="shared" ca="1" si="388"/>
        <v>0.98847885286346326</v>
      </c>
      <c r="P4569" s="4">
        <f t="shared" ca="1" si="389"/>
        <v>2.272732676058304</v>
      </c>
      <c r="Q4569" s="4">
        <f t="shared" ca="1" si="390"/>
        <v>1880.3808377494656</v>
      </c>
      <c r="R4569" s="4">
        <f t="shared" ca="1" si="391"/>
        <v>-43.289206250534335</v>
      </c>
      <c r="S4569" s="4">
        <f t="shared" ca="1" si="392"/>
        <v>-21.150590653005988</v>
      </c>
    </row>
    <row r="4570" spans="15:19" x14ac:dyDescent="0.2">
      <c r="O4570" s="4">
        <f t="shared" ca="1" si="388"/>
        <v>0.37052004905589342</v>
      </c>
      <c r="P4570" s="4">
        <f t="shared" ca="1" si="389"/>
        <v>-0.33047629917717752</v>
      </c>
      <c r="Q4570" s="4">
        <f t="shared" ca="1" si="390"/>
        <v>1929.4999329123609</v>
      </c>
      <c r="R4570" s="4">
        <f t="shared" ca="1" si="391"/>
        <v>5.829888912360957</v>
      </c>
      <c r="S4570" s="4">
        <f t="shared" ca="1" si="392"/>
        <v>2.964982178589902</v>
      </c>
    </row>
    <row r="4571" spans="15:19" x14ac:dyDescent="0.2">
      <c r="O4571" s="4">
        <f t="shared" ca="1" si="388"/>
        <v>0.49038641384482584</v>
      </c>
      <c r="P4571" s="4">
        <f t="shared" ca="1" si="389"/>
        <v>-2.4100019599784944E-2</v>
      </c>
      <c r="Q4571" s="4">
        <f t="shared" ca="1" si="390"/>
        <v>1923.719019518401</v>
      </c>
      <c r="R4571" s="4">
        <f t="shared" ca="1" si="391"/>
        <v>4.8975518400993678E-2</v>
      </c>
      <c r="S4571" s="4">
        <f t="shared" ca="1" si="392"/>
        <v>2.4792863521970982E-2</v>
      </c>
    </row>
    <row r="4572" spans="15:19" x14ac:dyDescent="0.2">
      <c r="O4572" s="4">
        <f t="shared" ca="1" si="388"/>
        <v>0.10799260737756</v>
      </c>
      <c r="P4572" s="4">
        <f t="shared" ca="1" si="389"/>
        <v>-1.2372744371313231</v>
      </c>
      <c r="Q4572" s="4">
        <f t="shared" ca="1" si="390"/>
        <v>1946.6100091511219</v>
      </c>
      <c r="R4572" s="4">
        <f t="shared" ca="1" si="391"/>
        <v>22.939965151121896</v>
      </c>
      <c r="S4572" s="4">
        <f t="shared" ca="1" si="392"/>
        <v>11.82665197823686</v>
      </c>
    </row>
    <row r="4573" spans="15:19" x14ac:dyDescent="0.2">
      <c r="O4573" s="4">
        <f t="shared" ca="1" si="388"/>
        <v>0.73683574163111709</v>
      </c>
      <c r="P4573" s="4">
        <f t="shared" ca="1" si="389"/>
        <v>0.6336205033729162</v>
      </c>
      <c r="Q4573" s="4">
        <f t="shared" ca="1" si="390"/>
        <v>1911.3087069903554</v>
      </c>
      <c r="R4573" s="4">
        <f t="shared" ca="1" si="391"/>
        <v>-12.361337009644558</v>
      </c>
      <c r="S4573" s="4">
        <f t="shared" ca="1" si="392"/>
        <v>-6.1952286148988795</v>
      </c>
    </row>
    <row r="4574" spans="15:19" x14ac:dyDescent="0.2">
      <c r="O4574" s="4">
        <f t="shared" ca="1" si="388"/>
        <v>0.41304105560634752</v>
      </c>
      <c r="P4574" s="4">
        <f t="shared" ca="1" si="389"/>
        <v>-0.21972913688999693</v>
      </c>
      <c r="Q4574" s="4">
        <f t="shared" ca="1" si="390"/>
        <v>1927.4102810806589</v>
      </c>
      <c r="R4574" s="4">
        <f t="shared" ca="1" si="391"/>
        <v>3.7402370806589715</v>
      </c>
      <c r="S4574" s="4">
        <f t="shared" ca="1" si="392"/>
        <v>1.8990392889045005</v>
      </c>
    </row>
    <row r="4575" spans="15:19" x14ac:dyDescent="0.2">
      <c r="O4575" s="4">
        <f t="shared" ca="1" si="388"/>
        <v>0.7468318779423414</v>
      </c>
      <c r="P4575" s="4">
        <f t="shared" ca="1" si="389"/>
        <v>0.664553304882047</v>
      </c>
      <c r="Q4575" s="4">
        <f t="shared" ca="1" si="390"/>
        <v>1910.7250461181643</v>
      </c>
      <c r="R4575" s="4">
        <f t="shared" ca="1" si="391"/>
        <v>-12.944997881835661</v>
      </c>
      <c r="S4575" s="4">
        <f t="shared" ca="1" si="392"/>
        <v>-6.4846709235986921</v>
      </c>
    </row>
    <row r="4576" spans="15:19" x14ac:dyDescent="0.2">
      <c r="O4576" s="4">
        <f t="shared" ca="1" si="388"/>
        <v>0.57207619530022225</v>
      </c>
      <c r="P4576" s="4">
        <f t="shared" ca="1" si="389"/>
        <v>0.18166248405319912</v>
      </c>
      <c r="Q4576" s="4">
        <f t="shared" ca="1" si="390"/>
        <v>1919.8365544170458</v>
      </c>
      <c r="R4576" s="4">
        <f t="shared" ca="1" si="391"/>
        <v>-3.8334895829541438</v>
      </c>
      <c r="S4576" s="4">
        <f t="shared" ca="1" si="392"/>
        <v>-1.9345678317930834</v>
      </c>
    </row>
    <row r="4577" spans="15:19" x14ac:dyDescent="0.2">
      <c r="O4577" s="4">
        <f t="shared" ca="1" si="388"/>
        <v>0.4302945279455973</v>
      </c>
      <c r="P4577" s="4">
        <f t="shared" ca="1" si="389"/>
        <v>-0.1756243694199546</v>
      </c>
      <c r="Q4577" s="4">
        <f t="shared" ca="1" si="390"/>
        <v>1926.5780827089156</v>
      </c>
      <c r="R4577" s="4">
        <f t="shared" ca="1" si="391"/>
        <v>2.9080387089156829</v>
      </c>
      <c r="S4577" s="4">
        <f t="shared" ca="1" si="392"/>
        <v>1.4755201363147608</v>
      </c>
    </row>
    <row r="4578" spans="15:19" x14ac:dyDescent="0.2">
      <c r="O4578" s="4">
        <f t="shared" ca="1" si="388"/>
        <v>0.13002147992856838</v>
      </c>
      <c r="P4578" s="4">
        <f t="shared" ca="1" si="389"/>
        <v>-1.1262895965551081</v>
      </c>
      <c r="Q4578" s="4">
        <f t="shared" ca="1" si="390"/>
        <v>1944.5158726458465</v>
      </c>
      <c r="R4578" s="4">
        <f t="shared" ca="1" si="391"/>
        <v>20.845828645846495</v>
      </c>
      <c r="S4578" s="4">
        <f t="shared" ca="1" si="392"/>
        <v>10.729253994167182</v>
      </c>
    </row>
    <row r="4579" spans="15:19" x14ac:dyDescent="0.2">
      <c r="O4579" s="4">
        <f t="shared" ca="1" si="388"/>
        <v>0.13371384858478697</v>
      </c>
      <c r="P4579" s="4">
        <f t="shared" ca="1" si="389"/>
        <v>-1.1090057599749032</v>
      </c>
      <c r="Q4579" s="4">
        <f t="shared" ca="1" si="390"/>
        <v>1944.1897496100707</v>
      </c>
      <c r="R4579" s="4">
        <f t="shared" ca="1" si="391"/>
        <v>20.519705610070787</v>
      </c>
      <c r="S4579" s="4">
        <f t="shared" ca="1" si="392"/>
        <v>10.558675852022079</v>
      </c>
    </row>
    <row r="4580" spans="15:19" x14ac:dyDescent="0.2">
      <c r="O4580" s="4">
        <f t="shared" ca="1" si="388"/>
        <v>0.87116299080511361</v>
      </c>
      <c r="P4580" s="4">
        <f t="shared" ca="1" si="389"/>
        <v>1.131905851397887</v>
      </c>
      <c r="Q4580" s="4">
        <f t="shared" ca="1" si="390"/>
        <v>1901.9067244139467</v>
      </c>
      <c r="R4580" s="4">
        <f t="shared" ca="1" si="391"/>
        <v>-21.763319586053285</v>
      </c>
      <c r="S4580" s="4">
        <f t="shared" ca="1" si="392"/>
        <v>-10.824000429580746</v>
      </c>
    </row>
    <row r="4581" spans="15:19" x14ac:dyDescent="0.2">
      <c r="O4581" s="4">
        <f t="shared" ca="1" si="388"/>
        <v>0.28563845399188637</v>
      </c>
      <c r="P4581" s="4">
        <f t="shared" ca="1" si="389"/>
        <v>-0.56617193248906972</v>
      </c>
      <c r="Q4581" s="4">
        <f t="shared" ca="1" si="390"/>
        <v>1933.9471964060954</v>
      </c>
      <c r="R4581" s="4">
        <f t="shared" ca="1" si="391"/>
        <v>10.277152406095411</v>
      </c>
      <c r="S4581" s="4">
        <f t="shared" ca="1" si="392"/>
        <v>5.2453898069760854</v>
      </c>
    </row>
    <row r="4582" spans="15:19" x14ac:dyDescent="0.2">
      <c r="O4582" s="4">
        <f t="shared" ca="1" si="388"/>
        <v>0.10512289958474441</v>
      </c>
      <c r="P4582" s="4">
        <f t="shared" ca="1" si="389"/>
        <v>-1.2528898420279346</v>
      </c>
      <c r="Q4582" s="4">
        <f t="shared" ca="1" si="390"/>
        <v>1946.9046510974356</v>
      </c>
      <c r="R4582" s="4">
        <f t="shared" ca="1" si="391"/>
        <v>23.234607097435628</v>
      </c>
      <c r="S4582" s="4">
        <f t="shared" ca="1" si="392"/>
        <v>11.981340780360457</v>
      </c>
    </row>
    <row r="4583" spans="15:19" x14ac:dyDescent="0.2">
      <c r="O4583" s="4">
        <f t="shared" ca="1" si="388"/>
        <v>0.61174614637964475</v>
      </c>
      <c r="P4583" s="4">
        <f t="shared" ca="1" si="389"/>
        <v>0.28387300170837521</v>
      </c>
      <c r="Q4583" s="4">
        <f t="shared" ca="1" si="390"/>
        <v>1917.9079777291527</v>
      </c>
      <c r="R4583" s="4">
        <f t="shared" ca="1" si="391"/>
        <v>-5.7620662708472992</v>
      </c>
      <c r="S4583" s="4">
        <f t="shared" ca="1" si="392"/>
        <v>-2.9032991138676758</v>
      </c>
    </row>
    <row r="4584" spans="15:19" x14ac:dyDescent="0.2">
      <c r="O4584" s="4">
        <f t="shared" ca="1" si="388"/>
        <v>0.2709885647413578</v>
      </c>
      <c r="P4584" s="4">
        <f t="shared" ca="1" si="389"/>
        <v>-0.60982591986204282</v>
      </c>
      <c r="Q4584" s="4">
        <f t="shared" ca="1" si="390"/>
        <v>1934.7708891562397</v>
      </c>
      <c r="R4584" s="4">
        <f t="shared" ca="1" si="391"/>
        <v>11.100845156239757</v>
      </c>
      <c r="S4584" s="4">
        <f t="shared" ca="1" si="392"/>
        <v>5.6695191870339672</v>
      </c>
    </row>
    <row r="4585" spans="15:19" x14ac:dyDescent="0.2">
      <c r="O4585" s="4">
        <f t="shared" ca="1" si="388"/>
        <v>0.31589372523700299</v>
      </c>
      <c r="P4585" s="4">
        <f t="shared" ca="1" si="389"/>
        <v>-0.47921251698137518</v>
      </c>
      <c r="Q4585" s="4">
        <f t="shared" ca="1" si="390"/>
        <v>1932.3063877555928</v>
      </c>
      <c r="R4585" s="4">
        <f t="shared" ca="1" si="391"/>
        <v>8.6363437555928613</v>
      </c>
      <c r="S4585" s="4">
        <f t="shared" ca="1" si="392"/>
        <v>4.4021636429722077</v>
      </c>
    </row>
    <row r="4586" spans="15:19" x14ac:dyDescent="0.2">
      <c r="O4586" s="4">
        <f t="shared" ca="1" si="388"/>
        <v>0.28189271878325417</v>
      </c>
      <c r="P4586" s="4">
        <f t="shared" ca="1" si="389"/>
        <v>-0.57722801030648396</v>
      </c>
      <c r="Q4586" s="4">
        <f t="shared" ca="1" si="390"/>
        <v>1934.155809907204</v>
      </c>
      <c r="R4586" s="4">
        <f t="shared" ca="1" si="391"/>
        <v>10.485765907204041</v>
      </c>
      <c r="S4586" s="4">
        <f t="shared" ca="1" si="392"/>
        <v>5.3527551944414675</v>
      </c>
    </row>
    <row r="4587" spans="15:19" x14ac:dyDescent="0.2">
      <c r="O4587" s="4">
        <f t="shared" ca="1" si="388"/>
        <v>0.44629093775360473</v>
      </c>
      <c r="P4587" s="4">
        <f t="shared" ca="1" si="389"/>
        <v>-0.13503794222453583</v>
      </c>
      <c r="Q4587" s="4">
        <f t="shared" ca="1" si="390"/>
        <v>1925.8122707442601</v>
      </c>
      <c r="R4587" s="4">
        <f t="shared" ca="1" si="391"/>
        <v>2.1422267442601424</v>
      </c>
      <c r="S4587" s="4">
        <f t="shared" ca="1" si="392"/>
        <v>1.086284256656652</v>
      </c>
    </row>
    <row r="4588" spans="15:19" x14ac:dyDescent="0.2">
      <c r="O4588" s="4">
        <f t="shared" ca="1" si="388"/>
        <v>0.31224819059216025</v>
      </c>
      <c r="P4588" s="4">
        <f t="shared" ca="1" si="389"/>
        <v>-0.48948781202830693</v>
      </c>
      <c r="Q4588" s="4">
        <f t="shared" ca="1" si="390"/>
        <v>1932.5002689230434</v>
      </c>
      <c r="R4588" s="4">
        <f t="shared" ca="1" si="391"/>
        <v>8.8302249230434882</v>
      </c>
      <c r="S4588" s="4">
        <f t="shared" ca="1" si="392"/>
        <v>4.5016867039739124</v>
      </c>
    </row>
    <row r="4589" spans="15:19" x14ac:dyDescent="0.2">
      <c r="O4589" s="4">
        <f t="shared" ca="1" si="388"/>
        <v>0.6974880517476767</v>
      </c>
      <c r="P4589" s="4">
        <f t="shared" ca="1" si="389"/>
        <v>0.51718947783555391</v>
      </c>
      <c r="Q4589" s="4">
        <f t="shared" ca="1" si="390"/>
        <v>1913.505605770933</v>
      </c>
      <c r="R4589" s="4">
        <f t="shared" ca="1" si="391"/>
        <v>-10.164438229066945</v>
      </c>
      <c r="S4589" s="4">
        <f t="shared" ca="1" si="392"/>
        <v>-5.1032815067163799</v>
      </c>
    </row>
    <row r="4590" spans="15:19" x14ac:dyDescent="0.2">
      <c r="O4590" s="4">
        <f t="shared" ca="1" si="388"/>
        <v>0.37512444544855561</v>
      </c>
      <c r="P4590" s="4">
        <f t="shared" ca="1" si="389"/>
        <v>-0.31831119807355712</v>
      </c>
      <c r="Q4590" s="4">
        <f t="shared" ca="1" si="390"/>
        <v>1929.2703936151095</v>
      </c>
      <c r="R4590" s="4">
        <f t="shared" ca="1" si="391"/>
        <v>5.6003496151095078</v>
      </c>
      <c r="S4590" s="4">
        <f t="shared" ca="1" si="392"/>
        <v>2.8477191149886822</v>
      </c>
    </row>
    <row r="4591" spans="15:19" x14ac:dyDescent="0.2">
      <c r="O4591" s="4">
        <f t="shared" ca="1" si="388"/>
        <v>0.34541073388282484</v>
      </c>
      <c r="P4591" s="4">
        <f t="shared" ca="1" si="389"/>
        <v>-0.39774051715274755</v>
      </c>
      <c r="Q4591" s="4">
        <f t="shared" ca="1" si="390"/>
        <v>1930.7691193492667</v>
      </c>
      <c r="R4591" s="4">
        <f t="shared" ca="1" si="391"/>
        <v>7.0990753492667409</v>
      </c>
      <c r="S4591" s="4">
        <f t="shared" ca="1" si="392"/>
        <v>3.6141364917524341</v>
      </c>
    </row>
    <row r="4592" spans="15:19" x14ac:dyDescent="0.2">
      <c r="O4592" s="4">
        <f t="shared" ca="1" si="388"/>
        <v>0.36040694124378136</v>
      </c>
      <c r="P4592" s="4">
        <f t="shared" ca="1" si="389"/>
        <v>-0.35737126909882677</v>
      </c>
      <c r="Q4592" s="4">
        <f t="shared" ca="1" si="390"/>
        <v>1930.0074052665027</v>
      </c>
      <c r="R4592" s="4">
        <f t="shared" ca="1" si="391"/>
        <v>6.3373612665027395</v>
      </c>
      <c r="S4592" s="4">
        <f t="shared" ca="1" si="392"/>
        <v>3.2243831213757841</v>
      </c>
    </row>
    <row r="4593" spans="15:19" x14ac:dyDescent="0.2">
      <c r="O4593" s="4">
        <f t="shared" ca="1" si="388"/>
        <v>0.96518287272636383</v>
      </c>
      <c r="P4593" s="4">
        <f t="shared" ca="1" si="389"/>
        <v>1.8142824339133863</v>
      </c>
      <c r="Q4593" s="4">
        <f t="shared" ca="1" si="390"/>
        <v>1889.0311847963567</v>
      </c>
      <c r="R4593" s="4">
        <f t="shared" ca="1" si="391"/>
        <v>-34.638859203643278</v>
      </c>
      <c r="S4593" s="4">
        <f t="shared" ca="1" si="392"/>
        <v>-17.04610757196156</v>
      </c>
    </row>
    <row r="4594" spans="15:19" x14ac:dyDescent="0.2">
      <c r="O4594" s="4">
        <f t="shared" ca="1" si="388"/>
        <v>0.96004142084742428</v>
      </c>
      <c r="P4594" s="4">
        <f t="shared" ca="1" si="389"/>
        <v>1.7511669401361809</v>
      </c>
      <c r="Q4594" s="4">
        <f t="shared" ca="1" si="390"/>
        <v>1890.2220903189591</v>
      </c>
      <c r="R4594" s="4">
        <f t="shared" ca="1" si="391"/>
        <v>-33.447953681040872</v>
      </c>
      <c r="S4594" s="4">
        <f t="shared" ca="1" si="392"/>
        <v>-16.476266724101663</v>
      </c>
    </row>
    <row r="4595" spans="15:19" x14ac:dyDescent="0.2">
      <c r="O4595" s="4">
        <f t="shared" ca="1" si="388"/>
        <v>0.72312355746986812</v>
      </c>
      <c r="P4595" s="4">
        <f t="shared" ca="1" si="389"/>
        <v>0.59214591178519738</v>
      </c>
      <c r="Q4595" s="4">
        <f t="shared" ca="1" si="390"/>
        <v>1912.091277437223</v>
      </c>
      <c r="R4595" s="4">
        <f t="shared" ca="1" si="391"/>
        <v>-11.578766562776991</v>
      </c>
      <c r="S4595" s="4">
        <f t="shared" ca="1" si="392"/>
        <v>-5.8067101571655746</v>
      </c>
    </row>
    <row r="4596" spans="15:19" x14ac:dyDescent="0.2">
      <c r="O4596" s="4">
        <f t="shared" ca="1" si="388"/>
        <v>0.57037529060419256</v>
      </c>
      <c r="P4596" s="4">
        <f t="shared" ca="1" si="389"/>
        <v>0.17732970565825834</v>
      </c>
      <c r="Q4596" s="4">
        <f t="shared" ca="1" si="390"/>
        <v>1919.9183081895342</v>
      </c>
      <c r="R4596" s="4">
        <f t="shared" ca="1" si="391"/>
        <v>-3.7517358104657887</v>
      </c>
      <c r="S4596" s="4">
        <f t="shared" ca="1" si="392"/>
        <v>-1.8934357034792939</v>
      </c>
    </row>
    <row r="4597" spans="15:19" x14ac:dyDescent="0.2">
      <c r="O4597" s="4">
        <f t="shared" ca="1" si="388"/>
        <v>0.71844535647531971</v>
      </c>
      <c r="P4597" s="4">
        <f t="shared" ca="1" si="389"/>
        <v>0.57822934822538041</v>
      </c>
      <c r="Q4597" s="4">
        <f t="shared" ca="1" si="390"/>
        <v>1912.3538645043152</v>
      </c>
      <c r="R4597" s="4">
        <f t="shared" ca="1" si="391"/>
        <v>-11.316179495684764</v>
      </c>
      <c r="S4597" s="4">
        <f t="shared" ca="1" si="392"/>
        <v>-5.6762332780791755</v>
      </c>
    </row>
    <row r="4598" spans="15:19" x14ac:dyDescent="0.2">
      <c r="O4598" s="4">
        <f t="shared" ca="1" si="388"/>
        <v>0.78531742034888929</v>
      </c>
      <c r="P4598" s="4">
        <f t="shared" ca="1" si="389"/>
        <v>0.7902784671386347</v>
      </c>
      <c r="Q4598" s="4">
        <f t="shared" ca="1" si="390"/>
        <v>1908.3527793243727</v>
      </c>
      <c r="R4598" s="4">
        <f t="shared" ca="1" si="391"/>
        <v>-15.317264675627257</v>
      </c>
      <c r="S4598" s="4">
        <f t="shared" ca="1" si="392"/>
        <v>-7.6582433992805106</v>
      </c>
    </row>
    <row r="4599" spans="15:19" x14ac:dyDescent="0.2">
      <c r="O4599" s="4">
        <f t="shared" ca="1" si="388"/>
        <v>0.31773692750750737</v>
      </c>
      <c r="P4599" s="4">
        <f t="shared" ca="1" si="389"/>
        <v>-0.47403653390079026</v>
      </c>
      <c r="Q4599" s="4">
        <f t="shared" ca="1" si="390"/>
        <v>1932.2087238308311</v>
      </c>
      <c r="R4599" s="4">
        <f t="shared" ca="1" si="391"/>
        <v>8.5386798308311427</v>
      </c>
      <c r="S4599" s="4">
        <f t="shared" ca="1" si="392"/>
        <v>4.352042397785036</v>
      </c>
    </row>
    <row r="4600" spans="15:19" x14ac:dyDescent="0.2">
      <c r="O4600" s="4">
        <f t="shared" ca="1" si="388"/>
        <v>0.1966631679028501</v>
      </c>
      <c r="P4600" s="4">
        <f t="shared" ca="1" si="389"/>
        <v>-0.85360058226990165</v>
      </c>
      <c r="Q4600" s="4">
        <f t="shared" ca="1" si="390"/>
        <v>1939.3705931965314</v>
      </c>
      <c r="R4600" s="4">
        <f t="shared" ca="1" si="391"/>
        <v>15.700549196531483</v>
      </c>
      <c r="S4600" s="4">
        <f t="shared" ca="1" si="392"/>
        <v>8.0481173020680803</v>
      </c>
    </row>
    <row r="4601" spans="15:19" x14ac:dyDescent="0.2">
      <c r="O4601" s="4">
        <f t="shared" ca="1" si="388"/>
        <v>0.97627554140738537</v>
      </c>
      <c r="P4601" s="4">
        <f t="shared" ca="1" si="389"/>
        <v>1.9822710067418363</v>
      </c>
      <c r="Q4601" s="4">
        <f t="shared" ca="1" si="390"/>
        <v>1885.8614635893632</v>
      </c>
      <c r="R4601" s="4">
        <f t="shared" ca="1" si="391"/>
        <v>-37.80858041063675</v>
      </c>
      <c r="S4601" s="4">
        <f t="shared" ca="1" si="392"/>
        <v>-18.557172855594548</v>
      </c>
    </row>
    <row r="4602" spans="15:19" x14ac:dyDescent="0.2">
      <c r="O4602" s="4">
        <f t="shared" ca="1" si="388"/>
        <v>0.34564824008242445</v>
      </c>
      <c r="P4602" s="4">
        <f t="shared" ca="1" si="389"/>
        <v>-0.39709625677244709</v>
      </c>
      <c r="Q4602" s="4">
        <f t="shared" ca="1" si="390"/>
        <v>1930.75696301175</v>
      </c>
      <c r="R4602" s="4">
        <f t="shared" ca="1" si="391"/>
        <v>7.0869190117500693</v>
      </c>
      <c r="S4602" s="4">
        <f t="shared" ca="1" si="392"/>
        <v>3.6079126356510258</v>
      </c>
    </row>
    <row r="4603" spans="15:19" x14ac:dyDescent="0.2">
      <c r="O4603" s="4">
        <f t="shared" ca="1" si="388"/>
        <v>0.65843390411077329</v>
      </c>
      <c r="P4603" s="4">
        <f t="shared" ca="1" si="389"/>
        <v>0.40819272091690373</v>
      </c>
      <c r="Q4603" s="4">
        <f t="shared" ca="1" si="390"/>
        <v>1915.5622297786347</v>
      </c>
      <c r="R4603" s="4">
        <f t="shared" ca="1" si="391"/>
        <v>-8.1078142213652882</v>
      </c>
      <c r="S4603" s="4">
        <f t="shared" ca="1" si="392"/>
        <v>-4.0774956063216417</v>
      </c>
    </row>
    <row r="4604" spans="15:19" x14ac:dyDescent="0.2">
      <c r="O4604" s="4">
        <f t="shared" ca="1" si="388"/>
        <v>0.65603792055914112</v>
      </c>
      <c r="P4604" s="4">
        <f t="shared" ca="1" si="389"/>
        <v>0.40167373201300283</v>
      </c>
      <c r="Q4604" s="4">
        <f t="shared" ca="1" si="390"/>
        <v>1915.6852344391837</v>
      </c>
      <c r="R4604" s="4">
        <f t="shared" ca="1" si="391"/>
        <v>-7.9848095608163021</v>
      </c>
      <c r="S4604" s="4">
        <f t="shared" ca="1" si="392"/>
        <v>-4.0160352227271732</v>
      </c>
    </row>
    <row r="4605" spans="15:19" x14ac:dyDescent="0.2">
      <c r="O4605" s="4">
        <f t="shared" ca="1" si="388"/>
        <v>0.6610482469826644</v>
      </c>
      <c r="P4605" s="4">
        <f t="shared" ca="1" si="389"/>
        <v>0.41532567800295628</v>
      </c>
      <c r="Q4605" s="4">
        <f t="shared" ca="1" si="390"/>
        <v>1915.4276403541071</v>
      </c>
      <c r="R4605" s="4">
        <f t="shared" ca="1" si="391"/>
        <v>-8.242403645892864</v>
      </c>
      <c r="S4605" s="4">
        <f t="shared" ca="1" si="392"/>
        <v>-4.1447303084420115</v>
      </c>
    </row>
    <row r="4606" spans="15:19" x14ac:dyDescent="0.2">
      <c r="O4606" s="4">
        <f t="shared" ca="1" si="388"/>
        <v>0.88703625460825397</v>
      </c>
      <c r="P4606" s="4">
        <f t="shared" ca="1" si="389"/>
        <v>1.2109162845476735</v>
      </c>
      <c r="Q4606" s="4">
        <f t="shared" ca="1" si="390"/>
        <v>1900.4159025008137</v>
      </c>
      <c r="R4606" s="4">
        <f t="shared" ca="1" si="391"/>
        <v>-23.254141499186289</v>
      </c>
      <c r="S4606" s="4">
        <f t="shared" ca="1" si="392"/>
        <v>-11.551349440414626</v>
      </c>
    </row>
    <row r="4607" spans="15:19" x14ac:dyDescent="0.2">
      <c r="O4607" s="4">
        <f t="shared" ca="1" si="388"/>
        <v>0.16955382376517969</v>
      </c>
      <c r="P4607" s="4">
        <f t="shared" ca="1" si="389"/>
        <v>-0.95592990818456269</v>
      </c>
      <c r="Q4607" s="4">
        <f t="shared" ca="1" si="390"/>
        <v>1941.3014116384518</v>
      </c>
      <c r="R4607" s="4">
        <f t="shared" ca="1" si="391"/>
        <v>17.63136763845182</v>
      </c>
      <c r="S4607" s="4">
        <f t="shared" ca="1" si="392"/>
        <v>9.0517146218234554</v>
      </c>
    </row>
    <row r="4608" spans="15:19" x14ac:dyDescent="0.2">
      <c r="O4608" s="4">
        <f t="shared" ca="1" si="388"/>
        <v>0.83594299938913486</v>
      </c>
      <c r="P4608" s="4">
        <f t="shared" ca="1" si="389"/>
        <v>0.97791978028812776</v>
      </c>
      <c r="Q4608" s="4">
        <f t="shared" ca="1" si="390"/>
        <v>1904.8122370149536</v>
      </c>
      <c r="R4608" s="4">
        <f t="shared" ca="1" si="391"/>
        <v>-18.857806985046409</v>
      </c>
      <c r="S4608" s="4">
        <f t="shared" ca="1" si="392"/>
        <v>-9.4012459165239122</v>
      </c>
    </row>
    <row r="4609" spans="15:19" x14ac:dyDescent="0.2">
      <c r="O4609" s="4">
        <f t="shared" ca="1" si="388"/>
        <v>0.79150072854553877</v>
      </c>
      <c r="P4609" s="4">
        <f t="shared" ca="1" si="389"/>
        <v>0.81163945825454331</v>
      </c>
      <c r="Q4609" s="4">
        <f t="shared" ca="1" si="390"/>
        <v>1907.9497257987518</v>
      </c>
      <c r="R4609" s="4">
        <f t="shared" ca="1" si="391"/>
        <v>-15.720318201248119</v>
      </c>
      <c r="S4609" s="4">
        <f t="shared" ca="1" si="392"/>
        <v>-7.857180684287866</v>
      </c>
    </row>
    <row r="4610" spans="15:19" x14ac:dyDescent="0.2">
      <c r="O4610" s="4">
        <f t="shared" ca="1" si="388"/>
        <v>0.10901522686687615</v>
      </c>
      <c r="P4610" s="4">
        <f t="shared" ca="1" si="389"/>
        <v>-1.2317822013316528</v>
      </c>
      <c r="Q4610" s="4">
        <f t="shared" ca="1" si="390"/>
        <v>1946.5063779576731</v>
      </c>
      <c r="R4610" s="4">
        <f t="shared" ca="1" si="391"/>
        <v>22.836333957673105</v>
      </c>
      <c r="S4610" s="4">
        <f t="shared" ca="1" si="392"/>
        <v>11.772261776687797</v>
      </c>
    </row>
    <row r="4611" spans="15:19" x14ac:dyDescent="0.2">
      <c r="O4611" s="4">
        <f t="shared" ref="O4611:O4674" ca="1" si="393">RAND()</f>
        <v>0.88983163654595088</v>
      </c>
      <c r="P4611" s="4">
        <f t="shared" ref="P4611:P4674" ca="1" si="394">NORMSINV(O4611)</f>
        <v>1.2256332303218234</v>
      </c>
      <c r="Q4611" s="4">
        <f t="shared" ref="Q4611:Q4674" ca="1" si="395">$B$4*(1+$B$17-$B$32*P4611)</f>
        <v>1900.1382132845945</v>
      </c>
      <c r="R4611" s="4">
        <f t="shared" ref="R4611:R4674" ca="1" si="396">Q4611-$B$4</f>
        <v>-23.531830715405476</v>
      </c>
      <c r="S4611" s="4">
        <f t="shared" ref="S4611:S4674" ca="1" si="397">R4611*$B$12+0.5*$B$13*R4611^2</f>
        <v>-11.686629814525055</v>
      </c>
    </row>
    <row r="4612" spans="15:19" x14ac:dyDescent="0.2">
      <c r="O4612" s="4">
        <f t="shared" ca="1" si="393"/>
        <v>0.41971043332526081</v>
      </c>
      <c r="P4612" s="4">
        <f t="shared" ca="1" si="394"/>
        <v>-0.20263431528957954</v>
      </c>
      <c r="Q4612" s="4">
        <f t="shared" ca="1" si="395"/>
        <v>1927.0877245064567</v>
      </c>
      <c r="R4612" s="4">
        <f t="shared" ca="1" si="396"/>
        <v>3.4176805064566906</v>
      </c>
      <c r="S4612" s="4">
        <f t="shared" ca="1" si="397"/>
        <v>1.7348181366177235</v>
      </c>
    </row>
    <row r="4613" spans="15:19" x14ac:dyDescent="0.2">
      <c r="O4613" s="4">
        <f t="shared" ca="1" si="393"/>
        <v>0.99380815453588733</v>
      </c>
      <c r="P4613" s="4">
        <f t="shared" ca="1" si="394"/>
        <v>2.5010179280379958</v>
      </c>
      <c r="Q4613" s="4">
        <f t="shared" ca="1" si="395"/>
        <v>1876.0733983072435</v>
      </c>
      <c r="R4613" s="4">
        <f t="shared" ca="1" si="396"/>
        <v>-47.59664569275651</v>
      </c>
      <c r="S4613" s="4">
        <f t="shared" ca="1" si="397"/>
        <v>-23.171697070280462</v>
      </c>
    </row>
    <row r="4614" spans="15:19" x14ac:dyDescent="0.2">
      <c r="O4614" s="4">
        <f t="shared" ca="1" si="393"/>
        <v>0.78145219728431736</v>
      </c>
      <c r="P4614" s="4">
        <f t="shared" ca="1" si="394"/>
        <v>0.77710706607890001</v>
      </c>
      <c r="Q4614" s="4">
        <f t="shared" ca="1" si="395"/>
        <v>1908.6013061649899</v>
      </c>
      <c r="R4614" s="4">
        <f t="shared" ca="1" si="396"/>
        <v>-15.068737835010097</v>
      </c>
      <c r="S4614" s="4">
        <f t="shared" ca="1" si="397"/>
        <v>-7.5355107580793312</v>
      </c>
    </row>
    <row r="4615" spans="15:19" x14ac:dyDescent="0.2">
      <c r="O4615" s="4">
        <f t="shared" ca="1" si="393"/>
        <v>0.36335170228935842</v>
      </c>
      <c r="P4615" s="4">
        <f t="shared" ca="1" si="394"/>
        <v>-0.34951407686465008</v>
      </c>
      <c r="Q4615" s="4">
        <f t="shared" ca="1" si="395"/>
        <v>1929.8591504868302</v>
      </c>
      <c r="R4615" s="4">
        <f t="shared" ca="1" si="396"/>
        <v>6.1891064868302692</v>
      </c>
      <c r="S4615" s="4">
        <f t="shared" ca="1" si="397"/>
        <v>3.1485791279565651</v>
      </c>
    </row>
    <row r="4616" spans="15:19" x14ac:dyDescent="0.2">
      <c r="O4616" s="4">
        <f t="shared" ca="1" si="393"/>
        <v>0.12145920454991566</v>
      </c>
      <c r="P4616" s="4">
        <f t="shared" ca="1" si="394"/>
        <v>-1.1677232654158363</v>
      </c>
      <c r="Q4616" s="4">
        <f t="shared" ca="1" si="395"/>
        <v>1945.297670935219</v>
      </c>
      <c r="R4616" s="4">
        <f t="shared" ca="1" si="396"/>
        <v>21.627626935219041</v>
      </c>
      <c r="S4616" s="4">
        <f t="shared" ca="1" si="397"/>
        <v>11.13852495426625</v>
      </c>
    </row>
    <row r="4617" spans="15:19" x14ac:dyDescent="0.2">
      <c r="O4617" s="4">
        <f t="shared" ca="1" si="393"/>
        <v>0.12573087646567183</v>
      </c>
      <c r="P4617" s="4">
        <f t="shared" ca="1" si="394"/>
        <v>-1.1468061353827119</v>
      </c>
      <c r="Q4617" s="4">
        <f t="shared" ca="1" si="395"/>
        <v>1944.9029924785887</v>
      </c>
      <c r="R4617" s="4">
        <f t="shared" ca="1" si="396"/>
        <v>21.232948478588696</v>
      </c>
      <c r="S4617" s="4">
        <f t="shared" ca="1" si="397"/>
        <v>10.931848811327114</v>
      </c>
    </row>
    <row r="4618" spans="15:19" x14ac:dyDescent="0.2">
      <c r="O4618" s="4">
        <f t="shared" ca="1" si="393"/>
        <v>6.7733668139322356E-2</v>
      </c>
      <c r="P4618" s="4">
        <f t="shared" ca="1" si="394"/>
        <v>-1.4928848317439525</v>
      </c>
      <c r="Q4618" s="4">
        <f t="shared" ca="1" si="395"/>
        <v>1951.4330377350902</v>
      </c>
      <c r="R4618" s="4">
        <f t="shared" ca="1" si="396"/>
        <v>27.762993735090276</v>
      </c>
      <c r="S4618" s="4">
        <f t="shared" ca="1" si="397"/>
        <v>14.367661737876961</v>
      </c>
    </row>
    <row r="4619" spans="15:19" x14ac:dyDescent="0.2">
      <c r="O4619" s="4">
        <f t="shared" ca="1" si="393"/>
        <v>0.22937327613450864</v>
      </c>
      <c r="P4619" s="4">
        <f t="shared" ca="1" si="394"/>
        <v>-0.74091240697160143</v>
      </c>
      <c r="Q4619" s="4">
        <f t="shared" ca="1" si="395"/>
        <v>1937.2443170278234</v>
      </c>
      <c r="R4619" s="4">
        <f t="shared" ca="1" si="396"/>
        <v>13.574273027823438</v>
      </c>
      <c r="S4619" s="4">
        <f t="shared" ca="1" si="397"/>
        <v>6.9464369025110555</v>
      </c>
    </row>
    <row r="4620" spans="15:19" x14ac:dyDescent="0.2">
      <c r="O4620" s="4">
        <f t="shared" ca="1" si="393"/>
        <v>0.96409427319875518</v>
      </c>
      <c r="P4620" s="4">
        <f t="shared" ca="1" si="394"/>
        <v>1.8003115789690023</v>
      </c>
      <c r="Q4620" s="4">
        <f t="shared" ca="1" si="395"/>
        <v>1889.2947962697529</v>
      </c>
      <c r="R4620" s="4">
        <f t="shared" ca="1" si="396"/>
        <v>-34.375247730247111</v>
      </c>
      <c r="S4620" s="4">
        <f t="shared" ca="1" si="397"/>
        <v>-16.920070636034975</v>
      </c>
    </row>
    <row r="4621" spans="15:19" x14ac:dyDescent="0.2">
      <c r="O4621" s="4">
        <f t="shared" ca="1" si="393"/>
        <v>0.58627132773923241</v>
      </c>
      <c r="P4621" s="4">
        <f t="shared" ca="1" si="394"/>
        <v>0.21796376431875161</v>
      </c>
      <c r="Q4621" s="4">
        <f t="shared" ca="1" si="395"/>
        <v>1919.1515974824081</v>
      </c>
      <c r="R4621" s="4">
        <f t="shared" ca="1" si="396"/>
        <v>-4.5184465175918831</v>
      </c>
      <c r="S4621" s="4">
        <f t="shared" ca="1" si="397"/>
        <v>-2.2789710135385968</v>
      </c>
    </row>
    <row r="4622" spans="15:19" x14ac:dyDescent="0.2">
      <c r="O4622" s="4">
        <f t="shared" ca="1" si="393"/>
        <v>0.25888763975955942</v>
      </c>
      <c r="P4622" s="4">
        <f t="shared" ca="1" si="394"/>
        <v>-0.64677854574451543</v>
      </c>
      <c r="Q4622" s="4">
        <f t="shared" ca="1" si="395"/>
        <v>1935.4681361173969</v>
      </c>
      <c r="R4622" s="4">
        <f t="shared" ca="1" si="396"/>
        <v>11.798092117396891</v>
      </c>
      <c r="S4622" s="4">
        <f t="shared" ca="1" si="397"/>
        <v>6.0289717827847422</v>
      </c>
    </row>
    <row r="4623" spans="15:19" x14ac:dyDescent="0.2">
      <c r="O4623" s="4">
        <f t="shared" ca="1" si="393"/>
        <v>0.89608833903419827</v>
      </c>
      <c r="P4623" s="4">
        <f t="shared" ca="1" si="394"/>
        <v>1.2595733289350788</v>
      </c>
      <c r="Q4623" s="4">
        <f t="shared" ca="1" si="395"/>
        <v>1899.4978087110539</v>
      </c>
      <c r="R4623" s="4">
        <f t="shared" ca="1" si="396"/>
        <v>-24.172235288946013</v>
      </c>
      <c r="S4623" s="4">
        <f t="shared" ca="1" si="397"/>
        <v>-11.998372957381624</v>
      </c>
    </row>
    <row r="4624" spans="15:19" x14ac:dyDescent="0.2">
      <c r="O4624" s="4">
        <f t="shared" ca="1" si="393"/>
        <v>0.16953990457237744</v>
      </c>
      <c r="P4624" s="4">
        <f t="shared" ca="1" si="394"/>
        <v>-0.95598500734773817</v>
      </c>
      <c r="Q4624" s="4">
        <f t="shared" ca="1" si="395"/>
        <v>1941.3024512864654</v>
      </c>
      <c r="R4624" s="4">
        <f t="shared" ca="1" si="396"/>
        <v>17.632407286465423</v>
      </c>
      <c r="S4624" s="4">
        <f t="shared" ca="1" si="397"/>
        <v>9.0522558257679595</v>
      </c>
    </row>
    <row r="4625" spans="15:19" x14ac:dyDescent="0.2">
      <c r="O4625" s="4">
        <f t="shared" ca="1" si="393"/>
        <v>0.70432435735699805</v>
      </c>
      <c r="P4625" s="4">
        <f t="shared" ca="1" si="394"/>
        <v>0.53687887312490534</v>
      </c>
      <c r="Q4625" s="4">
        <f t="shared" ca="1" si="395"/>
        <v>1913.1340930379492</v>
      </c>
      <c r="R4625" s="4">
        <f t="shared" ca="1" si="396"/>
        <v>-10.53595096205072</v>
      </c>
      <c r="S4625" s="4">
        <f t="shared" ca="1" si="397"/>
        <v>-5.2882143422352454</v>
      </c>
    </row>
    <row r="4626" spans="15:19" x14ac:dyDescent="0.2">
      <c r="O4626" s="4">
        <f t="shared" ca="1" si="393"/>
        <v>0.37046175542573279</v>
      </c>
      <c r="P4626" s="4">
        <f t="shared" ca="1" si="394"/>
        <v>-0.33063062470020366</v>
      </c>
      <c r="Q4626" s="4">
        <f t="shared" ca="1" si="395"/>
        <v>1929.502844829969</v>
      </c>
      <c r="R4626" s="4">
        <f t="shared" ca="1" si="396"/>
        <v>5.8328008299690737</v>
      </c>
      <c r="S4626" s="4">
        <f t="shared" ca="1" si="397"/>
        <v>2.9664700441982381</v>
      </c>
    </row>
    <row r="4627" spans="15:19" x14ac:dyDescent="0.2">
      <c r="O4627" s="4">
        <f t="shared" ca="1" si="393"/>
        <v>0.54228916307769071</v>
      </c>
      <c r="P4627" s="4">
        <f t="shared" ca="1" si="394"/>
        <v>0.10620251715262108</v>
      </c>
      <c r="Q4627" s="4">
        <f t="shared" ca="1" si="395"/>
        <v>1921.2603837486281</v>
      </c>
      <c r="R4627" s="4">
        <f t="shared" ca="1" si="396"/>
        <v>-2.4096602513718608</v>
      </c>
      <c r="S4627" s="4">
        <f t="shared" ca="1" si="397"/>
        <v>-1.2174299894336469</v>
      </c>
    </row>
    <row r="4628" spans="15:19" x14ac:dyDescent="0.2">
      <c r="O4628" s="4">
        <f t="shared" ca="1" si="393"/>
        <v>8.8635461224823575E-2</v>
      </c>
      <c r="P4628" s="4">
        <f t="shared" ca="1" si="394"/>
        <v>-1.349205643958858</v>
      </c>
      <c r="Q4628" s="4">
        <f t="shared" ca="1" si="395"/>
        <v>1948.7220023303719</v>
      </c>
      <c r="R4628" s="4">
        <f t="shared" ca="1" si="396"/>
        <v>25.051958330371917</v>
      </c>
      <c r="S4628" s="4">
        <f t="shared" ca="1" si="397"/>
        <v>12.937023585297151</v>
      </c>
    </row>
    <row r="4629" spans="15:19" x14ac:dyDescent="0.2">
      <c r="O4629" s="4">
        <f t="shared" ca="1" si="393"/>
        <v>0.79598439287941036</v>
      </c>
      <c r="P4629" s="4">
        <f t="shared" ca="1" si="394"/>
        <v>0.82736323151265001</v>
      </c>
      <c r="Q4629" s="4">
        <f t="shared" ca="1" si="395"/>
        <v>1907.6530390854177</v>
      </c>
      <c r="R4629" s="4">
        <f t="shared" ca="1" si="396"/>
        <v>-16.01700491458223</v>
      </c>
      <c r="S4629" s="4">
        <f t="shared" ca="1" si="397"/>
        <v>-8.0035334236347975</v>
      </c>
    </row>
    <row r="4630" spans="15:19" x14ac:dyDescent="0.2">
      <c r="O4630" s="4">
        <f t="shared" ca="1" si="393"/>
        <v>0.15433609941215154</v>
      </c>
      <c r="P4630" s="4">
        <f t="shared" ca="1" si="394"/>
        <v>-1.0180121147035852</v>
      </c>
      <c r="Q4630" s="4">
        <f t="shared" ca="1" si="395"/>
        <v>1942.4728204031494</v>
      </c>
      <c r="R4630" s="4">
        <f t="shared" ca="1" si="396"/>
        <v>18.802776403149437</v>
      </c>
      <c r="S4630" s="4">
        <f t="shared" ca="1" si="397"/>
        <v>9.6620666320510438</v>
      </c>
    </row>
    <row r="4631" spans="15:19" x14ac:dyDescent="0.2">
      <c r="O4631" s="4">
        <f t="shared" ca="1" si="393"/>
        <v>0.79174411562779268</v>
      </c>
      <c r="P4631" s="4">
        <f t="shared" ca="1" si="394"/>
        <v>0.81248782695561295</v>
      </c>
      <c r="Q4631" s="4">
        <f t="shared" ca="1" si="395"/>
        <v>1907.9337182083673</v>
      </c>
      <c r="R4631" s="4">
        <f t="shared" ca="1" si="396"/>
        <v>-15.73632579163268</v>
      </c>
      <c r="S4631" s="4">
        <f t="shared" ca="1" si="397"/>
        <v>-7.8650789056308215</v>
      </c>
    </row>
    <row r="4632" spans="15:19" x14ac:dyDescent="0.2">
      <c r="O4632" s="4">
        <f t="shared" ca="1" si="393"/>
        <v>0.84903307659784999</v>
      </c>
      <c r="P4632" s="4">
        <f t="shared" ca="1" si="394"/>
        <v>1.0322952047070642</v>
      </c>
      <c r="Q4632" s="4">
        <f t="shared" ca="1" si="395"/>
        <v>1903.7862449905078</v>
      </c>
      <c r="R4632" s="4">
        <f t="shared" ca="1" si="396"/>
        <v>-19.883799009492122</v>
      </c>
      <c r="S4632" s="4">
        <f t="shared" ca="1" si="397"/>
        <v>-9.9044327056115709</v>
      </c>
    </row>
    <row r="4633" spans="15:19" x14ac:dyDescent="0.2">
      <c r="O4633" s="4">
        <f t="shared" ca="1" si="393"/>
        <v>0.14117616413841882</v>
      </c>
      <c r="P4633" s="4">
        <f t="shared" ca="1" si="394"/>
        <v>-1.075050033565474</v>
      </c>
      <c r="Q4633" s="4">
        <f t="shared" ca="1" si="395"/>
        <v>1943.5490501607767</v>
      </c>
      <c r="R4633" s="4">
        <f t="shared" ca="1" si="396"/>
        <v>19.879006160776726</v>
      </c>
      <c r="S4633" s="4">
        <f t="shared" ca="1" si="397"/>
        <v>10.223811166419164</v>
      </c>
    </row>
    <row r="4634" spans="15:19" x14ac:dyDescent="0.2">
      <c r="O4634" s="4">
        <f t="shared" ca="1" si="393"/>
        <v>0.86654555919744236</v>
      </c>
      <c r="P4634" s="4">
        <f t="shared" ca="1" si="394"/>
        <v>1.110209217761702</v>
      </c>
      <c r="Q4634" s="4">
        <f t="shared" ca="1" si="395"/>
        <v>1902.3161110680448</v>
      </c>
      <c r="R4634" s="4">
        <f t="shared" ca="1" si="396"/>
        <v>-21.353932931955114</v>
      </c>
      <c r="S4634" s="4">
        <f t="shared" ca="1" si="397"/>
        <v>-10.62395032981062</v>
      </c>
    </row>
    <row r="4635" spans="15:19" x14ac:dyDescent="0.2">
      <c r="O4635" s="4">
        <f t="shared" ca="1" si="393"/>
        <v>0.34681586109967633</v>
      </c>
      <c r="P4635" s="4">
        <f t="shared" ca="1" si="394"/>
        <v>-0.39393135243401778</v>
      </c>
      <c r="Q4635" s="4">
        <f t="shared" ca="1" si="395"/>
        <v>1930.6972454712607</v>
      </c>
      <c r="R4635" s="4">
        <f t="shared" ca="1" si="396"/>
        <v>7.0272014712606961</v>
      </c>
      <c r="S4635" s="4">
        <f t="shared" ca="1" si="397"/>
        <v>3.5773399291315071</v>
      </c>
    </row>
    <row r="4636" spans="15:19" x14ac:dyDescent="0.2">
      <c r="O4636" s="4">
        <f t="shared" ca="1" si="393"/>
        <v>0.41484711304857358</v>
      </c>
      <c r="P4636" s="4">
        <f t="shared" ca="1" si="394"/>
        <v>-0.21509375070464437</v>
      </c>
      <c r="Q4636" s="4">
        <f t="shared" ca="1" si="395"/>
        <v>1927.3228175011609</v>
      </c>
      <c r="R4636" s="4">
        <f t="shared" ca="1" si="396"/>
        <v>3.6527735011609366</v>
      </c>
      <c r="S4636" s="4">
        <f t="shared" ca="1" si="397"/>
        <v>1.8545011495007362</v>
      </c>
    </row>
    <row r="4637" spans="15:19" x14ac:dyDescent="0.2">
      <c r="O4637" s="4">
        <f t="shared" ca="1" si="393"/>
        <v>0.16011763685756519</v>
      </c>
      <c r="P4637" s="4">
        <f t="shared" ca="1" si="394"/>
        <v>-0.99397451734020381</v>
      </c>
      <c r="Q4637" s="4">
        <f t="shared" ca="1" si="395"/>
        <v>1942.0192628733425</v>
      </c>
      <c r="R4637" s="4">
        <f t="shared" ca="1" si="396"/>
        <v>18.349218873342579</v>
      </c>
      <c r="S4637" s="4">
        <f t="shared" ca="1" si="397"/>
        <v>9.4256120205644169</v>
      </c>
    </row>
    <row r="4638" spans="15:19" x14ac:dyDescent="0.2">
      <c r="O4638" s="4">
        <f t="shared" ca="1" si="393"/>
        <v>0.97433907741734316</v>
      </c>
      <c r="P4638" s="4">
        <f t="shared" ca="1" si="394"/>
        <v>1.9487788116878224</v>
      </c>
      <c r="Q4638" s="4">
        <f t="shared" ca="1" si="395"/>
        <v>1886.4934168177526</v>
      </c>
      <c r="R4638" s="4">
        <f t="shared" ca="1" si="396"/>
        <v>-37.17662718224733</v>
      </c>
      <c r="S4638" s="4">
        <f t="shared" ca="1" si="397"/>
        <v>-18.256561789487453</v>
      </c>
    </row>
    <row r="4639" spans="15:19" x14ac:dyDescent="0.2">
      <c r="O4639" s="4">
        <f t="shared" ca="1" si="393"/>
        <v>0.68358467039161674</v>
      </c>
      <c r="P4639" s="4">
        <f t="shared" ca="1" si="394"/>
        <v>0.47774647824046979</v>
      </c>
      <c r="Q4639" s="4">
        <f t="shared" ca="1" si="395"/>
        <v>1914.2498427757419</v>
      </c>
      <c r="R4639" s="4">
        <f t="shared" ca="1" si="396"/>
        <v>-9.4202012242581077</v>
      </c>
      <c r="S4639" s="4">
        <f t="shared" ca="1" si="397"/>
        <v>-4.7324747288152</v>
      </c>
    </row>
    <row r="4640" spans="15:19" x14ac:dyDescent="0.2">
      <c r="O4640" s="4">
        <f t="shared" ca="1" si="393"/>
        <v>0.96229891854592287</v>
      </c>
      <c r="P4640" s="4">
        <f t="shared" ca="1" si="394"/>
        <v>1.7780103020390066</v>
      </c>
      <c r="Q4640" s="4">
        <f t="shared" ca="1" si="395"/>
        <v>1889.7155917395748</v>
      </c>
      <c r="R4640" s="4">
        <f t="shared" ca="1" si="396"/>
        <v>-33.954452260425114</v>
      </c>
      <c r="S4640" s="4">
        <f t="shared" ca="1" si="397"/>
        <v>-16.718764239076421</v>
      </c>
    </row>
    <row r="4641" spans="15:19" x14ac:dyDescent="0.2">
      <c r="O4641" s="4">
        <f t="shared" ca="1" si="393"/>
        <v>0.87740538454643136</v>
      </c>
      <c r="P4641" s="4">
        <f t="shared" ca="1" si="394"/>
        <v>1.1621138287923707</v>
      </c>
      <c r="Q4641" s="4">
        <f t="shared" ca="1" si="395"/>
        <v>1901.3367400099155</v>
      </c>
      <c r="R4641" s="4">
        <f t="shared" ca="1" si="396"/>
        <v>-22.33330399008446</v>
      </c>
      <c r="S4641" s="4">
        <f t="shared" ca="1" si="397"/>
        <v>-11.102300682100806</v>
      </c>
    </row>
    <row r="4642" spans="15:19" x14ac:dyDescent="0.2">
      <c r="O4642" s="4">
        <f t="shared" ca="1" si="393"/>
        <v>0.38873680704382418</v>
      </c>
      <c r="P4642" s="4">
        <f t="shared" ca="1" si="394"/>
        <v>-0.28261286928596219</v>
      </c>
      <c r="Q4642" s="4">
        <f t="shared" ca="1" si="395"/>
        <v>1928.5968135738776</v>
      </c>
      <c r="R4642" s="4">
        <f t="shared" ca="1" si="396"/>
        <v>4.9267695738776638</v>
      </c>
      <c r="S4642" s="4">
        <f t="shared" ca="1" si="397"/>
        <v>2.5038598306419275</v>
      </c>
    </row>
    <row r="4643" spans="15:19" x14ac:dyDescent="0.2">
      <c r="O4643" s="4">
        <f t="shared" ca="1" si="393"/>
        <v>0.60762251253917288</v>
      </c>
      <c r="P4643" s="4">
        <f t="shared" ca="1" si="394"/>
        <v>0.27312780343307291</v>
      </c>
      <c r="Q4643" s="4">
        <f t="shared" ca="1" si="395"/>
        <v>1918.1107253462858</v>
      </c>
      <c r="R4643" s="4">
        <f t="shared" ca="1" si="396"/>
        <v>-5.5593186537141719</v>
      </c>
      <c r="S4643" s="4">
        <f t="shared" ca="1" si="397"/>
        <v>-2.8016006642939235</v>
      </c>
    </row>
    <row r="4644" spans="15:19" x14ac:dyDescent="0.2">
      <c r="O4644" s="4">
        <f t="shared" ca="1" si="393"/>
        <v>0.62898537531444576</v>
      </c>
      <c r="P4644" s="4">
        <f t="shared" ca="1" si="394"/>
        <v>0.32916728462209116</v>
      </c>
      <c r="Q4644" s="4">
        <f t="shared" ca="1" si="395"/>
        <v>1917.0533347811838</v>
      </c>
      <c r="R4644" s="4">
        <f t="shared" ca="1" si="396"/>
        <v>-6.6167092188161405</v>
      </c>
      <c r="S4644" s="4">
        <f t="shared" ca="1" si="397"/>
        <v>-3.3316211836044447</v>
      </c>
    </row>
    <row r="4645" spans="15:19" x14ac:dyDescent="0.2">
      <c r="O4645" s="4">
        <f t="shared" ca="1" si="393"/>
        <v>0.89354065347634481</v>
      </c>
      <c r="P4645" s="4">
        <f t="shared" ca="1" si="394"/>
        <v>1.2455798244847451</v>
      </c>
      <c r="Q4645" s="4">
        <f t="shared" ca="1" si="395"/>
        <v>1899.761847550539</v>
      </c>
      <c r="R4645" s="4">
        <f t="shared" ca="1" si="396"/>
        <v>-23.908196449461002</v>
      </c>
      <c r="S4645" s="4">
        <f t="shared" ca="1" si="397"/>
        <v>-11.869881695695568</v>
      </c>
    </row>
    <row r="4646" spans="15:19" x14ac:dyDescent="0.2">
      <c r="O4646" s="4">
        <f t="shared" ca="1" si="393"/>
        <v>0.52035768883725797</v>
      </c>
      <c r="P4646" s="4">
        <f t="shared" ca="1" si="394"/>
        <v>5.10513250946599E-2</v>
      </c>
      <c r="Q4646" s="4">
        <f t="shared" ca="1" si="395"/>
        <v>1922.3010134778633</v>
      </c>
      <c r="R4646" s="4">
        <f t="shared" ca="1" si="396"/>
        <v>-1.3690305221366543</v>
      </c>
      <c r="S4646" s="4">
        <f t="shared" ca="1" si="397"/>
        <v>-0.69225371254393697</v>
      </c>
    </row>
    <row r="4647" spans="15:19" x14ac:dyDescent="0.2">
      <c r="O4647" s="4">
        <f t="shared" ca="1" si="393"/>
        <v>0.86477240489679441</v>
      </c>
      <c r="P4647" s="4">
        <f t="shared" ca="1" si="394"/>
        <v>1.102014908610192</v>
      </c>
      <c r="Q4647" s="4">
        <f t="shared" ca="1" si="395"/>
        <v>1902.4707267961082</v>
      </c>
      <c r="R4647" s="4">
        <f t="shared" ca="1" si="396"/>
        <v>-21.199317203891724</v>
      </c>
      <c r="S4647" s="4">
        <f t="shared" ca="1" si="397"/>
        <v>-10.548360605795137</v>
      </c>
    </row>
    <row r="4648" spans="15:19" x14ac:dyDescent="0.2">
      <c r="O4648" s="4">
        <f t="shared" ca="1" si="393"/>
        <v>0.96504138684590612</v>
      </c>
      <c r="P4648" s="4">
        <f t="shared" ca="1" si="394"/>
        <v>1.8124465459890897</v>
      </c>
      <c r="Q4648" s="4">
        <f t="shared" ca="1" si="395"/>
        <v>1889.0658255626263</v>
      </c>
      <c r="R4648" s="4">
        <f t="shared" ca="1" si="396"/>
        <v>-34.604218437373675</v>
      </c>
      <c r="S4648" s="4">
        <f t="shared" ca="1" si="397"/>
        <v>-17.029548486560216</v>
      </c>
    </row>
    <row r="4649" spans="15:19" x14ac:dyDescent="0.2">
      <c r="O4649" s="4">
        <f t="shared" ca="1" si="393"/>
        <v>0.98242720181538956</v>
      </c>
      <c r="P4649" s="4">
        <f t="shared" ca="1" si="394"/>
        <v>2.1066768942416796</v>
      </c>
      <c r="Q4649" s="4">
        <f t="shared" ca="1" si="395"/>
        <v>1883.5140897576575</v>
      </c>
      <c r="R4649" s="4">
        <f t="shared" ca="1" si="396"/>
        <v>-40.155954242342432</v>
      </c>
      <c r="S4649" s="4">
        <f t="shared" ca="1" si="397"/>
        <v>-19.67093796563816</v>
      </c>
    </row>
    <row r="4650" spans="15:19" x14ac:dyDescent="0.2">
      <c r="O4650" s="4">
        <f t="shared" ca="1" si="393"/>
        <v>0.77966240953775112</v>
      </c>
      <c r="P4650" s="4">
        <f t="shared" ca="1" si="394"/>
        <v>0.77105356770129496</v>
      </c>
      <c r="Q4650" s="4">
        <f t="shared" ca="1" si="395"/>
        <v>1908.7155276376825</v>
      </c>
      <c r="R4650" s="4">
        <f t="shared" ca="1" si="396"/>
        <v>-14.954516362317463</v>
      </c>
      <c r="S4650" s="4">
        <f t="shared" ca="1" si="397"/>
        <v>-7.4790866924355601</v>
      </c>
    </row>
    <row r="4651" spans="15:19" x14ac:dyDescent="0.2">
      <c r="O4651" s="4">
        <f t="shared" ca="1" si="393"/>
        <v>0.99857494581617534</v>
      </c>
      <c r="P4651" s="4">
        <f t="shared" ca="1" si="394"/>
        <v>2.9834583358405409</v>
      </c>
      <c r="Q4651" s="4">
        <f t="shared" ca="1" si="395"/>
        <v>1866.9703887038229</v>
      </c>
      <c r="R4651" s="4">
        <f t="shared" ca="1" si="396"/>
        <v>-56.69965529617707</v>
      </c>
      <c r="S4651" s="4">
        <f t="shared" ca="1" si="397"/>
        <v>-27.393254007624872</v>
      </c>
    </row>
    <row r="4652" spans="15:19" x14ac:dyDescent="0.2">
      <c r="O4652" s="4">
        <f t="shared" ca="1" si="393"/>
        <v>0.70104331341093062</v>
      </c>
      <c r="P4652" s="4">
        <f t="shared" ca="1" si="394"/>
        <v>0.52740355809033579</v>
      </c>
      <c r="Q4652" s="4">
        <f t="shared" ca="1" si="395"/>
        <v>1913.3128796452902</v>
      </c>
      <c r="R4652" s="4">
        <f t="shared" ca="1" si="396"/>
        <v>-10.357164354709766</v>
      </c>
      <c r="S4652" s="4">
        <f t="shared" ca="1" si="397"/>
        <v>-5.1992313805339112</v>
      </c>
    </row>
    <row r="4653" spans="15:19" x14ac:dyDescent="0.2">
      <c r="O4653" s="4">
        <f t="shared" ca="1" si="393"/>
        <v>0.45787111189249652</v>
      </c>
      <c r="P4653" s="4">
        <f t="shared" ca="1" si="394"/>
        <v>-0.10579850397394583</v>
      </c>
      <c r="Q4653" s="4">
        <f t="shared" ca="1" si="395"/>
        <v>1925.2605613872308</v>
      </c>
      <c r="R4653" s="4">
        <f t="shared" ca="1" si="396"/>
        <v>1.5905173872308751</v>
      </c>
      <c r="S4653" s="4">
        <f t="shared" ca="1" si="397"/>
        <v>0.80616526194972937</v>
      </c>
    </row>
    <row r="4654" spans="15:19" x14ac:dyDescent="0.2">
      <c r="O4654" s="4">
        <f t="shared" ca="1" si="393"/>
        <v>0.21831199448520611</v>
      </c>
      <c r="P4654" s="4">
        <f t="shared" ca="1" si="394"/>
        <v>-0.7779067495046591</v>
      </c>
      <c r="Q4654" s="4">
        <f t="shared" ca="1" si="395"/>
        <v>1937.9423511267594</v>
      </c>
      <c r="R4654" s="4">
        <f t="shared" ca="1" si="396"/>
        <v>14.272307126759415</v>
      </c>
      <c r="S4654" s="4">
        <f t="shared" ca="1" si="397"/>
        <v>7.3077011562027634</v>
      </c>
    </row>
    <row r="4655" spans="15:19" x14ac:dyDescent="0.2">
      <c r="O4655" s="4">
        <f t="shared" ca="1" si="393"/>
        <v>0.91614299736877713</v>
      </c>
      <c r="P4655" s="4">
        <f t="shared" ca="1" si="394"/>
        <v>1.379586471204689</v>
      </c>
      <c r="Q4655" s="4">
        <f t="shared" ca="1" si="395"/>
        <v>1897.2333201463564</v>
      </c>
      <c r="R4655" s="4">
        <f t="shared" ca="1" si="396"/>
        <v>-26.436723853643571</v>
      </c>
      <c r="S4655" s="4">
        <f t="shared" ca="1" si="397"/>
        <v>-13.098027728213484</v>
      </c>
    </row>
    <row r="4656" spans="15:19" x14ac:dyDescent="0.2">
      <c r="O4656" s="4">
        <f t="shared" ca="1" si="393"/>
        <v>0.48598407468477056</v>
      </c>
      <c r="P4656" s="4">
        <f t="shared" ca="1" si="394"/>
        <v>-3.5139945243942906E-2</v>
      </c>
      <c r="Q4656" s="4">
        <f t="shared" ca="1" si="395"/>
        <v>1923.9273282494578</v>
      </c>
      <c r="R4656" s="4">
        <f t="shared" ca="1" si="396"/>
        <v>0.25728424945782535</v>
      </c>
      <c r="S4656" s="4">
        <f t="shared" ca="1" si="397"/>
        <v>0.13026675317316161</v>
      </c>
    </row>
    <row r="4657" spans="15:19" x14ac:dyDescent="0.2">
      <c r="O4657" s="4">
        <f t="shared" ca="1" si="393"/>
        <v>0.36667710520735985</v>
      </c>
      <c r="P4657" s="4">
        <f t="shared" ca="1" si="394"/>
        <v>-0.34066709819073165</v>
      </c>
      <c r="Q4657" s="4">
        <f t="shared" ca="1" si="395"/>
        <v>1929.6922197519095</v>
      </c>
      <c r="R4657" s="4">
        <f t="shared" ca="1" si="396"/>
        <v>6.0221757519095718</v>
      </c>
      <c r="S4657" s="4">
        <f t="shared" ca="1" si="397"/>
        <v>3.0632473693609552</v>
      </c>
    </row>
    <row r="4658" spans="15:19" x14ac:dyDescent="0.2">
      <c r="O4658" s="4">
        <f t="shared" ca="1" si="393"/>
        <v>0.57904917386207433</v>
      </c>
      <c r="P4658" s="4">
        <f t="shared" ca="1" si="394"/>
        <v>0.19946163358600713</v>
      </c>
      <c r="Q4658" s="4">
        <f t="shared" ca="1" si="395"/>
        <v>1919.500708110415</v>
      </c>
      <c r="R4658" s="4">
        <f t="shared" ca="1" si="396"/>
        <v>-4.1693358895849997</v>
      </c>
      <c r="S4658" s="4">
        <f t="shared" ca="1" si="397"/>
        <v>-2.1034824339464344</v>
      </c>
    </row>
    <row r="4659" spans="15:19" x14ac:dyDescent="0.2">
      <c r="O4659" s="4">
        <f t="shared" ca="1" si="393"/>
        <v>4.85504513058167E-2</v>
      </c>
      <c r="P4659" s="4">
        <f t="shared" ca="1" si="394"/>
        <v>-1.659073896261452</v>
      </c>
      <c r="Q4659" s="4">
        <f t="shared" ca="1" si="395"/>
        <v>1954.5688046107898</v>
      </c>
      <c r="R4659" s="4">
        <f t="shared" ca="1" si="396"/>
        <v>30.89876061078985</v>
      </c>
      <c r="S4659" s="4">
        <f t="shared" ca="1" si="397"/>
        <v>16.029897860503127</v>
      </c>
    </row>
    <row r="4660" spans="15:19" x14ac:dyDescent="0.2">
      <c r="O4660" s="4">
        <f t="shared" ca="1" si="393"/>
        <v>0.25161520764202927</v>
      </c>
      <c r="P4660" s="4">
        <f t="shared" ca="1" si="394"/>
        <v>-0.66941558086312636</v>
      </c>
      <c r="Q4660" s="4">
        <f t="shared" ca="1" si="395"/>
        <v>1935.8952668982042</v>
      </c>
      <c r="R4660" s="4">
        <f t="shared" ca="1" si="396"/>
        <v>12.225222898204265</v>
      </c>
      <c r="S4660" s="4">
        <f t="shared" ca="1" si="397"/>
        <v>6.2493665446681943</v>
      </c>
    </row>
    <row r="4661" spans="15:19" x14ac:dyDescent="0.2">
      <c r="O4661" s="4">
        <f t="shared" ca="1" si="393"/>
        <v>0.85101342649232115</v>
      </c>
      <c r="P4661" s="4">
        <f t="shared" ca="1" si="394"/>
        <v>1.0407897310532765</v>
      </c>
      <c r="Q4661" s="4">
        <f t="shared" ca="1" si="395"/>
        <v>1903.6259645628004</v>
      </c>
      <c r="R4661" s="4">
        <f t="shared" ca="1" si="396"/>
        <v>-20.044079437199571</v>
      </c>
      <c r="S4661" s="4">
        <f t="shared" ca="1" si="397"/>
        <v>-9.9829631244517518</v>
      </c>
    </row>
    <row r="4662" spans="15:19" x14ac:dyDescent="0.2">
      <c r="O4662" s="4">
        <f t="shared" ca="1" si="393"/>
        <v>0.81264656024289916</v>
      </c>
      <c r="P4662" s="4">
        <f t="shared" ca="1" si="394"/>
        <v>0.88769120239732402</v>
      </c>
      <c r="Q4662" s="4">
        <f t="shared" ca="1" si="395"/>
        <v>1906.5147304167483</v>
      </c>
      <c r="R4662" s="4">
        <f t="shared" ca="1" si="396"/>
        <v>-17.155313583251655</v>
      </c>
      <c r="S4662" s="4">
        <f t="shared" ca="1" si="397"/>
        <v>-8.5643853499077292</v>
      </c>
    </row>
    <row r="4663" spans="15:19" x14ac:dyDescent="0.2">
      <c r="O4663" s="4">
        <f t="shared" ca="1" si="393"/>
        <v>0.53387038199586623</v>
      </c>
      <c r="P4663" s="4">
        <f t="shared" ca="1" si="394"/>
        <v>8.5002710292652162E-2</v>
      </c>
      <c r="Q4663" s="4">
        <f t="shared" ca="1" si="395"/>
        <v>1921.6603959414622</v>
      </c>
      <c r="R4663" s="4">
        <f t="shared" ca="1" si="396"/>
        <v>-2.0096480585377776</v>
      </c>
      <c r="S4663" s="4">
        <f t="shared" ca="1" si="397"/>
        <v>-1.0156595070386936</v>
      </c>
    </row>
    <row r="4664" spans="15:19" x14ac:dyDescent="0.2">
      <c r="O4664" s="4">
        <f t="shared" ca="1" si="393"/>
        <v>0.30118697155792462</v>
      </c>
      <c r="P4664" s="4">
        <f t="shared" ca="1" si="394"/>
        <v>-0.5209897049994251</v>
      </c>
      <c r="Q4664" s="4">
        <f t="shared" ca="1" si="395"/>
        <v>1933.0946677951204</v>
      </c>
      <c r="R4664" s="4">
        <f t="shared" ca="1" si="396"/>
        <v>9.4246237951203966</v>
      </c>
      <c r="S4664" s="4">
        <f t="shared" ca="1" si="397"/>
        <v>4.8069942054705939</v>
      </c>
    </row>
    <row r="4665" spans="15:19" x14ac:dyDescent="0.2">
      <c r="O4665" s="4">
        <f t="shared" ca="1" si="393"/>
        <v>0.75677173527951214</v>
      </c>
      <c r="P4665" s="4">
        <f t="shared" ca="1" si="394"/>
        <v>0.69595576991179309</v>
      </c>
      <c r="Q4665" s="4">
        <f t="shared" ca="1" si="395"/>
        <v>1910.1325233192574</v>
      </c>
      <c r="R4665" s="4">
        <f t="shared" ca="1" si="396"/>
        <v>-13.537520680742546</v>
      </c>
      <c r="S4665" s="4">
        <f t="shared" ca="1" si="397"/>
        <v>-6.7782242429743951</v>
      </c>
    </row>
    <row r="4666" spans="15:19" x14ac:dyDescent="0.2">
      <c r="O4666" s="4">
        <f t="shared" ca="1" si="393"/>
        <v>0.30562849537148029</v>
      </c>
      <c r="P4666" s="4">
        <f t="shared" ca="1" si="394"/>
        <v>-0.50828000454827926</v>
      </c>
      <c r="Q4666" s="4">
        <f t="shared" ca="1" si="395"/>
        <v>1932.8548526316465</v>
      </c>
      <c r="R4666" s="4">
        <f t="shared" ca="1" si="396"/>
        <v>9.1848086316465469</v>
      </c>
      <c r="S4666" s="4">
        <f t="shared" ca="1" si="397"/>
        <v>4.6837807424106295</v>
      </c>
    </row>
    <row r="4667" spans="15:19" x14ac:dyDescent="0.2">
      <c r="O4667" s="4">
        <f t="shared" ca="1" si="393"/>
        <v>0.23344523337477441</v>
      </c>
      <c r="P4667" s="4">
        <f t="shared" ca="1" si="394"/>
        <v>-0.72754776379617581</v>
      </c>
      <c r="Q4667" s="4">
        <f t="shared" ca="1" si="395"/>
        <v>1936.992143965193</v>
      </c>
      <c r="R4667" s="4">
        <f t="shared" ca="1" si="396"/>
        <v>13.322099965193047</v>
      </c>
      <c r="S4667" s="4">
        <f t="shared" ca="1" si="397"/>
        <v>6.8160234645841236</v>
      </c>
    </row>
    <row r="4668" spans="15:19" x14ac:dyDescent="0.2">
      <c r="O4668" s="4">
        <f t="shared" ca="1" si="393"/>
        <v>0.43415156726951454</v>
      </c>
      <c r="P4668" s="4">
        <f t="shared" ca="1" si="394"/>
        <v>-0.16581424612362625</v>
      </c>
      <c r="Q4668" s="4">
        <f t="shared" ca="1" si="395"/>
        <v>1926.3929787144473</v>
      </c>
      <c r="R4668" s="4">
        <f t="shared" ca="1" si="396"/>
        <v>2.7229347144473195</v>
      </c>
      <c r="S4668" s="4">
        <f t="shared" ca="1" si="397"/>
        <v>1.3813943866046081</v>
      </c>
    </row>
    <row r="4669" spans="15:19" x14ac:dyDescent="0.2">
      <c r="O4669" s="4">
        <f t="shared" ca="1" si="393"/>
        <v>0.33656551818032399</v>
      </c>
      <c r="P4669" s="4">
        <f t="shared" ca="1" si="394"/>
        <v>-0.42185475525734467</v>
      </c>
      <c r="Q4669" s="4">
        <f t="shared" ca="1" si="395"/>
        <v>1931.2241229880478</v>
      </c>
      <c r="R4669" s="4">
        <f t="shared" ca="1" si="396"/>
        <v>7.5540789880478769</v>
      </c>
      <c r="S4669" s="4">
        <f t="shared" ca="1" si="397"/>
        <v>3.8471778180525731</v>
      </c>
    </row>
    <row r="4670" spans="15:19" x14ac:dyDescent="0.2">
      <c r="O4670" s="4">
        <f t="shared" ca="1" si="393"/>
        <v>0.8154391656560227</v>
      </c>
      <c r="P4670" s="4">
        <f t="shared" ca="1" si="394"/>
        <v>0.89811982898931375</v>
      </c>
      <c r="Q4670" s="4">
        <f t="shared" ca="1" si="395"/>
        <v>1906.3179560867334</v>
      </c>
      <c r="R4670" s="4">
        <f t="shared" ca="1" si="396"/>
        <v>-17.352087913266587</v>
      </c>
      <c r="S4670" s="4">
        <f t="shared" ca="1" si="397"/>
        <v>-8.6612303735730194</v>
      </c>
    </row>
    <row r="4671" spans="15:19" x14ac:dyDescent="0.2">
      <c r="O4671" s="4">
        <f t="shared" ca="1" si="393"/>
        <v>0.52736447359856331</v>
      </c>
      <c r="P4671" s="4">
        <f t="shared" ca="1" si="394"/>
        <v>6.8646439308785806E-2</v>
      </c>
      <c r="Q4671" s="4">
        <f t="shared" ca="1" si="395"/>
        <v>1921.9690170466479</v>
      </c>
      <c r="R4671" s="4">
        <f t="shared" ca="1" si="396"/>
        <v>-1.7010269533520841</v>
      </c>
      <c r="S4671" s="4">
        <f t="shared" ca="1" si="397"/>
        <v>-0.85989865335357085</v>
      </c>
    </row>
    <row r="4672" spans="15:19" x14ac:dyDescent="0.2">
      <c r="O4672" s="4">
        <f t="shared" ca="1" si="393"/>
        <v>0.97251402815544064</v>
      </c>
      <c r="P4672" s="4">
        <f t="shared" ca="1" si="394"/>
        <v>1.9190979119195315</v>
      </c>
      <c r="Q4672" s="4">
        <f t="shared" ca="1" si="395"/>
        <v>1887.0534559671673</v>
      </c>
      <c r="R4672" s="4">
        <f t="shared" ca="1" si="396"/>
        <v>-36.616588032832624</v>
      </c>
      <c r="S4672" s="4">
        <f t="shared" ca="1" si="397"/>
        <v>-17.98988747284023</v>
      </c>
    </row>
    <row r="4673" spans="15:19" x14ac:dyDescent="0.2">
      <c r="O4673" s="4">
        <f t="shared" ca="1" si="393"/>
        <v>0.5820012498564241</v>
      </c>
      <c r="P4673" s="4">
        <f t="shared" ca="1" si="394"/>
        <v>0.20701582416560818</v>
      </c>
      <c r="Q4673" s="4">
        <f t="shared" ca="1" si="395"/>
        <v>1919.3581705694464</v>
      </c>
      <c r="R4673" s="4">
        <f t="shared" ca="1" si="396"/>
        <v>-4.3118734305535327</v>
      </c>
      <c r="S4673" s="4">
        <f t="shared" ca="1" si="397"/>
        <v>-2.1751442311166791</v>
      </c>
    </row>
    <row r="4674" spans="15:19" x14ac:dyDescent="0.2">
      <c r="O4674" s="4">
        <f t="shared" ca="1" si="393"/>
        <v>0.26082318545600647</v>
      </c>
      <c r="P4674" s="4">
        <f t="shared" ca="1" si="394"/>
        <v>-0.64080963701179261</v>
      </c>
      <c r="Q4674" s="4">
        <f t="shared" ca="1" si="395"/>
        <v>1935.3555107389313</v>
      </c>
      <c r="R4674" s="4">
        <f t="shared" ca="1" si="396"/>
        <v>11.685466738931382</v>
      </c>
      <c r="S4674" s="4">
        <f t="shared" ca="1" si="397"/>
        <v>5.9708830781647686</v>
      </c>
    </row>
    <row r="4675" spans="15:19" x14ac:dyDescent="0.2">
      <c r="O4675" s="4">
        <f t="shared" ref="O4675:O4738" ca="1" si="398">RAND()</f>
        <v>0.84385487024347516</v>
      </c>
      <c r="P4675" s="4">
        <f t="shared" ref="P4675:P4738" ca="1" si="399">NORMSINV(O4675)</f>
        <v>1.0104280399052434</v>
      </c>
      <c r="Q4675" s="4">
        <f t="shared" ref="Q4675:Q4738" ca="1" si="400">$B$4*(1+$B$17-$B$32*P4675)</f>
        <v>1904.1988493411618</v>
      </c>
      <c r="R4675" s="4">
        <f t="shared" ref="R4675:R4738" ca="1" si="401">Q4675-$B$4</f>
        <v>-19.471194658838158</v>
      </c>
      <c r="S4675" s="4">
        <f t="shared" ref="S4675:S4738" ca="1" si="402">R4675*$B$12+0.5*$B$13*R4675^2</f>
        <v>-9.7021783489144937</v>
      </c>
    </row>
    <row r="4676" spans="15:19" x14ac:dyDescent="0.2">
      <c r="O4676" s="4">
        <f t="shared" ca="1" si="398"/>
        <v>0.10256844289266565</v>
      </c>
      <c r="P4676" s="4">
        <f t="shared" ca="1" si="399"/>
        <v>-1.2670514722202384</v>
      </c>
      <c r="Q4676" s="4">
        <f t="shared" ca="1" si="400"/>
        <v>1947.171862246327</v>
      </c>
      <c r="R4676" s="4">
        <f t="shared" ca="1" si="401"/>
        <v>23.501818246327048</v>
      </c>
      <c r="S4676" s="4">
        <f t="shared" ca="1" si="402"/>
        <v>12.121689362784211</v>
      </c>
    </row>
    <row r="4677" spans="15:19" x14ac:dyDescent="0.2">
      <c r="O4677" s="4">
        <f t="shared" ca="1" si="398"/>
        <v>0.9384409976603344</v>
      </c>
      <c r="P4677" s="4">
        <f t="shared" ca="1" si="399"/>
        <v>1.5418172678262181</v>
      </c>
      <c r="Q4677" s="4">
        <f t="shared" ca="1" si="400"/>
        <v>1894.172240527543</v>
      </c>
      <c r="R4677" s="4">
        <f t="shared" ca="1" si="401"/>
        <v>-29.497803472457008</v>
      </c>
      <c r="S4677" s="4">
        <f t="shared" ca="1" si="402"/>
        <v>-14.577877804484224</v>
      </c>
    </row>
    <row r="4678" spans="15:19" x14ac:dyDescent="0.2">
      <c r="O4678" s="4">
        <f t="shared" ca="1" si="398"/>
        <v>8.4814550977472813E-2</v>
      </c>
      <c r="P4678" s="4">
        <f t="shared" ca="1" si="399"/>
        <v>-1.3733965492604252</v>
      </c>
      <c r="Q4678" s="4">
        <f t="shared" ca="1" si="400"/>
        <v>1949.1784525773128</v>
      </c>
      <c r="R4678" s="4">
        <f t="shared" ca="1" si="401"/>
        <v>25.508408577312821</v>
      </c>
      <c r="S4678" s="4">
        <f t="shared" ca="1" si="402"/>
        <v>13.177477633625186</v>
      </c>
    </row>
    <row r="4679" spans="15:19" x14ac:dyDescent="0.2">
      <c r="O4679" s="4">
        <f t="shared" ca="1" si="398"/>
        <v>4.4879744556973522E-2</v>
      </c>
      <c r="P4679" s="4">
        <f t="shared" ca="1" si="399"/>
        <v>-1.6966677711429428</v>
      </c>
      <c r="Q4679" s="4">
        <f t="shared" ca="1" si="400"/>
        <v>1955.2781510886998</v>
      </c>
      <c r="R4679" s="4">
        <f t="shared" ca="1" si="401"/>
        <v>31.608107088699853</v>
      </c>
      <c r="S4679" s="4">
        <f t="shared" ca="1" si="402"/>
        <v>16.407025048768652</v>
      </c>
    </row>
    <row r="4680" spans="15:19" x14ac:dyDescent="0.2">
      <c r="O4680" s="4">
        <f t="shared" ca="1" si="398"/>
        <v>0.44452076366727888</v>
      </c>
      <c r="P4680" s="4">
        <f t="shared" ca="1" si="399"/>
        <v>-0.13951712139780095</v>
      </c>
      <c r="Q4680" s="4">
        <f t="shared" ca="1" si="400"/>
        <v>1925.8967869049511</v>
      </c>
      <c r="R4680" s="4">
        <f t="shared" ca="1" si="401"/>
        <v>2.226742904951152</v>
      </c>
      <c r="S4680" s="4">
        <f t="shared" ca="1" si="402"/>
        <v>1.1292174747439014</v>
      </c>
    </row>
    <row r="4681" spans="15:19" x14ac:dyDescent="0.2">
      <c r="O4681" s="4">
        <f t="shared" ca="1" si="398"/>
        <v>7.7573171431547072E-2</v>
      </c>
      <c r="P4681" s="4">
        <f t="shared" ca="1" si="399"/>
        <v>-1.4215864424085831</v>
      </c>
      <c r="Q4681" s="4">
        <f t="shared" ca="1" si="400"/>
        <v>1950.0877318437688</v>
      </c>
      <c r="R4681" s="4">
        <f t="shared" ca="1" si="401"/>
        <v>26.417687843768817</v>
      </c>
      <c r="S4681" s="4">
        <f t="shared" ca="1" si="402"/>
        <v>13.656983609530435</v>
      </c>
    </row>
    <row r="4682" spans="15:19" x14ac:dyDescent="0.2">
      <c r="O4682" s="4">
        <f t="shared" ca="1" si="398"/>
        <v>0.85287736133168834</v>
      </c>
      <c r="P4682" s="4">
        <f t="shared" ca="1" si="399"/>
        <v>1.048854091885836</v>
      </c>
      <c r="Q4682" s="4">
        <f t="shared" ca="1" si="400"/>
        <v>1903.4738007868873</v>
      </c>
      <c r="R4682" s="4">
        <f t="shared" ca="1" si="401"/>
        <v>-20.196243213112666</v>
      </c>
      <c r="S4682" s="4">
        <f t="shared" ca="1" si="402"/>
        <v>-10.057497384759895</v>
      </c>
    </row>
    <row r="4683" spans="15:19" x14ac:dyDescent="0.2">
      <c r="O4683" s="4">
        <f t="shared" ca="1" si="398"/>
        <v>0.60277061588924685</v>
      </c>
      <c r="P4683" s="4">
        <f t="shared" ca="1" si="399"/>
        <v>0.26052508491764875</v>
      </c>
      <c r="Q4683" s="4">
        <f t="shared" ca="1" si="400"/>
        <v>1918.3485219027509</v>
      </c>
      <c r="R4683" s="4">
        <f t="shared" ca="1" si="401"/>
        <v>-5.3215220972490442</v>
      </c>
      <c r="S4683" s="4">
        <f t="shared" ca="1" si="402"/>
        <v>-2.682278979903022</v>
      </c>
    </row>
    <row r="4684" spans="15:19" x14ac:dyDescent="0.2">
      <c r="O4684" s="4">
        <f t="shared" ca="1" si="398"/>
        <v>0.92325214889324003</v>
      </c>
      <c r="P4684" s="4">
        <f t="shared" ca="1" si="399"/>
        <v>1.4272921505181904</v>
      </c>
      <c r="Q4684" s="4">
        <f t="shared" ca="1" si="400"/>
        <v>1896.3331773517125</v>
      </c>
      <c r="R4684" s="4">
        <f t="shared" ca="1" si="401"/>
        <v>-27.336866648287469</v>
      </c>
      <c r="S4684" s="4">
        <f t="shared" ca="1" si="402"/>
        <v>-13.533985085496511</v>
      </c>
    </row>
    <row r="4685" spans="15:19" x14ac:dyDescent="0.2">
      <c r="O4685" s="4">
        <f t="shared" ca="1" si="398"/>
        <v>7.2261922898636533E-3</v>
      </c>
      <c r="P4685" s="4">
        <f t="shared" ca="1" si="399"/>
        <v>-2.4458182231377066</v>
      </c>
      <c r="Q4685" s="4">
        <f t="shared" ca="1" si="400"/>
        <v>1969.4136249184671</v>
      </c>
      <c r="R4685" s="4">
        <f t="shared" ca="1" si="401"/>
        <v>45.74358091846716</v>
      </c>
      <c r="S4685" s="4">
        <f t="shared" ca="1" si="402"/>
        <v>24.007630972568471</v>
      </c>
    </row>
    <row r="4686" spans="15:19" x14ac:dyDescent="0.2">
      <c r="O4686" s="4">
        <f t="shared" ca="1" si="398"/>
        <v>0.86345709822508343</v>
      </c>
      <c r="P4686" s="4">
        <f t="shared" ca="1" si="399"/>
        <v>1.0959839381681473</v>
      </c>
      <c r="Q4686" s="4">
        <f t="shared" ca="1" si="400"/>
        <v>1902.5845231965839</v>
      </c>
      <c r="R4686" s="4">
        <f t="shared" ca="1" si="401"/>
        <v>-21.085520803416102</v>
      </c>
      <c r="S4686" s="4">
        <f t="shared" ca="1" si="402"/>
        <v>-10.492714514334576</v>
      </c>
    </row>
    <row r="4687" spans="15:19" x14ac:dyDescent="0.2">
      <c r="O4687" s="4">
        <f t="shared" ca="1" si="398"/>
        <v>0.41044386014232037</v>
      </c>
      <c r="P4687" s="4">
        <f t="shared" ca="1" si="399"/>
        <v>-0.22640335304136389</v>
      </c>
      <c r="Q4687" s="4">
        <f t="shared" ca="1" si="400"/>
        <v>1927.5362146731575</v>
      </c>
      <c r="R4687" s="4">
        <f t="shared" ca="1" si="401"/>
        <v>3.8661706731575123</v>
      </c>
      <c r="S4687" s="4">
        <f t="shared" ca="1" si="402"/>
        <v>1.9631780394639373</v>
      </c>
    </row>
    <row r="4688" spans="15:19" x14ac:dyDescent="0.2">
      <c r="O4688" s="4">
        <f t="shared" ca="1" si="398"/>
        <v>0.7704292227026488</v>
      </c>
      <c r="P4688" s="4">
        <f t="shared" ca="1" si="399"/>
        <v>0.74026114146819788</v>
      </c>
      <c r="Q4688" s="4">
        <f t="shared" ca="1" si="400"/>
        <v>1909.2965398148945</v>
      </c>
      <c r="R4688" s="4">
        <f t="shared" ca="1" si="401"/>
        <v>-14.373504185105503</v>
      </c>
      <c r="S4688" s="4">
        <f t="shared" ca="1" si="402"/>
        <v>-7.1919090713617626</v>
      </c>
    </row>
    <row r="4689" spans="15:19" x14ac:dyDescent="0.2">
      <c r="O4689" s="4">
        <f t="shared" ca="1" si="398"/>
        <v>0.52548619527486939</v>
      </c>
      <c r="P4689" s="4">
        <f t="shared" ca="1" si="399"/>
        <v>6.3927934251125029E-2</v>
      </c>
      <c r="Q4689" s="4">
        <f t="shared" ca="1" si="400"/>
        <v>1922.0580489688482</v>
      </c>
      <c r="R4689" s="4">
        <f t="shared" ca="1" si="401"/>
        <v>-1.6119950311517641</v>
      </c>
      <c r="S4689" s="4">
        <f t="shared" ca="1" si="402"/>
        <v>-0.81494989333489476</v>
      </c>
    </row>
    <row r="4690" spans="15:19" x14ac:dyDescent="0.2">
      <c r="O4690" s="4">
        <f t="shared" ca="1" si="398"/>
        <v>0.53059505769724735</v>
      </c>
      <c r="P4690" s="4">
        <f t="shared" ca="1" si="399"/>
        <v>7.6765766646749264E-2</v>
      </c>
      <c r="Q4690" s="4">
        <f t="shared" ca="1" si="400"/>
        <v>1921.8158161257977</v>
      </c>
      <c r="R4690" s="4">
        <f t="shared" ca="1" si="401"/>
        <v>-1.8542278742022518</v>
      </c>
      <c r="S4690" s="4">
        <f t="shared" ca="1" si="402"/>
        <v>-0.93722874236782872</v>
      </c>
    </row>
    <row r="4691" spans="15:19" x14ac:dyDescent="0.2">
      <c r="O4691" s="4">
        <f t="shared" ca="1" si="398"/>
        <v>0.28333221601839376</v>
      </c>
      <c r="P4691" s="4">
        <f t="shared" ca="1" si="399"/>
        <v>-0.5729708487969245</v>
      </c>
      <c r="Q4691" s="4">
        <f t="shared" ca="1" si="400"/>
        <v>1934.0754829248908</v>
      </c>
      <c r="R4691" s="4">
        <f t="shared" ca="1" si="401"/>
        <v>10.405438924890859</v>
      </c>
      <c r="S4691" s="4">
        <f t="shared" ca="1" si="402"/>
        <v>5.3114097751612324</v>
      </c>
    </row>
    <row r="4692" spans="15:19" x14ac:dyDescent="0.2">
      <c r="O4692" s="4">
        <f t="shared" ca="1" si="398"/>
        <v>0.54028590113988362</v>
      </c>
      <c r="P4692" s="4">
        <f t="shared" ca="1" si="399"/>
        <v>0.10115401802720993</v>
      </c>
      <c r="Q4692" s="4">
        <f t="shared" ca="1" si="400"/>
        <v>1921.3556422205102</v>
      </c>
      <c r="R4692" s="4">
        <f t="shared" ca="1" si="401"/>
        <v>-2.3144017794897991</v>
      </c>
      <c r="S4692" s="4">
        <f t="shared" ca="1" si="402"/>
        <v>-1.169392401891846</v>
      </c>
    </row>
    <row r="4693" spans="15:19" x14ac:dyDescent="0.2">
      <c r="O4693" s="4">
        <f t="shared" ca="1" si="398"/>
        <v>0.55219596962172557</v>
      </c>
      <c r="P4693" s="4">
        <f t="shared" ca="1" si="399"/>
        <v>0.13121142183747422</v>
      </c>
      <c r="Q4693" s="4">
        <f t="shared" ca="1" si="400"/>
        <v>1920.7884989399856</v>
      </c>
      <c r="R4693" s="4">
        <f t="shared" ca="1" si="401"/>
        <v>-2.8815450600143322</v>
      </c>
      <c r="S4693" s="4">
        <f t="shared" ca="1" si="402"/>
        <v>-1.4552863151518347</v>
      </c>
    </row>
    <row r="4694" spans="15:19" x14ac:dyDescent="0.2">
      <c r="O4694" s="4">
        <f t="shared" ca="1" si="398"/>
        <v>0.11007190040418635</v>
      </c>
      <c r="P4694" s="4">
        <f t="shared" ca="1" si="399"/>
        <v>-1.2261458330477133</v>
      </c>
      <c r="Q4694" s="4">
        <f t="shared" ca="1" si="400"/>
        <v>1946.4000271757166</v>
      </c>
      <c r="R4694" s="4">
        <f t="shared" ca="1" si="401"/>
        <v>22.729983175716598</v>
      </c>
      <c r="S4694" s="4">
        <f t="shared" ca="1" si="402"/>
        <v>11.716453306219321</v>
      </c>
    </row>
    <row r="4695" spans="15:19" x14ac:dyDescent="0.2">
      <c r="O4695" s="4">
        <f t="shared" ca="1" si="398"/>
        <v>0.65290729048877338</v>
      </c>
      <c r="P4695" s="4">
        <f t="shared" ca="1" si="399"/>
        <v>0.39318151832612519</v>
      </c>
      <c r="Q4695" s="4">
        <f t="shared" ca="1" si="400"/>
        <v>1915.845471230082</v>
      </c>
      <c r="R4695" s="4">
        <f t="shared" ca="1" si="401"/>
        <v>-7.8245727699179497</v>
      </c>
      <c r="S4695" s="4">
        <f t="shared" ca="1" si="402"/>
        <v>-3.9359529956250672</v>
      </c>
    </row>
    <row r="4696" spans="15:19" x14ac:dyDescent="0.2">
      <c r="O4696" s="4">
        <f t="shared" ca="1" si="398"/>
        <v>0.90127147005432973</v>
      </c>
      <c r="P4696" s="4">
        <f t="shared" ca="1" si="399"/>
        <v>1.2888303856127514</v>
      </c>
      <c r="Q4696" s="4">
        <f t="shared" ca="1" si="400"/>
        <v>1898.9457669177104</v>
      </c>
      <c r="R4696" s="4">
        <f t="shared" ca="1" si="401"/>
        <v>-24.724277082289518</v>
      </c>
      <c r="S4696" s="4">
        <f t="shared" ca="1" si="402"/>
        <v>-12.266833933985051</v>
      </c>
    </row>
    <row r="4697" spans="15:19" x14ac:dyDescent="0.2">
      <c r="O4697" s="4">
        <f t="shared" ca="1" si="398"/>
        <v>0.21520466648156666</v>
      </c>
      <c r="P4697" s="4">
        <f t="shared" ca="1" si="399"/>
        <v>-0.78849138981924616</v>
      </c>
      <c r="Q4697" s="4">
        <f t="shared" ca="1" si="400"/>
        <v>1938.1420692284651</v>
      </c>
      <c r="R4697" s="4">
        <f t="shared" ca="1" si="401"/>
        <v>14.4720252284651</v>
      </c>
      <c r="S4697" s="4">
        <f t="shared" ca="1" si="402"/>
        <v>7.4111373036562185</v>
      </c>
    </row>
    <row r="4698" spans="15:19" x14ac:dyDescent="0.2">
      <c r="O4698" s="4">
        <f t="shared" ca="1" si="398"/>
        <v>8.854828528641645E-2</v>
      </c>
      <c r="P4698" s="4">
        <f t="shared" ca="1" si="399"/>
        <v>-1.34974880794355</v>
      </c>
      <c r="Q4698" s="4">
        <f t="shared" ca="1" si="400"/>
        <v>1948.732251113204</v>
      </c>
      <c r="R4698" s="4">
        <f t="shared" ca="1" si="401"/>
        <v>25.062207113204067</v>
      </c>
      <c r="S4698" s="4">
        <f t="shared" ca="1" si="402"/>
        <v>12.942420694051386</v>
      </c>
    </row>
    <row r="4699" spans="15:19" x14ac:dyDescent="0.2">
      <c r="O4699" s="4">
        <f t="shared" ca="1" si="398"/>
        <v>0.76488792113000303</v>
      </c>
      <c r="P4699" s="4">
        <f t="shared" ca="1" si="399"/>
        <v>0.72211438017994234</v>
      </c>
      <c r="Q4699" s="4">
        <f t="shared" ca="1" si="400"/>
        <v>1909.6389450935701</v>
      </c>
      <c r="R4699" s="4">
        <f t="shared" ca="1" si="401"/>
        <v>-14.031098906429861</v>
      </c>
      <c r="S4699" s="4">
        <f t="shared" ca="1" si="402"/>
        <v>-7.0225392743675483</v>
      </c>
    </row>
    <row r="4700" spans="15:19" x14ac:dyDescent="0.2">
      <c r="O4700" s="4">
        <f t="shared" ca="1" si="398"/>
        <v>8.5289690491654691E-2</v>
      </c>
      <c r="P4700" s="4">
        <f t="shared" ca="1" si="399"/>
        <v>-1.3703445228382805</v>
      </c>
      <c r="Q4700" s="4">
        <f t="shared" ca="1" si="400"/>
        <v>1949.1208648931522</v>
      </c>
      <c r="R4700" s="4">
        <f t="shared" ca="1" si="401"/>
        <v>25.45082089315224</v>
      </c>
      <c r="S4700" s="4">
        <f t="shared" ca="1" si="402"/>
        <v>13.147131588712879</v>
      </c>
    </row>
    <row r="4701" spans="15:19" x14ac:dyDescent="0.2">
      <c r="O4701" s="4">
        <f t="shared" ca="1" si="398"/>
        <v>0.81528593014804862</v>
      </c>
      <c r="P4701" s="4">
        <f t="shared" ca="1" si="399"/>
        <v>0.89754506121333943</v>
      </c>
      <c r="Q4701" s="4">
        <f t="shared" ca="1" si="400"/>
        <v>1906.3288011911231</v>
      </c>
      <c r="R4701" s="4">
        <f t="shared" ca="1" si="401"/>
        <v>-17.341242808876814</v>
      </c>
      <c r="S4701" s="4">
        <f t="shared" ca="1" si="402"/>
        <v>-8.655893636437396</v>
      </c>
    </row>
    <row r="4702" spans="15:19" x14ac:dyDescent="0.2">
      <c r="O4702" s="4">
        <f t="shared" ca="1" si="398"/>
        <v>0.72668432301235619</v>
      </c>
      <c r="P4702" s="4">
        <f t="shared" ca="1" si="399"/>
        <v>0.60281562063442495</v>
      </c>
      <c r="Q4702" s="4">
        <f t="shared" ca="1" si="400"/>
        <v>1911.8899542052768</v>
      </c>
      <c r="R4702" s="4">
        <f t="shared" ca="1" si="401"/>
        <v>-11.780089794723153</v>
      </c>
      <c r="S4702" s="4">
        <f t="shared" ca="1" si="402"/>
        <v>-5.9067076326264711</v>
      </c>
    </row>
    <row r="4703" spans="15:19" x14ac:dyDescent="0.2">
      <c r="O4703" s="4">
        <f t="shared" ca="1" si="398"/>
        <v>0.4430860790005493</v>
      </c>
      <c r="P4703" s="4">
        <f t="shared" ca="1" si="399"/>
        <v>-0.14314944189998388</v>
      </c>
      <c r="Q4703" s="4">
        <f t="shared" ca="1" si="400"/>
        <v>1925.9653239675174</v>
      </c>
      <c r="R4703" s="4">
        <f t="shared" ca="1" si="401"/>
        <v>2.2952799675174447</v>
      </c>
      <c r="S4703" s="4">
        <f t="shared" ca="1" si="402"/>
        <v>1.1640377685328385</v>
      </c>
    </row>
    <row r="4704" spans="15:19" x14ac:dyDescent="0.2">
      <c r="O4704" s="4">
        <f t="shared" ca="1" si="398"/>
        <v>0.32038485374732428</v>
      </c>
      <c r="P4704" s="4">
        <f t="shared" ca="1" si="399"/>
        <v>-0.46662288966417781</v>
      </c>
      <c r="Q4704" s="4">
        <f t="shared" ca="1" si="400"/>
        <v>1932.0688382126471</v>
      </c>
      <c r="R4704" s="4">
        <f t="shared" ca="1" si="401"/>
        <v>8.3987942126470898</v>
      </c>
      <c r="S4704" s="4">
        <f t="shared" ca="1" si="402"/>
        <v>4.280266454902705</v>
      </c>
    </row>
    <row r="4705" spans="15:19" x14ac:dyDescent="0.2">
      <c r="O4705" s="4">
        <f t="shared" ca="1" si="398"/>
        <v>0.86747895816800913</v>
      </c>
      <c r="P4705" s="4">
        <f t="shared" ca="1" si="399"/>
        <v>1.1145528528787252</v>
      </c>
      <c r="Q4705" s="4">
        <f t="shared" ca="1" si="400"/>
        <v>1902.2341524436335</v>
      </c>
      <c r="R4705" s="4">
        <f t="shared" ca="1" si="401"/>
        <v>-21.435891556366414</v>
      </c>
      <c r="S4705" s="4">
        <f t="shared" ca="1" si="402"/>
        <v>-10.664010998462668</v>
      </c>
    </row>
    <row r="4706" spans="15:19" x14ac:dyDescent="0.2">
      <c r="O4706" s="4">
        <f t="shared" ca="1" si="398"/>
        <v>0.9011750803012355</v>
      </c>
      <c r="P4706" s="4">
        <f t="shared" ca="1" si="399"/>
        <v>1.2882761869548096</v>
      </c>
      <c r="Q4706" s="4">
        <f t="shared" ca="1" si="400"/>
        <v>1898.9562239101676</v>
      </c>
      <c r="R4706" s="4">
        <f t="shared" ca="1" si="401"/>
        <v>-24.713820089832325</v>
      </c>
      <c r="S4706" s="4">
        <f t="shared" ca="1" si="402"/>
        <v>-12.261750946106213</v>
      </c>
    </row>
    <row r="4707" spans="15:19" x14ac:dyDescent="0.2">
      <c r="O4707" s="4">
        <f t="shared" ca="1" si="398"/>
        <v>1.9635655083405701E-2</v>
      </c>
      <c r="P4707" s="4">
        <f t="shared" ca="1" si="399"/>
        <v>-2.0613327045015097</v>
      </c>
      <c r="Q4707" s="4">
        <f t="shared" ca="1" si="400"/>
        <v>1962.158893946691</v>
      </c>
      <c r="R4707" s="4">
        <f t="shared" ca="1" si="401"/>
        <v>38.488849946691062</v>
      </c>
      <c r="S4707" s="4">
        <f t="shared" ca="1" si="402"/>
        <v>20.086461757155217</v>
      </c>
    </row>
    <row r="4708" spans="15:19" x14ac:dyDescent="0.2">
      <c r="O4708" s="4">
        <f t="shared" ca="1" si="398"/>
        <v>0.70072978820365117</v>
      </c>
      <c r="P4708" s="4">
        <f t="shared" ca="1" si="399"/>
        <v>0.52650061676682869</v>
      </c>
      <c r="Q4708" s="4">
        <f t="shared" ca="1" si="400"/>
        <v>1913.3299169485638</v>
      </c>
      <c r="R4708" s="4">
        <f t="shared" ca="1" si="401"/>
        <v>-10.340127051436184</v>
      </c>
      <c r="S4708" s="4">
        <f t="shared" ca="1" si="402"/>
        <v>-5.190750473943309</v>
      </c>
    </row>
    <row r="4709" spans="15:19" x14ac:dyDescent="0.2">
      <c r="O4709" s="4">
        <f t="shared" ca="1" si="398"/>
        <v>0.21228694983477792</v>
      </c>
      <c r="P4709" s="4">
        <f t="shared" ca="1" si="399"/>
        <v>-0.79851119420203409</v>
      </c>
      <c r="Q4709" s="4">
        <f t="shared" ca="1" si="400"/>
        <v>1938.3311296264865</v>
      </c>
      <c r="R4709" s="4">
        <f t="shared" ca="1" si="401"/>
        <v>14.661085626486511</v>
      </c>
      <c r="S4709" s="4">
        <f t="shared" ca="1" si="402"/>
        <v>7.509083632689272</v>
      </c>
    </row>
    <row r="4710" spans="15:19" x14ac:dyDescent="0.2">
      <c r="O4710" s="4">
        <f t="shared" ca="1" si="398"/>
        <v>0.58143665958679736</v>
      </c>
      <c r="P4710" s="4">
        <f t="shared" ca="1" si="399"/>
        <v>0.20557016986903787</v>
      </c>
      <c r="Q4710" s="4">
        <f t="shared" ca="1" si="400"/>
        <v>1919.3854481455617</v>
      </c>
      <c r="R4710" s="4">
        <f t="shared" ca="1" si="401"/>
        <v>-4.2845958544382938</v>
      </c>
      <c r="S4710" s="4">
        <f t="shared" ca="1" si="402"/>
        <v>-2.1614315089126808</v>
      </c>
    </row>
    <row r="4711" spans="15:19" x14ac:dyDescent="0.2">
      <c r="O4711" s="4">
        <f t="shared" ca="1" si="398"/>
        <v>0.16443823289743875</v>
      </c>
      <c r="P4711" s="4">
        <f t="shared" ca="1" si="399"/>
        <v>-0.97637944085262041</v>
      </c>
      <c r="Q4711" s="4">
        <f t="shared" ca="1" si="400"/>
        <v>1941.687267153977</v>
      </c>
      <c r="R4711" s="4">
        <f t="shared" ca="1" si="401"/>
        <v>18.017223153977056</v>
      </c>
      <c r="S4711" s="4">
        <f t="shared" ca="1" si="402"/>
        <v>9.2526377840036051</v>
      </c>
    </row>
    <row r="4712" spans="15:19" x14ac:dyDescent="0.2">
      <c r="O4712" s="4">
        <f t="shared" ca="1" si="398"/>
        <v>0.99413064175712418</v>
      </c>
      <c r="P4712" s="4">
        <f t="shared" ca="1" si="399"/>
        <v>2.5199030401747753</v>
      </c>
      <c r="Q4712" s="4">
        <f t="shared" ca="1" si="400"/>
        <v>1875.717061328909</v>
      </c>
      <c r="R4712" s="4">
        <f t="shared" ca="1" si="401"/>
        <v>-47.952982671090922</v>
      </c>
      <c r="S4712" s="4">
        <f t="shared" ca="1" si="402"/>
        <v>-23.338218500610115</v>
      </c>
    </row>
    <row r="4713" spans="15:19" x14ac:dyDescent="0.2">
      <c r="O4713" s="4">
        <f t="shared" ca="1" si="398"/>
        <v>0.49052305581206779</v>
      </c>
      <c r="P4713" s="4">
        <f t="shared" ca="1" si="399"/>
        <v>-2.3757410907532851E-2</v>
      </c>
      <c r="Q4713" s="4">
        <f t="shared" ca="1" si="400"/>
        <v>1923.7125549475127</v>
      </c>
      <c r="R4713" s="4">
        <f t="shared" ca="1" si="401"/>
        <v>4.2510947512710118E-2</v>
      </c>
      <c r="S4713" s="4">
        <f t="shared" ca="1" si="402"/>
        <v>2.152019366927678E-2</v>
      </c>
    </row>
    <row r="4714" spans="15:19" x14ac:dyDescent="0.2">
      <c r="O4714" s="4">
        <f t="shared" ca="1" si="398"/>
        <v>0.58915836079130768</v>
      </c>
      <c r="P4714" s="4">
        <f t="shared" ca="1" si="399"/>
        <v>0.22538050225380779</v>
      </c>
      <c r="Q4714" s="4">
        <f t="shared" ca="1" si="400"/>
        <v>1919.0116534902445</v>
      </c>
      <c r="R4714" s="4">
        <f t="shared" ca="1" si="401"/>
        <v>-4.6583905097554634</v>
      </c>
      <c r="S4714" s="4">
        <f t="shared" ca="1" si="402"/>
        <v>-2.3492892572212174</v>
      </c>
    </row>
    <row r="4715" spans="15:19" x14ac:dyDescent="0.2">
      <c r="O4715" s="4">
        <f t="shared" ca="1" si="398"/>
        <v>8.2682377437849341E-2</v>
      </c>
      <c r="P4715" s="4">
        <f t="shared" ca="1" si="399"/>
        <v>-1.3872525880223721</v>
      </c>
      <c r="Q4715" s="4">
        <f t="shared" ca="1" si="400"/>
        <v>1949.4398976218727</v>
      </c>
      <c r="R4715" s="4">
        <f t="shared" ca="1" si="401"/>
        <v>25.769853621872699</v>
      </c>
      <c r="S4715" s="4">
        <f t="shared" ca="1" si="402"/>
        <v>13.315281028233093</v>
      </c>
    </row>
    <row r="4716" spans="15:19" x14ac:dyDescent="0.2">
      <c r="O4716" s="4">
        <f t="shared" ca="1" si="398"/>
        <v>0.19847265940603465</v>
      </c>
      <c r="P4716" s="4">
        <f t="shared" ca="1" si="399"/>
        <v>-0.84708935360797022</v>
      </c>
      <c r="Q4716" s="4">
        <f t="shared" ca="1" si="400"/>
        <v>1939.2477349614398</v>
      </c>
      <c r="R4716" s="4">
        <f t="shared" ca="1" si="401"/>
        <v>15.577690961439885</v>
      </c>
      <c r="S4716" s="4">
        <f t="shared" ca="1" si="402"/>
        <v>7.9843609787813001</v>
      </c>
    </row>
    <row r="4717" spans="15:19" x14ac:dyDescent="0.2">
      <c r="O4717" s="4">
        <f t="shared" ca="1" si="398"/>
        <v>0.43701210648241728</v>
      </c>
      <c r="P4717" s="4">
        <f t="shared" ca="1" si="399"/>
        <v>-0.15854899939946096</v>
      </c>
      <c r="Q4717" s="4">
        <f t="shared" ca="1" si="400"/>
        <v>1926.2558931601866</v>
      </c>
      <c r="R4717" s="4">
        <f t="shared" ca="1" si="401"/>
        <v>2.5858491601866262</v>
      </c>
      <c r="S4717" s="4">
        <f t="shared" ca="1" si="402"/>
        <v>1.3117040885832303</v>
      </c>
    </row>
    <row r="4718" spans="15:19" x14ac:dyDescent="0.2">
      <c r="O4718" s="4">
        <f t="shared" ca="1" si="398"/>
        <v>0.75983328103777192</v>
      </c>
      <c r="P4718" s="4">
        <f t="shared" ca="1" si="399"/>
        <v>0.70576637185789859</v>
      </c>
      <c r="Q4718" s="4">
        <f t="shared" ca="1" si="400"/>
        <v>1909.9474102933038</v>
      </c>
      <c r="R4718" s="4">
        <f t="shared" ca="1" si="401"/>
        <v>-13.722633706696115</v>
      </c>
      <c r="S4718" s="4">
        <f t="shared" ca="1" si="402"/>
        <v>-6.8698761132148087</v>
      </c>
    </row>
    <row r="4719" spans="15:19" x14ac:dyDescent="0.2">
      <c r="O4719" s="4">
        <f t="shared" ca="1" si="398"/>
        <v>0.40087951282958989</v>
      </c>
      <c r="P4719" s="4">
        <f t="shared" ca="1" si="399"/>
        <v>-0.25107124691649602</v>
      </c>
      <c r="Q4719" s="4">
        <f t="shared" ca="1" si="400"/>
        <v>1928.001665060832</v>
      </c>
      <c r="R4719" s="4">
        <f t="shared" ca="1" si="401"/>
        <v>4.3316210608320489</v>
      </c>
      <c r="S4719" s="4">
        <f t="shared" ca="1" si="402"/>
        <v>2.2003468246832001</v>
      </c>
    </row>
    <row r="4720" spans="15:19" x14ac:dyDescent="0.2">
      <c r="O4720" s="4">
        <f t="shared" ca="1" si="398"/>
        <v>0.23751078361694289</v>
      </c>
      <c r="P4720" s="4">
        <f t="shared" ca="1" si="399"/>
        <v>-0.71433255327119161</v>
      </c>
      <c r="Q4720" s="4">
        <f t="shared" ca="1" si="400"/>
        <v>1936.7427904981646</v>
      </c>
      <c r="R4720" s="4">
        <f t="shared" ca="1" si="401"/>
        <v>13.072746498164634</v>
      </c>
      <c r="S4720" s="4">
        <f t="shared" ca="1" si="402"/>
        <v>6.6871191114451465</v>
      </c>
    </row>
    <row r="4721" spans="15:19" x14ac:dyDescent="0.2">
      <c r="O4721" s="4">
        <f t="shared" ca="1" si="398"/>
        <v>0.27325545744152957</v>
      </c>
      <c r="P4721" s="4">
        <f t="shared" ca="1" si="399"/>
        <v>-0.60299665437488814</v>
      </c>
      <c r="Q4721" s="4">
        <f t="shared" ca="1" si="400"/>
        <v>1934.6420299887479</v>
      </c>
      <c r="R4721" s="4">
        <f t="shared" ca="1" si="401"/>
        <v>10.971985988747974</v>
      </c>
      <c r="S4721" s="4">
        <f t="shared" ca="1" si="402"/>
        <v>5.6031315927237104</v>
      </c>
    </row>
    <row r="4722" spans="15:19" x14ac:dyDescent="0.2">
      <c r="O4722" s="4">
        <f t="shared" ca="1" si="398"/>
        <v>6.5007597513427884E-3</v>
      </c>
      <c r="P4722" s="4">
        <f t="shared" ca="1" si="399"/>
        <v>-2.4837276692177293</v>
      </c>
      <c r="Q4722" s="4">
        <f t="shared" ca="1" si="400"/>
        <v>1970.1289258056761</v>
      </c>
      <c r="R4722" s="4">
        <f t="shared" ca="1" si="401"/>
        <v>46.458881805676128</v>
      </c>
      <c r="S4722" s="4">
        <f t="shared" ca="1" si="402"/>
        <v>24.396570522467997</v>
      </c>
    </row>
    <row r="4723" spans="15:19" x14ac:dyDescent="0.2">
      <c r="O4723" s="4">
        <f t="shared" ca="1" si="398"/>
        <v>0.92345200965338481</v>
      </c>
      <c r="P4723" s="4">
        <f t="shared" ca="1" si="399"/>
        <v>1.4286808626962231</v>
      </c>
      <c r="Q4723" s="4">
        <f t="shared" ca="1" si="400"/>
        <v>1896.3069741977299</v>
      </c>
      <c r="R4723" s="4">
        <f t="shared" ca="1" si="401"/>
        <v>-27.363069802270047</v>
      </c>
      <c r="S4723" s="4">
        <f t="shared" ca="1" si="402"/>
        <v>-13.546665921958851</v>
      </c>
    </row>
    <row r="4724" spans="15:19" x14ac:dyDescent="0.2">
      <c r="O4724" s="4">
        <f t="shared" ca="1" si="398"/>
        <v>0.61653967409666843</v>
      </c>
      <c r="P4724" s="4">
        <f t="shared" ca="1" si="399"/>
        <v>0.2964052037059603</v>
      </c>
      <c r="Q4724" s="4">
        <f t="shared" ca="1" si="400"/>
        <v>1917.6715117257024</v>
      </c>
      <c r="R4724" s="4">
        <f t="shared" ca="1" si="401"/>
        <v>-5.9985322742975313</v>
      </c>
      <c r="S4724" s="4">
        <f t="shared" ca="1" si="402"/>
        <v>-3.0218684688942208</v>
      </c>
    </row>
    <row r="4725" spans="15:19" x14ac:dyDescent="0.2">
      <c r="O4725" s="4">
        <f t="shared" ca="1" si="398"/>
        <v>0.5581870336697945</v>
      </c>
      <c r="P4725" s="4">
        <f t="shared" ca="1" si="399"/>
        <v>0.14637427687627846</v>
      </c>
      <c r="Q4725" s="4">
        <f t="shared" ca="1" si="400"/>
        <v>1920.5023960083051</v>
      </c>
      <c r="R4725" s="4">
        <f t="shared" ca="1" si="401"/>
        <v>-3.167647991694821</v>
      </c>
      <c r="S4725" s="4">
        <f t="shared" ca="1" si="402"/>
        <v>-1.5994099101216304</v>
      </c>
    </row>
    <row r="4726" spans="15:19" x14ac:dyDescent="0.2">
      <c r="O4726" s="4">
        <f t="shared" ca="1" si="398"/>
        <v>0.18645884937109192</v>
      </c>
      <c r="P4726" s="4">
        <f t="shared" ca="1" si="399"/>
        <v>-0.8910213832174172</v>
      </c>
      <c r="Q4726" s="4">
        <f t="shared" ca="1" si="400"/>
        <v>1940.0766739992248</v>
      </c>
      <c r="R4726" s="4">
        <f t="shared" ca="1" si="401"/>
        <v>16.406629999224833</v>
      </c>
      <c r="S4726" s="4">
        <f t="shared" ca="1" si="402"/>
        <v>8.4147706867351992</v>
      </c>
    </row>
    <row r="4727" spans="15:19" x14ac:dyDescent="0.2">
      <c r="O4727" s="4">
        <f t="shared" ca="1" si="398"/>
        <v>0.39962657359058074</v>
      </c>
      <c r="P4727" s="4">
        <f t="shared" ca="1" si="399"/>
        <v>-0.25431378985675762</v>
      </c>
      <c r="Q4727" s="4">
        <f t="shared" ca="1" si="400"/>
        <v>1928.0628475386</v>
      </c>
      <c r="R4727" s="4">
        <f t="shared" ca="1" si="401"/>
        <v>4.392803538599992</v>
      </c>
      <c r="S4727" s="4">
        <f t="shared" ca="1" si="402"/>
        <v>2.2315352803963973</v>
      </c>
    </row>
    <row r="4728" spans="15:19" x14ac:dyDescent="0.2">
      <c r="O4728" s="4">
        <f t="shared" ca="1" si="398"/>
        <v>7.2447512651841017E-2</v>
      </c>
      <c r="P4728" s="4">
        <f t="shared" ca="1" si="399"/>
        <v>-1.457802368351792</v>
      </c>
      <c r="Q4728" s="4">
        <f t="shared" ca="1" si="400"/>
        <v>1950.7710782557317</v>
      </c>
      <c r="R4728" s="4">
        <f t="shared" ca="1" si="401"/>
        <v>27.101034255731747</v>
      </c>
      <c r="S4728" s="4">
        <f t="shared" ca="1" si="402"/>
        <v>14.01778752176587</v>
      </c>
    </row>
    <row r="4729" spans="15:19" x14ac:dyDescent="0.2">
      <c r="O4729" s="4">
        <f t="shared" ca="1" si="398"/>
        <v>0.68815332415721731</v>
      </c>
      <c r="P4729" s="4">
        <f t="shared" ca="1" si="399"/>
        <v>0.49062266673636507</v>
      </c>
      <c r="Q4729" s="4">
        <f t="shared" ca="1" si="400"/>
        <v>1914.006886204033</v>
      </c>
      <c r="R4729" s="4">
        <f t="shared" ca="1" si="401"/>
        <v>-9.6631577959669812</v>
      </c>
      <c r="S4729" s="4">
        <f t="shared" ca="1" si="402"/>
        <v>-4.8535743782047103</v>
      </c>
    </row>
    <row r="4730" spans="15:19" x14ac:dyDescent="0.2">
      <c r="O4730" s="4">
        <f t="shared" ca="1" si="398"/>
        <v>0.6665103188325503</v>
      </c>
      <c r="P4730" s="4">
        <f t="shared" ca="1" si="399"/>
        <v>0.43029733928775082</v>
      </c>
      <c r="Q4730" s="4">
        <f t="shared" ca="1" si="400"/>
        <v>1915.1451449945755</v>
      </c>
      <c r="R4730" s="4">
        <f t="shared" ca="1" si="401"/>
        <v>-8.5248990054244587</v>
      </c>
      <c r="S4730" s="4">
        <f t="shared" ca="1" si="402"/>
        <v>-4.2858040676790647</v>
      </c>
    </row>
    <row r="4731" spans="15:19" x14ac:dyDescent="0.2">
      <c r="O4731" s="4">
        <f t="shared" ca="1" si="398"/>
        <v>0.9262624975479401</v>
      </c>
      <c r="P4731" s="4">
        <f t="shared" ca="1" si="399"/>
        <v>1.4485080907038865</v>
      </c>
      <c r="Q4731" s="4">
        <f t="shared" ca="1" si="400"/>
        <v>1895.9328607444536</v>
      </c>
      <c r="R4731" s="4">
        <f t="shared" ca="1" si="401"/>
        <v>-27.73718325554637</v>
      </c>
      <c r="S4731" s="4">
        <f t="shared" ca="1" si="402"/>
        <v>-13.727654594810812</v>
      </c>
    </row>
    <row r="4732" spans="15:19" x14ac:dyDescent="0.2">
      <c r="O4732" s="4">
        <f t="shared" ca="1" si="398"/>
        <v>0.39092895384232862</v>
      </c>
      <c r="P4732" s="4">
        <f t="shared" ca="1" si="399"/>
        <v>-0.2768986780532825</v>
      </c>
      <c r="Q4732" s="4">
        <f t="shared" ca="1" si="400"/>
        <v>1928.4889943762614</v>
      </c>
      <c r="R4732" s="4">
        <f t="shared" ca="1" si="401"/>
        <v>4.8189503762614549</v>
      </c>
      <c r="S4732" s="4">
        <f t="shared" ca="1" si="402"/>
        <v>2.448852958277016</v>
      </c>
    </row>
    <row r="4733" spans="15:19" x14ac:dyDescent="0.2">
      <c r="O4733" s="4">
        <f t="shared" ca="1" si="398"/>
        <v>0.3058009562459636</v>
      </c>
      <c r="P4733" s="4">
        <f t="shared" ca="1" si="399"/>
        <v>-0.50778816219166123</v>
      </c>
      <c r="Q4733" s="4">
        <f t="shared" ca="1" si="400"/>
        <v>1932.8455722197589</v>
      </c>
      <c r="R4733" s="4">
        <f t="shared" ca="1" si="401"/>
        <v>9.1755282197589167</v>
      </c>
      <c r="S4733" s="4">
        <f t="shared" ca="1" si="402"/>
        <v>4.6790135458811086</v>
      </c>
    </row>
    <row r="4734" spans="15:19" x14ac:dyDescent="0.2">
      <c r="O4734" s="4">
        <f t="shared" ca="1" si="398"/>
        <v>0.88586598726858889</v>
      </c>
      <c r="P4734" s="4">
        <f t="shared" ca="1" si="399"/>
        <v>1.2048323584229461</v>
      </c>
      <c r="Q4734" s="4">
        <f t="shared" ca="1" si="400"/>
        <v>1900.5306981046731</v>
      </c>
      <c r="R4734" s="4">
        <f t="shared" ca="1" si="401"/>
        <v>-23.139345895326869</v>
      </c>
      <c r="S4734" s="4">
        <f t="shared" ca="1" si="402"/>
        <v>-11.495406737748155</v>
      </c>
    </row>
    <row r="4735" spans="15:19" x14ac:dyDescent="0.2">
      <c r="O4735" s="4">
        <f t="shared" ca="1" si="398"/>
        <v>0.22585659658317314</v>
      </c>
      <c r="P4735" s="4">
        <f t="shared" ca="1" si="399"/>
        <v>-0.75256194441331359</v>
      </c>
      <c r="Q4735" s="4">
        <f t="shared" ca="1" si="400"/>
        <v>1937.464128323669</v>
      </c>
      <c r="R4735" s="4">
        <f t="shared" ca="1" si="401"/>
        <v>13.79408432366904</v>
      </c>
      <c r="S4735" s="4">
        <f t="shared" ca="1" si="402"/>
        <v>7.0601564107087444</v>
      </c>
    </row>
    <row r="4736" spans="15:19" x14ac:dyDescent="0.2">
      <c r="O4736" s="4">
        <f t="shared" ca="1" si="398"/>
        <v>4.7922028137859507E-2</v>
      </c>
      <c r="P4736" s="4">
        <f t="shared" ca="1" si="399"/>
        <v>-1.6653444445863426</v>
      </c>
      <c r="Q4736" s="4">
        <f t="shared" ca="1" si="400"/>
        <v>1954.6871215276506</v>
      </c>
      <c r="R4736" s="4">
        <f t="shared" ca="1" si="401"/>
        <v>31.017077527650599</v>
      </c>
      <c r="S4736" s="4">
        <f t="shared" ca="1" si="402"/>
        <v>16.092773106114244</v>
      </c>
    </row>
    <row r="4737" spans="15:19" x14ac:dyDescent="0.2">
      <c r="O4737" s="4">
        <f t="shared" ca="1" si="398"/>
        <v>0.24236022417357483</v>
      </c>
      <c r="P4737" s="4">
        <f t="shared" ca="1" si="399"/>
        <v>-0.69873053358641179</v>
      </c>
      <c r="Q4737" s="4">
        <f t="shared" ca="1" si="400"/>
        <v>1936.4484011130173</v>
      </c>
      <c r="R4737" s="4">
        <f t="shared" ca="1" si="401"/>
        <v>12.778357113017364</v>
      </c>
      <c r="S4737" s="4">
        <f t="shared" ca="1" si="402"/>
        <v>6.5349984061070074</v>
      </c>
    </row>
    <row r="4738" spans="15:19" x14ac:dyDescent="0.2">
      <c r="O4738" s="4">
        <f t="shared" ca="1" si="398"/>
        <v>0.12683036322024732</v>
      </c>
      <c r="P4738" s="4">
        <f t="shared" ca="1" si="399"/>
        <v>-1.1415028505567684</v>
      </c>
      <c r="Q4738" s="4">
        <f t="shared" ca="1" si="400"/>
        <v>1944.8029265390041</v>
      </c>
      <c r="R4738" s="4">
        <f t="shared" ca="1" si="401"/>
        <v>21.132882539004186</v>
      </c>
      <c r="S4738" s="4">
        <f t="shared" ca="1" si="402"/>
        <v>10.879468732787435</v>
      </c>
    </row>
    <row r="4739" spans="15:19" x14ac:dyDescent="0.2">
      <c r="O4739" s="4">
        <f t="shared" ref="O4739:O4802" ca="1" si="403">RAND()</f>
        <v>0.45366206572779988</v>
      </c>
      <c r="P4739" s="4">
        <f t="shared" ref="P4739:P4802" ca="1" si="404">NORMSINV(O4739)</f>
        <v>-0.11641438988444223</v>
      </c>
      <c r="Q4739" s="4">
        <f t="shared" ref="Q4739:Q4802" ca="1" si="405">$B$4*(1+$B$17-$B$32*P4739)</f>
        <v>1925.4608690518235</v>
      </c>
      <c r="R4739" s="4">
        <f t="shared" ref="R4739:R4802" ca="1" si="406">Q4739-$B$4</f>
        <v>1.7908250518235036</v>
      </c>
      <c r="S4739" s="4">
        <f t="shared" ref="S4739:S4802" ca="1" si="407">R4739*$B$12+0.5*$B$13*R4739^2</f>
        <v>0.90783867533286344</v>
      </c>
    </row>
    <row r="4740" spans="15:19" x14ac:dyDescent="0.2">
      <c r="O4740" s="4">
        <f t="shared" ca="1" si="403"/>
        <v>1.7932316678587523E-2</v>
      </c>
      <c r="P4740" s="4">
        <f t="shared" ca="1" si="404"/>
        <v>-2.0984588270072249</v>
      </c>
      <c r="Q4740" s="4">
        <f t="shared" ca="1" si="405"/>
        <v>1962.8594145586494</v>
      </c>
      <c r="R4740" s="4">
        <f t="shared" ca="1" si="406"/>
        <v>39.189370558649443</v>
      </c>
      <c r="S4740" s="4">
        <f t="shared" ca="1" si="407"/>
        <v>20.463222903580995</v>
      </c>
    </row>
    <row r="4741" spans="15:19" x14ac:dyDescent="0.2">
      <c r="O4741" s="4">
        <f t="shared" ca="1" si="403"/>
        <v>0.54192970578597144</v>
      </c>
      <c r="P4741" s="4">
        <f t="shared" ca="1" si="404"/>
        <v>0.10529643913537573</v>
      </c>
      <c r="Q4741" s="4">
        <f t="shared" ca="1" si="405"/>
        <v>1921.2774802371455</v>
      </c>
      <c r="R4741" s="4">
        <f t="shared" ca="1" si="406"/>
        <v>-2.3925637628544791</v>
      </c>
      <c r="S4741" s="4">
        <f t="shared" ca="1" si="407"/>
        <v>-1.2088090003464338</v>
      </c>
    </row>
    <row r="4742" spans="15:19" x14ac:dyDescent="0.2">
      <c r="O4742" s="4">
        <f t="shared" ca="1" si="403"/>
        <v>0.61660207867813122</v>
      </c>
      <c r="P4742" s="4">
        <f t="shared" ca="1" si="404"/>
        <v>0.29656865735822535</v>
      </c>
      <c r="Q4742" s="4">
        <f t="shared" ca="1" si="405"/>
        <v>1917.6684275724219</v>
      </c>
      <c r="R4742" s="4">
        <f t="shared" ca="1" si="406"/>
        <v>-6.0016164275780284</v>
      </c>
      <c r="S4742" s="4">
        <f t="shared" ca="1" si="407"/>
        <v>-3.0234146317404531</v>
      </c>
    </row>
    <row r="4743" spans="15:19" x14ac:dyDescent="0.2">
      <c r="O4743" s="4">
        <f t="shared" ca="1" si="403"/>
        <v>0.21624053402629351</v>
      </c>
      <c r="P4743" s="4">
        <f t="shared" ca="1" si="404"/>
        <v>-0.78495309840333305</v>
      </c>
      <c r="Q4743" s="4">
        <f t="shared" ca="1" si="405"/>
        <v>1938.0753063698446</v>
      </c>
      <c r="R4743" s="4">
        <f t="shared" ca="1" si="406"/>
        <v>14.40526236984465</v>
      </c>
      <c r="S4743" s="4">
        <f t="shared" ca="1" si="407"/>
        <v>7.3765564896046838</v>
      </c>
    </row>
    <row r="4744" spans="15:19" x14ac:dyDescent="0.2">
      <c r="O4744" s="4">
        <f t="shared" ca="1" si="403"/>
        <v>0.40080625247712132</v>
      </c>
      <c r="P4744" s="4">
        <f t="shared" ca="1" si="404"/>
        <v>-0.25126076800149122</v>
      </c>
      <c r="Q4744" s="4">
        <f t="shared" ca="1" si="405"/>
        <v>1928.0052410719391</v>
      </c>
      <c r="R4744" s="4">
        <f t="shared" ca="1" si="406"/>
        <v>4.335197071939092</v>
      </c>
      <c r="S4744" s="4">
        <f t="shared" ca="1" si="407"/>
        <v>2.2021696526813916</v>
      </c>
    </row>
    <row r="4745" spans="15:19" x14ac:dyDescent="0.2">
      <c r="O4745" s="4">
        <f t="shared" ca="1" si="403"/>
        <v>0.23831326572036449</v>
      </c>
      <c r="P4745" s="4">
        <f t="shared" ca="1" si="404"/>
        <v>-0.71173880798747935</v>
      </c>
      <c r="Q4745" s="4">
        <f t="shared" ca="1" si="405"/>
        <v>1936.693849970289</v>
      </c>
      <c r="R4745" s="4">
        <f t="shared" ca="1" si="406"/>
        <v>13.023805970289004</v>
      </c>
      <c r="S4745" s="4">
        <f t="shared" ca="1" si="407"/>
        <v>6.6618250365782137</v>
      </c>
    </row>
    <row r="4746" spans="15:19" x14ac:dyDescent="0.2">
      <c r="O4746" s="4">
        <f t="shared" ca="1" si="403"/>
        <v>0.42226767883631144</v>
      </c>
      <c r="P4746" s="4">
        <f t="shared" ca="1" si="404"/>
        <v>-0.19609557754280643</v>
      </c>
      <c r="Q4746" s="4">
        <f t="shared" ca="1" si="405"/>
        <v>1926.9643472114783</v>
      </c>
      <c r="R4746" s="4">
        <f t="shared" ca="1" si="406"/>
        <v>3.2943032114783364</v>
      </c>
      <c r="S4746" s="4">
        <f t="shared" ca="1" si="407"/>
        <v>1.672026244801682</v>
      </c>
    </row>
    <row r="4747" spans="15:19" x14ac:dyDescent="0.2">
      <c r="O4747" s="4">
        <f t="shared" ca="1" si="403"/>
        <v>0.36422549867697396</v>
      </c>
      <c r="P4747" s="4">
        <f t="shared" ca="1" si="404"/>
        <v>-0.3471867860595696</v>
      </c>
      <c r="Q4747" s="4">
        <f t="shared" ca="1" si="405"/>
        <v>1929.8152376009982</v>
      </c>
      <c r="R4747" s="4">
        <f t="shared" ca="1" si="406"/>
        <v>6.1451936009982546</v>
      </c>
      <c r="S4747" s="4">
        <f t="shared" ca="1" si="407"/>
        <v>3.1261295122031645</v>
      </c>
    </row>
    <row r="4748" spans="15:19" x14ac:dyDescent="0.2">
      <c r="O4748" s="4">
        <f t="shared" ca="1" si="403"/>
        <v>0.52228366317743136</v>
      </c>
      <c r="P4748" s="4">
        <f t="shared" ca="1" si="404"/>
        <v>5.5885937406550165E-2</v>
      </c>
      <c r="Q4748" s="4">
        <f t="shared" ca="1" si="405"/>
        <v>1922.209790766017</v>
      </c>
      <c r="R4748" s="4">
        <f t="shared" ca="1" si="406"/>
        <v>-1.4602532339829395</v>
      </c>
      <c r="S4748" s="4">
        <f t="shared" ca="1" si="407"/>
        <v>-0.73832648029226933</v>
      </c>
    </row>
    <row r="4749" spans="15:19" x14ac:dyDescent="0.2">
      <c r="O4749" s="4">
        <f t="shared" ca="1" si="403"/>
        <v>0.88608137004472276</v>
      </c>
      <c r="P4749" s="4">
        <f t="shared" ca="1" si="404"/>
        <v>1.2059487293846145</v>
      </c>
      <c r="Q4749" s="4">
        <f t="shared" ca="1" si="405"/>
        <v>1900.5096336676552</v>
      </c>
      <c r="R4749" s="4">
        <f t="shared" ca="1" si="406"/>
        <v>-23.160410332344782</v>
      </c>
      <c r="S4749" s="4">
        <f t="shared" ca="1" si="407"/>
        <v>-11.505672756308744</v>
      </c>
    </row>
    <row r="4750" spans="15:19" x14ac:dyDescent="0.2">
      <c r="O4750" s="4">
        <f t="shared" ca="1" si="403"/>
        <v>0.67387657359132302</v>
      </c>
      <c r="P4750" s="4">
        <f t="shared" ca="1" si="404"/>
        <v>0.45064302384286409</v>
      </c>
      <c r="Q4750" s="4">
        <f t="shared" ca="1" si="405"/>
        <v>1914.7612489549861</v>
      </c>
      <c r="R4750" s="4">
        <f t="shared" ca="1" si="406"/>
        <v>-8.9087950450139033</v>
      </c>
      <c r="S4750" s="4">
        <f t="shared" ca="1" si="407"/>
        <v>-4.4774116003125322</v>
      </c>
    </row>
    <row r="4751" spans="15:19" x14ac:dyDescent="0.2">
      <c r="O4751" s="4">
        <f t="shared" ca="1" si="403"/>
        <v>0.29154574174839731</v>
      </c>
      <c r="P4751" s="4">
        <f t="shared" ca="1" si="404"/>
        <v>-0.54887463917448953</v>
      </c>
      <c r="Q4751" s="4">
        <f t="shared" ca="1" si="405"/>
        <v>1933.6208194596179</v>
      </c>
      <c r="R4751" s="4">
        <f t="shared" ca="1" si="406"/>
        <v>9.9507754596179439</v>
      </c>
      <c r="S4751" s="4">
        <f t="shared" ca="1" si="407"/>
        <v>5.077487157577008</v>
      </c>
    </row>
    <row r="4752" spans="15:19" x14ac:dyDescent="0.2">
      <c r="O4752" s="4">
        <f t="shared" ca="1" si="403"/>
        <v>6.2523106363374659E-2</v>
      </c>
      <c r="P4752" s="4">
        <f t="shared" ca="1" si="404"/>
        <v>-1.5339326902872639</v>
      </c>
      <c r="Q4752" s="4">
        <f t="shared" ca="1" si="405"/>
        <v>1952.2075562962975</v>
      </c>
      <c r="R4752" s="4">
        <f t="shared" ca="1" si="406"/>
        <v>28.537512296297564</v>
      </c>
      <c r="S4752" s="4">
        <f t="shared" ca="1" si="407"/>
        <v>14.777481193817817</v>
      </c>
    </row>
    <row r="4753" spans="15:19" x14ac:dyDescent="0.2">
      <c r="O4753" s="4">
        <f t="shared" ca="1" si="403"/>
        <v>0.79873591134345234</v>
      </c>
      <c r="P4753" s="4">
        <f t="shared" ca="1" si="404"/>
        <v>0.83711455939337642</v>
      </c>
      <c r="Q4753" s="4">
        <f t="shared" ca="1" si="405"/>
        <v>1907.4690444823357</v>
      </c>
      <c r="R4753" s="4">
        <f t="shared" ca="1" si="406"/>
        <v>-16.200999517664286</v>
      </c>
      <c r="S4753" s="4">
        <f t="shared" ca="1" si="407"/>
        <v>-8.0942602124111609</v>
      </c>
    </row>
    <row r="4754" spans="15:19" x14ac:dyDescent="0.2">
      <c r="O4754" s="4">
        <f t="shared" ca="1" si="403"/>
        <v>0.58211972469876372</v>
      </c>
      <c r="P4754" s="4">
        <f t="shared" ca="1" si="404"/>
        <v>0.20731923821337028</v>
      </c>
      <c r="Q4754" s="4">
        <f t="shared" ca="1" si="405"/>
        <v>1919.3524455494316</v>
      </c>
      <c r="R4754" s="4">
        <f t="shared" ca="1" si="406"/>
        <v>-4.3175984505683118</v>
      </c>
      <c r="S4754" s="4">
        <f t="shared" ca="1" si="407"/>
        <v>-2.1780221815171799</v>
      </c>
    </row>
    <row r="4755" spans="15:19" x14ac:dyDescent="0.2">
      <c r="O4755" s="4">
        <f t="shared" ca="1" si="403"/>
        <v>0.30611226155663263</v>
      </c>
      <c r="P4755" s="4">
        <f t="shared" ca="1" si="404"/>
        <v>-0.50690065921967087</v>
      </c>
      <c r="Q4755" s="4">
        <f t="shared" ca="1" si="405"/>
        <v>1932.8288262176693</v>
      </c>
      <c r="R4755" s="4">
        <f t="shared" ca="1" si="406"/>
        <v>9.1587822176693408</v>
      </c>
      <c r="S4755" s="4">
        <f t="shared" ca="1" si="407"/>
        <v>4.6704115745985666</v>
      </c>
    </row>
    <row r="4756" spans="15:19" x14ac:dyDescent="0.2">
      <c r="O4756" s="4">
        <f t="shared" ca="1" si="403"/>
        <v>0.55243360451268619</v>
      </c>
      <c r="P4756" s="4">
        <f t="shared" ca="1" si="404"/>
        <v>0.13181225761841195</v>
      </c>
      <c r="Q4756" s="4">
        <f t="shared" ca="1" si="405"/>
        <v>1920.777161966972</v>
      </c>
      <c r="R4756" s="4">
        <f t="shared" ca="1" si="406"/>
        <v>-2.892882033027945</v>
      </c>
      <c r="S4756" s="4">
        <f t="shared" ca="1" si="407"/>
        <v>-1.460998553342757</v>
      </c>
    </row>
    <row r="4757" spans="15:19" x14ac:dyDescent="0.2">
      <c r="O4757" s="4">
        <f t="shared" ca="1" si="403"/>
        <v>0.68265723461916683</v>
      </c>
      <c r="P4757" s="4">
        <f t="shared" ca="1" si="404"/>
        <v>0.47514232739460949</v>
      </c>
      <c r="Q4757" s="4">
        <f t="shared" ca="1" si="405"/>
        <v>1914.2989796427523</v>
      </c>
      <c r="R4757" s="4">
        <f t="shared" ca="1" si="406"/>
        <v>-9.3710643572476329</v>
      </c>
      <c r="S4757" s="4">
        <f t="shared" ca="1" si="407"/>
        <v>-4.7079770303372488</v>
      </c>
    </row>
    <row r="4758" spans="15:19" x14ac:dyDescent="0.2">
      <c r="O4758" s="4">
        <f t="shared" ca="1" si="403"/>
        <v>0.27225162235002021</v>
      </c>
      <c r="P4758" s="4">
        <f t="shared" ca="1" si="404"/>
        <v>-0.6060173310862178</v>
      </c>
      <c r="Q4758" s="4">
        <f t="shared" ca="1" si="405"/>
        <v>1934.6990261455114</v>
      </c>
      <c r="R4758" s="4">
        <f t="shared" ca="1" si="406"/>
        <v>11.028982145511463</v>
      </c>
      <c r="S4758" s="4">
        <f t="shared" ca="1" si="407"/>
        <v>5.6324940584022816</v>
      </c>
    </row>
    <row r="4759" spans="15:19" x14ac:dyDescent="0.2">
      <c r="O4759" s="4">
        <f t="shared" ca="1" si="403"/>
        <v>0.45066259480522086</v>
      </c>
      <c r="P4759" s="4">
        <f t="shared" ca="1" si="404"/>
        <v>-0.12398747806827101</v>
      </c>
      <c r="Q4759" s="4">
        <f t="shared" ca="1" si="405"/>
        <v>1925.6037631654797</v>
      </c>
      <c r="R4759" s="4">
        <f t="shared" ca="1" si="406"/>
        <v>1.9337191654797152</v>
      </c>
      <c r="S4759" s="4">
        <f t="shared" ca="1" si="407"/>
        <v>0.98038972382896883</v>
      </c>
    </row>
    <row r="4760" spans="15:19" x14ac:dyDescent="0.2">
      <c r="O4760" s="4">
        <f t="shared" ca="1" si="403"/>
        <v>0.98791068686296013</v>
      </c>
      <c r="P4760" s="4">
        <f t="shared" ca="1" si="404"/>
        <v>2.2542789254852162</v>
      </c>
      <c r="Q4760" s="4">
        <f t="shared" ca="1" si="405"/>
        <v>1880.72903550813</v>
      </c>
      <c r="R4760" s="4">
        <f t="shared" ca="1" si="406"/>
        <v>-42.941008491869979</v>
      </c>
      <c r="S4760" s="4">
        <f t="shared" ca="1" si="407"/>
        <v>-20.986551858693645</v>
      </c>
    </row>
    <row r="4761" spans="15:19" x14ac:dyDescent="0.2">
      <c r="O4761" s="4">
        <f t="shared" ca="1" si="403"/>
        <v>0.49340830304814576</v>
      </c>
      <c r="P4761" s="4">
        <f t="shared" ca="1" si="404"/>
        <v>-1.6523685842889206E-2</v>
      </c>
      <c r="Q4761" s="4">
        <f t="shared" ca="1" si="405"/>
        <v>1923.5760641650925</v>
      </c>
      <c r="R4761" s="4">
        <f t="shared" ca="1" si="406"/>
        <v>-9.3979834907486293E-2</v>
      </c>
      <c r="S4761" s="4">
        <f t="shared" ca="1" si="407"/>
        <v>-4.7569917633137379E-2</v>
      </c>
    </row>
    <row r="4762" spans="15:19" x14ac:dyDescent="0.2">
      <c r="O4762" s="4">
        <f t="shared" ca="1" si="403"/>
        <v>0.61043317381824347</v>
      </c>
      <c r="P4762" s="4">
        <f t="shared" ca="1" si="404"/>
        <v>0.28044821229544609</v>
      </c>
      <c r="Q4762" s="4">
        <f t="shared" ca="1" si="405"/>
        <v>1917.9725989557569</v>
      </c>
      <c r="R4762" s="4">
        <f t="shared" ca="1" si="406"/>
        <v>-5.697445044243068</v>
      </c>
      <c r="S4762" s="4">
        <f t="shared" ca="1" si="407"/>
        <v>-2.8708886620301084</v>
      </c>
    </row>
    <row r="4763" spans="15:19" x14ac:dyDescent="0.2">
      <c r="O4763" s="4">
        <f t="shared" ca="1" si="403"/>
        <v>0.27015516348343549</v>
      </c>
      <c r="P4763" s="4">
        <f t="shared" ca="1" si="404"/>
        <v>-0.61234378404636847</v>
      </c>
      <c r="Q4763" s="4">
        <f t="shared" ca="1" si="405"/>
        <v>1934.8183979085734</v>
      </c>
      <c r="R4763" s="4">
        <f t="shared" ca="1" si="406"/>
        <v>11.148353908573426</v>
      </c>
      <c r="S4763" s="4">
        <f t="shared" ca="1" si="407"/>
        <v>5.6939988678798121</v>
      </c>
    </row>
    <row r="4764" spans="15:19" x14ac:dyDescent="0.2">
      <c r="O4764" s="4">
        <f t="shared" ca="1" si="403"/>
        <v>0.50906952620948198</v>
      </c>
      <c r="P4764" s="4">
        <f t="shared" ca="1" si="404"/>
        <v>2.2735889457523827E-2</v>
      </c>
      <c r="Q4764" s="4">
        <f t="shared" ca="1" si="405"/>
        <v>1922.8352881330563</v>
      </c>
      <c r="R4764" s="4">
        <f t="shared" ca="1" si="406"/>
        <v>-0.83475586694362391</v>
      </c>
      <c r="S4764" s="4">
        <f t="shared" ca="1" si="407"/>
        <v>-0.42227794329950241</v>
      </c>
    </row>
    <row r="4765" spans="15:19" x14ac:dyDescent="0.2">
      <c r="O4765" s="4">
        <f t="shared" ca="1" si="403"/>
        <v>0.76903373068126946</v>
      </c>
      <c r="P4765" s="4">
        <f t="shared" ca="1" si="404"/>
        <v>0.73566837764394077</v>
      </c>
      <c r="Q4765" s="4">
        <f t="shared" ca="1" si="405"/>
        <v>1909.3831991670597</v>
      </c>
      <c r="R4765" s="4">
        <f t="shared" ca="1" si="406"/>
        <v>-14.286844832940233</v>
      </c>
      <c r="S4765" s="4">
        <f t="shared" ca="1" si="407"/>
        <v>-7.1490522911330547</v>
      </c>
    </row>
    <row r="4766" spans="15:19" x14ac:dyDescent="0.2">
      <c r="O4766" s="4">
        <f t="shared" ca="1" si="403"/>
        <v>0.35777450013352508</v>
      </c>
      <c r="P4766" s="4">
        <f t="shared" ca="1" si="404"/>
        <v>-0.36441384250158404</v>
      </c>
      <c r="Q4766" s="4">
        <f t="shared" ca="1" si="405"/>
        <v>1930.1402892709955</v>
      </c>
      <c r="R4766" s="4">
        <f t="shared" ca="1" si="406"/>
        <v>6.4702452709955196</v>
      </c>
      <c r="S4766" s="4">
        <f t="shared" ca="1" si="407"/>
        <v>3.2923431077535454</v>
      </c>
    </row>
    <row r="4767" spans="15:19" x14ac:dyDescent="0.2">
      <c r="O4767" s="4">
        <f t="shared" ca="1" si="403"/>
        <v>3.6751777568167499E-2</v>
      </c>
      <c r="P4767" s="4">
        <f t="shared" ca="1" si="404"/>
        <v>-1.789691279193959</v>
      </c>
      <c r="Q4767" s="4">
        <f t="shared" ca="1" si="405"/>
        <v>1957.033381109728</v>
      </c>
      <c r="R4767" s="4">
        <f t="shared" ca="1" si="406"/>
        <v>33.363337109728036</v>
      </c>
      <c r="S4767" s="4">
        <f t="shared" ca="1" si="407"/>
        <v>17.341961782768038</v>
      </c>
    </row>
    <row r="4768" spans="15:19" x14ac:dyDescent="0.2">
      <c r="O4768" s="4">
        <f t="shared" ca="1" si="403"/>
        <v>0.69510663340619128</v>
      </c>
      <c r="P4768" s="4">
        <f t="shared" ca="1" si="404"/>
        <v>0.51037790502935376</v>
      </c>
      <c r="Q4768" s="4">
        <f t="shared" ca="1" si="405"/>
        <v>1913.634131101039</v>
      </c>
      <c r="R4768" s="4">
        <f t="shared" ca="1" si="406"/>
        <v>-10.035912898960987</v>
      </c>
      <c r="S4768" s="4">
        <f t="shared" ca="1" si="407"/>
        <v>-5.0392775819674362</v>
      </c>
    </row>
    <row r="4769" spans="15:19" x14ac:dyDescent="0.2">
      <c r="O4769" s="4">
        <f t="shared" ca="1" si="403"/>
        <v>9.6982899045463866E-2</v>
      </c>
      <c r="P4769" s="4">
        <f t="shared" ca="1" si="404"/>
        <v>-1.2989362788341026</v>
      </c>
      <c r="Q4769" s="4">
        <f t="shared" ca="1" si="405"/>
        <v>1947.7734861901656</v>
      </c>
      <c r="R4769" s="4">
        <f t="shared" ca="1" si="406"/>
        <v>24.103442190165651</v>
      </c>
      <c r="S4769" s="4">
        <f t="shared" ca="1" si="407"/>
        <v>12.43789594772629</v>
      </c>
    </row>
    <row r="4770" spans="15:19" x14ac:dyDescent="0.2">
      <c r="O4770" s="4">
        <f t="shared" ca="1" si="403"/>
        <v>0.61626739235003958</v>
      </c>
      <c r="P4770" s="4">
        <f t="shared" ca="1" si="404"/>
        <v>0.29569212035092474</v>
      </c>
      <c r="Q4770" s="4">
        <f t="shared" ca="1" si="405"/>
        <v>1917.6849666613252</v>
      </c>
      <c r="R4770" s="4">
        <f t="shared" ca="1" si="406"/>
        <v>-5.9850773386747278</v>
      </c>
      <c r="S4770" s="4">
        <f t="shared" ca="1" si="407"/>
        <v>-3.0151230840032217</v>
      </c>
    </row>
    <row r="4771" spans="15:19" x14ac:dyDescent="0.2">
      <c r="O4771" s="4">
        <f t="shared" ca="1" si="403"/>
        <v>0.79729508641572044</v>
      </c>
      <c r="P4771" s="4">
        <f t="shared" ca="1" si="404"/>
        <v>0.83199843624682601</v>
      </c>
      <c r="Q4771" s="4">
        <f t="shared" ca="1" si="405"/>
        <v>1907.5655789296625</v>
      </c>
      <c r="R4771" s="4">
        <f t="shared" ca="1" si="406"/>
        <v>-16.104465070337483</v>
      </c>
      <c r="S4771" s="4">
        <f t="shared" ca="1" si="407"/>
        <v>-8.0466630117142763</v>
      </c>
    </row>
    <row r="4772" spans="15:19" x14ac:dyDescent="0.2">
      <c r="O4772" s="4">
        <f t="shared" ca="1" si="403"/>
        <v>0.20179771657428969</v>
      </c>
      <c r="P4772" s="4">
        <f t="shared" ca="1" si="404"/>
        <v>-0.83521718924133881</v>
      </c>
      <c r="Q4772" s="4">
        <f t="shared" ca="1" si="405"/>
        <v>1939.0237229912666</v>
      </c>
      <c r="R4772" s="4">
        <f t="shared" ca="1" si="406"/>
        <v>15.353678991266634</v>
      </c>
      <c r="S4772" s="4">
        <f t="shared" ca="1" si="407"/>
        <v>7.8681433438094706</v>
      </c>
    </row>
    <row r="4773" spans="15:19" x14ac:dyDescent="0.2">
      <c r="O4773" s="4">
        <f t="shared" ca="1" si="403"/>
        <v>8.0684534684047682E-2</v>
      </c>
      <c r="P4773" s="4">
        <f t="shared" ca="1" si="404"/>
        <v>-1.4004818680601197</v>
      </c>
      <c r="Q4773" s="4">
        <f t="shared" ca="1" si="405"/>
        <v>1949.6895165619162</v>
      </c>
      <c r="R4773" s="4">
        <f t="shared" ca="1" si="406"/>
        <v>26.019472561916245</v>
      </c>
      <c r="S4773" s="4">
        <f t="shared" ca="1" si="407"/>
        <v>13.446903007459371</v>
      </c>
    </row>
    <row r="4774" spans="15:19" x14ac:dyDescent="0.2">
      <c r="O4774" s="4">
        <f t="shared" ca="1" si="403"/>
        <v>0.32905536762905474</v>
      </c>
      <c r="P4774" s="4">
        <f t="shared" ca="1" si="404"/>
        <v>-0.44252307642052002</v>
      </c>
      <c r="Q4774" s="4">
        <f t="shared" ca="1" si="405"/>
        <v>1931.6141067518295</v>
      </c>
      <c r="R4774" s="4">
        <f t="shared" ca="1" si="406"/>
        <v>7.9440627518295059</v>
      </c>
      <c r="S4774" s="4">
        <f t="shared" ca="1" si="407"/>
        <v>4.0470517551593517</v>
      </c>
    </row>
    <row r="4775" spans="15:19" x14ac:dyDescent="0.2">
      <c r="O4775" s="4">
        <f t="shared" ca="1" si="403"/>
        <v>9.0673248410072738E-2</v>
      </c>
      <c r="P4775" s="4">
        <f t="shared" ca="1" si="404"/>
        <v>-1.3366206443972974</v>
      </c>
      <c r="Q4775" s="4">
        <f t="shared" ca="1" si="405"/>
        <v>1948.4845401070277</v>
      </c>
      <c r="R4775" s="4">
        <f t="shared" ca="1" si="406"/>
        <v>24.814496107027708</v>
      </c>
      <c r="S4775" s="4">
        <f t="shared" ca="1" si="407"/>
        <v>12.811997612740385</v>
      </c>
    </row>
    <row r="4776" spans="15:19" x14ac:dyDescent="0.2">
      <c r="O4776" s="4">
        <f t="shared" ca="1" si="403"/>
        <v>0.84285237831622883</v>
      </c>
      <c r="P4776" s="4">
        <f t="shared" ca="1" si="404"/>
        <v>1.0062501712538372</v>
      </c>
      <c r="Q4776" s="4">
        <f t="shared" ca="1" si="405"/>
        <v>1904.2776801725774</v>
      </c>
      <c r="R4776" s="4">
        <f t="shared" ca="1" si="406"/>
        <v>-19.392363827422514</v>
      </c>
      <c r="S4776" s="4">
        <f t="shared" ca="1" si="407"/>
        <v>-9.6635205261718227</v>
      </c>
    </row>
    <row r="4777" spans="15:19" x14ac:dyDescent="0.2">
      <c r="O4777" s="4">
        <f t="shared" ca="1" si="403"/>
        <v>0.50684624464848971</v>
      </c>
      <c r="P4777" s="4">
        <f t="shared" ca="1" si="404"/>
        <v>1.7161832815223665E-2</v>
      </c>
      <c r="Q4777" s="4">
        <f t="shared" ca="1" si="405"/>
        <v>1922.940463177112</v>
      </c>
      <c r="R4777" s="4">
        <f t="shared" ca="1" si="406"/>
        <v>-0.72958082288801052</v>
      </c>
      <c r="S4777" s="4">
        <f t="shared" ca="1" si="407"/>
        <v>-0.36910428058496159</v>
      </c>
    </row>
    <row r="4778" spans="15:19" x14ac:dyDescent="0.2">
      <c r="O4778" s="4">
        <f t="shared" ca="1" si="403"/>
        <v>0.99386749724775869</v>
      </c>
      <c r="P4778" s="4">
        <f t="shared" ca="1" si="404"/>
        <v>2.5044265884440451</v>
      </c>
      <c r="Q4778" s="4">
        <f t="shared" ca="1" si="405"/>
        <v>1876.0090814135729</v>
      </c>
      <c r="R4778" s="4">
        <f t="shared" ca="1" si="406"/>
        <v>-47.660962586427104</v>
      </c>
      <c r="S4778" s="4">
        <f t="shared" ca="1" si="407"/>
        <v>-23.201760931611517</v>
      </c>
    </row>
    <row r="4779" spans="15:19" x14ac:dyDescent="0.2">
      <c r="O4779" s="4">
        <f t="shared" ca="1" si="403"/>
        <v>0.64945476516720613</v>
      </c>
      <c r="P4779" s="4">
        <f t="shared" ca="1" si="404"/>
        <v>0.38384886293939696</v>
      </c>
      <c r="Q4779" s="4">
        <f t="shared" ca="1" si="405"/>
        <v>1916.0215660393824</v>
      </c>
      <c r="R4779" s="4">
        <f t="shared" ca="1" si="406"/>
        <v>-7.6484779606175834</v>
      </c>
      <c r="S4779" s="4">
        <f t="shared" ca="1" si="407"/>
        <v>-3.8479212295807197</v>
      </c>
    </row>
    <row r="4780" spans="15:19" x14ac:dyDescent="0.2">
      <c r="O4780" s="4">
        <f t="shared" ca="1" si="403"/>
        <v>0.95394123229830807</v>
      </c>
      <c r="P4780" s="4">
        <f t="shared" ca="1" si="404"/>
        <v>1.6843319429493895</v>
      </c>
      <c r="Q4780" s="4">
        <f t="shared" ca="1" si="405"/>
        <v>1891.4831779297733</v>
      </c>
      <c r="R4780" s="4">
        <f t="shared" ca="1" si="406"/>
        <v>-32.186866070226642</v>
      </c>
      <c r="S4780" s="4">
        <f t="shared" ca="1" si="407"/>
        <v>-15.871585455191186</v>
      </c>
    </row>
    <row r="4781" spans="15:19" x14ac:dyDescent="0.2">
      <c r="O4781" s="4">
        <f t="shared" ca="1" si="403"/>
        <v>0.90194161317937582</v>
      </c>
      <c r="P4781" s="4">
        <f t="shared" ca="1" si="404"/>
        <v>1.2926944049834452</v>
      </c>
      <c r="Q4781" s="4">
        <f t="shared" ca="1" si="405"/>
        <v>1898.8728580052928</v>
      </c>
      <c r="R4781" s="4">
        <f t="shared" ca="1" si="406"/>
        <v>-24.797185994707206</v>
      </c>
      <c r="S4781" s="4">
        <f t="shared" ca="1" si="407"/>
        <v>-12.302271393345597</v>
      </c>
    </row>
    <row r="4782" spans="15:19" x14ac:dyDescent="0.2">
      <c r="O4782" s="4">
        <f t="shared" ca="1" si="403"/>
        <v>0.46836597863043239</v>
      </c>
      <c r="P4782" s="4">
        <f t="shared" ca="1" si="404"/>
        <v>-7.9378012086406033E-2</v>
      </c>
      <c r="Q4782" s="4">
        <f t="shared" ca="1" si="405"/>
        <v>1924.7620418032786</v>
      </c>
      <c r="R4782" s="4">
        <f t="shared" ca="1" si="406"/>
        <v>1.091997803278673</v>
      </c>
      <c r="S4782" s="4">
        <f t="shared" ca="1" si="407"/>
        <v>0.55326539747912362</v>
      </c>
    </row>
    <row r="4783" spans="15:19" x14ac:dyDescent="0.2">
      <c r="O4783" s="4">
        <f t="shared" ca="1" si="403"/>
        <v>4.1765498425648695E-2</v>
      </c>
      <c r="P4783" s="4">
        <f t="shared" ca="1" si="404"/>
        <v>-1.7305559342493155</v>
      </c>
      <c r="Q4783" s="4">
        <f t="shared" ca="1" si="405"/>
        <v>1955.9175757082185</v>
      </c>
      <c r="R4783" s="4">
        <f t="shared" ca="1" si="406"/>
        <v>32.247531708218503</v>
      </c>
      <c r="S4783" s="4">
        <f t="shared" ca="1" si="407"/>
        <v>16.747329043908881</v>
      </c>
    </row>
    <row r="4784" spans="15:19" x14ac:dyDescent="0.2">
      <c r="O4784" s="4">
        <f t="shared" ca="1" si="403"/>
        <v>0.87569499238705839</v>
      </c>
      <c r="P4784" s="4">
        <f t="shared" ca="1" si="404"/>
        <v>1.1537321098796742</v>
      </c>
      <c r="Q4784" s="4">
        <f t="shared" ca="1" si="405"/>
        <v>1901.4948919112103</v>
      </c>
      <c r="R4784" s="4">
        <f t="shared" ca="1" si="406"/>
        <v>-22.175152088789673</v>
      </c>
      <c r="S4784" s="4">
        <f t="shared" ca="1" si="407"/>
        <v>-11.025108040328796</v>
      </c>
    </row>
    <row r="4785" spans="15:19" x14ac:dyDescent="0.2">
      <c r="O4785" s="4">
        <f t="shared" ca="1" si="403"/>
        <v>0.33240561155233772</v>
      </c>
      <c r="P4785" s="4">
        <f t="shared" ca="1" si="404"/>
        <v>-0.43328019676614604</v>
      </c>
      <c r="Q4785" s="4">
        <f t="shared" ca="1" si="405"/>
        <v>1931.4397058913369</v>
      </c>
      <c r="R4785" s="4">
        <f t="shared" ca="1" si="406"/>
        <v>7.7696618913369093</v>
      </c>
      <c r="S4785" s="4">
        <f t="shared" ca="1" si="407"/>
        <v>3.9576527633764167</v>
      </c>
    </row>
    <row r="4786" spans="15:19" x14ac:dyDescent="0.2">
      <c r="O4786" s="4">
        <f t="shared" ca="1" si="403"/>
        <v>0.77403412131415827</v>
      </c>
      <c r="P4786" s="4">
        <f t="shared" ca="1" si="404"/>
        <v>0.75219839721483317</v>
      </c>
      <c r="Q4786" s="4">
        <f t="shared" ca="1" si="405"/>
        <v>1909.0712996568509</v>
      </c>
      <c r="R4786" s="4">
        <f t="shared" ca="1" si="406"/>
        <v>-14.598744343149065</v>
      </c>
      <c r="S4786" s="4">
        <f t="shared" ca="1" si="407"/>
        <v>-7.303271428290337</v>
      </c>
    </row>
    <row r="4787" spans="15:19" x14ac:dyDescent="0.2">
      <c r="O4787" s="4">
        <f t="shared" ca="1" si="403"/>
        <v>0.30803407393109317</v>
      </c>
      <c r="P4787" s="4">
        <f t="shared" ca="1" si="404"/>
        <v>-0.50143054429673839</v>
      </c>
      <c r="Q4787" s="4">
        <f t="shared" ca="1" si="405"/>
        <v>1932.7256124157784</v>
      </c>
      <c r="R4787" s="4">
        <f t="shared" ca="1" si="406"/>
        <v>9.0555684157784526</v>
      </c>
      <c r="S4787" s="4">
        <f t="shared" ca="1" si="407"/>
        <v>4.6173984582117198</v>
      </c>
    </row>
    <row r="4788" spans="15:19" x14ac:dyDescent="0.2">
      <c r="O4788" s="4">
        <f t="shared" ca="1" si="403"/>
        <v>0.68586959996986951</v>
      </c>
      <c r="P4788" s="4">
        <f t="shared" ca="1" si="404"/>
        <v>0.48417623671798099</v>
      </c>
      <c r="Q4788" s="4">
        <f t="shared" ca="1" si="405"/>
        <v>1914.128521774802</v>
      </c>
      <c r="R4788" s="4">
        <f t="shared" ca="1" si="406"/>
        <v>-9.541522225197923</v>
      </c>
      <c r="S4788" s="4">
        <f t="shared" ca="1" si="407"/>
        <v>-4.7929521632737178</v>
      </c>
    </row>
    <row r="4789" spans="15:19" x14ac:dyDescent="0.2">
      <c r="O4789" s="4">
        <f t="shared" ca="1" si="403"/>
        <v>0.59608806510328638</v>
      </c>
      <c r="P4789" s="4">
        <f t="shared" ca="1" si="404"/>
        <v>0.24323433515114193</v>
      </c>
      <c r="Q4789" s="4">
        <f t="shared" ca="1" si="405"/>
        <v>1918.6747753811687</v>
      </c>
      <c r="R4789" s="4">
        <f t="shared" ca="1" si="406"/>
        <v>-4.9952686188312327</v>
      </c>
      <c r="S4789" s="4">
        <f t="shared" ca="1" si="407"/>
        <v>-2.5184964232769622</v>
      </c>
    </row>
    <row r="4790" spans="15:19" x14ac:dyDescent="0.2">
      <c r="O4790" s="4">
        <f t="shared" ca="1" si="403"/>
        <v>0.92603494456960611</v>
      </c>
      <c r="P4790" s="4">
        <f t="shared" ca="1" si="404"/>
        <v>1.4468815160922457</v>
      </c>
      <c r="Q4790" s="4">
        <f t="shared" ca="1" si="405"/>
        <v>1895.9635520465731</v>
      </c>
      <c r="R4790" s="4">
        <f t="shared" ca="1" si="406"/>
        <v>-27.706491953426848</v>
      </c>
      <c r="S4790" s="4">
        <f t="shared" ca="1" si="407"/>
        <v>-13.71281104176137</v>
      </c>
    </row>
    <row r="4791" spans="15:19" x14ac:dyDescent="0.2">
      <c r="O4791" s="4">
        <f t="shared" ca="1" si="403"/>
        <v>0.72372384980726712</v>
      </c>
      <c r="P4791" s="4">
        <f t="shared" ca="1" si="404"/>
        <v>0.59393991589688844</v>
      </c>
      <c r="Q4791" s="4">
        <f t="shared" ca="1" si="405"/>
        <v>1912.0574269628573</v>
      </c>
      <c r="R4791" s="4">
        <f t="shared" ca="1" si="406"/>
        <v>-11.612617037142627</v>
      </c>
      <c r="S4791" s="4">
        <f t="shared" ca="1" si="407"/>
        <v>-5.8235260334969601</v>
      </c>
    </row>
    <row r="4792" spans="15:19" x14ac:dyDescent="0.2">
      <c r="O4792" s="4">
        <f t="shared" ca="1" si="403"/>
        <v>0.16615817729717464</v>
      </c>
      <c r="P4792" s="4">
        <f t="shared" ca="1" si="404"/>
        <v>-0.96945874456008407</v>
      </c>
      <c r="Q4792" s="4">
        <f t="shared" ca="1" si="405"/>
        <v>1941.5566828086476</v>
      </c>
      <c r="R4792" s="4">
        <f t="shared" ca="1" si="406"/>
        <v>17.886638808647604</v>
      </c>
      <c r="S4792" s="4">
        <f t="shared" ca="1" si="407"/>
        <v>9.1846261724730631</v>
      </c>
    </row>
    <row r="4793" spans="15:19" x14ac:dyDescent="0.2">
      <c r="O4793" s="4">
        <f t="shared" ca="1" si="403"/>
        <v>0.47225599465491264</v>
      </c>
      <c r="P4793" s="4">
        <f t="shared" ca="1" si="404"/>
        <v>-6.9600059843172815E-2</v>
      </c>
      <c r="Q4793" s="4">
        <f t="shared" ca="1" si="405"/>
        <v>1924.5775448338452</v>
      </c>
      <c r="R4793" s="4">
        <f t="shared" ca="1" si="406"/>
        <v>0.9075008338452335</v>
      </c>
      <c r="S4793" s="4">
        <f t="shared" ca="1" si="407"/>
        <v>0.45972105599842616</v>
      </c>
    </row>
    <row r="4794" spans="15:19" x14ac:dyDescent="0.2">
      <c r="O4794" s="4">
        <f t="shared" ca="1" si="403"/>
        <v>8.0888834615496785E-2</v>
      </c>
      <c r="P4794" s="4">
        <f t="shared" ca="1" si="404"/>
        <v>-1.3991177718201808</v>
      </c>
      <c r="Q4794" s="4">
        <f t="shared" ca="1" si="405"/>
        <v>1949.6637778779846</v>
      </c>
      <c r="R4794" s="4">
        <f t="shared" ca="1" si="406"/>
        <v>25.993733877984596</v>
      </c>
      <c r="S4794" s="4">
        <f t="shared" ca="1" si="407"/>
        <v>13.433328869016448</v>
      </c>
    </row>
    <row r="4795" spans="15:19" x14ac:dyDescent="0.2">
      <c r="O4795" s="4">
        <f t="shared" ca="1" si="403"/>
        <v>0.68018645561913671</v>
      </c>
      <c r="P4795" s="4">
        <f t="shared" ca="1" si="404"/>
        <v>0.46822025508653109</v>
      </c>
      <c r="Q4795" s="4">
        <f t="shared" ca="1" si="405"/>
        <v>1914.4295899516671</v>
      </c>
      <c r="R4795" s="4">
        <f t="shared" ca="1" si="406"/>
        <v>-9.2404540483328219</v>
      </c>
      <c r="S4795" s="4">
        <f t="shared" ca="1" si="407"/>
        <v>-4.6428503393872491</v>
      </c>
    </row>
    <row r="4796" spans="15:19" x14ac:dyDescent="0.2">
      <c r="O4796" s="4">
        <f t="shared" ca="1" si="403"/>
        <v>0.14268078987276922</v>
      </c>
      <c r="P4796" s="4">
        <f t="shared" ca="1" si="404"/>
        <v>-1.0683524004968716</v>
      </c>
      <c r="Q4796" s="4">
        <f t="shared" ca="1" si="405"/>
        <v>1943.4226747221576</v>
      </c>
      <c r="R4796" s="4">
        <f t="shared" ca="1" si="406"/>
        <v>19.752630722157619</v>
      </c>
      <c r="S4796" s="4">
        <f t="shared" ca="1" si="407"/>
        <v>10.157799889383842</v>
      </c>
    </row>
    <row r="4797" spans="15:19" x14ac:dyDescent="0.2">
      <c r="O4797" s="4">
        <f t="shared" ca="1" si="403"/>
        <v>0.47016336871592768</v>
      </c>
      <c r="P4797" s="4">
        <f t="shared" ca="1" si="404"/>
        <v>-7.4859202113069789E-2</v>
      </c>
      <c r="Q4797" s="4">
        <f t="shared" ca="1" si="405"/>
        <v>1924.6767778620374</v>
      </c>
      <c r="R4797" s="4">
        <f t="shared" ca="1" si="406"/>
        <v>1.0067338620374358</v>
      </c>
      <c r="S4797" s="4">
        <f t="shared" ca="1" si="407"/>
        <v>0.51003111180659877</v>
      </c>
    </row>
    <row r="4798" spans="15:19" x14ac:dyDescent="0.2">
      <c r="O4798" s="4">
        <f t="shared" ca="1" si="403"/>
        <v>0.54239138746967075</v>
      </c>
      <c r="P4798" s="4">
        <f t="shared" ca="1" si="404"/>
        <v>0.10646020836932618</v>
      </c>
      <c r="Q4798" s="4">
        <f t="shared" ca="1" si="405"/>
        <v>1921.2555214576953</v>
      </c>
      <c r="R4798" s="4">
        <f t="shared" ca="1" si="406"/>
        <v>-2.4145225423046668</v>
      </c>
      <c r="S4798" s="4">
        <f t="shared" ca="1" si="407"/>
        <v>-1.2198817802775501</v>
      </c>
    </row>
    <row r="4799" spans="15:19" x14ac:dyDescent="0.2">
      <c r="O4799" s="4">
        <f t="shared" ca="1" si="403"/>
        <v>0.31264695316153657</v>
      </c>
      <c r="P4799" s="4">
        <f t="shared" ca="1" si="404"/>
        <v>-0.48836135977460238</v>
      </c>
      <c r="Q4799" s="4">
        <f t="shared" ca="1" si="405"/>
        <v>1932.4790142654374</v>
      </c>
      <c r="R4799" s="4">
        <f t="shared" ca="1" si="406"/>
        <v>8.8089702654374378</v>
      </c>
      <c r="S4799" s="4">
        <f t="shared" ca="1" si="407"/>
        <v>4.4907747717255493</v>
      </c>
    </row>
    <row r="4800" spans="15:19" x14ac:dyDescent="0.2">
      <c r="O4800" s="4">
        <f t="shared" ca="1" si="403"/>
        <v>0.2721228756275984</v>
      </c>
      <c r="P4800" s="4">
        <f t="shared" ca="1" si="404"/>
        <v>-0.60640514733923134</v>
      </c>
      <c r="Q4800" s="4">
        <f t="shared" ca="1" si="405"/>
        <v>1934.7063437230163</v>
      </c>
      <c r="R4800" s="4">
        <f t="shared" ca="1" si="406"/>
        <v>11.036299723016327</v>
      </c>
      <c r="S4800" s="4">
        <f t="shared" ca="1" si="407"/>
        <v>5.6362640150026824</v>
      </c>
    </row>
    <row r="4801" spans="15:19" x14ac:dyDescent="0.2">
      <c r="O4801" s="4">
        <f t="shared" ca="1" si="403"/>
        <v>0.283776107723958</v>
      </c>
      <c r="P4801" s="4">
        <f t="shared" ca="1" si="404"/>
        <v>-0.57166018142321695</v>
      </c>
      <c r="Q4801" s="4">
        <f t="shared" ca="1" si="405"/>
        <v>1934.0507523726881</v>
      </c>
      <c r="R4801" s="4">
        <f t="shared" ca="1" si="406"/>
        <v>10.380708372688105</v>
      </c>
      <c r="S4801" s="4">
        <f t="shared" ca="1" si="407"/>
        <v>5.298681672286448</v>
      </c>
    </row>
    <row r="4802" spans="15:19" x14ac:dyDescent="0.2">
      <c r="O4802" s="4">
        <f t="shared" ca="1" si="403"/>
        <v>0.73629605991661096</v>
      </c>
      <c r="P4802" s="4">
        <f t="shared" ca="1" si="404"/>
        <v>0.63196785825135093</v>
      </c>
      <c r="Q4802" s="4">
        <f t="shared" ca="1" si="405"/>
        <v>1911.3398902083641</v>
      </c>
      <c r="R4802" s="4">
        <f t="shared" ca="1" si="406"/>
        <v>-12.330153791635894</v>
      </c>
      <c r="S4802" s="4">
        <f t="shared" ca="1" si="407"/>
        <v>-6.1797567915845066</v>
      </c>
    </row>
    <row r="4803" spans="15:19" x14ac:dyDescent="0.2">
      <c r="O4803" s="4">
        <f t="shared" ref="O4803:O4866" ca="1" si="408">RAND()</f>
        <v>0.14118496705249339</v>
      </c>
      <c r="P4803" s="4">
        <f t="shared" ref="P4803:P4866" ca="1" si="409">NORMSINV(O4803)</f>
        <v>-1.0750107083277538</v>
      </c>
      <c r="Q4803" s="4">
        <f t="shared" ref="Q4803:Q4866" ca="1" si="410">$B$4*(1+$B$17-$B$32*P4803)</f>
        <v>1943.5483081457821</v>
      </c>
      <c r="R4803" s="4">
        <f t="shared" ref="R4803:R4866" ca="1" si="411">Q4803-$B$4</f>
        <v>19.878264145782168</v>
      </c>
      <c r="S4803" s="4">
        <f t="shared" ref="S4803:S4866" ca="1" si="412">R4803*$B$12+0.5*$B$13*R4803^2</f>
        <v>10.22342354241904</v>
      </c>
    </row>
    <row r="4804" spans="15:19" x14ac:dyDescent="0.2">
      <c r="O4804" s="4">
        <f t="shared" ca="1" si="408"/>
        <v>0.80508793622810226</v>
      </c>
      <c r="P4804" s="4">
        <f t="shared" ca="1" si="409"/>
        <v>0.85993635385107525</v>
      </c>
      <c r="Q4804" s="4">
        <f t="shared" ca="1" si="410"/>
        <v>1907.038427538241</v>
      </c>
      <c r="R4804" s="4">
        <f t="shared" ca="1" si="411"/>
        <v>-16.631616461758995</v>
      </c>
      <c r="S4804" s="4">
        <f t="shared" ca="1" si="412"/>
        <v>-8.3064874683621337</v>
      </c>
    </row>
    <row r="4805" spans="15:19" x14ac:dyDescent="0.2">
      <c r="O4805" s="4">
        <f t="shared" ca="1" si="408"/>
        <v>0.77190141992907424</v>
      </c>
      <c r="P4805" s="4">
        <f t="shared" ca="1" si="409"/>
        <v>0.74512334070815434</v>
      </c>
      <c r="Q4805" s="4">
        <f t="shared" ca="1" si="410"/>
        <v>1909.2047965743632</v>
      </c>
      <c r="R4805" s="4">
        <f t="shared" ca="1" si="411"/>
        <v>-14.46524742563679</v>
      </c>
      <c r="S4805" s="4">
        <f t="shared" ca="1" si="412"/>
        <v>-7.2372733906464202</v>
      </c>
    </row>
    <row r="4806" spans="15:19" x14ac:dyDescent="0.2">
      <c r="O4806" s="4">
        <f t="shared" ca="1" si="408"/>
        <v>0.32410403449082092</v>
      </c>
      <c r="P4806" s="4">
        <f t="shared" ca="1" si="409"/>
        <v>-0.45625298365714095</v>
      </c>
      <c r="Q4806" s="4">
        <f t="shared" ca="1" si="410"/>
        <v>1931.8731718620638</v>
      </c>
      <c r="R4806" s="4">
        <f t="shared" ca="1" si="411"/>
        <v>8.2031278620638659</v>
      </c>
      <c r="S4806" s="4">
        <f t="shared" ca="1" si="412"/>
        <v>4.1798958927640655</v>
      </c>
    </row>
    <row r="4807" spans="15:19" x14ac:dyDescent="0.2">
      <c r="O4807" s="4">
        <f t="shared" ca="1" si="408"/>
        <v>0.77140795767189096</v>
      </c>
      <c r="P4807" s="4">
        <f t="shared" ca="1" si="409"/>
        <v>0.74349163404828078</v>
      </c>
      <c r="Q4807" s="4">
        <f t="shared" ca="1" si="410"/>
        <v>1909.2355847114152</v>
      </c>
      <c r="R4807" s="4">
        <f t="shared" ca="1" si="411"/>
        <v>-14.434459288584776</v>
      </c>
      <c r="S4807" s="4">
        <f t="shared" ca="1" si="412"/>
        <v>-7.2220503313279991</v>
      </c>
    </row>
    <row r="4808" spans="15:19" x14ac:dyDescent="0.2">
      <c r="O4808" s="4">
        <f t="shared" ca="1" si="408"/>
        <v>0.38919866998778885</v>
      </c>
      <c r="P4808" s="4">
        <f t="shared" ca="1" si="409"/>
        <v>-0.28140818627877812</v>
      </c>
      <c r="Q4808" s="4">
        <f t="shared" ca="1" si="410"/>
        <v>1928.5740828058779</v>
      </c>
      <c r="R4808" s="4">
        <f t="shared" ca="1" si="411"/>
        <v>4.9040388058779172</v>
      </c>
      <c r="S4808" s="4">
        <f t="shared" ca="1" si="412"/>
        <v>2.4922623288028398</v>
      </c>
    </row>
    <row r="4809" spans="15:19" x14ac:dyDescent="0.2">
      <c r="O4809" s="4">
        <f t="shared" ca="1" si="408"/>
        <v>6.2709362322449502E-2</v>
      </c>
      <c r="P4809" s="4">
        <f t="shared" ca="1" si="409"/>
        <v>-1.5324204077213612</v>
      </c>
      <c r="Q4809" s="4">
        <f t="shared" ca="1" si="410"/>
        <v>1952.1790215332519</v>
      </c>
      <c r="R4809" s="4">
        <f t="shared" ca="1" si="411"/>
        <v>28.508977533251937</v>
      </c>
      <c r="S4809" s="4">
        <f t="shared" ca="1" si="412"/>
        <v>14.762373986698174</v>
      </c>
    </row>
    <row r="4810" spans="15:19" x14ac:dyDescent="0.2">
      <c r="O4810" s="4">
        <f t="shared" ca="1" si="408"/>
        <v>8.3607138796867875E-2</v>
      </c>
      <c r="P4810" s="4">
        <f t="shared" ca="1" si="409"/>
        <v>-1.381210401278824</v>
      </c>
      <c r="Q4810" s="4">
        <f t="shared" ca="1" si="410"/>
        <v>1949.3258895846877</v>
      </c>
      <c r="R4810" s="4">
        <f t="shared" ca="1" si="411"/>
        <v>25.655845584687768</v>
      </c>
      <c r="S4810" s="4">
        <f t="shared" ca="1" si="412"/>
        <v>13.255182419433464</v>
      </c>
    </row>
    <row r="4811" spans="15:19" x14ac:dyDescent="0.2">
      <c r="O4811" s="4">
        <f t="shared" ca="1" si="408"/>
        <v>0.24890711045633895</v>
      </c>
      <c r="P4811" s="4">
        <f t="shared" ca="1" si="409"/>
        <v>-0.67793292803390048</v>
      </c>
      <c r="Q4811" s="4">
        <f t="shared" ca="1" si="410"/>
        <v>1936.0559779245555</v>
      </c>
      <c r="R4811" s="4">
        <f t="shared" ca="1" si="411"/>
        <v>12.385933924555502</v>
      </c>
      <c r="S4811" s="4">
        <f t="shared" ca="1" si="412"/>
        <v>6.3323301148629243</v>
      </c>
    </row>
    <row r="4812" spans="15:19" x14ac:dyDescent="0.2">
      <c r="O4812" s="4">
        <f t="shared" ca="1" si="408"/>
        <v>0.91109332498379625</v>
      </c>
      <c r="P4812" s="4">
        <f t="shared" ca="1" si="409"/>
        <v>1.3475183423067145</v>
      </c>
      <c r="Q4812" s="4">
        <f t="shared" ca="1" si="410"/>
        <v>1897.8384031381638</v>
      </c>
      <c r="R4812" s="4">
        <f t="shared" ca="1" si="411"/>
        <v>-25.831640861836149</v>
      </c>
      <c r="S4812" s="4">
        <f t="shared" ca="1" si="412"/>
        <v>-12.80460304670027</v>
      </c>
    </row>
    <row r="4813" spans="15:19" x14ac:dyDescent="0.2">
      <c r="O4813" s="4">
        <f t="shared" ca="1" si="408"/>
        <v>0.26545642596965491</v>
      </c>
      <c r="P4813" s="4">
        <f t="shared" ca="1" si="409"/>
        <v>-0.62661314150233272</v>
      </c>
      <c r="Q4813" s="4">
        <f t="shared" ca="1" si="410"/>
        <v>1935.0876417278214</v>
      </c>
      <c r="R4813" s="4">
        <f t="shared" ca="1" si="411"/>
        <v>11.41759772782143</v>
      </c>
      <c r="S4813" s="4">
        <f t="shared" ca="1" si="412"/>
        <v>5.8327659744011022</v>
      </c>
    </row>
    <row r="4814" spans="15:19" x14ac:dyDescent="0.2">
      <c r="O4814" s="4">
        <f t="shared" ca="1" si="408"/>
        <v>1.394494422304482E-2</v>
      </c>
      <c r="P4814" s="4">
        <f t="shared" ca="1" si="409"/>
        <v>-2.1988317437403055</v>
      </c>
      <c r="Q4814" s="4">
        <f t="shared" ca="1" si="410"/>
        <v>1964.7533181582799</v>
      </c>
      <c r="R4814" s="4">
        <f t="shared" ca="1" si="411"/>
        <v>41.083274158279892</v>
      </c>
      <c r="S4814" s="4">
        <f t="shared" ca="1" si="412"/>
        <v>21.483821641483136</v>
      </c>
    </row>
    <row r="4815" spans="15:19" x14ac:dyDescent="0.2">
      <c r="O4815" s="4">
        <f t="shared" ca="1" si="408"/>
        <v>0.88496818432999491</v>
      </c>
      <c r="P4815" s="4">
        <f t="shared" ca="1" si="409"/>
        <v>1.2001949624047294</v>
      </c>
      <c r="Q4815" s="4">
        <f t="shared" ca="1" si="410"/>
        <v>1900.6181996070472</v>
      </c>
      <c r="R4815" s="4">
        <f t="shared" ca="1" si="411"/>
        <v>-23.051844392952717</v>
      </c>
      <c r="S4815" s="4">
        <f t="shared" ca="1" si="412"/>
        <v>-11.452757911982374</v>
      </c>
    </row>
    <row r="4816" spans="15:19" x14ac:dyDescent="0.2">
      <c r="O4816" s="4">
        <f t="shared" ca="1" si="408"/>
        <v>0.93957549124102047</v>
      </c>
      <c r="P4816" s="4">
        <f t="shared" ca="1" si="409"/>
        <v>1.5512198050032833</v>
      </c>
      <c r="Q4816" s="4">
        <f t="shared" ca="1" si="410"/>
        <v>1893.9948271416924</v>
      </c>
      <c r="R4816" s="4">
        <f t="shared" ca="1" si="411"/>
        <v>-29.675216858307522</v>
      </c>
      <c r="S4816" s="4">
        <f t="shared" ca="1" si="412"/>
        <v>-14.663412750455052</v>
      </c>
    </row>
    <row r="4817" spans="15:19" x14ac:dyDescent="0.2">
      <c r="O4817" s="4">
        <f t="shared" ca="1" si="408"/>
        <v>0.69223258044917024</v>
      </c>
      <c r="P4817" s="4">
        <f t="shared" ca="1" si="409"/>
        <v>0.50218863144191483</v>
      </c>
      <c r="Q4817" s="4">
        <f t="shared" ca="1" si="410"/>
        <v>1913.7886518146977</v>
      </c>
      <c r="R4817" s="4">
        <f t="shared" ca="1" si="411"/>
        <v>-9.8813921853022748</v>
      </c>
      <c r="S4817" s="4">
        <f t="shared" ca="1" si="412"/>
        <v>-4.9623104941809135</v>
      </c>
    </row>
    <row r="4818" spans="15:19" x14ac:dyDescent="0.2">
      <c r="O4818" s="4">
        <f t="shared" ca="1" si="408"/>
        <v>0.47836698247714082</v>
      </c>
      <c r="P4818" s="4">
        <f t="shared" ca="1" si="409"/>
        <v>-5.4252535563879357E-2</v>
      </c>
      <c r="Q4818" s="4">
        <f t="shared" ca="1" si="410"/>
        <v>1924.2879574389176</v>
      </c>
      <c r="R4818" s="4">
        <f t="shared" ca="1" si="411"/>
        <v>0.61791343891763972</v>
      </c>
      <c r="S4818" s="4">
        <f t="shared" ca="1" si="412"/>
        <v>0.31294926114170685</v>
      </c>
    </row>
    <row r="4819" spans="15:19" x14ac:dyDescent="0.2">
      <c r="O4819" s="4">
        <f t="shared" ca="1" si="408"/>
        <v>0.82890690794227706</v>
      </c>
      <c r="P4819" s="4">
        <f t="shared" ca="1" si="409"/>
        <v>0.9498545094384172</v>
      </c>
      <c r="Q4819" s="4">
        <f t="shared" ca="1" si="410"/>
        <v>1905.3417913929361</v>
      </c>
      <c r="R4819" s="4">
        <f t="shared" ca="1" si="411"/>
        <v>-18.32825260706386</v>
      </c>
      <c r="S4819" s="4">
        <f t="shared" ca="1" si="412"/>
        <v>-9.1411963271973669</v>
      </c>
    </row>
    <row r="4820" spans="15:19" x14ac:dyDescent="0.2">
      <c r="O4820" s="4">
        <f t="shared" ca="1" si="408"/>
        <v>0.38824944740291656</v>
      </c>
      <c r="P4820" s="4">
        <f t="shared" ca="1" si="409"/>
        <v>-0.28388450057761588</v>
      </c>
      <c r="Q4820" s="4">
        <f t="shared" ca="1" si="410"/>
        <v>1928.6208075670686</v>
      </c>
      <c r="R4820" s="4">
        <f t="shared" ca="1" si="411"/>
        <v>4.9507635670686341</v>
      </c>
      <c r="S4820" s="4">
        <f t="shared" ca="1" si="412"/>
        <v>2.5161023010161019</v>
      </c>
    </row>
    <row r="4821" spans="15:19" x14ac:dyDescent="0.2">
      <c r="O4821" s="4">
        <f t="shared" ca="1" si="408"/>
        <v>0.71214385535000357</v>
      </c>
      <c r="P4821" s="4">
        <f t="shared" ca="1" si="409"/>
        <v>0.55965865382348878</v>
      </c>
      <c r="Q4821" s="4">
        <f t="shared" ca="1" si="410"/>
        <v>1912.7042688376764</v>
      </c>
      <c r="R4821" s="4">
        <f t="shared" ca="1" si="411"/>
        <v>-10.965775162323553</v>
      </c>
      <c r="S4821" s="4">
        <f t="shared" ca="1" si="412"/>
        <v>-5.5020334440891512</v>
      </c>
    </row>
    <row r="4822" spans="15:19" x14ac:dyDescent="0.2">
      <c r="O4822" s="4">
        <f t="shared" ca="1" si="408"/>
        <v>0.21238443736804824</v>
      </c>
      <c r="P4822" s="4">
        <f t="shared" ca="1" si="409"/>
        <v>-0.79817511765984439</v>
      </c>
      <c r="Q4822" s="4">
        <f t="shared" ca="1" si="410"/>
        <v>1938.3247883085921</v>
      </c>
      <c r="R4822" s="4">
        <f t="shared" ca="1" si="411"/>
        <v>14.654744308592171</v>
      </c>
      <c r="S4822" s="4">
        <f t="shared" ca="1" si="412"/>
        <v>7.5057979208836549</v>
      </c>
    </row>
    <row r="4823" spans="15:19" x14ac:dyDescent="0.2">
      <c r="O4823" s="4">
        <f t="shared" ca="1" si="408"/>
        <v>0.50939647340890126</v>
      </c>
      <c r="P4823" s="4">
        <f t="shared" ca="1" si="409"/>
        <v>2.3555644127586345E-2</v>
      </c>
      <c r="Q4823" s="4">
        <f t="shared" ca="1" si="410"/>
        <v>1922.8198204514249</v>
      </c>
      <c r="R4823" s="4">
        <f t="shared" ca="1" si="411"/>
        <v>-0.85022354857505889</v>
      </c>
      <c r="S4823" s="4">
        <f t="shared" ca="1" si="412"/>
        <v>-0.43009722591246469</v>
      </c>
    </row>
    <row r="4824" spans="15:19" x14ac:dyDescent="0.2">
      <c r="O4824" s="4">
        <f t="shared" ca="1" si="408"/>
        <v>8.7159384618362923E-2</v>
      </c>
      <c r="P4824" s="4">
        <f t="shared" ca="1" si="409"/>
        <v>-1.3584568387006488</v>
      </c>
      <c r="Q4824" s="4">
        <f t="shared" ca="1" si="410"/>
        <v>1948.8965600855179</v>
      </c>
      <c r="R4824" s="4">
        <f t="shared" ca="1" si="411"/>
        <v>25.226516085517915</v>
      </c>
      <c r="S4824" s="4">
        <f t="shared" ca="1" si="412"/>
        <v>13.028959072822095</v>
      </c>
    </row>
    <row r="4825" spans="15:19" x14ac:dyDescent="0.2">
      <c r="O4825" s="4">
        <f t="shared" ca="1" si="408"/>
        <v>0.5397234052757075</v>
      </c>
      <c r="P4825" s="4">
        <f t="shared" ca="1" si="409"/>
        <v>9.9736919111635125E-2</v>
      </c>
      <c r="Q4825" s="4">
        <f t="shared" ca="1" si="410"/>
        <v>1921.3823809945202</v>
      </c>
      <c r="R4825" s="4">
        <f t="shared" ca="1" si="411"/>
        <v>-2.2876630054797715</v>
      </c>
      <c r="S4825" s="4">
        <f t="shared" ca="1" si="412"/>
        <v>-1.1559070639057778</v>
      </c>
    </row>
    <row r="4826" spans="15:19" x14ac:dyDescent="0.2">
      <c r="O4826" s="4">
        <f t="shared" ca="1" si="408"/>
        <v>0.66018734967758641</v>
      </c>
      <c r="P4826" s="4">
        <f t="shared" ca="1" si="409"/>
        <v>0.41297449451018792</v>
      </c>
      <c r="Q4826" s="4">
        <f t="shared" ca="1" si="410"/>
        <v>1915.4720040632158</v>
      </c>
      <c r="R4826" s="4">
        <f t="shared" ca="1" si="411"/>
        <v>-8.1980399367841983</v>
      </c>
      <c r="S4826" s="4">
        <f t="shared" ca="1" si="412"/>
        <v>-4.1225698639793675</v>
      </c>
    </row>
    <row r="4827" spans="15:19" x14ac:dyDescent="0.2">
      <c r="O4827" s="4">
        <f t="shared" ca="1" si="408"/>
        <v>0.55697797584889008</v>
      </c>
      <c r="P4827" s="4">
        <f t="shared" ca="1" si="409"/>
        <v>0.14331165903354062</v>
      </c>
      <c r="Q4827" s="4">
        <f t="shared" ca="1" si="410"/>
        <v>1920.5601835385019</v>
      </c>
      <c r="R4827" s="4">
        <f t="shared" ca="1" si="411"/>
        <v>-3.1098604614981014</v>
      </c>
      <c r="S4827" s="4">
        <f t="shared" ca="1" si="412"/>
        <v>-1.5703049654407855</v>
      </c>
    </row>
    <row r="4828" spans="15:19" x14ac:dyDescent="0.2">
      <c r="O4828" s="4">
        <f t="shared" ca="1" si="408"/>
        <v>0.85583765079189211</v>
      </c>
      <c r="P4828" s="4">
        <f t="shared" ca="1" si="409"/>
        <v>1.0618039452064769</v>
      </c>
      <c r="Q4828" s="4">
        <f t="shared" ca="1" si="410"/>
        <v>1903.2294542577945</v>
      </c>
      <c r="R4828" s="4">
        <f t="shared" ca="1" si="411"/>
        <v>-20.440589742205475</v>
      </c>
      <c r="S4828" s="4">
        <f t="shared" ca="1" si="412"/>
        <v>-10.17714600984508</v>
      </c>
    </row>
    <row r="4829" spans="15:19" x14ac:dyDescent="0.2">
      <c r="O4829" s="4">
        <f t="shared" ca="1" si="408"/>
        <v>0.34003703362664461</v>
      </c>
      <c r="P4829" s="4">
        <f t="shared" ca="1" si="409"/>
        <v>-0.41236206008928433</v>
      </c>
      <c r="Q4829" s="4">
        <f t="shared" ca="1" si="410"/>
        <v>1931.0450084406768</v>
      </c>
      <c r="R4829" s="4">
        <f t="shared" ca="1" si="411"/>
        <v>7.3749644406768766</v>
      </c>
      <c r="S4829" s="4">
        <f t="shared" ca="1" si="412"/>
        <v>3.7554197730485352</v>
      </c>
    </row>
    <row r="4830" spans="15:19" x14ac:dyDescent="0.2">
      <c r="O4830" s="4">
        <f t="shared" ca="1" si="408"/>
        <v>0.12768146205493569</v>
      </c>
      <c r="P4830" s="4">
        <f t="shared" ca="1" si="409"/>
        <v>-1.1374195842186152</v>
      </c>
      <c r="Q4830" s="4">
        <f t="shared" ca="1" si="410"/>
        <v>1944.7258807275666</v>
      </c>
      <c r="R4830" s="4">
        <f t="shared" ca="1" si="411"/>
        <v>21.055836727566657</v>
      </c>
      <c r="S4830" s="4">
        <f t="shared" ca="1" si="412"/>
        <v>10.839144224473038</v>
      </c>
    </row>
    <row r="4831" spans="15:19" x14ac:dyDescent="0.2">
      <c r="O4831" s="4">
        <f t="shared" ca="1" si="408"/>
        <v>0.75546204975043685</v>
      </c>
      <c r="P4831" s="4">
        <f t="shared" ca="1" si="409"/>
        <v>0.69177935975622518</v>
      </c>
      <c r="Q4831" s="4">
        <f t="shared" ca="1" si="410"/>
        <v>1910.2113266307942</v>
      </c>
      <c r="R4831" s="4">
        <f t="shared" ca="1" si="411"/>
        <v>-13.458717369205715</v>
      </c>
      <c r="S4831" s="4">
        <f t="shared" ca="1" si="412"/>
        <v>-6.7391992310074498</v>
      </c>
    </row>
    <row r="4832" spans="15:19" x14ac:dyDescent="0.2">
      <c r="O4832" s="4">
        <f t="shared" ca="1" si="408"/>
        <v>0.62116013661172875</v>
      </c>
      <c r="P4832" s="4">
        <f t="shared" ca="1" si="409"/>
        <v>0.30852914485121297</v>
      </c>
      <c r="Q4832" s="4">
        <f t="shared" ca="1" si="410"/>
        <v>1917.4427490621865</v>
      </c>
      <c r="R4832" s="4">
        <f t="shared" ca="1" si="411"/>
        <v>-6.2272949378134399</v>
      </c>
      <c r="S4832" s="4">
        <f t="shared" ca="1" si="412"/>
        <v>-3.1365318734549539</v>
      </c>
    </row>
    <row r="4833" spans="15:19" x14ac:dyDescent="0.2">
      <c r="O4833" s="4">
        <f t="shared" ca="1" si="408"/>
        <v>0.89611649268546578</v>
      </c>
      <c r="P4833" s="4">
        <f t="shared" ca="1" si="409"/>
        <v>1.259729347707087</v>
      </c>
      <c r="Q4833" s="4">
        <f t="shared" ca="1" si="410"/>
        <v>1899.4948648440873</v>
      </c>
      <c r="R4833" s="4">
        <f t="shared" ca="1" si="411"/>
        <v>-24.175179155912701</v>
      </c>
      <c r="S4833" s="4">
        <f t="shared" ca="1" si="412"/>
        <v>-11.999805234181256</v>
      </c>
    </row>
    <row r="4834" spans="15:19" x14ac:dyDescent="0.2">
      <c r="O4834" s="4">
        <f t="shared" ca="1" si="408"/>
        <v>0.81601085717233768</v>
      </c>
      <c r="P4834" s="4">
        <f t="shared" ca="1" si="409"/>
        <v>0.90026679811228982</v>
      </c>
      <c r="Q4834" s="4">
        <f t="shared" ca="1" si="410"/>
        <v>1906.2774456314967</v>
      </c>
      <c r="R4834" s="4">
        <f t="shared" ca="1" si="411"/>
        <v>-17.392598368503286</v>
      </c>
      <c r="S4834" s="4">
        <f t="shared" ca="1" si="412"/>
        <v>-8.6811642034883629</v>
      </c>
    </row>
    <row r="4835" spans="15:19" x14ac:dyDescent="0.2">
      <c r="O4835" s="4">
        <f t="shared" ca="1" si="408"/>
        <v>0.87602512670673216</v>
      </c>
      <c r="P4835" s="4">
        <f t="shared" ca="1" si="409"/>
        <v>1.1553436038016267</v>
      </c>
      <c r="Q4835" s="4">
        <f t="shared" ca="1" si="410"/>
        <v>1901.4644851616717</v>
      </c>
      <c r="R4835" s="4">
        <f t="shared" ca="1" si="411"/>
        <v>-22.205558838328216</v>
      </c>
      <c r="S4835" s="4">
        <f t="shared" ca="1" si="412"/>
        <v>-11.039950905781444</v>
      </c>
    </row>
    <row r="4836" spans="15:19" x14ac:dyDescent="0.2">
      <c r="O4836" s="4">
        <f t="shared" ca="1" si="408"/>
        <v>0.11824264381894201</v>
      </c>
      <c r="P4836" s="4">
        <f t="shared" ca="1" si="409"/>
        <v>-1.1838175647886233</v>
      </c>
      <c r="Q4836" s="4">
        <f t="shared" ca="1" si="410"/>
        <v>1945.6013489841164</v>
      </c>
      <c r="R4836" s="4">
        <f t="shared" ca="1" si="411"/>
        <v>21.931304984116423</v>
      </c>
      <c r="S4836" s="4">
        <f t="shared" ca="1" si="412"/>
        <v>11.297634424649472</v>
      </c>
    </row>
    <row r="4837" spans="15:19" x14ac:dyDescent="0.2">
      <c r="O4837" s="4">
        <f t="shared" ca="1" si="408"/>
        <v>0.8077977592989658</v>
      </c>
      <c r="P4837" s="4">
        <f t="shared" ca="1" si="409"/>
        <v>0.86980956871892123</v>
      </c>
      <c r="Q4837" s="4">
        <f t="shared" ca="1" si="410"/>
        <v>1906.852133089631</v>
      </c>
      <c r="R4837" s="4">
        <f t="shared" ca="1" si="411"/>
        <v>-16.817910910368937</v>
      </c>
      <c r="S4837" s="4">
        <f t="shared" ca="1" si="412"/>
        <v>-8.3982549068755041</v>
      </c>
    </row>
    <row r="4838" spans="15:19" x14ac:dyDescent="0.2">
      <c r="O4838" s="4">
        <f t="shared" ca="1" si="408"/>
        <v>0.77807262848443814</v>
      </c>
      <c r="P4838" s="4">
        <f t="shared" ca="1" si="409"/>
        <v>0.76570014120775121</v>
      </c>
      <c r="Q4838" s="4">
        <f t="shared" ca="1" si="410"/>
        <v>1908.8165396839242</v>
      </c>
      <c r="R4838" s="4">
        <f t="shared" ca="1" si="411"/>
        <v>-14.853504316075714</v>
      </c>
      <c r="S4838" s="4">
        <f t="shared" ca="1" si="412"/>
        <v>-7.4291790781104847</v>
      </c>
    </row>
    <row r="4839" spans="15:19" x14ac:dyDescent="0.2">
      <c r="O4839" s="4">
        <f t="shared" ca="1" si="408"/>
        <v>3.9815014256876502E-2</v>
      </c>
      <c r="P4839" s="4">
        <f t="shared" ca="1" si="409"/>
        <v>-1.7528367761680157</v>
      </c>
      <c r="Q4839" s="4">
        <f t="shared" ca="1" si="410"/>
        <v>1956.3379855965234</v>
      </c>
      <c r="R4839" s="4">
        <f t="shared" ca="1" si="411"/>
        <v>32.667941596523406</v>
      </c>
      <c r="S4839" s="4">
        <f t="shared" ca="1" si="412"/>
        <v>16.971254016991455</v>
      </c>
    </row>
    <row r="4840" spans="15:19" x14ac:dyDescent="0.2">
      <c r="O4840" s="4">
        <f t="shared" ca="1" si="408"/>
        <v>0.71422138656499667</v>
      </c>
      <c r="P4840" s="4">
        <f t="shared" ca="1" si="409"/>
        <v>0.5657595803005443</v>
      </c>
      <c r="Q4840" s="4">
        <f t="shared" ca="1" si="410"/>
        <v>1912.5891524597525</v>
      </c>
      <c r="R4840" s="4">
        <f t="shared" ca="1" si="411"/>
        <v>-11.080891540247421</v>
      </c>
      <c r="S4840" s="4">
        <f t="shared" ca="1" si="412"/>
        <v>-5.5592733679646731</v>
      </c>
    </row>
    <row r="4841" spans="15:19" x14ac:dyDescent="0.2">
      <c r="O4841" s="4">
        <f t="shared" ca="1" si="408"/>
        <v>0.19013147134485553</v>
      </c>
      <c r="P4841" s="4">
        <f t="shared" ca="1" si="409"/>
        <v>-0.87741191694237419</v>
      </c>
      <c r="Q4841" s="4">
        <f t="shared" ca="1" si="410"/>
        <v>1939.8198814499369</v>
      </c>
      <c r="R4841" s="4">
        <f t="shared" ca="1" si="411"/>
        <v>16.149837449936967</v>
      </c>
      <c r="S4841" s="4">
        <f t="shared" ca="1" si="412"/>
        <v>8.2813765791652116</v>
      </c>
    </row>
    <row r="4842" spans="15:19" x14ac:dyDescent="0.2">
      <c r="O4842" s="4">
        <f t="shared" ca="1" si="408"/>
        <v>0.77549202952633534</v>
      </c>
      <c r="P4842" s="4">
        <f t="shared" ca="1" si="409"/>
        <v>0.7570566213774288</v>
      </c>
      <c r="Q4842" s="4">
        <f t="shared" ca="1" si="410"/>
        <v>1908.9796314207488</v>
      </c>
      <c r="R4842" s="4">
        <f t="shared" ca="1" si="411"/>
        <v>-14.690412579251188</v>
      </c>
      <c r="S4842" s="4">
        <f t="shared" ca="1" si="412"/>
        <v>-7.3485818530855234</v>
      </c>
    </row>
    <row r="4843" spans="15:19" x14ac:dyDescent="0.2">
      <c r="O4843" s="4">
        <f t="shared" ca="1" si="408"/>
        <v>0.11734164385269841</v>
      </c>
      <c r="P4843" s="4">
        <f t="shared" ca="1" si="409"/>
        <v>-1.1883811290373829</v>
      </c>
      <c r="Q4843" s="4">
        <f t="shared" ca="1" si="410"/>
        <v>1945.6874573790815</v>
      </c>
      <c r="R4843" s="4">
        <f t="shared" ca="1" si="411"/>
        <v>22.017413379081518</v>
      </c>
      <c r="S4843" s="4">
        <f t="shared" ca="1" si="412"/>
        <v>11.342763831493839</v>
      </c>
    </row>
    <row r="4844" spans="15:19" x14ac:dyDescent="0.2">
      <c r="O4844" s="4">
        <f t="shared" ca="1" si="408"/>
        <v>0.85921150037107885</v>
      </c>
      <c r="P4844" s="4">
        <f t="shared" ca="1" si="409"/>
        <v>1.0767834980137334</v>
      </c>
      <c r="Q4844" s="4">
        <f t="shared" ca="1" si="410"/>
        <v>1902.9468099957176</v>
      </c>
      <c r="R4844" s="4">
        <f t="shared" ca="1" si="411"/>
        <v>-20.723234004282403</v>
      </c>
      <c r="S4844" s="4">
        <f t="shared" ca="1" si="412"/>
        <v>-10.315487167895395</v>
      </c>
    </row>
    <row r="4845" spans="15:19" x14ac:dyDescent="0.2">
      <c r="O4845" s="4">
        <f t="shared" ca="1" si="408"/>
        <v>0.2983648206190247</v>
      </c>
      <c r="P4845" s="4">
        <f t="shared" ca="1" si="409"/>
        <v>-0.5291092843387607</v>
      </c>
      <c r="Q4845" s="4">
        <f t="shared" ca="1" si="410"/>
        <v>1933.2478734709018</v>
      </c>
      <c r="R4845" s="4">
        <f t="shared" ca="1" si="411"/>
        <v>9.577829470901861</v>
      </c>
      <c r="S4845" s="4">
        <f t="shared" ca="1" si="412"/>
        <v>4.8857335131855324</v>
      </c>
    </row>
    <row r="4846" spans="15:19" x14ac:dyDescent="0.2">
      <c r="O4846" s="4">
        <f t="shared" ca="1" si="408"/>
        <v>0.77008384671253605</v>
      </c>
      <c r="P4846" s="4">
        <f t="shared" ca="1" si="409"/>
        <v>0.73912300856946589</v>
      </c>
      <c r="Q4846" s="4">
        <f t="shared" ca="1" si="410"/>
        <v>1909.3180148707554</v>
      </c>
      <c r="R4846" s="4">
        <f t="shared" ca="1" si="411"/>
        <v>-14.352029129244556</v>
      </c>
      <c r="S4846" s="4">
        <f t="shared" ca="1" si="412"/>
        <v>-7.1812893015929991</v>
      </c>
    </row>
    <row r="4847" spans="15:19" x14ac:dyDescent="0.2">
      <c r="O4847" s="4">
        <f t="shared" ca="1" si="408"/>
        <v>0.15138773288899476</v>
      </c>
      <c r="P4847" s="4">
        <f t="shared" ca="1" si="409"/>
        <v>-1.0304997580340338</v>
      </c>
      <c r="Q4847" s="4">
        <f t="shared" ca="1" si="410"/>
        <v>1942.7084456437444</v>
      </c>
      <c r="R4847" s="4">
        <f t="shared" ca="1" si="411"/>
        <v>19.038401643744464</v>
      </c>
      <c r="S4847" s="4">
        <f t="shared" ca="1" si="412"/>
        <v>9.7849720030365805</v>
      </c>
    </row>
    <row r="4848" spans="15:19" x14ac:dyDescent="0.2">
      <c r="O4848" s="4">
        <f t="shared" ca="1" si="408"/>
        <v>0.78400932734445072</v>
      </c>
      <c r="P4848" s="4">
        <f t="shared" ca="1" si="409"/>
        <v>0.78580566828611675</v>
      </c>
      <c r="Q4848" s="4">
        <f t="shared" ca="1" si="410"/>
        <v>1908.4371750968869</v>
      </c>
      <c r="R4848" s="4">
        <f t="shared" ca="1" si="411"/>
        <v>-15.232868903113058</v>
      </c>
      <c r="S4848" s="4">
        <f t="shared" ca="1" si="412"/>
        <v>-7.6165709800344432</v>
      </c>
    </row>
    <row r="4849" spans="15:19" x14ac:dyDescent="0.2">
      <c r="O4849" s="4">
        <f t="shared" ca="1" si="408"/>
        <v>0.62576466361597272</v>
      </c>
      <c r="P4849" s="4">
        <f t="shared" ca="1" si="409"/>
        <v>0.32065655675076671</v>
      </c>
      <c r="Q4849" s="4">
        <f t="shared" ca="1" si="410"/>
        <v>1917.2139209101476</v>
      </c>
      <c r="R4849" s="4">
        <f t="shared" ca="1" si="411"/>
        <v>-6.4561230898523263</v>
      </c>
      <c r="S4849" s="4">
        <f t="shared" ca="1" si="412"/>
        <v>-3.2511854789464274</v>
      </c>
    </row>
    <row r="4850" spans="15:19" x14ac:dyDescent="0.2">
      <c r="O4850" s="4">
        <f t="shared" ca="1" si="408"/>
        <v>0.21369142290331522</v>
      </c>
      <c r="P4850" s="4">
        <f t="shared" ca="1" si="409"/>
        <v>-0.79367811185989434</v>
      </c>
      <c r="Q4850" s="4">
        <f t="shared" ca="1" si="410"/>
        <v>1938.2399357831373</v>
      </c>
      <c r="R4850" s="4">
        <f t="shared" ca="1" si="411"/>
        <v>14.569891783137336</v>
      </c>
      <c r="S4850" s="4">
        <f t="shared" ca="1" si="412"/>
        <v>7.4618352975506825</v>
      </c>
    </row>
    <row r="4851" spans="15:19" x14ac:dyDescent="0.2">
      <c r="O4851" s="4">
        <f t="shared" ca="1" si="408"/>
        <v>0.33326786355907423</v>
      </c>
      <c r="P4851" s="4">
        <f t="shared" ca="1" si="409"/>
        <v>-0.43090736627601134</v>
      </c>
      <c r="Q4851" s="4">
        <f t="shared" ca="1" si="410"/>
        <v>1931.3949337321444</v>
      </c>
      <c r="R4851" s="4">
        <f t="shared" ca="1" si="411"/>
        <v>7.7248897321444474</v>
      </c>
      <c r="S4851" s="4">
        <f t="shared" ca="1" si="412"/>
        <v>3.9347062639460537</v>
      </c>
    </row>
    <row r="4852" spans="15:19" x14ac:dyDescent="0.2">
      <c r="O4852" s="4">
        <f t="shared" ca="1" si="408"/>
        <v>0.83806239489641621</v>
      </c>
      <c r="P4852" s="4">
        <f t="shared" ca="1" si="409"/>
        <v>0.98652570002141116</v>
      </c>
      <c r="Q4852" s="4">
        <f t="shared" ca="1" si="410"/>
        <v>1904.649854742011</v>
      </c>
      <c r="R4852" s="4">
        <f t="shared" ca="1" si="411"/>
        <v>-19.020189257988932</v>
      </c>
      <c r="S4852" s="4">
        <f t="shared" ca="1" si="412"/>
        <v>-9.4809416467630232</v>
      </c>
    </row>
    <row r="4853" spans="15:19" x14ac:dyDescent="0.2">
      <c r="O4853" s="4">
        <f t="shared" ca="1" si="408"/>
        <v>0.12661254374526598</v>
      </c>
      <c r="P4853" s="4">
        <f t="shared" ca="1" si="409"/>
        <v>-1.142550933340172</v>
      </c>
      <c r="Q4853" s="4">
        <f t="shared" ca="1" si="410"/>
        <v>1944.8227024688149</v>
      </c>
      <c r="R4853" s="4">
        <f t="shared" ca="1" si="411"/>
        <v>21.152658468814934</v>
      </c>
      <c r="S4853" s="4">
        <f t="shared" ca="1" si="412"/>
        <v>10.889819908057671</v>
      </c>
    </row>
    <row r="4854" spans="15:19" x14ac:dyDescent="0.2">
      <c r="O4854" s="4">
        <f t="shared" ca="1" si="408"/>
        <v>0.292578257945042</v>
      </c>
      <c r="P4854" s="4">
        <f t="shared" ca="1" si="409"/>
        <v>-0.54586823338873913</v>
      </c>
      <c r="Q4854" s="4">
        <f t="shared" ca="1" si="410"/>
        <v>1933.5640925762623</v>
      </c>
      <c r="R4854" s="4">
        <f t="shared" ca="1" si="411"/>
        <v>9.8940485762623211</v>
      </c>
      <c r="S4854" s="4">
        <f t="shared" ca="1" si="412"/>
        <v>5.048313201505656</v>
      </c>
    </row>
    <row r="4855" spans="15:19" x14ac:dyDescent="0.2">
      <c r="O4855" s="4">
        <f t="shared" ca="1" si="408"/>
        <v>0.36893640734723099</v>
      </c>
      <c r="P4855" s="4">
        <f t="shared" ca="1" si="409"/>
        <v>-0.33467161649070715</v>
      </c>
      <c r="Q4855" s="4">
        <f t="shared" ca="1" si="410"/>
        <v>1929.5790929768516</v>
      </c>
      <c r="R4855" s="4">
        <f t="shared" ca="1" si="411"/>
        <v>5.9090489768516363</v>
      </c>
      <c r="S4855" s="4">
        <f t="shared" ca="1" si="412"/>
        <v>3.005432049746501</v>
      </c>
    </row>
    <row r="4856" spans="15:19" x14ac:dyDescent="0.2">
      <c r="O4856" s="4">
        <f t="shared" ca="1" si="408"/>
        <v>7.6008513762213514E-3</v>
      </c>
      <c r="P4856" s="4">
        <f t="shared" ca="1" si="409"/>
        <v>-2.4275377969487644</v>
      </c>
      <c r="Q4856" s="4">
        <f t="shared" ca="1" si="410"/>
        <v>1969.0686975606807</v>
      </c>
      <c r="R4856" s="4">
        <f t="shared" ca="1" si="411"/>
        <v>45.398653560680714</v>
      </c>
      <c r="S4856" s="4">
        <f t="shared" ca="1" si="412"/>
        <v>23.82022814704613</v>
      </c>
    </row>
    <row r="4857" spans="15:19" x14ac:dyDescent="0.2">
      <c r="O4857" s="4">
        <f t="shared" ca="1" si="408"/>
        <v>0.88666685815812218</v>
      </c>
      <c r="P4857" s="4">
        <f t="shared" ca="1" si="409"/>
        <v>1.208991050431381</v>
      </c>
      <c r="Q4857" s="4">
        <f t="shared" ca="1" si="410"/>
        <v>1900.4522291110352</v>
      </c>
      <c r="R4857" s="4">
        <f t="shared" ca="1" si="411"/>
        <v>-23.217814888964767</v>
      </c>
      <c r="S4857" s="4">
        <f t="shared" ca="1" si="412"/>
        <v>-11.533647756008387</v>
      </c>
    </row>
    <row r="4858" spans="15:19" x14ac:dyDescent="0.2">
      <c r="O4858" s="4">
        <f t="shared" ca="1" si="408"/>
        <v>0.6287938830088573</v>
      </c>
      <c r="P4858" s="4">
        <f t="shared" ca="1" si="409"/>
        <v>0.32866060526971008</v>
      </c>
      <c r="Q4858" s="4">
        <f t="shared" ca="1" si="410"/>
        <v>1917.0628951474716</v>
      </c>
      <c r="R4858" s="4">
        <f t="shared" ca="1" si="411"/>
        <v>-6.6071488525283257</v>
      </c>
      <c r="S4858" s="4">
        <f t="shared" ca="1" si="412"/>
        <v>-3.3268330962437753</v>
      </c>
    </row>
    <row r="4859" spans="15:19" x14ac:dyDescent="0.2">
      <c r="O4859" s="4">
        <f t="shared" ca="1" si="408"/>
        <v>0.30521626353851405</v>
      </c>
      <c r="P4859" s="4">
        <f t="shared" ca="1" si="409"/>
        <v>-0.50945615002843869</v>
      </c>
      <c r="Q4859" s="4">
        <f t="shared" ca="1" si="410"/>
        <v>1932.877044934422</v>
      </c>
      <c r="R4859" s="4">
        <f t="shared" ca="1" si="411"/>
        <v>9.2070009344220125</v>
      </c>
      <c r="S4859" s="4">
        <f t="shared" ca="1" si="412"/>
        <v>4.6951808514408535</v>
      </c>
    </row>
    <row r="4860" spans="15:19" x14ac:dyDescent="0.2">
      <c r="O4860" s="4">
        <f t="shared" ca="1" si="408"/>
        <v>0.73390524949604097</v>
      </c>
      <c r="P4860" s="4">
        <f t="shared" ca="1" si="409"/>
        <v>0.62466720570300038</v>
      </c>
      <c r="Q4860" s="4">
        <f t="shared" ca="1" si="410"/>
        <v>1911.4776438234926</v>
      </c>
      <c r="R4860" s="4">
        <f t="shared" ca="1" si="411"/>
        <v>-12.192400176507363</v>
      </c>
      <c r="S4860" s="4">
        <f t="shared" ca="1" si="412"/>
        <v>-6.1113996708499547</v>
      </c>
    </row>
    <row r="4861" spans="15:19" x14ac:dyDescent="0.2">
      <c r="O4861" s="4">
        <f t="shared" ca="1" si="408"/>
        <v>0.66349695806046516</v>
      </c>
      <c r="P4861" s="4">
        <f t="shared" ca="1" si="409"/>
        <v>0.42202593971925562</v>
      </c>
      <c r="Q4861" s="4">
        <f t="shared" ca="1" si="410"/>
        <v>1915.3012153163977</v>
      </c>
      <c r="R4861" s="4">
        <f t="shared" ca="1" si="411"/>
        <v>-8.3688286836022598</v>
      </c>
      <c r="S4861" s="4">
        <f t="shared" ca="1" si="412"/>
        <v>-4.2078730246733453</v>
      </c>
    </row>
    <row r="4862" spans="15:19" x14ac:dyDescent="0.2">
      <c r="O4862" s="4">
        <f t="shared" ca="1" si="408"/>
        <v>0.93129078279533961</v>
      </c>
      <c r="P4862" s="4">
        <f t="shared" ca="1" si="409"/>
        <v>1.4854735142089965</v>
      </c>
      <c r="Q4862" s="4">
        <f t="shared" ca="1" si="410"/>
        <v>1895.2353723091583</v>
      </c>
      <c r="R4862" s="4">
        <f t="shared" ca="1" si="411"/>
        <v>-28.434671690841697</v>
      </c>
      <c r="S4862" s="4">
        <f t="shared" ca="1" si="412"/>
        <v>-14.064781418160301</v>
      </c>
    </row>
    <row r="4863" spans="15:19" x14ac:dyDescent="0.2">
      <c r="O4863" s="4">
        <f t="shared" ca="1" si="408"/>
        <v>0.93271711654661704</v>
      </c>
      <c r="P4863" s="4">
        <f t="shared" ca="1" si="409"/>
        <v>1.4963373490119709</v>
      </c>
      <c r="Q4863" s="4">
        <f t="shared" ca="1" si="410"/>
        <v>1895.0303861783491</v>
      </c>
      <c r="R4863" s="4">
        <f t="shared" ca="1" si="411"/>
        <v>-28.639657821650871</v>
      </c>
      <c r="S4863" s="4">
        <f t="shared" ca="1" si="412"/>
        <v>-14.163784920981024</v>
      </c>
    </row>
    <row r="4864" spans="15:19" x14ac:dyDescent="0.2">
      <c r="O4864" s="4">
        <f t="shared" ca="1" si="408"/>
        <v>0.32816441245370709</v>
      </c>
      <c r="P4864" s="4">
        <f t="shared" ca="1" si="409"/>
        <v>-0.44498744825668396</v>
      </c>
      <c r="Q4864" s="4">
        <f t="shared" ca="1" si="410"/>
        <v>1931.6606061746143</v>
      </c>
      <c r="R4864" s="4">
        <f t="shared" ca="1" si="411"/>
        <v>7.990562174614297</v>
      </c>
      <c r="S4864" s="4">
        <f t="shared" ca="1" si="412"/>
        <v>4.0708918367239066</v>
      </c>
    </row>
    <row r="4865" spans="15:19" x14ac:dyDescent="0.2">
      <c r="O4865" s="4">
        <f t="shared" ca="1" si="408"/>
        <v>0.35940814647210317</v>
      </c>
      <c r="P4865" s="4">
        <f t="shared" ca="1" si="409"/>
        <v>-0.36004124093876805</v>
      </c>
      <c r="Q4865" s="4">
        <f t="shared" ca="1" si="410"/>
        <v>1930.057784088232</v>
      </c>
      <c r="R4865" s="4">
        <f t="shared" ca="1" si="411"/>
        <v>6.3877400882320217</v>
      </c>
      <c r="S4865" s="4">
        <f t="shared" ca="1" si="412"/>
        <v>3.2501463365442138</v>
      </c>
    </row>
    <row r="4866" spans="15:19" x14ac:dyDescent="0.2">
      <c r="O4866" s="4">
        <f t="shared" ca="1" si="408"/>
        <v>0.22862729400217208</v>
      </c>
      <c r="P4866" s="4">
        <f t="shared" ca="1" si="409"/>
        <v>-0.74337514489602041</v>
      </c>
      <c r="Q4866" s="4">
        <f t="shared" ca="1" si="410"/>
        <v>1937.2907856208642</v>
      </c>
      <c r="R4866" s="4">
        <f t="shared" ca="1" si="411"/>
        <v>13.620741620864237</v>
      </c>
      <c r="S4866" s="4">
        <f t="shared" ca="1" si="412"/>
        <v>6.9704741785711724</v>
      </c>
    </row>
    <row r="4867" spans="15:19" x14ac:dyDescent="0.2">
      <c r="O4867" s="4">
        <f t="shared" ref="O4867:O4930" ca="1" si="413">RAND()</f>
        <v>0.52875183244788138</v>
      </c>
      <c r="P4867" s="4">
        <f t="shared" ref="P4867:P4930" ca="1" si="414">NORMSINV(O4867)</f>
        <v>7.2132659859612369E-2</v>
      </c>
      <c r="Q4867" s="4">
        <f t="shared" ref="Q4867:Q4930" ca="1" si="415">$B$4*(1+$B$17-$B$32*P4867)</f>
        <v>1921.9032366960791</v>
      </c>
      <c r="R4867" s="4">
        <f t="shared" ref="R4867:R4930" ca="1" si="416">Q4867-$B$4</f>
        <v>-1.7668073039208139</v>
      </c>
      <c r="S4867" s="4">
        <f t="shared" ref="S4867:S4930" ca="1" si="417">R4867*$B$12+0.5*$B$13*R4867^2</f>
        <v>-0.89310445238358882</v>
      </c>
    </row>
    <row r="4868" spans="15:19" x14ac:dyDescent="0.2">
      <c r="O4868" s="4">
        <f t="shared" ca="1" si="413"/>
        <v>0.75666099300787404</v>
      </c>
      <c r="P4868" s="4">
        <f t="shared" ca="1" si="414"/>
        <v>0.69560215859177288</v>
      </c>
      <c r="Q4868" s="4">
        <f t="shared" ca="1" si="415"/>
        <v>1910.1391954951159</v>
      </c>
      <c r="R4868" s="4">
        <f t="shared" ca="1" si="416"/>
        <v>-13.530848504884034</v>
      </c>
      <c r="S4868" s="4">
        <f t="shared" ca="1" si="417"/>
        <v>-6.7749202409061917</v>
      </c>
    </row>
    <row r="4869" spans="15:19" x14ac:dyDescent="0.2">
      <c r="O4869" s="4">
        <f t="shared" ca="1" si="413"/>
        <v>2.4507197903483435E-2</v>
      </c>
      <c r="P4869" s="4">
        <f t="shared" ca="1" si="414"/>
        <v>-1.9684664229572213</v>
      </c>
      <c r="Q4869" s="4">
        <f t="shared" ca="1" si="415"/>
        <v>1960.4066305809788</v>
      </c>
      <c r="R4869" s="4">
        <f t="shared" ca="1" si="416"/>
        <v>36.736586580978837</v>
      </c>
      <c r="S4869" s="4">
        <f t="shared" ca="1" si="417"/>
        <v>19.145791139128335</v>
      </c>
    </row>
    <row r="4870" spans="15:19" x14ac:dyDescent="0.2">
      <c r="O4870" s="4">
        <f t="shared" ca="1" si="413"/>
        <v>0.10386603431434926</v>
      </c>
      <c r="P4870" s="4">
        <f t="shared" ca="1" si="414"/>
        <v>-1.2598261930585368</v>
      </c>
      <c r="Q4870" s="4">
        <f t="shared" ca="1" si="415"/>
        <v>1947.0355308268756</v>
      </c>
      <c r="R4870" s="4">
        <f t="shared" ca="1" si="416"/>
        <v>23.365486826875667</v>
      </c>
      <c r="S4870" s="4">
        <f t="shared" ca="1" si="417"/>
        <v>12.05007609969352</v>
      </c>
    </row>
    <row r="4871" spans="15:19" x14ac:dyDescent="0.2">
      <c r="O4871" s="4">
        <f t="shared" ca="1" si="413"/>
        <v>0.96767508198266594</v>
      </c>
      <c r="P4871" s="4">
        <f t="shared" ca="1" si="414"/>
        <v>1.8476717988610349</v>
      </c>
      <c r="Q4871" s="4">
        <f t="shared" ca="1" si="415"/>
        <v>1888.4011718354711</v>
      </c>
      <c r="R4871" s="4">
        <f t="shared" ca="1" si="416"/>
        <v>-35.26887216452883</v>
      </c>
      <c r="S4871" s="4">
        <f t="shared" ca="1" si="417"/>
        <v>-17.347097844616755</v>
      </c>
    </row>
    <row r="4872" spans="15:19" x14ac:dyDescent="0.2">
      <c r="O4872" s="4">
        <f t="shared" ca="1" si="413"/>
        <v>0.99731518671881536</v>
      </c>
      <c r="P4872" s="4">
        <f t="shared" ca="1" si="414"/>
        <v>2.7839804800020298</v>
      </c>
      <c r="Q4872" s="4">
        <f t="shared" ca="1" si="415"/>
        <v>1870.7342708496792</v>
      </c>
      <c r="R4872" s="4">
        <f t="shared" ca="1" si="416"/>
        <v>-52.935773150320756</v>
      </c>
      <c r="S4872" s="4">
        <f t="shared" ca="1" si="417"/>
        <v>-25.655919081350209</v>
      </c>
    </row>
    <row r="4873" spans="15:19" x14ac:dyDescent="0.2">
      <c r="O4873" s="4">
        <f t="shared" ca="1" si="413"/>
        <v>0.30934462723619727</v>
      </c>
      <c r="P4873" s="4">
        <f t="shared" ca="1" si="414"/>
        <v>-0.49770887117498475</v>
      </c>
      <c r="Q4873" s="4">
        <f t="shared" ca="1" si="415"/>
        <v>1932.6553893879798</v>
      </c>
      <c r="R4873" s="4">
        <f t="shared" ca="1" si="416"/>
        <v>8.9853453879798053</v>
      </c>
      <c r="S4873" s="4">
        <f t="shared" ca="1" si="417"/>
        <v>4.5813351627611443</v>
      </c>
    </row>
    <row r="4874" spans="15:19" x14ac:dyDescent="0.2">
      <c r="O4874" s="4">
        <f t="shared" ca="1" si="413"/>
        <v>0.5157513620448454</v>
      </c>
      <c r="P4874" s="4">
        <f t="shared" ca="1" si="414"/>
        <v>3.9493073307256363E-2</v>
      </c>
      <c r="Q4874" s="4">
        <f t="shared" ca="1" si="415"/>
        <v>1922.5191023346792</v>
      </c>
      <c r="R4874" s="4">
        <f t="shared" ca="1" si="416"/>
        <v>-1.1509416653207154</v>
      </c>
      <c r="S4874" s="4">
        <f t="shared" ca="1" si="417"/>
        <v>-0.58207871329530836</v>
      </c>
    </row>
    <row r="4875" spans="15:19" x14ac:dyDescent="0.2">
      <c r="O4875" s="4">
        <f t="shared" ca="1" si="413"/>
        <v>0.4912199052813736</v>
      </c>
      <c r="P4875" s="4">
        <f t="shared" ca="1" si="414"/>
        <v>-2.2010210685314155E-2</v>
      </c>
      <c r="Q4875" s="4">
        <f t="shared" ca="1" si="415"/>
        <v>1923.6795876003648</v>
      </c>
      <c r="R4875" s="4">
        <f t="shared" ca="1" si="416"/>
        <v>9.5436003648501355E-3</v>
      </c>
      <c r="S4875" s="4">
        <f t="shared" ca="1" si="417"/>
        <v>4.8311010593408039E-3</v>
      </c>
    </row>
    <row r="4876" spans="15:19" x14ac:dyDescent="0.2">
      <c r="O4876" s="4">
        <f t="shared" ca="1" si="413"/>
        <v>0.44638168544470502</v>
      </c>
      <c r="P4876" s="4">
        <f t="shared" ca="1" si="414"/>
        <v>-0.13480839157593028</v>
      </c>
      <c r="Q4876" s="4">
        <f t="shared" ca="1" si="415"/>
        <v>1925.8079394284646</v>
      </c>
      <c r="R4876" s="4">
        <f t="shared" ca="1" si="416"/>
        <v>2.137895428464617</v>
      </c>
      <c r="S4876" s="4">
        <f t="shared" ca="1" si="417"/>
        <v>1.0840841556985479</v>
      </c>
    </row>
    <row r="4877" spans="15:19" x14ac:dyDescent="0.2">
      <c r="O4877" s="4">
        <f t="shared" ca="1" si="413"/>
        <v>5.8674018682294715E-2</v>
      </c>
      <c r="P4877" s="4">
        <f t="shared" ca="1" si="414"/>
        <v>-1.5660024765913485</v>
      </c>
      <c r="Q4877" s="4">
        <f t="shared" ca="1" si="415"/>
        <v>1952.8126705611567</v>
      </c>
      <c r="R4877" s="4">
        <f t="shared" ca="1" si="416"/>
        <v>29.142626561156703</v>
      </c>
      <c r="S4877" s="4">
        <f t="shared" ca="1" si="417"/>
        <v>15.09800392936984</v>
      </c>
    </row>
    <row r="4878" spans="15:19" x14ac:dyDescent="0.2">
      <c r="O4878" s="4">
        <f t="shared" ca="1" si="413"/>
        <v>0.68551893047027301</v>
      </c>
      <c r="P4878" s="4">
        <f t="shared" ca="1" si="414"/>
        <v>0.48318816332145664</v>
      </c>
      <c r="Q4878" s="4">
        <f t="shared" ca="1" si="415"/>
        <v>1914.1471654072009</v>
      </c>
      <c r="R4878" s="4">
        <f t="shared" ca="1" si="416"/>
        <v>-9.5228785927990884</v>
      </c>
      <c r="S4878" s="4">
        <f t="shared" ca="1" si="417"/>
        <v>-4.7836592584257582</v>
      </c>
    </row>
    <row r="4879" spans="15:19" x14ac:dyDescent="0.2">
      <c r="O4879" s="4">
        <f t="shared" ca="1" si="413"/>
        <v>0.92634650384703032</v>
      </c>
      <c r="P4879" s="4">
        <f t="shared" ca="1" si="414"/>
        <v>1.4491095469542827</v>
      </c>
      <c r="Q4879" s="4">
        <f t="shared" ca="1" si="415"/>
        <v>1895.9215120640056</v>
      </c>
      <c r="R4879" s="4">
        <f t="shared" ca="1" si="416"/>
        <v>-27.748531935994379</v>
      </c>
      <c r="S4879" s="4">
        <f t="shared" ca="1" si="417"/>
        <v>-13.733143080734104</v>
      </c>
    </row>
    <row r="4880" spans="15:19" x14ac:dyDescent="0.2">
      <c r="O4880" s="4">
        <f t="shared" ca="1" si="413"/>
        <v>0.62247856139078928</v>
      </c>
      <c r="P4880" s="4">
        <f t="shared" ca="1" si="414"/>
        <v>0.31199690270262842</v>
      </c>
      <c r="Q4880" s="4">
        <f t="shared" ca="1" si="415"/>
        <v>1917.377317078229</v>
      </c>
      <c r="R4880" s="4">
        <f t="shared" ca="1" si="416"/>
        <v>-6.2927269217709636</v>
      </c>
      <c r="S4880" s="4">
        <f t="shared" ca="1" si="417"/>
        <v>-3.1693207095070743</v>
      </c>
    </row>
    <row r="4881" spans="15:19" x14ac:dyDescent="0.2">
      <c r="O4881" s="4">
        <f t="shared" ca="1" si="413"/>
        <v>0.30299979574039371</v>
      </c>
      <c r="P4881" s="4">
        <f t="shared" ca="1" si="414"/>
        <v>-0.51579214189420164</v>
      </c>
      <c r="Q4881" s="4">
        <f t="shared" ca="1" si="415"/>
        <v>1932.9965966839609</v>
      </c>
      <c r="R4881" s="4">
        <f t="shared" ca="1" si="416"/>
        <v>9.3265526839609265</v>
      </c>
      <c r="S4881" s="4">
        <f t="shared" ca="1" si="417"/>
        <v>4.7566010689757094</v>
      </c>
    </row>
    <row r="4882" spans="15:19" x14ac:dyDescent="0.2">
      <c r="O4882" s="4">
        <f t="shared" ca="1" si="413"/>
        <v>0.12376754796993827</v>
      </c>
      <c r="P4882" s="4">
        <f t="shared" ca="1" si="414"/>
        <v>-1.1563571623601361</v>
      </c>
      <c r="Q4882" s="4">
        <f t="shared" ca="1" si="415"/>
        <v>1945.0832076697127</v>
      </c>
      <c r="R4882" s="4">
        <f t="shared" ca="1" si="416"/>
        <v>21.413163669712731</v>
      </c>
      <c r="S4882" s="4">
        <f t="shared" ca="1" si="417"/>
        <v>11.026204027539006</v>
      </c>
    </row>
    <row r="4883" spans="15:19" x14ac:dyDescent="0.2">
      <c r="O4883" s="4">
        <f t="shared" ca="1" si="413"/>
        <v>0.35909033880591801</v>
      </c>
      <c r="P4883" s="4">
        <f t="shared" ca="1" si="414"/>
        <v>-0.36089134002027778</v>
      </c>
      <c r="Q4883" s="4">
        <f t="shared" ca="1" si="415"/>
        <v>1930.0738243285971</v>
      </c>
      <c r="R4883" s="4">
        <f t="shared" ca="1" si="416"/>
        <v>6.4037803285971222</v>
      </c>
      <c r="S4883" s="4">
        <f t="shared" ca="1" si="417"/>
        <v>3.2583495854116196</v>
      </c>
    </row>
    <row r="4884" spans="15:19" x14ac:dyDescent="0.2">
      <c r="O4884" s="4">
        <f t="shared" ca="1" si="413"/>
        <v>0.32385126836550804</v>
      </c>
      <c r="P4884" s="4">
        <f t="shared" ca="1" si="414"/>
        <v>-0.45695618768810142</v>
      </c>
      <c r="Q4884" s="4">
        <f t="shared" ca="1" si="415"/>
        <v>1931.8864403879656</v>
      </c>
      <c r="R4884" s="4">
        <f t="shared" ca="1" si="416"/>
        <v>8.2163963879656876</v>
      </c>
      <c r="S4884" s="4">
        <f t="shared" ca="1" si="417"/>
        <v>4.1867012358145441</v>
      </c>
    </row>
    <row r="4885" spans="15:19" x14ac:dyDescent="0.2">
      <c r="O4885" s="4">
        <f t="shared" ca="1" si="413"/>
        <v>0.80120590054239982</v>
      </c>
      <c r="P4885" s="4">
        <f t="shared" ca="1" si="414"/>
        <v>0.84593644684126645</v>
      </c>
      <c r="Q4885" s="4">
        <f t="shared" ca="1" si="415"/>
        <v>1907.302587185518</v>
      </c>
      <c r="R4885" s="4">
        <f t="shared" ca="1" si="416"/>
        <v>-16.367456814482011</v>
      </c>
      <c r="S4885" s="4">
        <f t="shared" ca="1" si="417"/>
        <v>-8.1763156995218349</v>
      </c>
    </row>
    <row r="4886" spans="15:19" x14ac:dyDescent="0.2">
      <c r="O4886" s="4">
        <f t="shared" ca="1" si="413"/>
        <v>0.88615631098732595</v>
      </c>
      <c r="P4886" s="4">
        <f t="shared" ca="1" si="414"/>
        <v>1.2063375155611109</v>
      </c>
      <c r="Q4886" s="4">
        <f t="shared" ca="1" si="415"/>
        <v>1900.5022977889828</v>
      </c>
      <c r="R4886" s="4">
        <f t="shared" ca="1" si="416"/>
        <v>-23.167746211017175</v>
      </c>
      <c r="S4886" s="4">
        <f t="shared" ca="1" si="417"/>
        <v>-11.509247904321693</v>
      </c>
    </row>
    <row r="4887" spans="15:19" x14ac:dyDescent="0.2">
      <c r="O4887" s="4">
        <f t="shared" ca="1" si="413"/>
        <v>0.31855703409021707</v>
      </c>
      <c r="P4887" s="4">
        <f t="shared" ca="1" si="414"/>
        <v>-0.4717376383000787</v>
      </c>
      <c r="Q4887" s="4">
        <f t="shared" ca="1" si="415"/>
        <v>1932.1653467247838</v>
      </c>
      <c r="R4887" s="4">
        <f t="shared" ca="1" si="416"/>
        <v>8.4953027247838691</v>
      </c>
      <c r="S4887" s="4">
        <f t="shared" ca="1" si="417"/>
        <v>4.3297837045382446</v>
      </c>
    </row>
    <row r="4888" spans="15:19" x14ac:dyDescent="0.2">
      <c r="O4888" s="4">
        <f t="shared" ca="1" si="413"/>
        <v>0.16797821934349266</v>
      </c>
      <c r="P4888" s="4">
        <f t="shared" ca="1" si="414"/>
        <v>-0.96218548561979478</v>
      </c>
      <c r="Q4888" s="4">
        <f t="shared" ca="1" si="415"/>
        <v>1941.4194460745125</v>
      </c>
      <c r="R4888" s="4">
        <f t="shared" ca="1" si="416"/>
        <v>17.749402074512545</v>
      </c>
      <c r="S4888" s="4">
        <f t="shared" ca="1" si="417"/>
        <v>9.1131647913151088</v>
      </c>
    </row>
    <row r="4889" spans="15:19" x14ac:dyDescent="0.2">
      <c r="O4889" s="4">
        <f t="shared" ca="1" si="413"/>
        <v>0.18496111425133044</v>
      </c>
      <c r="P4889" s="4">
        <f t="shared" ca="1" si="414"/>
        <v>-0.89661905150093835</v>
      </c>
      <c r="Q4889" s="4">
        <f t="shared" ca="1" si="415"/>
        <v>1940.1822945635838</v>
      </c>
      <c r="R4889" s="4">
        <f t="shared" ca="1" si="416"/>
        <v>16.512250563583848</v>
      </c>
      <c r="S4889" s="4">
        <f t="shared" ca="1" si="417"/>
        <v>8.4696521943213092</v>
      </c>
    </row>
    <row r="4890" spans="15:19" x14ac:dyDescent="0.2">
      <c r="O4890" s="4">
        <f t="shared" ca="1" si="413"/>
        <v>0.2101806736153965</v>
      </c>
      <c r="P4890" s="4">
        <f t="shared" ca="1" si="414"/>
        <v>-0.80579450458353818</v>
      </c>
      <c r="Q4890" s="4">
        <f t="shared" ca="1" si="415"/>
        <v>1938.4685560179646</v>
      </c>
      <c r="R4890" s="4">
        <f t="shared" ca="1" si="416"/>
        <v>14.79851201796464</v>
      </c>
      <c r="S4890" s="4">
        <f t="shared" ca="1" si="417"/>
        <v>7.5802982485590604</v>
      </c>
    </row>
    <row r="4891" spans="15:19" x14ac:dyDescent="0.2">
      <c r="O4891" s="4">
        <f t="shared" ca="1" si="413"/>
        <v>0.88423445077624252</v>
      </c>
      <c r="P4891" s="4">
        <f t="shared" ca="1" si="414"/>
        <v>1.1964241071888226</v>
      </c>
      <c r="Q4891" s="4">
        <f t="shared" ca="1" si="415"/>
        <v>1900.6893506356266</v>
      </c>
      <c r="R4891" s="4">
        <f t="shared" ca="1" si="416"/>
        <v>-22.980693364373337</v>
      </c>
      <c r="S4891" s="4">
        <f t="shared" ca="1" si="417"/>
        <v>-11.418073822931019</v>
      </c>
    </row>
    <row r="4892" spans="15:19" x14ac:dyDescent="0.2">
      <c r="O4892" s="4">
        <f t="shared" ca="1" si="413"/>
        <v>0.65046420262570548</v>
      </c>
      <c r="P4892" s="4">
        <f t="shared" ca="1" si="414"/>
        <v>0.38657401963075266</v>
      </c>
      <c r="Q4892" s="4">
        <f t="shared" ca="1" si="415"/>
        <v>1915.9701459528162</v>
      </c>
      <c r="R4892" s="4">
        <f t="shared" ca="1" si="416"/>
        <v>-7.6998980471837513</v>
      </c>
      <c r="S4892" s="4">
        <f t="shared" ca="1" si="417"/>
        <v>-3.8736293159884774</v>
      </c>
    </row>
    <row r="4893" spans="15:19" x14ac:dyDescent="0.2">
      <c r="O4893" s="4">
        <f t="shared" ca="1" si="413"/>
        <v>0.11570893980334429</v>
      </c>
      <c r="P4893" s="4">
        <f t="shared" ca="1" si="414"/>
        <v>-1.1967144327593799</v>
      </c>
      <c r="Q4893" s="4">
        <f t="shared" ca="1" si="415"/>
        <v>1945.8446957500446</v>
      </c>
      <c r="R4893" s="4">
        <f t="shared" ca="1" si="416"/>
        <v>22.174651750044632</v>
      </c>
      <c r="S4893" s="4">
        <f t="shared" ca="1" si="417"/>
        <v>11.425188032188849</v>
      </c>
    </row>
    <row r="4894" spans="15:19" x14ac:dyDescent="0.2">
      <c r="O4894" s="4">
        <f t="shared" ca="1" si="413"/>
        <v>8.9763874646152542E-2</v>
      </c>
      <c r="P4894" s="4">
        <f t="shared" ca="1" si="414"/>
        <v>-1.3422105111857365</v>
      </c>
      <c r="Q4894" s="4">
        <f t="shared" ca="1" si="415"/>
        <v>1948.590013467538</v>
      </c>
      <c r="R4894" s="4">
        <f t="shared" ca="1" si="416"/>
        <v>24.919969467538067</v>
      </c>
      <c r="S4894" s="4">
        <f t="shared" ca="1" si="417"/>
        <v>12.867524608182512</v>
      </c>
    </row>
    <row r="4895" spans="15:19" x14ac:dyDescent="0.2">
      <c r="O4895" s="4">
        <f t="shared" ca="1" si="413"/>
        <v>8.2330941782920775E-2</v>
      </c>
      <c r="P4895" s="4">
        <f t="shared" ca="1" si="414"/>
        <v>-1.3895621252682597</v>
      </c>
      <c r="Q4895" s="4">
        <f t="shared" ca="1" si="415"/>
        <v>1949.483475521627</v>
      </c>
      <c r="R4895" s="4">
        <f t="shared" ca="1" si="416"/>
        <v>25.813431521627081</v>
      </c>
      <c r="S4895" s="4">
        <f t="shared" ca="1" si="417"/>
        <v>13.338255635272281</v>
      </c>
    </row>
    <row r="4896" spans="15:19" x14ac:dyDescent="0.2">
      <c r="O4896" s="4">
        <f t="shared" ca="1" si="413"/>
        <v>0.238232917658038</v>
      </c>
      <c r="P4896" s="4">
        <f t="shared" ca="1" si="414"/>
        <v>-0.71199828936221299</v>
      </c>
      <c r="Q4896" s="4">
        <f t="shared" ca="1" si="415"/>
        <v>1936.6987460391254</v>
      </c>
      <c r="R4896" s="4">
        <f t="shared" ca="1" si="416"/>
        <v>13.028702039125392</v>
      </c>
      <c r="S4896" s="4">
        <f t="shared" ca="1" si="417"/>
        <v>6.6643553982429413</v>
      </c>
    </row>
    <row r="4897" spans="15:19" x14ac:dyDescent="0.2">
      <c r="O4897" s="4">
        <f t="shared" ca="1" si="413"/>
        <v>0.21508885473224715</v>
      </c>
      <c r="P4897" s="4">
        <f t="shared" ca="1" si="414"/>
        <v>-0.78888759020728649</v>
      </c>
      <c r="Q4897" s="4">
        <f t="shared" ca="1" si="415"/>
        <v>1938.1495450034597</v>
      </c>
      <c r="R4897" s="4">
        <f t="shared" ca="1" si="416"/>
        <v>14.479501003459745</v>
      </c>
      <c r="S4897" s="4">
        <f t="shared" ca="1" si="417"/>
        <v>7.4150097182499106</v>
      </c>
    </row>
    <row r="4898" spans="15:19" x14ac:dyDescent="0.2">
      <c r="O4898" s="4">
        <f t="shared" ca="1" si="413"/>
        <v>0.52389182288425251</v>
      </c>
      <c r="P4898" s="4">
        <f t="shared" ca="1" si="414"/>
        <v>5.9923762412222734E-2</v>
      </c>
      <c r="Q4898" s="4">
        <f t="shared" ca="1" si="415"/>
        <v>1922.1336023721572</v>
      </c>
      <c r="R4898" s="4">
        <f t="shared" ca="1" si="416"/>
        <v>-1.5364416278428052</v>
      </c>
      <c r="S4898" s="4">
        <f t="shared" ca="1" si="417"/>
        <v>-0.7768008521761447</v>
      </c>
    </row>
    <row r="4899" spans="15:19" x14ac:dyDescent="0.2">
      <c r="O4899" s="4">
        <f t="shared" ca="1" si="413"/>
        <v>0.113548578903794</v>
      </c>
      <c r="P4899" s="4">
        <f t="shared" ca="1" si="414"/>
        <v>-1.2078702933915919</v>
      </c>
      <c r="Q4899" s="4">
        <f t="shared" ca="1" si="415"/>
        <v>1946.0551920203138</v>
      </c>
      <c r="R4899" s="4">
        <f t="shared" ca="1" si="416"/>
        <v>22.385148020313864</v>
      </c>
      <c r="S4899" s="4">
        <f t="shared" ca="1" si="417"/>
        <v>11.535561481668662</v>
      </c>
    </row>
    <row r="4900" spans="15:19" x14ac:dyDescent="0.2">
      <c r="O4900" s="4">
        <f t="shared" ca="1" si="413"/>
        <v>0.87016007048835364</v>
      </c>
      <c r="P4900" s="4">
        <f t="shared" ca="1" si="414"/>
        <v>1.1271481248297788</v>
      </c>
      <c r="Q4900" s="4">
        <f t="shared" ca="1" si="415"/>
        <v>1901.9964963939458</v>
      </c>
      <c r="R4900" s="4">
        <f t="shared" ca="1" si="416"/>
        <v>-21.673547606054171</v>
      </c>
      <c r="S4900" s="4">
        <f t="shared" ca="1" si="417"/>
        <v>-10.780144305261022</v>
      </c>
    </row>
    <row r="4901" spans="15:19" x14ac:dyDescent="0.2">
      <c r="O4901" s="4">
        <f t="shared" ca="1" si="413"/>
        <v>0.66864976747117588</v>
      </c>
      <c r="P4901" s="4">
        <f t="shared" ca="1" si="414"/>
        <v>0.43618781890891173</v>
      </c>
      <c r="Q4901" s="4">
        <f t="shared" ca="1" si="415"/>
        <v>1915.0339994692567</v>
      </c>
      <c r="R4901" s="4">
        <f t="shared" ca="1" si="416"/>
        <v>-8.6360445307432201</v>
      </c>
      <c r="S4901" s="4">
        <f t="shared" ca="1" si="417"/>
        <v>-4.3412905928484911</v>
      </c>
    </row>
    <row r="4902" spans="15:19" x14ac:dyDescent="0.2">
      <c r="O4902" s="4">
        <f t="shared" ca="1" si="413"/>
        <v>0.17338635983729311</v>
      </c>
      <c r="P4902" s="4">
        <f t="shared" ca="1" si="414"/>
        <v>-0.94086758729701447</v>
      </c>
      <c r="Q4902" s="4">
        <f t="shared" ca="1" si="415"/>
        <v>1941.0172056526521</v>
      </c>
      <c r="R4902" s="4">
        <f t="shared" ca="1" si="416"/>
        <v>17.347161652652176</v>
      </c>
      <c r="S4902" s="4">
        <f t="shared" ca="1" si="417"/>
        <v>8.9038000491490923</v>
      </c>
    </row>
    <row r="4903" spans="15:19" x14ac:dyDescent="0.2">
      <c r="O4903" s="4">
        <f t="shared" ca="1" si="413"/>
        <v>0.33609394122615366</v>
      </c>
      <c r="P4903" s="4">
        <f t="shared" ca="1" si="414"/>
        <v>-0.42314717876649249</v>
      </c>
      <c r="Q4903" s="4">
        <f t="shared" ca="1" si="415"/>
        <v>1931.2485093027624</v>
      </c>
      <c r="R4903" s="4">
        <f t="shared" ca="1" si="416"/>
        <v>7.5784653027624245</v>
      </c>
      <c r="S4903" s="4">
        <f t="shared" ca="1" si="417"/>
        <v>3.8596726289528025</v>
      </c>
    </row>
    <row r="4904" spans="15:19" x14ac:dyDescent="0.2">
      <c r="O4904" s="4">
        <f t="shared" ca="1" si="413"/>
        <v>0.88496308910100263</v>
      </c>
      <c r="P4904" s="4">
        <f t="shared" ca="1" si="414"/>
        <v>1.2001687177754821</v>
      </c>
      <c r="Q4904" s="4">
        <f t="shared" ca="1" si="415"/>
        <v>1900.6186948083366</v>
      </c>
      <c r="R4904" s="4">
        <f t="shared" ca="1" si="416"/>
        <v>-23.051349191663348</v>
      </c>
      <c r="S4904" s="4">
        <f t="shared" ca="1" si="417"/>
        <v>-11.452516529776585</v>
      </c>
    </row>
    <row r="4905" spans="15:19" x14ac:dyDescent="0.2">
      <c r="O4905" s="4">
        <f t="shared" ca="1" si="413"/>
        <v>0.69316822656326604</v>
      </c>
      <c r="P4905" s="4">
        <f t="shared" ca="1" si="414"/>
        <v>0.5048509220396713</v>
      </c>
      <c r="Q4905" s="4">
        <f t="shared" ca="1" si="415"/>
        <v>1913.738417927804</v>
      </c>
      <c r="R4905" s="4">
        <f t="shared" ca="1" si="416"/>
        <v>-9.9316260721959679</v>
      </c>
      <c r="S4905" s="4">
        <f t="shared" ca="1" si="417"/>
        <v>-4.987334229901653</v>
      </c>
    </row>
    <row r="4906" spans="15:19" x14ac:dyDescent="0.2">
      <c r="O4906" s="4">
        <f t="shared" ca="1" si="413"/>
        <v>0.64731236809837711</v>
      </c>
      <c r="P4906" s="4">
        <f t="shared" ca="1" si="414"/>
        <v>0.37807448261955023</v>
      </c>
      <c r="Q4906" s="4">
        <f t="shared" ca="1" si="415"/>
        <v>1916.1305209251159</v>
      </c>
      <c r="R4906" s="4">
        <f t="shared" ca="1" si="416"/>
        <v>-7.5395230748840731</v>
      </c>
      <c r="S4906" s="4">
        <f t="shared" ca="1" si="417"/>
        <v>-3.7934408201901904</v>
      </c>
    </row>
    <row r="4907" spans="15:19" x14ac:dyDescent="0.2">
      <c r="O4907" s="4">
        <f t="shared" ca="1" si="413"/>
        <v>0.64165686235897224</v>
      </c>
      <c r="P4907" s="4">
        <f t="shared" ca="1" si="414"/>
        <v>0.3628910466063604</v>
      </c>
      <c r="Q4907" s="4">
        <f t="shared" ca="1" si="415"/>
        <v>1916.4170121924426</v>
      </c>
      <c r="R4907" s="4">
        <f t="shared" ca="1" si="416"/>
        <v>-7.2530318075573632</v>
      </c>
      <c r="S4907" s="4">
        <f t="shared" ca="1" si="417"/>
        <v>-3.6501412685715522</v>
      </c>
    </row>
    <row r="4908" spans="15:19" x14ac:dyDescent="0.2">
      <c r="O4908" s="4">
        <f t="shared" ca="1" si="413"/>
        <v>0.24284106262302685</v>
      </c>
      <c r="P4908" s="4">
        <f t="shared" ca="1" si="414"/>
        <v>-0.69719283033306922</v>
      </c>
      <c r="Q4908" s="4">
        <f t="shared" ca="1" si="415"/>
        <v>1936.419386695369</v>
      </c>
      <c r="R4908" s="4">
        <f t="shared" ca="1" si="416"/>
        <v>12.749342695369023</v>
      </c>
      <c r="S4908" s="4">
        <f t="shared" ca="1" si="417"/>
        <v>6.5200095191894798</v>
      </c>
    </row>
    <row r="4909" spans="15:19" x14ac:dyDescent="0.2">
      <c r="O4909" s="4">
        <f t="shared" ca="1" si="413"/>
        <v>9.0403154389793072E-2</v>
      </c>
      <c r="P4909" s="4">
        <f t="shared" ca="1" si="414"/>
        <v>-1.3382765327756303</v>
      </c>
      <c r="Q4909" s="4">
        <f t="shared" ca="1" si="415"/>
        <v>1948.5157845209828</v>
      </c>
      <c r="R4909" s="4">
        <f t="shared" ca="1" si="416"/>
        <v>24.845740520982872</v>
      </c>
      <c r="S4909" s="4">
        <f t="shared" ca="1" si="417"/>
        <v>12.828445451762619</v>
      </c>
    </row>
    <row r="4910" spans="15:19" x14ac:dyDescent="0.2">
      <c r="O4910" s="4">
        <f t="shared" ca="1" si="413"/>
        <v>0.70819876880067156</v>
      </c>
      <c r="P4910" s="4">
        <f t="shared" ca="1" si="414"/>
        <v>0.54813026253732067</v>
      </c>
      <c r="Q4910" s="4">
        <f t="shared" ca="1" si="415"/>
        <v>1912.9217942665018</v>
      </c>
      <c r="R4910" s="4">
        <f t="shared" ca="1" si="416"/>
        <v>-10.748249733498142</v>
      </c>
      <c r="S4910" s="4">
        <f t="shared" ca="1" si="417"/>
        <v>-5.3938426728530917</v>
      </c>
    </row>
    <row r="4911" spans="15:19" x14ac:dyDescent="0.2">
      <c r="O4911" s="4">
        <f t="shared" ca="1" si="413"/>
        <v>0.72859112205461385</v>
      </c>
      <c r="P4911" s="4">
        <f t="shared" ca="1" si="414"/>
        <v>0.60855753955797243</v>
      </c>
      <c r="Q4911" s="4">
        <f t="shared" ca="1" si="415"/>
        <v>1911.7816118229684</v>
      </c>
      <c r="R4911" s="4">
        <f t="shared" ca="1" si="416"/>
        <v>-11.888432177031518</v>
      </c>
      <c r="S4911" s="4">
        <f t="shared" ca="1" si="417"/>
        <v>-5.9605077584876858</v>
      </c>
    </row>
    <row r="4912" spans="15:19" x14ac:dyDescent="0.2">
      <c r="O4912" s="4">
        <f t="shared" ca="1" si="413"/>
        <v>0.97201866775241119</v>
      </c>
      <c r="P4912" s="4">
        <f t="shared" ca="1" si="414"/>
        <v>1.911326275061936</v>
      </c>
      <c r="Q4912" s="4">
        <f t="shared" ca="1" si="415"/>
        <v>1887.200096430538</v>
      </c>
      <c r="R4912" s="4">
        <f t="shared" ca="1" si="416"/>
        <v>-36.469947569461965</v>
      </c>
      <c r="S4912" s="4">
        <f t="shared" ca="1" si="417"/>
        <v>-17.920019375358272</v>
      </c>
    </row>
    <row r="4913" spans="15:19" x14ac:dyDescent="0.2">
      <c r="O4913" s="4">
        <f t="shared" ca="1" si="413"/>
        <v>2.0221779255413797E-2</v>
      </c>
      <c r="P4913" s="4">
        <f t="shared" ca="1" si="414"/>
        <v>-2.0491898058632718</v>
      </c>
      <c r="Q4913" s="4">
        <f t="shared" ca="1" si="415"/>
        <v>1961.9297735804662</v>
      </c>
      <c r="R4913" s="4">
        <f t="shared" ca="1" si="416"/>
        <v>38.259729580466228</v>
      </c>
      <c r="S4913" s="4">
        <f t="shared" ca="1" si="417"/>
        <v>19.963320608550809</v>
      </c>
    </row>
    <row r="4914" spans="15:19" x14ac:dyDescent="0.2">
      <c r="O4914" s="4">
        <f t="shared" ca="1" si="413"/>
        <v>0.72500421804539061</v>
      </c>
      <c r="P4914" s="4">
        <f t="shared" ca="1" si="414"/>
        <v>0.59777276738681473</v>
      </c>
      <c r="Q4914" s="4">
        <f t="shared" ca="1" si="415"/>
        <v>1911.9851061469451</v>
      </c>
      <c r="R4914" s="4">
        <f t="shared" ca="1" si="416"/>
        <v>-11.684937853054862</v>
      </c>
      <c r="S4914" s="4">
        <f t="shared" ca="1" si="417"/>
        <v>-5.8594496686903623</v>
      </c>
    </row>
    <row r="4915" spans="15:19" x14ac:dyDescent="0.2">
      <c r="O4915" s="4">
        <f t="shared" ca="1" si="413"/>
        <v>0.25569648772920583</v>
      </c>
      <c r="P4915" s="4">
        <f t="shared" ca="1" si="414"/>
        <v>-0.65667023771078137</v>
      </c>
      <c r="Q4915" s="4">
        <f t="shared" ca="1" si="415"/>
        <v>1935.6547792043084</v>
      </c>
      <c r="R4915" s="4">
        <f t="shared" ca="1" si="416"/>
        <v>11.984735204308436</v>
      </c>
      <c r="S4915" s="4">
        <f t="shared" ca="1" si="417"/>
        <v>6.125259281241747</v>
      </c>
    </row>
    <row r="4916" spans="15:19" x14ac:dyDescent="0.2">
      <c r="O4916" s="4">
        <f t="shared" ca="1" si="413"/>
        <v>7.6063915114886749E-3</v>
      </c>
      <c r="P4916" s="4">
        <f t="shared" ca="1" si="414"/>
        <v>-2.4272734912147773</v>
      </c>
      <c r="Q4916" s="4">
        <f t="shared" ca="1" si="415"/>
        <v>1969.0637104625944</v>
      </c>
      <c r="R4916" s="4">
        <f t="shared" ca="1" si="416"/>
        <v>45.39366646259441</v>
      </c>
      <c r="S4916" s="4">
        <f t="shared" ca="1" si="417"/>
        <v>23.817519312188342</v>
      </c>
    </row>
    <row r="4917" spans="15:19" x14ac:dyDescent="0.2">
      <c r="O4917" s="4">
        <f t="shared" ca="1" si="413"/>
        <v>0.38538046719212027</v>
      </c>
      <c r="P4917" s="4">
        <f t="shared" ca="1" si="414"/>
        <v>-0.29137970520464435</v>
      </c>
      <c r="Q4917" s="4">
        <f t="shared" ca="1" si="415"/>
        <v>1928.7622321214715</v>
      </c>
      <c r="R4917" s="4">
        <f t="shared" ca="1" si="416"/>
        <v>5.0921881214715086</v>
      </c>
      <c r="S4917" s="4">
        <f t="shared" ca="1" si="417"/>
        <v>2.5882709642444133</v>
      </c>
    </row>
    <row r="4918" spans="15:19" x14ac:dyDescent="0.2">
      <c r="O4918" s="4">
        <f t="shared" ca="1" si="413"/>
        <v>0.17210422224628363</v>
      </c>
      <c r="P4918" s="4">
        <f t="shared" ca="1" si="414"/>
        <v>-0.94588264853898729</v>
      </c>
      <c r="Q4918" s="4">
        <f t="shared" ca="1" si="415"/>
        <v>1941.111833196094</v>
      </c>
      <c r="R4918" s="4">
        <f t="shared" ca="1" si="416"/>
        <v>17.441789196094078</v>
      </c>
      <c r="S4918" s="4">
        <f t="shared" ca="1" si="417"/>
        <v>8.9530415075316441</v>
      </c>
    </row>
    <row r="4919" spans="15:19" x14ac:dyDescent="0.2">
      <c r="O4919" s="4">
        <f t="shared" ca="1" si="413"/>
        <v>0.60650098526587515</v>
      </c>
      <c r="P4919" s="4">
        <f t="shared" ca="1" si="414"/>
        <v>0.27021087146138528</v>
      </c>
      <c r="Q4919" s="4">
        <f t="shared" ca="1" si="415"/>
        <v>1918.1657639776304</v>
      </c>
      <c r="R4919" s="4">
        <f t="shared" ca="1" si="416"/>
        <v>-5.5042800223695849</v>
      </c>
      <c r="S4919" s="4">
        <f t="shared" ca="1" si="417"/>
        <v>-2.773987444771258</v>
      </c>
    </row>
    <row r="4920" spans="15:19" x14ac:dyDescent="0.2">
      <c r="O4920" s="4">
        <f t="shared" ca="1" si="413"/>
        <v>0.91799832891703681</v>
      </c>
      <c r="P4920" s="4">
        <f t="shared" ca="1" si="414"/>
        <v>1.391732746535947</v>
      </c>
      <c r="Q4920" s="4">
        <f t="shared" ca="1" si="415"/>
        <v>1897.0041360664202</v>
      </c>
      <c r="R4920" s="4">
        <f t="shared" ca="1" si="416"/>
        <v>-26.665907933579774</v>
      </c>
      <c r="S4920" s="4">
        <f t="shared" ca="1" si="417"/>
        <v>-13.209088808749204</v>
      </c>
    </row>
    <row r="4921" spans="15:19" x14ac:dyDescent="0.2">
      <c r="O4921" s="4">
        <f t="shared" ca="1" si="413"/>
        <v>0.71634860985908477</v>
      </c>
      <c r="P4921" s="4">
        <f t="shared" ca="1" si="414"/>
        <v>0.57202833247089468</v>
      </c>
      <c r="Q4921" s="4">
        <f t="shared" ca="1" si="415"/>
        <v>1912.470869433942</v>
      </c>
      <c r="R4921" s="4">
        <f t="shared" ca="1" si="416"/>
        <v>-11.199174566057991</v>
      </c>
      <c r="S4921" s="4">
        <f t="shared" ca="1" si="417"/>
        <v>-5.6180766228375889</v>
      </c>
    </row>
    <row r="4922" spans="15:19" x14ac:dyDescent="0.2">
      <c r="O4922" s="4">
        <f t="shared" ca="1" si="413"/>
        <v>7.551984997209793E-2</v>
      </c>
      <c r="P4922" s="4">
        <f t="shared" ca="1" si="414"/>
        <v>-1.435868722896261</v>
      </c>
      <c r="Q4922" s="4">
        <f t="shared" ca="1" si="415"/>
        <v>1950.3572195034576</v>
      </c>
      <c r="R4922" s="4">
        <f t="shared" ca="1" si="416"/>
        <v>26.687175503457638</v>
      </c>
      <c r="S4922" s="4">
        <f t="shared" ca="1" si="417"/>
        <v>13.799226513041804</v>
      </c>
    </row>
    <row r="4923" spans="15:19" x14ac:dyDescent="0.2">
      <c r="O4923" s="4">
        <f t="shared" ca="1" si="413"/>
        <v>0.17919201704537913</v>
      </c>
      <c r="P4923" s="4">
        <f t="shared" ca="1" si="414"/>
        <v>-0.91844864354547429</v>
      </c>
      <c r="Q4923" s="4">
        <f t="shared" ca="1" si="415"/>
        <v>1940.5941899662207</v>
      </c>
      <c r="R4923" s="4">
        <f t="shared" ca="1" si="416"/>
        <v>16.924145966220749</v>
      </c>
      <c r="S4923" s="4">
        <f t="shared" ca="1" si="417"/>
        <v>8.6837639603006647</v>
      </c>
    </row>
    <row r="4924" spans="15:19" x14ac:dyDescent="0.2">
      <c r="O4924" s="4">
        <f t="shared" ca="1" si="413"/>
        <v>0.32601736835266248</v>
      </c>
      <c r="P4924" s="4">
        <f t="shared" ca="1" si="414"/>
        <v>-0.45093730365726553</v>
      </c>
      <c r="Q4924" s="4">
        <f t="shared" ca="1" si="415"/>
        <v>1931.7728720420137</v>
      </c>
      <c r="R4924" s="4">
        <f t="shared" ca="1" si="416"/>
        <v>8.102828042013698</v>
      </c>
      <c r="S4924" s="4">
        <f t="shared" ca="1" si="417"/>
        <v>4.1284573860415392</v>
      </c>
    </row>
    <row r="4925" spans="15:19" x14ac:dyDescent="0.2">
      <c r="O4925" s="4">
        <f t="shared" ca="1" si="413"/>
        <v>0.76174100990114058</v>
      </c>
      <c r="P4925" s="4">
        <f t="shared" ca="1" si="414"/>
        <v>0.71191408403494361</v>
      </c>
      <c r="Q4925" s="4">
        <f t="shared" ca="1" si="415"/>
        <v>1909.8314111313728</v>
      </c>
      <c r="R4925" s="4">
        <f t="shared" ca="1" si="416"/>
        <v>-13.838632868627201</v>
      </c>
      <c r="S4925" s="4">
        <f t="shared" ca="1" si="417"/>
        <v>-6.9272945907481116</v>
      </c>
    </row>
    <row r="4926" spans="15:19" x14ac:dyDescent="0.2">
      <c r="O4926" s="4">
        <f t="shared" ca="1" si="413"/>
        <v>6.0940957073982838E-2</v>
      </c>
      <c r="P4926" s="4">
        <f t="shared" ca="1" si="414"/>
        <v>-1.5469225855398394</v>
      </c>
      <c r="Q4926" s="4">
        <f t="shared" ca="1" si="415"/>
        <v>1952.4526583634531</v>
      </c>
      <c r="R4926" s="4">
        <f t="shared" ca="1" si="416"/>
        <v>28.782614363453149</v>
      </c>
      <c r="S4926" s="4">
        <f t="shared" ca="1" si="417"/>
        <v>14.907273291119646</v>
      </c>
    </row>
    <row r="4927" spans="15:19" x14ac:dyDescent="0.2">
      <c r="O4927" s="4">
        <f t="shared" ca="1" si="413"/>
        <v>0.47757718095302748</v>
      </c>
      <c r="P4927" s="4">
        <f t="shared" ca="1" si="414"/>
        <v>-5.62352979983676E-2</v>
      </c>
      <c r="Q4927" s="4">
        <f t="shared" ca="1" si="415"/>
        <v>1924.3253695320814</v>
      </c>
      <c r="R4927" s="4">
        <f t="shared" ca="1" si="416"/>
        <v>0.65532553208140598</v>
      </c>
      <c r="S4927" s="4">
        <f t="shared" ca="1" si="417"/>
        <v>0.33190701970240227</v>
      </c>
    </row>
    <row r="4928" spans="15:19" x14ac:dyDescent="0.2">
      <c r="O4928" s="4">
        <f t="shared" ca="1" si="413"/>
        <v>0.14170127175839708</v>
      </c>
      <c r="P4928" s="4">
        <f t="shared" ca="1" si="414"/>
        <v>-1.0727071228507234</v>
      </c>
      <c r="Q4928" s="4">
        <f t="shared" ca="1" si="415"/>
        <v>1943.5048425479993</v>
      </c>
      <c r="R4928" s="4">
        <f t="shared" ca="1" si="416"/>
        <v>19.834798547999299</v>
      </c>
      <c r="S4928" s="4">
        <f t="shared" ca="1" si="417"/>
        <v>10.200718167717817</v>
      </c>
    </row>
    <row r="4929" spans="15:19" x14ac:dyDescent="0.2">
      <c r="O4929" s="4">
        <f t="shared" ca="1" si="413"/>
        <v>0.50302976252388132</v>
      </c>
      <c r="P4929" s="4">
        <f t="shared" ca="1" si="414"/>
        <v>7.5945614128593237E-3</v>
      </c>
      <c r="Q4929" s="4">
        <f t="shared" ca="1" si="415"/>
        <v>1923.1209848789549</v>
      </c>
      <c r="R4929" s="4">
        <f t="shared" ca="1" si="416"/>
        <v>-0.5490591210450475</v>
      </c>
      <c r="S4929" s="4">
        <f t="shared" ca="1" si="417"/>
        <v>-0.27781638755719223</v>
      </c>
    </row>
    <row r="4930" spans="15:19" x14ac:dyDescent="0.2">
      <c r="O4930" s="4">
        <f t="shared" ca="1" si="413"/>
        <v>0.63189166668365537</v>
      </c>
      <c r="P4930" s="4">
        <f t="shared" ca="1" si="414"/>
        <v>0.3368676584198898</v>
      </c>
      <c r="Q4930" s="4">
        <f t="shared" ca="1" si="415"/>
        <v>1916.9080389570829</v>
      </c>
      <c r="R4930" s="4">
        <f t="shared" ca="1" si="416"/>
        <v>-6.7620050429170533</v>
      </c>
      <c r="S4930" s="4">
        <f t="shared" ca="1" si="417"/>
        <v>-3.4043800627324465</v>
      </c>
    </row>
    <row r="4931" spans="15:19" x14ac:dyDescent="0.2">
      <c r="O4931" s="4">
        <f t="shared" ref="O4931:O4994" ca="1" si="418">RAND()</f>
        <v>0.79177836330985885</v>
      </c>
      <c r="P4931" s="4">
        <f t="shared" ref="P4931:P4994" ca="1" si="419">NORMSINV(O4931)</f>
        <v>0.81260725023720481</v>
      </c>
      <c r="Q4931" s="4">
        <f t="shared" ref="Q4931:Q4994" ca="1" si="420">$B$4*(1+$B$17-$B$32*P4931)</f>
        <v>1907.9314648496897</v>
      </c>
      <c r="R4931" s="4">
        <f t="shared" ref="R4931:R4994" ca="1" si="421">Q4931-$B$4</f>
        <v>-15.738579150310215</v>
      </c>
      <c r="S4931" s="4">
        <f t="shared" ref="S4931:S4994" ca="1" si="422">R4931*$B$12+0.5*$B$13*R4931^2</f>
        <v>-7.8661907067852201</v>
      </c>
    </row>
    <row r="4932" spans="15:19" x14ac:dyDescent="0.2">
      <c r="O4932" s="4">
        <f t="shared" ca="1" si="418"/>
        <v>0.4526560007943683</v>
      </c>
      <c r="P4932" s="4">
        <f t="shared" ca="1" si="419"/>
        <v>-0.1189537450672927</v>
      </c>
      <c r="Q4932" s="4">
        <f t="shared" ca="1" si="420"/>
        <v>1925.50878331075</v>
      </c>
      <c r="R4932" s="4">
        <f t="shared" ca="1" si="421"/>
        <v>1.8387393107500429</v>
      </c>
      <c r="S4932" s="4">
        <f t="shared" ca="1" si="422"/>
        <v>0.93216413506588436</v>
      </c>
    </row>
    <row r="4933" spans="15:19" x14ac:dyDescent="0.2">
      <c r="O4933" s="4">
        <f t="shared" ca="1" si="418"/>
        <v>0.75605543171727829</v>
      </c>
      <c r="P4933" s="4">
        <f t="shared" ca="1" si="419"/>
        <v>0.69367007542234649</v>
      </c>
      <c r="Q4933" s="4">
        <f t="shared" ca="1" si="420"/>
        <v>1910.1756513378718</v>
      </c>
      <c r="R4933" s="4">
        <f t="shared" ca="1" si="421"/>
        <v>-13.494392662128121</v>
      </c>
      <c r="S4933" s="4">
        <f t="shared" ca="1" si="422"/>
        <v>-6.7568669921973079</v>
      </c>
    </row>
    <row r="4934" spans="15:19" x14ac:dyDescent="0.2">
      <c r="O4934" s="4">
        <f t="shared" ca="1" si="418"/>
        <v>0.46027565477085153</v>
      </c>
      <c r="P4934" s="4">
        <f t="shared" ca="1" si="419"/>
        <v>-9.9739286973643843E-2</v>
      </c>
      <c r="Q4934" s="4">
        <f t="shared" ca="1" si="420"/>
        <v>1925.1462320117248</v>
      </c>
      <c r="R4934" s="4">
        <f t="shared" ca="1" si="421"/>
        <v>1.4761880117248438</v>
      </c>
      <c r="S4934" s="4">
        <f t="shared" ca="1" si="422"/>
        <v>0.74814788784476549</v>
      </c>
    </row>
    <row r="4935" spans="15:19" x14ac:dyDescent="0.2">
      <c r="O4935" s="4">
        <f t="shared" ca="1" si="418"/>
        <v>0.75732761884621491</v>
      </c>
      <c r="P4935" s="4">
        <f t="shared" ca="1" si="419"/>
        <v>0.69773207943317728</v>
      </c>
      <c r="Q4935" s="4">
        <f t="shared" ca="1" si="420"/>
        <v>1910.0990067183047</v>
      </c>
      <c r="R4935" s="4">
        <f t="shared" ca="1" si="421"/>
        <v>-13.571037281695226</v>
      </c>
      <c r="S4935" s="4">
        <f t="shared" ca="1" si="422"/>
        <v>-6.7948208169761095</v>
      </c>
    </row>
    <row r="4936" spans="15:19" x14ac:dyDescent="0.2">
      <c r="O4936" s="4">
        <f t="shared" ca="1" si="418"/>
        <v>0.63745886880033054</v>
      </c>
      <c r="P4936" s="4">
        <f t="shared" ca="1" si="419"/>
        <v>0.35167466545390119</v>
      </c>
      <c r="Q4936" s="4">
        <f t="shared" ca="1" si="420"/>
        <v>1916.6286504045311</v>
      </c>
      <c r="R4936" s="4">
        <f t="shared" ca="1" si="421"/>
        <v>-7.0413935954688895</v>
      </c>
      <c r="S4936" s="4">
        <f t="shared" ca="1" si="422"/>
        <v>-3.544239417441498</v>
      </c>
    </row>
    <row r="4937" spans="15:19" x14ac:dyDescent="0.2">
      <c r="O4937" s="4">
        <f t="shared" ca="1" si="418"/>
        <v>7.9234190044535135E-2</v>
      </c>
      <c r="P4937" s="4">
        <f t="shared" ca="1" si="419"/>
        <v>-1.4102415188379775</v>
      </c>
      <c r="Q4937" s="4">
        <f t="shared" ca="1" si="420"/>
        <v>1949.8736682070107</v>
      </c>
      <c r="R4937" s="4">
        <f t="shared" ca="1" si="421"/>
        <v>26.203624207010762</v>
      </c>
      <c r="S4937" s="4">
        <f t="shared" ca="1" si="422"/>
        <v>13.544037146152938</v>
      </c>
    </row>
    <row r="4938" spans="15:19" x14ac:dyDescent="0.2">
      <c r="O4938" s="4">
        <f t="shared" ca="1" si="418"/>
        <v>0.44867822258749424</v>
      </c>
      <c r="P4938" s="4">
        <f t="shared" ca="1" si="419"/>
        <v>-0.12900152116106259</v>
      </c>
      <c r="Q4938" s="4">
        <f t="shared" ca="1" si="420"/>
        <v>1925.6983714977991</v>
      </c>
      <c r="R4938" s="4">
        <f t="shared" ca="1" si="421"/>
        <v>2.0283274977991823</v>
      </c>
      <c r="S4938" s="4">
        <f t="shared" ca="1" si="422"/>
        <v>1.0284339752268536</v>
      </c>
    </row>
    <row r="4939" spans="15:19" x14ac:dyDescent="0.2">
      <c r="O4939" s="4">
        <f t="shared" ca="1" si="418"/>
        <v>0.54054659785046322</v>
      </c>
      <c r="P4939" s="4">
        <f t="shared" ca="1" si="419"/>
        <v>0.10181086140296336</v>
      </c>
      <c r="Q4939" s="4">
        <f t="shared" ca="1" si="420"/>
        <v>1921.3432484585851</v>
      </c>
      <c r="R4939" s="4">
        <f t="shared" ca="1" si="421"/>
        <v>-2.3267955414148673</v>
      </c>
      <c r="S4939" s="4">
        <f t="shared" ca="1" si="422"/>
        <v>-1.175642830180927</v>
      </c>
    </row>
    <row r="4940" spans="15:19" x14ac:dyDescent="0.2">
      <c r="O4940" s="4">
        <f t="shared" ca="1" si="418"/>
        <v>0.16409236005355954</v>
      </c>
      <c r="P4940" s="4">
        <f t="shared" ca="1" si="419"/>
        <v>-0.97777681560095875</v>
      </c>
      <c r="Q4940" s="4">
        <f t="shared" ca="1" si="420"/>
        <v>1941.7136337591533</v>
      </c>
      <c r="R4940" s="4">
        <f t="shared" ca="1" si="421"/>
        <v>18.043589759153292</v>
      </c>
      <c r="S4940" s="4">
        <f t="shared" ca="1" si="422"/>
        <v>9.2663718597172107</v>
      </c>
    </row>
    <row r="4941" spans="15:19" x14ac:dyDescent="0.2">
      <c r="O4941" s="4">
        <f t="shared" ca="1" si="418"/>
        <v>0.1295296502633474</v>
      </c>
      <c r="P4941" s="4">
        <f t="shared" ca="1" si="419"/>
        <v>-1.1286173213128887</v>
      </c>
      <c r="Q4941" s="4">
        <f t="shared" ca="1" si="420"/>
        <v>1944.5597937197895</v>
      </c>
      <c r="R4941" s="4">
        <f t="shared" ca="1" si="421"/>
        <v>20.889749719789506</v>
      </c>
      <c r="S4941" s="4">
        <f t="shared" ca="1" si="422"/>
        <v>10.752233458964957</v>
      </c>
    </row>
    <row r="4942" spans="15:19" x14ac:dyDescent="0.2">
      <c r="O4942" s="4">
        <f t="shared" ca="1" si="418"/>
        <v>0.32942376631274528</v>
      </c>
      <c r="P4942" s="4">
        <f t="shared" ca="1" si="419"/>
        <v>-0.44150487557000478</v>
      </c>
      <c r="Q4942" s="4">
        <f t="shared" ca="1" si="420"/>
        <v>1931.5948946543961</v>
      </c>
      <c r="R4942" s="4">
        <f t="shared" ca="1" si="421"/>
        <v>7.9248506543960957</v>
      </c>
      <c r="S4942" s="4">
        <f t="shared" ca="1" si="422"/>
        <v>4.0372022979826969</v>
      </c>
    </row>
    <row r="4943" spans="15:19" x14ac:dyDescent="0.2">
      <c r="O4943" s="4">
        <f t="shared" ca="1" si="418"/>
        <v>0.29650172943199948</v>
      </c>
      <c r="P4943" s="4">
        <f t="shared" ca="1" si="419"/>
        <v>-0.53448870950092231</v>
      </c>
      <c r="Q4943" s="4">
        <f t="shared" ca="1" si="420"/>
        <v>1933.3493760774827</v>
      </c>
      <c r="R4943" s="4">
        <f t="shared" ca="1" si="421"/>
        <v>9.6793320774827407</v>
      </c>
      <c r="S4943" s="4">
        <f t="shared" ca="1" si="422"/>
        <v>4.9379108055590812</v>
      </c>
    </row>
    <row r="4944" spans="15:19" x14ac:dyDescent="0.2">
      <c r="O4944" s="4">
        <f t="shared" ca="1" si="418"/>
        <v>0.6660623151595999</v>
      </c>
      <c r="P4944" s="4">
        <f t="shared" ca="1" si="419"/>
        <v>0.42906575934231189</v>
      </c>
      <c r="Q4944" s="4">
        <f t="shared" ca="1" si="420"/>
        <v>1915.1683832720694</v>
      </c>
      <c r="R4944" s="4">
        <f t="shared" ca="1" si="421"/>
        <v>-8.5016607279305845</v>
      </c>
      <c r="S4944" s="4">
        <f t="shared" ca="1" si="422"/>
        <v>-4.2742016882287155</v>
      </c>
    </row>
    <row r="4945" spans="15:19" x14ac:dyDescent="0.2">
      <c r="O4945" s="4">
        <f t="shared" ca="1" si="418"/>
        <v>0.23155186855015553</v>
      </c>
      <c r="P4945" s="4">
        <f t="shared" ca="1" si="419"/>
        <v>-0.73374570505105974</v>
      </c>
      <c r="Q4945" s="4">
        <f t="shared" ca="1" si="420"/>
        <v>1937.1090908830968</v>
      </c>
      <c r="R4945" s="4">
        <f t="shared" ca="1" si="421"/>
        <v>13.439046883096808</v>
      </c>
      <c r="S4945" s="4">
        <f t="shared" ca="1" si="422"/>
        <v>6.8764971174550844</v>
      </c>
    </row>
    <row r="4946" spans="15:19" x14ac:dyDescent="0.2">
      <c r="O4946" s="4">
        <f t="shared" ca="1" si="418"/>
        <v>0.92707915260123763</v>
      </c>
      <c r="P4946" s="4">
        <f t="shared" ca="1" si="419"/>
        <v>1.4543774266510272</v>
      </c>
      <c r="Q4946" s="4">
        <f t="shared" ca="1" si="420"/>
        <v>1895.8221141721758</v>
      </c>
      <c r="R4946" s="4">
        <f t="shared" ca="1" si="421"/>
        <v>-27.847929827824146</v>
      </c>
      <c r="S4946" s="4">
        <f t="shared" ca="1" si="422"/>
        <v>-13.781209732983395</v>
      </c>
    </row>
    <row r="4947" spans="15:19" x14ac:dyDescent="0.2">
      <c r="O4947" s="4">
        <f t="shared" ca="1" si="418"/>
        <v>3.3597452207747347E-2</v>
      </c>
      <c r="P4947" s="4">
        <f t="shared" ca="1" si="419"/>
        <v>-1.8303681671714662</v>
      </c>
      <c r="Q4947" s="4">
        <f t="shared" ca="1" si="420"/>
        <v>1957.8008999491701</v>
      </c>
      <c r="R4947" s="4">
        <f t="shared" ca="1" si="421"/>
        <v>34.130855949170154</v>
      </c>
      <c r="S4947" s="4">
        <f t="shared" ca="1" si="422"/>
        <v>17.751574770516484</v>
      </c>
    </row>
    <row r="4948" spans="15:19" x14ac:dyDescent="0.2">
      <c r="O4948" s="4">
        <f t="shared" ca="1" si="418"/>
        <v>0.54612386132555923</v>
      </c>
      <c r="P4948" s="4">
        <f t="shared" ca="1" si="419"/>
        <v>0.11587415710461561</v>
      </c>
      <c r="Q4948" s="4">
        <f t="shared" ca="1" si="420"/>
        <v>1921.0778927509007</v>
      </c>
      <c r="R4948" s="4">
        <f t="shared" ca="1" si="421"/>
        <v>-2.5921512490992882</v>
      </c>
      <c r="S4948" s="4">
        <f t="shared" ca="1" si="422"/>
        <v>-1.3094371530496258</v>
      </c>
    </row>
    <row r="4949" spans="15:19" x14ac:dyDescent="0.2">
      <c r="O4949" s="4">
        <f t="shared" ca="1" si="418"/>
        <v>0.30532849091534875</v>
      </c>
      <c r="P4949" s="4">
        <f t="shared" ca="1" si="419"/>
        <v>-0.50913588248616348</v>
      </c>
      <c r="Q4949" s="4">
        <f t="shared" ca="1" si="420"/>
        <v>1932.8710019113544</v>
      </c>
      <c r="R4949" s="4">
        <f t="shared" ca="1" si="421"/>
        <v>9.2009579113544078</v>
      </c>
      <c r="S4949" s="4">
        <f t="shared" ca="1" si="422"/>
        <v>4.6920765317065296</v>
      </c>
    </row>
    <row r="4950" spans="15:19" x14ac:dyDescent="0.2">
      <c r="O4950" s="4">
        <f t="shared" ca="1" si="418"/>
        <v>0.81773766951570281</v>
      </c>
      <c r="P4950" s="4">
        <f t="shared" ca="1" si="419"/>
        <v>0.90677713995070286</v>
      </c>
      <c r="Q4950" s="4">
        <f t="shared" ca="1" si="420"/>
        <v>1906.1546041295865</v>
      </c>
      <c r="R4950" s="4">
        <f t="shared" ca="1" si="421"/>
        <v>-17.515439870413502</v>
      </c>
      <c r="S4950" s="4">
        <f t="shared" ca="1" si="422"/>
        <v>-8.7416021986961621</v>
      </c>
    </row>
    <row r="4951" spans="15:19" x14ac:dyDescent="0.2">
      <c r="O4951" s="4">
        <f t="shared" ca="1" si="418"/>
        <v>0.97258779540119278</v>
      </c>
      <c r="P4951" s="4">
        <f t="shared" ca="1" si="419"/>
        <v>1.920265203938279</v>
      </c>
      <c r="Q4951" s="4">
        <f t="shared" ca="1" si="420"/>
        <v>1887.0314307174476</v>
      </c>
      <c r="R4951" s="4">
        <f t="shared" ca="1" si="421"/>
        <v>-36.638613282552342</v>
      </c>
      <c r="S4951" s="4">
        <f t="shared" ca="1" si="422"/>
        <v>-18.000380078400745</v>
      </c>
    </row>
    <row r="4952" spans="15:19" x14ac:dyDescent="0.2">
      <c r="O4952" s="4">
        <f t="shared" ca="1" si="418"/>
        <v>0.2124784983566228</v>
      </c>
      <c r="P4952" s="4">
        <f t="shared" ca="1" si="419"/>
        <v>-0.79785093915075445</v>
      </c>
      <c r="Q4952" s="4">
        <f t="shared" ca="1" si="420"/>
        <v>1938.3186714907763</v>
      </c>
      <c r="R4952" s="4">
        <f t="shared" ca="1" si="421"/>
        <v>14.648627490776335</v>
      </c>
      <c r="S4952" s="4">
        <f t="shared" ca="1" si="422"/>
        <v>7.5026285633249907</v>
      </c>
    </row>
    <row r="4953" spans="15:19" x14ac:dyDescent="0.2">
      <c r="O4953" s="4">
        <f t="shared" ca="1" si="418"/>
        <v>0.38811773668964122</v>
      </c>
      <c r="P4953" s="4">
        <f t="shared" ca="1" si="419"/>
        <v>-0.28422824227660703</v>
      </c>
      <c r="Q4953" s="4">
        <f t="shared" ca="1" si="420"/>
        <v>1928.6272935162892</v>
      </c>
      <c r="R4953" s="4">
        <f t="shared" ca="1" si="421"/>
        <v>4.9572495162892665</v>
      </c>
      <c r="S4953" s="4">
        <f t="shared" ca="1" si="422"/>
        <v>2.5194117114774719</v>
      </c>
    </row>
    <row r="4954" spans="15:19" x14ac:dyDescent="0.2">
      <c r="O4954" s="4">
        <f t="shared" ca="1" si="418"/>
        <v>0.52997171231968432</v>
      </c>
      <c r="P4954" s="4">
        <f t="shared" ca="1" si="419"/>
        <v>7.5198754443191199E-2</v>
      </c>
      <c r="Q4954" s="4">
        <f t="shared" ca="1" si="420"/>
        <v>1921.8453835644013</v>
      </c>
      <c r="R4954" s="4">
        <f t="shared" ca="1" si="421"/>
        <v>-1.8246604355986165</v>
      </c>
      <c r="S4954" s="4">
        <f t="shared" ca="1" si="422"/>
        <v>-0.92230569441527432</v>
      </c>
    </row>
    <row r="4955" spans="15:19" x14ac:dyDescent="0.2">
      <c r="O4955" s="4">
        <f t="shared" ca="1" si="418"/>
        <v>0.47204727917071809</v>
      </c>
      <c r="P4955" s="4">
        <f t="shared" ca="1" si="419"/>
        <v>-7.0124510275593799E-2</v>
      </c>
      <c r="Q4955" s="4">
        <f t="shared" ca="1" si="420"/>
        <v>1924.5874405168054</v>
      </c>
      <c r="R4955" s="4">
        <f t="shared" ca="1" si="421"/>
        <v>0.91739651680541101</v>
      </c>
      <c r="S4955" s="4">
        <f t="shared" ca="1" si="422"/>
        <v>0.46473769874275334</v>
      </c>
    </row>
    <row r="4956" spans="15:19" x14ac:dyDescent="0.2">
      <c r="O4956" s="4">
        <f t="shared" ca="1" si="418"/>
        <v>0.34266533143438949</v>
      </c>
      <c r="P4956" s="4">
        <f t="shared" ca="1" si="419"/>
        <v>-0.40519978521713362</v>
      </c>
      <c r="Q4956" s="4">
        <f t="shared" ca="1" si="420"/>
        <v>1930.909865828472</v>
      </c>
      <c r="R4956" s="4">
        <f t="shared" ca="1" si="421"/>
        <v>7.2398218284720315</v>
      </c>
      <c r="S4956" s="4">
        <f t="shared" ca="1" si="422"/>
        <v>3.6862052645949048</v>
      </c>
    </row>
    <row r="4957" spans="15:19" x14ac:dyDescent="0.2">
      <c r="O4957" s="4">
        <f t="shared" ca="1" si="418"/>
        <v>0.63033901161841144</v>
      </c>
      <c r="P4957" s="4">
        <f t="shared" ca="1" si="419"/>
        <v>0.33275136017739326</v>
      </c>
      <c r="Q4957" s="4">
        <f t="shared" ca="1" si="420"/>
        <v>1916.9857080366749</v>
      </c>
      <c r="R4957" s="4">
        <f t="shared" ca="1" si="421"/>
        <v>-6.6843359633251112</v>
      </c>
      <c r="S4957" s="4">
        <f t="shared" ca="1" si="422"/>
        <v>-3.365488342705083</v>
      </c>
    </row>
    <row r="4958" spans="15:19" x14ac:dyDescent="0.2">
      <c r="O4958" s="4">
        <f t="shared" ca="1" si="418"/>
        <v>0.33045981602449515</v>
      </c>
      <c r="P4958" s="4">
        <f t="shared" ca="1" si="419"/>
        <v>-0.43864383139740504</v>
      </c>
      <c r="Q4958" s="4">
        <f t="shared" ca="1" si="420"/>
        <v>1931.5409105515769</v>
      </c>
      <c r="R4958" s="4">
        <f t="shared" ca="1" si="421"/>
        <v>7.8708665515769098</v>
      </c>
      <c r="S4958" s="4">
        <f t="shared" ca="1" si="422"/>
        <v>4.0095279012643887</v>
      </c>
    </row>
    <row r="4959" spans="15:19" x14ac:dyDescent="0.2">
      <c r="O4959" s="4">
        <f t="shared" ca="1" si="418"/>
        <v>0.38906839887356426</v>
      </c>
      <c r="P4959" s="4">
        <f t="shared" ca="1" si="419"/>
        <v>-0.28174793266360471</v>
      </c>
      <c r="Q4959" s="4">
        <f t="shared" ca="1" si="420"/>
        <v>1928.5804933688278</v>
      </c>
      <c r="R4959" s="4">
        <f t="shared" ca="1" si="421"/>
        <v>4.9104493688278126</v>
      </c>
      <c r="S4959" s="4">
        <f t="shared" ca="1" si="422"/>
        <v>2.4955330298868343</v>
      </c>
    </row>
    <row r="4960" spans="15:19" x14ac:dyDescent="0.2">
      <c r="O4960" s="4">
        <f t="shared" ca="1" si="418"/>
        <v>0.66595196244788391</v>
      </c>
      <c r="P4960" s="4">
        <f t="shared" ca="1" si="419"/>
        <v>0.42876249528362309</v>
      </c>
      <c r="Q4960" s="4">
        <f t="shared" ca="1" si="420"/>
        <v>1915.1741054619895</v>
      </c>
      <c r="R4960" s="4">
        <f t="shared" ca="1" si="421"/>
        <v>-8.4959385380104777</v>
      </c>
      <c r="S4960" s="4">
        <f t="shared" ca="1" si="422"/>
        <v>-4.2713446526168966</v>
      </c>
    </row>
    <row r="4961" spans="15:19" x14ac:dyDescent="0.2">
      <c r="O4961" s="4">
        <f t="shared" ca="1" si="418"/>
        <v>0.84834384444671274</v>
      </c>
      <c r="P4961" s="4">
        <f t="shared" ca="1" si="419"/>
        <v>1.0293562257932281</v>
      </c>
      <c r="Q4961" s="4">
        <f t="shared" ca="1" si="420"/>
        <v>1903.841699618363</v>
      </c>
      <c r="R4961" s="4">
        <f t="shared" ca="1" si="421"/>
        <v>-19.828344381636953</v>
      </c>
      <c r="S4961" s="4">
        <f t="shared" ca="1" si="422"/>
        <v>-9.8772574866770526</v>
      </c>
    </row>
    <row r="4962" spans="15:19" x14ac:dyDescent="0.2">
      <c r="O4962" s="4">
        <f t="shared" ca="1" si="418"/>
        <v>0.86971623765850681</v>
      </c>
      <c r="P4962" s="4">
        <f t="shared" ca="1" si="419"/>
        <v>1.1250507611509855</v>
      </c>
      <c r="Q4962" s="4">
        <f t="shared" ca="1" si="420"/>
        <v>1902.0360708603484</v>
      </c>
      <c r="R4962" s="4">
        <f t="shared" ca="1" si="421"/>
        <v>-21.633973139651516</v>
      </c>
      <c r="S4962" s="4">
        <f t="shared" ca="1" si="422"/>
        <v>-10.760808987297953</v>
      </c>
    </row>
    <row r="4963" spans="15:19" x14ac:dyDescent="0.2">
      <c r="O4963" s="4">
        <f t="shared" ca="1" si="418"/>
        <v>0.42357963414676791</v>
      </c>
      <c r="P4963" s="4">
        <f t="shared" ca="1" si="419"/>
        <v>-0.19274424794314499</v>
      </c>
      <c r="Q4963" s="4">
        <f t="shared" ca="1" si="420"/>
        <v>1926.9011120739638</v>
      </c>
      <c r="R4963" s="4">
        <f t="shared" ca="1" si="421"/>
        <v>3.2310680739637974</v>
      </c>
      <c r="S4963" s="4">
        <f t="shared" ca="1" si="422"/>
        <v>1.6398480287153441</v>
      </c>
    </row>
    <row r="4964" spans="15:19" x14ac:dyDescent="0.2">
      <c r="O4964" s="4">
        <f t="shared" ca="1" si="418"/>
        <v>6.0663104677704527E-2</v>
      </c>
      <c r="P4964" s="4">
        <f t="shared" ca="1" si="419"/>
        <v>-1.5492309605445407</v>
      </c>
      <c r="Q4964" s="4">
        <f t="shared" ca="1" si="420"/>
        <v>1952.4962143332605</v>
      </c>
      <c r="R4964" s="4">
        <f t="shared" ca="1" si="421"/>
        <v>28.826170333260507</v>
      </c>
      <c r="S4964" s="4">
        <f t="shared" ca="1" si="422"/>
        <v>14.930343170404553</v>
      </c>
    </row>
    <row r="4965" spans="15:19" x14ac:dyDescent="0.2">
      <c r="O4965" s="4">
        <f t="shared" ca="1" si="418"/>
        <v>0.67277528321936719</v>
      </c>
      <c r="P4965" s="4">
        <f t="shared" ca="1" si="419"/>
        <v>0.44758956765747532</v>
      </c>
      <c r="Q4965" s="4">
        <f t="shared" ca="1" si="420"/>
        <v>1914.8188636168793</v>
      </c>
      <c r="R4965" s="4">
        <f t="shared" ca="1" si="421"/>
        <v>-8.8511803831206635</v>
      </c>
      <c r="S4965" s="4">
        <f t="shared" ca="1" si="422"/>
        <v>-4.4486630216028651</v>
      </c>
    </row>
    <row r="4966" spans="15:19" x14ac:dyDescent="0.2">
      <c r="O4966" s="4">
        <f t="shared" ca="1" si="418"/>
        <v>0.31872994442891911</v>
      </c>
      <c r="P4966" s="4">
        <f t="shared" ca="1" si="419"/>
        <v>-0.47125326024521719</v>
      </c>
      <c r="Q4966" s="4">
        <f t="shared" ca="1" si="420"/>
        <v>1932.1562071543547</v>
      </c>
      <c r="R4966" s="4">
        <f t="shared" ca="1" si="421"/>
        <v>8.4861631543546991</v>
      </c>
      <c r="S4966" s="4">
        <f t="shared" ca="1" si="422"/>
        <v>4.3250939859772277</v>
      </c>
    </row>
    <row r="4967" spans="15:19" x14ac:dyDescent="0.2">
      <c r="O4967" s="4">
        <f t="shared" ca="1" si="418"/>
        <v>0.40676388037278421</v>
      </c>
      <c r="P4967" s="4">
        <f t="shared" ca="1" si="419"/>
        <v>-0.23587745789173717</v>
      </c>
      <c r="Q4967" s="4">
        <f t="shared" ca="1" si="420"/>
        <v>1927.7149784459305</v>
      </c>
      <c r="R4967" s="4">
        <f t="shared" ca="1" si="421"/>
        <v>4.0449344459304939</v>
      </c>
      <c r="S4967" s="4">
        <f t="shared" ca="1" si="422"/>
        <v>2.0542456972483598</v>
      </c>
    </row>
    <row r="4968" spans="15:19" x14ac:dyDescent="0.2">
      <c r="O4968" s="4">
        <f t="shared" ca="1" si="418"/>
        <v>0.19335160511273408</v>
      </c>
      <c r="P4968" s="4">
        <f t="shared" ca="1" si="419"/>
        <v>-0.86561156698880404</v>
      </c>
      <c r="Q4968" s="4">
        <f t="shared" ca="1" si="420"/>
        <v>1939.5972245223377</v>
      </c>
      <c r="R4968" s="4">
        <f t="shared" ca="1" si="421"/>
        <v>15.927180522337721</v>
      </c>
      <c r="S4968" s="4">
        <f t="shared" ca="1" si="422"/>
        <v>8.1657581037897806</v>
      </c>
    </row>
    <row r="4969" spans="15:19" x14ac:dyDescent="0.2">
      <c r="O4969" s="4">
        <f t="shared" ca="1" si="418"/>
        <v>0.61223750379328856</v>
      </c>
      <c r="P4969" s="4">
        <f t="shared" ca="1" si="419"/>
        <v>0.28515552478736755</v>
      </c>
      <c r="Q4969" s="4">
        <f t="shared" ca="1" si="420"/>
        <v>1917.8837782224034</v>
      </c>
      <c r="R4969" s="4">
        <f t="shared" ca="1" si="421"/>
        <v>-5.7862657775965545</v>
      </c>
      <c r="S4969" s="4">
        <f t="shared" ca="1" si="422"/>
        <v>-2.9154353800466191</v>
      </c>
    </row>
    <row r="4970" spans="15:19" x14ac:dyDescent="0.2">
      <c r="O4970" s="4">
        <f t="shared" ca="1" si="418"/>
        <v>0.2480700872875039</v>
      </c>
      <c r="P4970" s="4">
        <f t="shared" ca="1" si="419"/>
        <v>-0.68057543555136157</v>
      </c>
      <c r="Q4970" s="4">
        <f t="shared" ca="1" si="420"/>
        <v>1936.1058385310043</v>
      </c>
      <c r="R4970" s="4">
        <f t="shared" ca="1" si="421"/>
        <v>12.435794531004376</v>
      </c>
      <c r="S4970" s="4">
        <f t="shared" ca="1" si="422"/>
        <v>6.3580738418614642</v>
      </c>
    </row>
    <row r="4971" spans="15:19" x14ac:dyDescent="0.2">
      <c r="O4971" s="4">
        <f t="shared" ca="1" si="418"/>
        <v>0.67638342954451325</v>
      </c>
      <c r="P4971" s="4">
        <f t="shared" ca="1" si="419"/>
        <v>0.45760932769073281</v>
      </c>
      <c r="Q4971" s="4">
        <f t="shared" ca="1" si="420"/>
        <v>1914.6298040556744</v>
      </c>
      <c r="R4971" s="4">
        <f t="shared" ca="1" si="421"/>
        <v>-9.040239944325549</v>
      </c>
      <c r="S4971" s="4">
        <f t="shared" ca="1" si="422"/>
        <v>-4.542989893707106</v>
      </c>
    </row>
    <row r="4972" spans="15:19" x14ac:dyDescent="0.2">
      <c r="O4972" s="4">
        <f t="shared" ca="1" si="418"/>
        <v>0.79041915387960016</v>
      </c>
      <c r="P4972" s="4">
        <f t="shared" ca="1" si="419"/>
        <v>0.80787648003363111</v>
      </c>
      <c r="Q4972" s="4">
        <f t="shared" ca="1" si="420"/>
        <v>1908.0207281988999</v>
      </c>
      <c r="R4972" s="4">
        <f t="shared" ca="1" si="421"/>
        <v>-15.649315801100101</v>
      </c>
      <c r="S4972" s="4">
        <f t="shared" ca="1" si="422"/>
        <v>-7.822145247016465</v>
      </c>
    </row>
    <row r="4973" spans="15:19" x14ac:dyDescent="0.2">
      <c r="O4973" s="4">
        <f t="shared" ca="1" si="418"/>
        <v>0.64692394848118906</v>
      </c>
      <c r="P4973" s="4">
        <f t="shared" ca="1" si="419"/>
        <v>0.37702893354015676</v>
      </c>
      <c r="Q4973" s="4">
        <f t="shared" ca="1" si="420"/>
        <v>1916.1502490472978</v>
      </c>
      <c r="R4973" s="4">
        <f t="shared" ca="1" si="421"/>
        <v>-7.5197949527021137</v>
      </c>
      <c r="S4973" s="4">
        <f t="shared" ca="1" si="422"/>
        <v>-3.7835751885438786</v>
      </c>
    </row>
    <row r="4974" spans="15:19" x14ac:dyDescent="0.2">
      <c r="O4974" s="4">
        <f t="shared" ca="1" si="418"/>
        <v>0.35893336458574054</v>
      </c>
      <c r="P4974" s="4">
        <f t="shared" ca="1" si="419"/>
        <v>-0.36131132427205626</v>
      </c>
      <c r="Q4974" s="4">
        <f t="shared" ca="1" si="420"/>
        <v>1930.0817488735054</v>
      </c>
      <c r="R4974" s="4">
        <f t="shared" ca="1" si="421"/>
        <v>6.4117048735054141</v>
      </c>
      <c r="S4974" s="4">
        <f t="shared" ca="1" si="422"/>
        <v>3.2624024083481329</v>
      </c>
    </row>
    <row r="4975" spans="15:19" x14ac:dyDescent="0.2">
      <c r="O4975" s="4">
        <f t="shared" ca="1" si="418"/>
        <v>0.39017556548792931</v>
      </c>
      <c r="P4975" s="4">
        <f t="shared" ca="1" si="419"/>
        <v>-0.27886147978838505</v>
      </c>
      <c r="Q4975" s="4">
        <f t="shared" ca="1" si="420"/>
        <v>1928.5260298375435</v>
      </c>
      <c r="R4975" s="4">
        <f t="shared" ca="1" si="421"/>
        <v>4.8559858375435851</v>
      </c>
      <c r="S4975" s="4">
        <f t="shared" ca="1" si="422"/>
        <v>2.4677465308418403</v>
      </c>
    </row>
    <row r="4976" spans="15:19" x14ac:dyDescent="0.2">
      <c r="O4976" s="4">
        <f t="shared" ca="1" si="418"/>
        <v>0.88228668465194815</v>
      </c>
      <c r="P4976" s="4">
        <f t="shared" ca="1" si="419"/>
        <v>1.1864956186883051</v>
      </c>
      <c r="Q4976" s="4">
        <f t="shared" ca="1" si="420"/>
        <v>1900.8766880242574</v>
      </c>
      <c r="R4976" s="4">
        <f t="shared" ca="1" si="421"/>
        <v>-22.793355975742543</v>
      </c>
      <c r="S4976" s="4">
        <f t="shared" ca="1" si="422"/>
        <v>-11.326732498162229</v>
      </c>
    </row>
    <row r="4977" spans="15:19" x14ac:dyDescent="0.2">
      <c r="O4977" s="4">
        <f t="shared" ca="1" si="418"/>
        <v>0.75381081983963649</v>
      </c>
      <c r="P4977" s="4">
        <f t="shared" ca="1" si="419"/>
        <v>0.6865309403961033</v>
      </c>
      <c r="Q4977" s="4">
        <f t="shared" ca="1" si="420"/>
        <v>1910.310357331924</v>
      </c>
      <c r="R4977" s="4">
        <f t="shared" ca="1" si="421"/>
        <v>-13.359686668075938</v>
      </c>
      <c r="S4977" s="4">
        <f t="shared" ca="1" si="422"/>
        <v>-6.6901500330115216</v>
      </c>
    </row>
    <row r="4978" spans="15:19" x14ac:dyDescent="0.2">
      <c r="O4978" s="4">
        <f t="shared" ca="1" si="418"/>
        <v>0.92466251309720482</v>
      </c>
      <c r="P4978" s="4">
        <f t="shared" ca="1" si="419"/>
        <v>1.437151417928884</v>
      </c>
      <c r="Q4978" s="4">
        <f t="shared" ca="1" si="420"/>
        <v>1896.1471460730909</v>
      </c>
      <c r="R4978" s="4">
        <f t="shared" ca="1" si="421"/>
        <v>-27.522897926909081</v>
      </c>
      <c r="S4978" s="4">
        <f t="shared" ca="1" si="422"/>
        <v>-13.624001542116643</v>
      </c>
    </row>
    <row r="4979" spans="15:19" x14ac:dyDescent="0.2">
      <c r="O4979" s="4">
        <f t="shared" ca="1" si="418"/>
        <v>0.49069385193080883</v>
      </c>
      <c r="P4979" s="4">
        <f t="shared" ca="1" si="419"/>
        <v>-2.3329169856152986E-2</v>
      </c>
      <c r="Q4979" s="4">
        <f t="shared" ca="1" si="420"/>
        <v>1923.704474607764</v>
      </c>
      <c r="R4979" s="4">
        <f t="shared" ca="1" si="421"/>
        <v>3.4430607764079468E-2</v>
      </c>
      <c r="S4979" s="4">
        <f t="shared" ca="1" si="422"/>
        <v>1.7429593461757171E-2</v>
      </c>
    </row>
    <row r="4980" spans="15:19" x14ac:dyDescent="0.2">
      <c r="O4980" s="4">
        <f t="shared" ca="1" si="418"/>
        <v>0.67168964282648913</v>
      </c>
      <c r="P4980" s="4">
        <f t="shared" ca="1" si="419"/>
        <v>0.44458358209729154</v>
      </c>
      <c r="Q4980" s="4">
        <f t="shared" ca="1" si="420"/>
        <v>1914.8755825711366</v>
      </c>
      <c r="R4980" s="4">
        <f t="shared" ca="1" si="421"/>
        <v>-8.7944614288633147</v>
      </c>
      <c r="S4980" s="4">
        <f t="shared" ca="1" si="422"/>
        <v>-4.4203587435218097</v>
      </c>
    </row>
    <row r="4981" spans="15:19" x14ac:dyDescent="0.2">
      <c r="O4981" s="4">
        <f t="shared" ca="1" si="418"/>
        <v>0.15444916315738888</v>
      </c>
      <c r="P4981" s="4">
        <f t="shared" ca="1" si="419"/>
        <v>-1.0175363979944851</v>
      </c>
      <c r="Q4981" s="4">
        <f t="shared" ca="1" si="420"/>
        <v>1942.4638442608086</v>
      </c>
      <c r="R4981" s="4">
        <f t="shared" ca="1" si="421"/>
        <v>18.793800260808666</v>
      </c>
      <c r="S4981" s="4">
        <f t="shared" ca="1" si="422"/>
        <v>9.6573854463208892</v>
      </c>
    </row>
    <row r="4982" spans="15:19" x14ac:dyDescent="0.2">
      <c r="O4982" s="4">
        <f t="shared" ca="1" si="418"/>
        <v>0.83129550286126297</v>
      </c>
      <c r="P4982" s="4">
        <f t="shared" ca="1" si="419"/>
        <v>0.95929730178567318</v>
      </c>
      <c r="Q4982" s="4">
        <f t="shared" ca="1" si="420"/>
        <v>1905.1636184455006</v>
      </c>
      <c r="R4982" s="4">
        <f t="shared" ca="1" si="421"/>
        <v>-18.506425554499401</v>
      </c>
      <c r="S4982" s="4">
        <f t="shared" ca="1" si="422"/>
        <v>-9.2287176461792857</v>
      </c>
    </row>
    <row r="4983" spans="15:19" x14ac:dyDescent="0.2">
      <c r="O4983" s="4">
        <f t="shared" ca="1" si="418"/>
        <v>0.79930470167355416</v>
      </c>
      <c r="P4983" s="4">
        <f t="shared" ca="1" si="419"/>
        <v>0.83914027691091186</v>
      </c>
      <c r="Q4983" s="4">
        <f t="shared" ca="1" si="420"/>
        <v>1907.4308218838185</v>
      </c>
      <c r="R4983" s="4">
        <f t="shared" ca="1" si="421"/>
        <v>-16.239222116181509</v>
      </c>
      <c r="S4983" s="4">
        <f t="shared" ca="1" si="422"/>
        <v>-8.1131041208570025</v>
      </c>
    </row>
    <row r="4984" spans="15:19" x14ac:dyDescent="0.2">
      <c r="O4984" s="4">
        <f t="shared" ca="1" si="418"/>
        <v>0.73097226418626349</v>
      </c>
      <c r="P4984" s="4">
        <f t="shared" ca="1" si="419"/>
        <v>0.61575615094616254</v>
      </c>
      <c r="Q4984" s="4">
        <f t="shared" ca="1" si="420"/>
        <v>1911.6457835889771</v>
      </c>
      <c r="R4984" s="4">
        <f t="shared" ca="1" si="421"/>
        <v>-12.024260411022851</v>
      </c>
      <c r="S4984" s="4">
        <f t="shared" ca="1" si="422"/>
        <v>-6.0279431724590156</v>
      </c>
    </row>
    <row r="4985" spans="15:19" x14ac:dyDescent="0.2">
      <c r="O4985" s="4">
        <f t="shared" ca="1" si="418"/>
        <v>0.93444312916635031</v>
      </c>
      <c r="P4985" s="4">
        <f t="shared" ca="1" si="419"/>
        <v>1.509724481743556</v>
      </c>
      <c r="Q4985" s="4">
        <f t="shared" ca="1" si="420"/>
        <v>1894.77778876767</v>
      </c>
      <c r="R4985" s="4">
        <f t="shared" ca="1" si="421"/>
        <v>-28.892255232329944</v>
      </c>
      <c r="S4985" s="4">
        <f t="shared" ca="1" si="422"/>
        <v>-14.285736506624236</v>
      </c>
    </row>
    <row r="4986" spans="15:19" x14ac:dyDescent="0.2">
      <c r="O4986" s="4">
        <f t="shared" ca="1" si="418"/>
        <v>0.66243877294500542</v>
      </c>
      <c r="P4986" s="4">
        <f t="shared" ca="1" si="419"/>
        <v>0.41912818373448379</v>
      </c>
      <c r="Q4986" s="4">
        <f t="shared" ca="1" si="420"/>
        <v>1915.3558921223432</v>
      </c>
      <c r="R4986" s="4">
        <f t="shared" ca="1" si="421"/>
        <v>-8.3141518776567409</v>
      </c>
      <c r="S4986" s="4">
        <f t="shared" ca="1" si="422"/>
        <v>-4.1805664071362907</v>
      </c>
    </row>
    <row r="4987" spans="15:19" x14ac:dyDescent="0.2">
      <c r="O4987" s="4">
        <f t="shared" ca="1" si="418"/>
        <v>0.55923228943945491</v>
      </c>
      <c r="P4987" s="4">
        <f t="shared" ca="1" si="419"/>
        <v>0.14902307998291506</v>
      </c>
      <c r="Q4987" s="4">
        <f t="shared" ca="1" si="420"/>
        <v>1920.4524166124515</v>
      </c>
      <c r="R4987" s="4">
        <f t="shared" ca="1" si="421"/>
        <v>-3.2176273875484185</v>
      </c>
      <c r="S4987" s="4">
        <f t="shared" ca="1" si="422"/>
        <v>-1.6245800609462517</v>
      </c>
    </row>
    <row r="4988" spans="15:19" x14ac:dyDescent="0.2">
      <c r="O4988" s="4">
        <f t="shared" ca="1" si="418"/>
        <v>0.62687802885533239</v>
      </c>
      <c r="P4988" s="4">
        <f t="shared" ca="1" si="419"/>
        <v>0.32359596620726677</v>
      </c>
      <c r="Q4988" s="4">
        <f t="shared" ca="1" si="420"/>
        <v>1917.1584581585246</v>
      </c>
      <c r="R4988" s="4">
        <f t="shared" ca="1" si="421"/>
        <v>-6.5115858414753802</v>
      </c>
      <c r="S4988" s="4">
        <f t="shared" ca="1" si="422"/>
        <v>-3.2789684927799927</v>
      </c>
    </row>
    <row r="4989" spans="15:19" x14ac:dyDescent="0.2">
      <c r="O4989" s="4">
        <f t="shared" ca="1" si="418"/>
        <v>0.24493751951677778</v>
      </c>
      <c r="P4989" s="4">
        <f t="shared" ca="1" si="419"/>
        <v>-0.69050758919084376</v>
      </c>
      <c r="Q4989" s="4">
        <f t="shared" ca="1" si="420"/>
        <v>1936.2932450759386</v>
      </c>
      <c r="R4989" s="4">
        <f t="shared" ca="1" si="421"/>
        <v>12.623201075938596</v>
      </c>
      <c r="S4989" s="4">
        <f t="shared" ca="1" si="422"/>
        <v>6.4548525570887954</v>
      </c>
    </row>
    <row r="4990" spans="15:19" x14ac:dyDescent="0.2">
      <c r="O4990" s="4">
        <f t="shared" ca="1" si="418"/>
        <v>0.2002823765424353</v>
      </c>
      <c r="P4990" s="4">
        <f t="shared" ca="1" si="419"/>
        <v>-0.840613036437728</v>
      </c>
      <c r="Q4990" s="4">
        <f t="shared" ca="1" si="420"/>
        <v>1939.1255354598184</v>
      </c>
      <c r="R4990" s="4">
        <f t="shared" ca="1" si="421"/>
        <v>15.455491459818404</v>
      </c>
      <c r="S4990" s="4">
        <f t="shared" ca="1" si="422"/>
        <v>7.9209586901611724</v>
      </c>
    </row>
    <row r="4991" spans="15:19" x14ac:dyDescent="0.2">
      <c r="O4991" s="4">
        <f t="shared" ca="1" si="418"/>
        <v>0.80421815266283236</v>
      </c>
      <c r="P4991" s="4">
        <f t="shared" ca="1" si="419"/>
        <v>0.85678504047256121</v>
      </c>
      <c r="Q4991" s="4">
        <f t="shared" ca="1" si="420"/>
        <v>1907.0978886353712</v>
      </c>
      <c r="R4991" s="4">
        <f t="shared" ca="1" si="421"/>
        <v>-16.57215536462877</v>
      </c>
      <c r="S4991" s="4">
        <f t="shared" ca="1" si="422"/>
        <v>-8.2771913686631891</v>
      </c>
    </row>
    <row r="4992" spans="15:19" x14ac:dyDescent="0.2">
      <c r="O4992" s="4">
        <f t="shared" ca="1" si="418"/>
        <v>0.72699721677947515</v>
      </c>
      <c r="P4992" s="4">
        <f t="shared" ca="1" si="419"/>
        <v>0.60375646648585457</v>
      </c>
      <c r="Q4992" s="4">
        <f t="shared" ca="1" si="420"/>
        <v>1911.872201693915</v>
      </c>
      <c r="R4992" s="4">
        <f t="shared" ca="1" si="421"/>
        <v>-11.797842306084931</v>
      </c>
      <c r="S4992" s="4">
        <f t="shared" ca="1" si="422"/>
        <v>-5.9155237418107767</v>
      </c>
    </row>
    <row r="4993" spans="15:19" x14ac:dyDescent="0.2">
      <c r="O4993" s="4">
        <f t="shared" ca="1" si="418"/>
        <v>0.41800864278495475</v>
      </c>
      <c r="P4993" s="4">
        <f t="shared" ca="1" si="419"/>
        <v>-0.20699048997546615</v>
      </c>
      <c r="Q4993" s="4">
        <f t="shared" ca="1" si="420"/>
        <v>1927.1699197358748</v>
      </c>
      <c r="R4993" s="4">
        <f t="shared" ca="1" si="421"/>
        <v>3.4998757358748662</v>
      </c>
      <c r="S4993" s="4">
        <f t="shared" ca="1" si="422"/>
        <v>1.7766576223845687</v>
      </c>
    </row>
    <row r="4994" spans="15:19" x14ac:dyDescent="0.2">
      <c r="O4994" s="4">
        <f t="shared" ca="1" si="418"/>
        <v>0.27379348565625439</v>
      </c>
      <c r="P4994" s="4">
        <f t="shared" ca="1" si="419"/>
        <v>-0.60137991774415822</v>
      </c>
      <c r="Q4994" s="4">
        <f t="shared" ca="1" si="420"/>
        <v>1934.6115243162592</v>
      </c>
      <c r="R4994" s="4">
        <f t="shared" ca="1" si="421"/>
        <v>10.941480316259231</v>
      </c>
      <c r="S4994" s="4">
        <f t="shared" ca="1" si="422"/>
        <v>5.5874172028277052</v>
      </c>
    </row>
    <row r="4995" spans="15:19" x14ac:dyDescent="0.2">
      <c r="O4995" s="4">
        <f t="shared" ref="O4995:O5001" ca="1" si="423">RAND()</f>
        <v>0.71155235031623476</v>
      </c>
      <c r="P4995" s="4">
        <f t="shared" ref="P4995:P5001" ca="1" si="424">NORMSINV(O4995)</f>
        <v>0.55792543926693583</v>
      </c>
      <c r="Q4995" s="4">
        <f t="shared" ref="Q4995:Q5001" ca="1" si="425">$B$4*(1+$B$17-$B$32*P4995)</f>
        <v>1912.7369722938918</v>
      </c>
      <c r="R4995" s="4">
        <f t="shared" ref="R4995:R5001" ca="1" si="426">Q4995-$B$4</f>
        <v>-10.933071706108194</v>
      </c>
      <c r="S4995" s="4">
        <f t="shared" ref="S4995:S5001" ca="1" si="427">R4995*$B$12+0.5*$B$13*R4995^2</f>
        <v>-5.4857701641706766</v>
      </c>
    </row>
    <row r="4996" spans="15:19" x14ac:dyDescent="0.2">
      <c r="O4996" s="4">
        <f t="shared" ca="1" si="423"/>
        <v>0.73533521103071331</v>
      </c>
      <c r="P4996" s="4">
        <f t="shared" ca="1" si="424"/>
        <v>0.62902975273143447</v>
      </c>
      <c r="Q4996" s="4">
        <f t="shared" ca="1" si="425"/>
        <v>1911.395328356436</v>
      </c>
      <c r="R4996" s="4">
        <f t="shared" ca="1" si="426"/>
        <v>-12.274715643563923</v>
      </c>
      <c r="S4996" s="4">
        <f t="shared" ca="1" si="427"/>
        <v>-6.1522487201430849</v>
      </c>
    </row>
    <row r="4997" spans="15:19" x14ac:dyDescent="0.2">
      <c r="O4997" s="4">
        <f t="shared" ca="1" si="423"/>
        <v>0.68065128290966104</v>
      </c>
      <c r="P4997" s="4">
        <f t="shared" ca="1" si="424"/>
        <v>0.46952078136091979</v>
      </c>
      <c r="Q4997" s="4">
        <f t="shared" ca="1" si="425"/>
        <v>1914.4050507485367</v>
      </c>
      <c r="R4997" s="4">
        <f t="shared" ca="1" si="426"/>
        <v>-9.2649932514632383</v>
      </c>
      <c r="S4997" s="4">
        <f t="shared" ca="1" si="427"/>
        <v>-4.6550874706003817</v>
      </c>
    </row>
    <row r="4998" spans="15:19" x14ac:dyDescent="0.2">
      <c r="O4998" s="4">
        <f t="shared" ca="1" si="423"/>
        <v>0.78491500515214763</v>
      </c>
      <c r="P4998" s="4">
        <f t="shared" ca="1" si="424"/>
        <v>0.78890079728387541</v>
      </c>
      <c r="Q4998" s="4">
        <f t="shared" ca="1" si="425"/>
        <v>1908.3787741243839</v>
      </c>
      <c r="R4998" s="4">
        <f t="shared" ca="1" si="426"/>
        <v>-15.291269875616081</v>
      </c>
      <c r="S4998" s="4">
        <f t="shared" ca="1" si="427"/>
        <v>-7.6454084667114373</v>
      </c>
    </row>
    <row r="4999" spans="15:19" x14ac:dyDescent="0.2">
      <c r="O4999" s="4">
        <f t="shared" ca="1" si="423"/>
        <v>0.50293538895133194</v>
      </c>
      <c r="P4999" s="4">
        <f t="shared" ca="1" si="424"/>
        <v>7.3579953356704255E-3</v>
      </c>
      <c r="Q4999" s="4">
        <f t="shared" ca="1" si="425"/>
        <v>1923.1254485665681</v>
      </c>
      <c r="R4999" s="4">
        <f t="shared" ca="1" si="426"/>
        <v>-0.54459543343182304</v>
      </c>
      <c r="S4999" s="4">
        <f t="shared" ca="1" si="427"/>
        <v>-0.27555881236896262</v>
      </c>
    </row>
    <row r="5000" spans="15:19" x14ac:dyDescent="0.2">
      <c r="O5000" s="4">
        <f t="shared" ca="1" si="423"/>
        <v>0.27030145208036449</v>
      </c>
      <c r="P5000" s="4">
        <f t="shared" ca="1" si="424"/>
        <v>-0.61190153774216094</v>
      </c>
      <c r="Q5000" s="4">
        <f t="shared" ca="1" si="425"/>
        <v>1934.8100533083093</v>
      </c>
      <c r="R5000" s="4">
        <f t="shared" ca="1" si="426"/>
        <v>11.140009308309345</v>
      </c>
      <c r="S5000" s="4">
        <f t="shared" ca="1" si="427"/>
        <v>5.6896990397114386</v>
      </c>
    </row>
    <row r="5001" spans="15:19" x14ac:dyDescent="0.2">
      <c r="O5001" s="4">
        <f t="shared" ca="1" si="423"/>
        <v>0.96240109119229911</v>
      </c>
      <c r="P5001" s="4">
        <f t="shared" ca="1" si="424"/>
        <v>1.7792558990744594</v>
      </c>
      <c r="Q5001" s="4">
        <f t="shared" ca="1" si="425"/>
        <v>1889.6920889782134</v>
      </c>
      <c r="R5001" s="4">
        <f t="shared" ca="1" si="426"/>
        <v>-33.977955021786556</v>
      </c>
      <c r="S5001" s="4">
        <f t="shared" ca="1" si="427"/>
        <v>-16.730011640702237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Wells Fargo &amp; Co.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DeMeo, Roy E.</dc:creator>
  <cp:lastModifiedBy>Davis Vaughan</cp:lastModifiedBy>
  <dcterms:created xsi:type="dcterms:W3CDTF">2016-01-12T19:39:59Z</dcterms:created>
  <dcterms:modified xsi:type="dcterms:W3CDTF">2018-01-26T22:18:59Z</dcterms:modified>
</cp:coreProperties>
</file>