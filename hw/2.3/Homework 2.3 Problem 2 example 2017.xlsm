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9815" windowHeight="9645"/>
  </bookViews>
  <sheets>
    <sheet name="Sheet1" sheetId="1" r:id="rId1"/>
  </sheets>
  <functionGroups builtInGroupCount="17"/>
  <definedNames>
    <definedName name="solver_adj" localSheetId="0" hidden="1">Sheet1!$A$94,Sheet1!$B$94,Sheet1!$A$96,Sheet1!$B$96,Sheet1!$A$98,Sheet1!$B$98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Sheet1!$A$94</definedName>
    <definedName name="solver_lhs2" localSheetId="0" hidden="1">Sheet1!$A$96</definedName>
    <definedName name="solver_lhs3" localSheetId="0" hidden="1">Sheet1!$A$98</definedName>
    <definedName name="solver_lhs4" localSheetId="0" hidden="1">Sheet1!$A$99</definedName>
    <definedName name="solver_lhs5" localSheetId="0" hidden="1">Sheet1!$B$94</definedName>
    <definedName name="solver_lhs6" localSheetId="0" hidden="1">Sheet1!$B$96</definedName>
    <definedName name="solver_lhs7" localSheetId="0" hidden="1">Sheet1!$B$98</definedName>
    <definedName name="solver_lhs8" localSheetId="0" hidden="1">Sheet1!$B$99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8</definedName>
    <definedName name="solver_nwt" localSheetId="0" hidden="1">1</definedName>
    <definedName name="solver_opt" localSheetId="0" hidden="1">Sheet1!$B$100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el3" localSheetId="0" hidden="1">3</definedName>
    <definedName name="solver_rel4" localSheetId="0" hidden="1">1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1</definedName>
    <definedName name="solver_rhs1" localSheetId="0" hidden="1">0</definedName>
    <definedName name="solver_rhs2" localSheetId="0" hidden="1">0.000001</definedName>
    <definedName name="solver_rhs3" localSheetId="0" hidden="1">0.000001</definedName>
    <definedName name="solver_rhs4" localSheetId="0" hidden="1">0.9999</definedName>
    <definedName name="solver_rhs5" localSheetId="0" hidden="1">0</definedName>
    <definedName name="solver_rhs6" localSheetId="0" hidden="1">0.000001</definedName>
    <definedName name="solver_rhs7" localSheetId="0" hidden="1">0.000001</definedName>
    <definedName name="solver_rhs8" localSheetId="0" hidden="1">0.9999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4562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1" l="1"/>
  <c r="A7" i="1"/>
  <c r="B5" i="1"/>
  <c r="F3" i="1"/>
  <c r="G3" i="1"/>
  <c r="F4" i="1"/>
  <c r="G4" i="1"/>
  <c r="F5" i="1"/>
  <c r="G5" i="1"/>
  <c r="F6" i="1"/>
  <c r="G6" i="1"/>
  <c r="F7" i="1"/>
  <c r="G7" i="1"/>
  <c r="F8" i="1"/>
  <c r="G8" i="1"/>
  <c r="F9" i="1"/>
  <c r="G9" i="1"/>
  <c r="F10" i="1"/>
  <c r="G10" i="1"/>
  <c r="F11" i="1"/>
  <c r="G11" i="1"/>
  <c r="F12" i="1"/>
  <c r="G12" i="1"/>
  <c r="F13" i="1"/>
  <c r="G13" i="1"/>
  <c r="F14" i="1"/>
  <c r="G14" i="1"/>
  <c r="F15" i="1"/>
  <c r="G15" i="1"/>
  <c r="F16" i="1"/>
  <c r="G16" i="1"/>
  <c r="F17" i="1"/>
  <c r="G17" i="1"/>
  <c r="F18" i="1"/>
  <c r="G18" i="1"/>
  <c r="F19" i="1"/>
  <c r="G19" i="1"/>
  <c r="F20" i="1"/>
  <c r="G20" i="1"/>
  <c r="F21" i="1"/>
  <c r="G21" i="1"/>
  <c r="F22" i="1"/>
  <c r="G22" i="1"/>
  <c r="F23" i="1"/>
  <c r="G23" i="1"/>
  <c r="F24" i="1"/>
  <c r="G24" i="1"/>
  <c r="F25" i="1"/>
  <c r="G25" i="1"/>
  <c r="F26" i="1"/>
  <c r="G26" i="1"/>
  <c r="F27" i="1"/>
  <c r="G27" i="1"/>
  <c r="F28" i="1"/>
  <c r="G28" i="1"/>
  <c r="F29" i="1"/>
  <c r="G29" i="1"/>
  <c r="F30" i="1"/>
  <c r="G30" i="1"/>
  <c r="F31" i="1"/>
  <c r="G31" i="1"/>
  <c r="F32" i="1"/>
  <c r="G32" i="1"/>
  <c r="F33" i="1"/>
  <c r="G33" i="1"/>
  <c r="F34" i="1"/>
  <c r="G34" i="1"/>
  <c r="F35" i="1"/>
  <c r="G35" i="1"/>
  <c r="F36" i="1"/>
  <c r="G36" i="1"/>
  <c r="F37" i="1"/>
  <c r="G37" i="1"/>
  <c r="F38" i="1"/>
  <c r="G38" i="1"/>
  <c r="F39" i="1"/>
  <c r="G39" i="1"/>
  <c r="F40" i="1"/>
  <c r="G40" i="1"/>
  <c r="F41" i="1"/>
  <c r="G41" i="1"/>
  <c r="F42" i="1"/>
  <c r="G42" i="1"/>
  <c r="F43" i="1"/>
  <c r="G43" i="1"/>
  <c r="F44" i="1"/>
  <c r="G44" i="1"/>
  <c r="F45" i="1"/>
  <c r="G45" i="1"/>
  <c r="F46" i="1"/>
  <c r="G46" i="1"/>
  <c r="F47" i="1"/>
  <c r="G47" i="1"/>
  <c r="F48" i="1"/>
  <c r="G48" i="1"/>
  <c r="F49" i="1"/>
  <c r="G49" i="1"/>
  <c r="F50" i="1"/>
  <c r="G50" i="1"/>
  <c r="F51" i="1"/>
  <c r="G51" i="1"/>
  <c r="F52" i="1"/>
  <c r="G52" i="1"/>
  <c r="F53" i="1"/>
  <c r="G53" i="1"/>
  <c r="F54" i="1"/>
  <c r="G54" i="1"/>
  <c r="F55" i="1"/>
  <c r="G55" i="1"/>
  <c r="F56" i="1"/>
  <c r="G56" i="1"/>
  <c r="F57" i="1"/>
  <c r="G57" i="1"/>
  <c r="F58" i="1"/>
  <c r="G58" i="1"/>
  <c r="F59" i="1"/>
  <c r="G59" i="1"/>
  <c r="F60" i="1"/>
  <c r="G60" i="1"/>
  <c r="F61" i="1"/>
  <c r="G61" i="1"/>
  <c r="F62" i="1"/>
  <c r="G62" i="1"/>
  <c r="F63" i="1"/>
  <c r="G63" i="1"/>
  <c r="F64" i="1"/>
  <c r="G64" i="1"/>
  <c r="F65" i="1"/>
  <c r="G65" i="1"/>
  <c r="F66" i="1"/>
  <c r="G66" i="1"/>
  <c r="F67" i="1"/>
  <c r="G67" i="1"/>
  <c r="F68" i="1"/>
  <c r="G68" i="1"/>
  <c r="F69" i="1"/>
  <c r="G69" i="1"/>
  <c r="F70" i="1"/>
  <c r="G70" i="1"/>
  <c r="F71" i="1"/>
  <c r="G71" i="1"/>
  <c r="F72" i="1"/>
  <c r="G72" i="1"/>
  <c r="F73" i="1"/>
  <c r="G73" i="1"/>
  <c r="F74" i="1"/>
  <c r="G74" i="1"/>
  <c r="F75" i="1"/>
  <c r="G75" i="1"/>
  <c r="F76" i="1"/>
  <c r="G76" i="1"/>
  <c r="F77" i="1"/>
  <c r="G77" i="1"/>
  <c r="F78" i="1"/>
  <c r="G78" i="1"/>
  <c r="F79" i="1"/>
  <c r="G79" i="1"/>
  <c r="F80" i="1"/>
  <c r="G80" i="1"/>
  <c r="F81" i="1"/>
  <c r="G81" i="1"/>
  <c r="F82" i="1"/>
  <c r="G82" i="1"/>
  <c r="F83" i="1"/>
  <c r="G83" i="1"/>
  <c r="F84" i="1"/>
  <c r="G84" i="1"/>
  <c r="F85" i="1"/>
  <c r="G85" i="1"/>
  <c r="F86" i="1"/>
  <c r="G86" i="1"/>
  <c r="F87" i="1"/>
  <c r="G87" i="1"/>
  <c r="F88" i="1"/>
  <c r="G88" i="1"/>
  <c r="F89" i="1"/>
  <c r="G89" i="1"/>
  <c r="F90" i="1"/>
  <c r="G90" i="1"/>
  <c r="F91" i="1"/>
  <c r="G91" i="1"/>
  <c r="F92" i="1"/>
  <c r="G92" i="1"/>
  <c r="F93" i="1"/>
  <c r="G93" i="1"/>
  <c r="F94" i="1"/>
  <c r="G94" i="1"/>
  <c r="F95" i="1"/>
  <c r="G95" i="1"/>
  <c r="F96" i="1"/>
  <c r="G96" i="1"/>
  <c r="F97" i="1"/>
  <c r="G97" i="1"/>
  <c r="F98" i="1"/>
  <c r="G98" i="1"/>
  <c r="F99" i="1"/>
  <c r="G99" i="1"/>
  <c r="F100" i="1"/>
  <c r="G100" i="1"/>
  <c r="F101" i="1"/>
  <c r="G101" i="1"/>
  <c r="F102" i="1"/>
  <c r="G102" i="1"/>
  <c r="F103" i="1"/>
  <c r="G103" i="1"/>
  <c r="F104" i="1"/>
  <c r="G104" i="1"/>
  <c r="F105" i="1"/>
  <c r="G105" i="1"/>
  <c r="F106" i="1"/>
  <c r="G106" i="1"/>
  <c r="F107" i="1"/>
  <c r="G107" i="1"/>
  <c r="F108" i="1"/>
  <c r="G108" i="1"/>
  <c r="F109" i="1"/>
  <c r="G109" i="1"/>
  <c r="F110" i="1"/>
  <c r="G110" i="1"/>
  <c r="F111" i="1"/>
  <c r="G111" i="1"/>
  <c r="F112" i="1"/>
  <c r="G112" i="1"/>
  <c r="F113" i="1"/>
  <c r="G113" i="1"/>
  <c r="F114" i="1"/>
  <c r="G114" i="1"/>
  <c r="F115" i="1"/>
  <c r="G115" i="1"/>
  <c r="F116" i="1"/>
  <c r="G116" i="1"/>
  <c r="F117" i="1"/>
  <c r="G117" i="1"/>
  <c r="F118" i="1"/>
  <c r="G118" i="1"/>
  <c r="F119" i="1"/>
  <c r="G119" i="1"/>
  <c r="F120" i="1"/>
  <c r="G120" i="1"/>
  <c r="F121" i="1"/>
  <c r="G121" i="1"/>
  <c r="F122" i="1"/>
  <c r="G122" i="1"/>
  <c r="F123" i="1"/>
  <c r="G123" i="1"/>
  <c r="F124" i="1"/>
  <c r="G124" i="1"/>
  <c r="F125" i="1"/>
  <c r="G125" i="1"/>
  <c r="F126" i="1"/>
  <c r="G126" i="1"/>
  <c r="F127" i="1"/>
  <c r="G127" i="1"/>
  <c r="F128" i="1"/>
  <c r="G128" i="1"/>
  <c r="F129" i="1"/>
  <c r="G129" i="1"/>
  <c r="F130" i="1"/>
  <c r="G130" i="1"/>
  <c r="F131" i="1"/>
  <c r="G131" i="1"/>
  <c r="F132" i="1"/>
  <c r="G132" i="1"/>
  <c r="F133" i="1"/>
  <c r="G133" i="1"/>
  <c r="F134" i="1"/>
  <c r="G134" i="1"/>
  <c r="F135" i="1"/>
  <c r="G135" i="1"/>
  <c r="F136" i="1"/>
  <c r="G136" i="1"/>
  <c r="F137" i="1"/>
  <c r="G137" i="1"/>
  <c r="F138" i="1"/>
  <c r="G138" i="1"/>
  <c r="F139" i="1"/>
  <c r="G139" i="1"/>
  <c r="F140" i="1"/>
  <c r="G140" i="1"/>
  <c r="F141" i="1"/>
  <c r="G141" i="1"/>
  <c r="F142" i="1"/>
  <c r="G142" i="1"/>
  <c r="F143" i="1"/>
  <c r="G143" i="1"/>
  <c r="F144" i="1"/>
  <c r="G144" i="1"/>
  <c r="F145" i="1"/>
  <c r="G145" i="1"/>
  <c r="F146" i="1"/>
  <c r="G146" i="1"/>
  <c r="F147" i="1"/>
  <c r="G147" i="1"/>
  <c r="F148" i="1"/>
  <c r="G148" i="1"/>
  <c r="F149" i="1"/>
  <c r="G149" i="1"/>
  <c r="F150" i="1"/>
  <c r="G150" i="1"/>
  <c r="F151" i="1"/>
  <c r="G151" i="1"/>
  <c r="F152" i="1"/>
  <c r="G152" i="1"/>
  <c r="F153" i="1"/>
  <c r="G153" i="1"/>
  <c r="F154" i="1"/>
  <c r="G154" i="1"/>
  <c r="F155" i="1"/>
  <c r="G155" i="1"/>
  <c r="F156" i="1"/>
  <c r="G156" i="1"/>
  <c r="F157" i="1"/>
  <c r="G157" i="1"/>
  <c r="F158" i="1"/>
  <c r="G158" i="1"/>
  <c r="F159" i="1"/>
  <c r="G159" i="1"/>
  <c r="F160" i="1"/>
  <c r="G160" i="1"/>
  <c r="F161" i="1"/>
  <c r="G161" i="1"/>
  <c r="F162" i="1"/>
  <c r="G162" i="1"/>
  <c r="F163" i="1"/>
  <c r="G163" i="1"/>
  <c r="F164" i="1"/>
  <c r="G164" i="1"/>
  <c r="F165" i="1"/>
  <c r="G165" i="1"/>
  <c r="F166" i="1"/>
  <c r="G166" i="1"/>
  <c r="F167" i="1"/>
  <c r="G167" i="1"/>
  <c r="F168" i="1"/>
  <c r="G168" i="1"/>
  <c r="F169" i="1"/>
  <c r="G169" i="1"/>
  <c r="F170" i="1"/>
  <c r="G170" i="1"/>
  <c r="F171" i="1"/>
  <c r="G171" i="1"/>
  <c r="F172" i="1"/>
  <c r="G172" i="1"/>
  <c r="F173" i="1"/>
  <c r="G173" i="1"/>
  <c r="F174" i="1"/>
  <c r="G174" i="1"/>
  <c r="F175" i="1"/>
  <c r="G175" i="1"/>
  <c r="F176" i="1"/>
  <c r="G176" i="1"/>
  <c r="F177" i="1"/>
  <c r="G177" i="1"/>
  <c r="F178" i="1"/>
  <c r="G178" i="1"/>
  <c r="F179" i="1"/>
  <c r="G179" i="1"/>
  <c r="F180" i="1"/>
  <c r="G180" i="1"/>
  <c r="F181" i="1"/>
  <c r="G181" i="1"/>
  <c r="F182" i="1"/>
  <c r="G182" i="1"/>
  <c r="F183" i="1"/>
  <c r="G183" i="1"/>
  <c r="F184" i="1"/>
  <c r="G184" i="1"/>
  <c r="F185" i="1"/>
  <c r="G185" i="1"/>
  <c r="F186" i="1"/>
  <c r="G186" i="1"/>
  <c r="F187" i="1"/>
  <c r="G187" i="1"/>
  <c r="F188" i="1"/>
  <c r="G188" i="1"/>
  <c r="F189" i="1"/>
  <c r="G189" i="1"/>
  <c r="F190" i="1"/>
  <c r="G190" i="1"/>
  <c r="F191" i="1"/>
  <c r="G191" i="1"/>
  <c r="F192" i="1"/>
  <c r="G192" i="1"/>
  <c r="F193" i="1"/>
  <c r="G193" i="1"/>
  <c r="F194" i="1"/>
  <c r="G194" i="1"/>
  <c r="F195" i="1"/>
  <c r="G195" i="1"/>
  <c r="F196" i="1"/>
  <c r="G196" i="1"/>
  <c r="F197" i="1"/>
  <c r="G197" i="1"/>
  <c r="F198" i="1"/>
  <c r="G198" i="1"/>
  <c r="F199" i="1"/>
  <c r="G199" i="1"/>
  <c r="F200" i="1"/>
  <c r="G200" i="1"/>
  <c r="F201" i="1"/>
  <c r="G201" i="1"/>
  <c r="F202" i="1"/>
  <c r="G202" i="1"/>
  <c r="F203" i="1"/>
  <c r="G203" i="1"/>
  <c r="F204" i="1"/>
  <c r="G204" i="1"/>
  <c r="F205" i="1"/>
  <c r="G205" i="1"/>
  <c r="F206" i="1"/>
  <c r="G206" i="1"/>
  <c r="F207" i="1"/>
  <c r="G207" i="1"/>
  <c r="F208" i="1"/>
  <c r="G208" i="1"/>
  <c r="F209" i="1"/>
  <c r="G209" i="1"/>
  <c r="F210" i="1"/>
  <c r="G210" i="1"/>
  <c r="F211" i="1"/>
  <c r="G211" i="1"/>
  <c r="F212" i="1"/>
  <c r="G212" i="1"/>
  <c r="F213" i="1"/>
  <c r="G213" i="1"/>
  <c r="F214" i="1"/>
  <c r="G214" i="1"/>
  <c r="F215" i="1"/>
  <c r="G215" i="1"/>
  <c r="F216" i="1"/>
  <c r="G216" i="1"/>
  <c r="F217" i="1"/>
  <c r="G217" i="1"/>
  <c r="F218" i="1"/>
  <c r="G218" i="1"/>
  <c r="F219" i="1"/>
  <c r="G219" i="1"/>
  <c r="F220" i="1"/>
  <c r="G220" i="1"/>
  <c r="F221" i="1"/>
  <c r="G221" i="1"/>
  <c r="F222" i="1"/>
  <c r="G222" i="1"/>
  <c r="F223" i="1"/>
  <c r="G223" i="1"/>
  <c r="F224" i="1"/>
  <c r="G224" i="1"/>
  <c r="F225" i="1"/>
  <c r="G225" i="1"/>
  <c r="F226" i="1"/>
  <c r="G226" i="1"/>
  <c r="F227" i="1"/>
  <c r="G227" i="1"/>
  <c r="F228" i="1"/>
  <c r="G228" i="1"/>
  <c r="F229" i="1"/>
  <c r="G229" i="1"/>
  <c r="F230" i="1"/>
  <c r="G230" i="1"/>
  <c r="F231" i="1"/>
  <c r="G231" i="1"/>
  <c r="F232" i="1"/>
  <c r="G232" i="1"/>
  <c r="F233" i="1"/>
  <c r="G233" i="1"/>
  <c r="F234" i="1"/>
  <c r="G234" i="1"/>
  <c r="F235" i="1"/>
  <c r="G235" i="1"/>
  <c r="F236" i="1"/>
  <c r="G236" i="1"/>
  <c r="F237" i="1"/>
  <c r="G237" i="1"/>
  <c r="F238" i="1"/>
  <c r="G238" i="1"/>
  <c r="F239" i="1"/>
  <c r="G239" i="1"/>
  <c r="F240" i="1"/>
  <c r="G240" i="1"/>
  <c r="F241" i="1"/>
  <c r="G241" i="1"/>
  <c r="F242" i="1"/>
  <c r="G242" i="1"/>
  <c r="F243" i="1"/>
  <c r="G243" i="1"/>
  <c r="F244" i="1"/>
  <c r="G244" i="1"/>
  <c r="F245" i="1"/>
  <c r="G245" i="1"/>
  <c r="F246" i="1"/>
  <c r="G246" i="1"/>
  <c r="F247" i="1"/>
  <c r="G247" i="1"/>
  <c r="F248" i="1"/>
  <c r="G248" i="1"/>
  <c r="F249" i="1"/>
  <c r="G249" i="1"/>
  <c r="F250" i="1"/>
  <c r="G250" i="1"/>
  <c r="F251" i="1"/>
  <c r="G251" i="1"/>
  <c r="F252" i="1"/>
  <c r="G252" i="1"/>
  <c r="G2" i="1"/>
  <c r="B8" i="1" s="1"/>
  <c r="F2" i="1"/>
  <c r="A5" i="1" s="1"/>
  <c r="B15" i="1" s="1"/>
  <c r="B14" i="1"/>
  <c r="I234" i="1"/>
  <c r="H71" i="1"/>
  <c r="H110" i="1"/>
  <c r="I23" i="1"/>
  <c r="I63" i="1"/>
  <c r="H97" i="1"/>
  <c r="H136" i="1"/>
  <c r="B17" i="1"/>
  <c r="I238" i="1"/>
  <c r="H75" i="1"/>
  <c r="H186" i="1"/>
  <c r="I192" i="1"/>
  <c r="H29" i="1"/>
  <c r="H68" i="1"/>
  <c r="I98" i="1"/>
  <c r="I121" i="1"/>
  <c r="H223" i="1"/>
  <c r="I221" i="1"/>
  <c r="I206" i="1"/>
  <c r="H43" i="1"/>
  <c r="H82" i="1"/>
  <c r="I64" i="1"/>
  <c r="I247" i="1"/>
  <c r="H189" i="1"/>
  <c r="H228" i="1"/>
  <c r="I172" i="1"/>
  <c r="H129" i="1"/>
  <c r="I9" i="1"/>
  <c r="I252" i="1"/>
  <c r="I229" i="1"/>
  <c r="H107" i="1"/>
  <c r="I12" i="1"/>
  <c r="H220" i="1"/>
  <c r="I185" i="1"/>
  <c r="I233" i="1"/>
  <c r="H8" i="1"/>
  <c r="I248" i="1"/>
  <c r="I178" i="1"/>
  <c r="H59" i="1"/>
  <c r="H244" i="1"/>
  <c r="H32" i="1"/>
  <c r="H80" i="1"/>
  <c r="I250" i="1"/>
  <c r="H131" i="1"/>
  <c r="H104" i="1"/>
  <c r="I187" i="1"/>
  <c r="I58" i="1"/>
  <c r="H176" i="1"/>
  <c r="I18" i="1"/>
  <c r="H169" i="1"/>
  <c r="I163" i="1"/>
  <c r="I71" i="1"/>
  <c r="H188" i="1"/>
  <c r="H46" i="1"/>
  <c r="H154" i="1"/>
  <c r="H12" i="1"/>
  <c r="H201" i="1"/>
  <c r="H74" i="1"/>
  <c r="H183" i="1"/>
  <c r="I137" i="1"/>
  <c r="H248" i="1"/>
  <c r="H163" i="1"/>
  <c r="I4" i="1"/>
  <c r="I10" i="1"/>
  <c r="I139" i="1"/>
  <c r="I80" i="1"/>
  <c r="H56" i="1"/>
  <c r="H65" i="1"/>
  <c r="I201" i="1"/>
  <c r="I209" i="1"/>
  <c r="I110" i="1"/>
  <c r="H33" i="1"/>
  <c r="I129" i="1"/>
  <c r="H25" i="1"/>
  <c r="H42" i="1"/>
  <c r="H190" i="1"/>
  <c r="I100" i="1"/>
  <c r="I131" i="1"/>
  <c r="I21" i="1"/>
  <c r="I59" i="1"/>
  <c r="H95" i="1"/>
  <c r="H134" i="1"/>
  <c r="I47" i="1"/>
  <c r="I111" i="1"/>
  <c r="H121" i="1"/>
  <c r="H160" i="1"/>
  <c r="I25" i="1"/>
  <c r="I67" i="1"/>
  <c r="H99" i="1"/>
  <c r="H9" i="1"/>
  <c r="I216" i="1"/>
  <c r="H53" i="1"/>
  <c r="H92" i="1"/>
  <c r="I122" i="1"/>
  <c r="I169" i="1"/>
  <c r="H247" i="1"/>
  <c r="H240" i="1"/>
  <c r="I230" i="1"/>
  <c r="H67" i="1"/>
  <c r="H106" i="1"/>
  <c r="I88" i="1"/>
  <c r="I101" i="1"/>
  <c r="H213" i="1"/>
  <c r="H252" i="1"/>
  <c r="I196" i="1"/>
  <c r="H153" i="1"/>
  <c r="I33" i="1"/>
  <c r="I191" i="1"/>
  <c r="I226" i="1"/>
  <c r="H179" i="1"/>
  <c r="I108" i="1"/>
  <c r="I81" i="1"/>
  <c r="H39" i="1"/>
  <c r="I156" i="1"/>
  <c r="I183" i="1"/>
  <c r="I13" i="1"/>
  <c r="I155" i="1"/>
  <c r="I207" i="1"/>
  <c r="I22" i="1"/>
  <c r="I27" i="1"/>
  <c r="I170" i="1"/>
  <c r="I99" i="1"/>
  <c r="I136" i="1"/>
  <c r="I7" i="1"/>
  <c r="H17" i="1"/>
  <c r="I87" i="1"/>
  <c r="I34" i="1"/>
  <c r="H13" i="1"/>
  <c r="H63" i="1"/>
  <c r="H94" i="1"/>
  <c r="I127" i="1"/>
  <c r="I181" i="1"/>
  <c r="I56" i="1"/>
  <c r="H48" i="1"/>
  <c r="I239" i="1"/>
  <c r="H210" i="1"/>
  <c r="I142" i="1"/>
  <c r="I53" i="1"/>
  <c r="I19" i="1"/>
  <c r="H128" i="1"/>
  <c r="H124" i="1"/>
  <c r="I188" i="1"/>
  <c r="H245" i="1"/>
  <c r="I43" i="1"/>
  <c r="H200" i="1"/>
  <c r="H196" i="1"/>
  <c r="I45" i="1"/>
  <c r="I107" i="1"/>
  <c r="H119" i="1"/>
  <c r="H158" i="1"/>
  <c r="I20" i="1"/>
  <c r="I159" i="1"/>
  <c r="H145" i="1"/>
  <c r="H184" i="1"/>
  <c r="I49" i="1"/>
  <c r="I115" i="1"/>
  <c r="H123" i="1"/>
  <c r="I3" i="1"/>
  <c r="I240" i="1"/>
  <c r="H77" i="1"/>
  <c r="H116" i="1"/>
  <c r="I146" i="1"/>
  <c r="I217" i="1"/>
  <c r="H22" i="1"/>
  <c r="I17" i="1"/>
  <c r="I55" i="1"/>
  <c r="H91" i="1"/>
  <c r="H130" i="1"/>
  <c r="I112" i="1"/>
  <c r="I149" i="1"/>
  <c r="H237" i="1"/>
  <c r="H236" i="1"/>
  <c r="I220" i="1"/>
  <c r="H177" i="1"/>
  <c r="I6" i="1"/>
  <c r="I141" i="1"/>
  <c r="H174" i="1"/>
  <c r="H251" i="1"/>
  <c r="I200" i="1"/>
  <c r="I85" i="1"/>
  <c r="H111" i="1"/>
  <c r="I179" i="1"/>
  <c r="H152" i="1"/>
  <c r="I133" i="1"/>
  <c r="H26" i="1"/>
  <c r="H143" i="1"/>
  <c r="H182" i="1"/>
  <c r="I44" i="1"/>
  <c r="H208" i="1"/>
  <c r="H147" i="1"/>
  <c r="H101" i="1"/>
  <c r="H7" i="1"/>
  <c r="I41" i="1"/>
  <c r="H115" i="1"/>
  <c r="I197" i="1"/>
  <c r="I244" i="1"/>
  <c r="I30" i="1"/>
  <c r="I93" i="1"/>
  <c r="I154" i="1"/>
  <c r="I225" i="1"/>
  <c r="H242" i="1"/>
  <c r="I195" i="1"/>
  <c r="H60" i="1"/>
  <c r="H161" i="1"/>
  <c r="I237" i="1"/>
  <c r="H87" i="1"/>
  <c r="I77" i="1"/>
  <c r="H222" i="1"/>
  <c r="I164" i="1"/>
  <c r="H164" i="1"/>
  <c r="I96" i="1"/>
  <c r="H166" i="1"/>
  <c r="H132" i="1"/>
  <c r="H61" i="1"/>
  <c r="H54" i="1"/>
  <c r="H140" i="1"/>
  <c r="I171" i="1"/>
  <c r="I103" i="1"/>
  <c r="I227" i="1"/>
  <c r="H126" i="1"/>
  <c r="I42" i="1"/>
  <c r="I203" i="1"/>
  <c r="H167" i="1"/>
  <c r="H206" i="1"/>
  <c r="I68" i="1"/>
  <c r="I61" i="1"/>
  <c r="H193" i="1"/>
  <c r="H232" i="1"/>
  <c r="I46" i="1"/>
  <c r="I211" i="1"/>
  <c r="H171" i="1"/>
  <c r="I51" i="1"/>
  <c r="I119" i="1"/>
  <c r="H125" i="1"/>
  <c r="I223" i="1"/>
  <c r="I194" i="1"/>
  <c r="H31" i="1"/>
  <c r="H70" i="1"/>
  <c r="I14" i="1"/>
  <c r="I147" i="1"/>
  <c r="H139" i="1"/>
  <c r="H178" i="1"/>
  <c r="I160" i="1"/>
  <c r="I245" i="1"/>
  <c r="H36" i="1"/>
  <c r="I31" i="1"/>
  <c r="I79" i="1"/>
  <c r="H225" i="1"/>
  <c r="I54" i="1"/>
  <c r="H89" i="1"/>
  <c r="H227" i="1"/>
  <c r="H146" i="1"/>
  <c r="I231" i="1"/>
  <c r="H30" i="1"/>
  <c r="H6" i="1"/>
  <c r="I130" i="1"/>
  <c r="I224" i="1"/>
  <c r="H85" i="1"/>
  <c r="H15" i="1"/>
  <c r="I11" i="1"/>
  <c r="H135" i="1"/>
  <c r="I35" i="1"/>
  <c r="I66" i="1"/>
  <c r="I251" i="1"/>
  <c r="H191" i="1"/>
  <c r="H230" i="1"/>
  <c r="I92" i="1"/>
  <c r="I109" i="1"/>
  <c r="H217" i="1"/>
  <c r="H90" i="1"/>
  <c r="I70" i="1"/>
  <c r="I65" i="1"/>
  <c r="H195" i="1"/>
  <c r="I24" i="1"/>
  <c r="I167" i="1"/>
  <c r="H149" i="1"/>
  <c r="H96" i="1"/>
  <c r="I218" i="1"/>
  <c r="H55" i="1"/>
  <c r="I38" i="1"/>
  <c r="H202" i="1"/>
  <c r="I184" i="1"/>
  <c r="H21" i="1"/>
  <c r="I78" i="1"/>
  <c r="H78" i="1"/>
  <c r="H109" i="1"/>
  <c r="I135" i="1"/>
  <c r="H14" i="1"/>
  <c r="H18" i="1"/>
  <c r="H127" i="1"/>
  <c r="H93" i="1"/>
  <c r="H181" i="1"/>
  <c r="I60" i="1"/>
  <c r="I249" i="1"/>
  <c r="I26" i="1"/>
  <c r="H117" i="1"/>
  <c r="H4" i="1"/>
  <c r="I228" i="1"/>
  <c r="I90" i="1"/>
  <c r="I105" i="1"/>
  <c r="H215" i="1"/>
  <c r="H2" i="1"/>
  <c r="I116" i="1"/>
  <c r="I157" i="1"/>
  <c r="H241" i="1"/>
  <c r="H162" i="1"/>
  <c r="I94" i="1"/>
  <c r="I113" i="1"/>
  <c r="H219" i="1"/>
  <c r="I48" i="1"/>
  <c r="I215" i="1"/>
  <c r="H173" i="1"/>
  <c r="I5" i="1"/>
  <c r="I242" i="1"/>
  <c r="H79" i="1"/>
  <c r="H118" i="1"/>
  <c r="I62" i="1"/>
  <c r="I243" i="1"/>
  <c r="H187" i="1"/>
  <c r="H226" i="1"/>
  <c r="I208" i="1"/>
  <c r="H45" i="1"/>
  <c r="H84" i="1"/>
  <c r="I28" i="1"/>
  <c r="I175" i="1"/>
  <c r="H24" i="1"/>
  <c r="I102" i="1"/>
  <c r="H233" i="1"/>
  <c r="I106" i="1"/>
  <c r="I36" i="1"/>
  <c r="H37" i="1"/>
  <c r="H11" i="1"/>
  <c r="H150" i="1"/>
  <c r="I95" i="1"/>
  <c r="H102" i="1"/>
  <c r="H229" i="1"/>
  <c r="H159" i="1"/>
  <c r="I152" i="1"/>
  <c r="H246" i="1"/>
  <c r="I174" i="1"/>
  <c r="I114" i="1"/>
  <c r="I153" i="1"/>
  <c r="H239" i="1"/>
  <c r="H138" i="1"/>
  <c r="I140" i="1"/>
  <c r="I205" i="1"/>
  <c r="H16" i="1"/>
  <c r="H234" i="1"/>
  <c r="I118" i="1"/>
  <c r="I161" i="1"/>
  <c r="H243" i="1"/>
  <c r="I72" i="1"/>
  <c r="I69" i="1"/>
  <c r="H197" i="1"/>
  <c r="I29" i="1"/>
  <c r="I75" i="1"/>
  <c r="H103" i="1"/>
  <c r="H142" i="1"/>
  <c r="I86" i="1"/>
  <c r="I97" i="1"/>
  <c r="H211" i="1"/>
  <c r="H250" i="1"/>
  <c r="I232" i="1"/>
  <c r="H69" i="1"/>
  <c r="I52" i="1"/>
  <c r="I198" i="1"/>
  <c r="H231" i="1"/>
  <c r="I2" i="1"/>
  <c r="H221" i="1"/>
  <c r="H235" i="1"/>
  <c r="I150" i="1"/>
  <c r="I189" i="1"/>
  <c r="H38" i="1"/>
  <c r="I120" i="1"/>
  <c r="I193" i="1"/>
  <c r="H120" i="1"/>
  <c r="I37" i="1"/>
  <c r="I186" i="1"/>
  <c r="H23" i="1"/>
  <c r="H62" i="1"/>
  <c r="I125" i="1"/>
  <c r="I212" i="1"/>
  <c r="H49" i="1"/>
  <c r="H88" i="1"/>
  <c r="I173" i="1"/>
  <c r="I190" i="1"/>
  <c r="H27" i="1"/>
  <c r="H66" i="1"/>
  <c r="I144" i="1"/>
  <c r="I213" i="1"/>
  <c r="H20" i="1"/>
  <c r="I50" i="1"/>
  <c r="I219" i="1"/>
  <c r="H175" i="1"/>
  <c r="H214" i="1"/>
  <c r="I158" i="1"/>
  <c r="I241" i="1"/>
  <c r="H34" i="1"/>
  <c r="I16" i="1"/>
  <c r="I151" i="1"/>
  <c r="H141" i="1"/>
  <c r="H180" i="1"/>
  <c r="I124" i="1"/>
  <c r="H81" i="1"/>
  <c r="H144" i="1"/>
  <c r="I104" i="1"/>
  <c r="I132" i="1"/>
  <c r="I177" i="1"/>
  <c r="I143" i="1"/>
  <c r="H76" i="1"/>
  <c r="I91" i="1"/>
  <c r="H170" i="1"/>
  <c r="H113" i="1"/>
  <c r="I82" i="1"/>
  <c r="I39" i="1"/>
  <c r="H198" i="1"/>
  <c r="H100" i="1"/>
  <c r="H137" i="1"/>
  <c r="H122" i="1"/>
  <c r="I210" i="1"/>
  <c r="H47" i="1"/>
  <c r="H86" i="1"/>
  <c r="H168" i="1"/>
  <c r="I236" i="1"/>
  <c r="H73" i="1"/>
  <c r="H112" i="1"/>
  <c r="H216" i="1"/>
  <c r="I214" i="1"/>
  <c r="H51" i="1"/>
  <c r="H114" i="1"/>
  <c r="I168" i="1"/>
  <c r="H5" i="1"/>
  <c r="H44" i="1"/>
  <c r="I74" i="1"/>
  <c r="I73" i="1"/>
  <c r="H199" i="1"/>
  <c r="H238" i="1"/>
  <c r="I182" i="1"/>
  <c r="H19" i="1"/>
  <c r="H58" i="1"/>
  <c r="I40" i="1"/>
  <c r="I199" i="1"/>
  <c r="H165" i="1"/>
  <c r="H204" i="1"/>
  <c r="I148" i="1"/>
  <c r="H105" i="1"/>
  <c r="H192" i="1"/>
  <c r="I180" i="1"/>
  <c r="H203" i="1"/>
  <c r="H35" i="1"/>
  <c r="H155" i="1"/>
  <c r="H148" i="1"/>
  <c r="I235" i="1"/>
  <c r="H133" i="1"/>
  <c r="H185" i="1"/>
  <c r="I176" i="1"/>
  <c r="I84" i="1"/>
  <c r="I222" i="1"/>
  <c r="H172" i="1"/>
  <c r="H209" i="1"/>
  <c r="H194" i="1"/>
  <c r="H249" i="1"/>
  <c r="H218" i="1"/>
  <c r="I204" i="1"/>
  <c r="H157" i="1"/>
  <c r="H207" i="1"/>
  <c r="H108" i="1"/>
  <c r="I126" i="1"/>
  <c r="H98" i="1"/>
  <c r="I32" i="1"/>
  <c r="H52" i="1"/>
  <c r="I15" i="1"/>
  <c r="I246" i="1"/>
  <c r="I138" i="1"/>
  <c r="H40" i="1"/>
  <c r="I117" i="1"/>
  <c r="I123" i="1"/>
  <c r="I145" i="1"/>
  <c r="I57" i="1"/>
  <c r="I76" i="1"/>
  <c r="H72" i="1"/>
  <c r="I83" i="1"/>
  <c r="I128" i="1"/>
  <c r="H224" i="1"/>
  <c r="H205" i="1"/>
  <c r="H83" i="1"/>
  <c r="I162" i="1"/>
  <c r="H64" i="1"/>
  <c r="H212" i="1"/>
  <c r="I166" i="1"/>
  <c r="H3" i="1"/>
  <c r="I165" i="1"/>
  <c r="H151" i="1"/>
  <c r="I134" i="1"/>
  <c r="H10" i="1"/>
  <c r="H156" i="1"/>
  <c r="H57" i="1"/>
  <c r="I8" i="1"/>
  <c r="I89" i="1"/>
  <c r="I202" i="1"/>
  <c r="H41" i="1"/>
  <c r="H28" i="1"/>
  <c r="H50" i="1"/>
  <c r="B18" i="1" l="1"/>
  <c r="B16" i="1"/>
  <c r="B7" i="1"/>
  <c r="B10" i="1" s="1"/>
  <c r="A11" i="1" s="1"/>
  <c r="A8" i="1"/>
  <c r="B13" i="1"/>
</calcChain>
</file>

<file path=xl/sharedStrings.xml><?xml version="1.0" encoding="utf-8"?>
<sst xmlns="http://schemas.openxmlformats.org/spreadsheetml/2006/main" count="20" uniqueCount="20">
  <si>
    <t>Date</t>
  </si>
  <si>
    <t>CSCO</t>
  </si>
  <si>
    <t>IBM</t>
  </si>
  <si>
    <t>shifts</t>
  </si>
  <si>
    <t>correlation matrix</t>
  </si>
  <si>
    <t>sample covariance matrix</t>
  </si>
  <si>
    <t>sample means</t>
  </si>
  <si>
    <t>F1</t>
  </si>
  <si>
    <t>F2</t>
  </si>
  <si>
    <t>sort csco</t>
  </si>
  <si>
    <t>sort ibm</t>
  </si>
  <si>
    <t>E(product), copula</t>
  </si>
  <si>
    <t>product of means</t>
  </si>
  <si>
    <t>Kendall's Tau</t>
  </si>
  <si>
    <t>Spearman's rho</t>
  </si>
  <si>
    <t xml:space="preserve">correlation     </t>
  </si>
  <si>
    <t>count</t>
  </si>
  <si>
    <t>two stocks IBM and CSCO</t>
  </si>
  <si>
    <t>Input correlation</t>
  </si>
  <si>
    <t>Homework 2.3 Problem 2 example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</si>
</sst>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00"/>
    <numFmt numFmtId="166" formatCode="#,##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4" fontId="0" fillId="0" borderId="0" xfId="0" applyNumberFormat="1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10" fontId="0" fillId="0" borderId="0" xfId="0" applyNumberFormat="1"/>
    <xf numFmtId="10" fontId="0" fillId="0" borderId="0" xfId="0" quotePrefix="1" applyNumberFormat="1"/>
    <xf numFmtId="166" fontId="0" fillId="0" borderId="0" xfId="0" applyNumberFormat="1"/>
    <xf numFmtId="164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253"/>
  <sheetViews>
    <sheetView tabSelected="1" workbookViewId="0"/>
  </sheetViews>
  <sheetFormatPr defaultRowHeight="15" x14ac:dyDescent="0.25"/>
  <cols>
    <col min="1" max="1" width="36.5703125" customWidth="1"/>
    <col min="2" max="2" width="19.85546875" customWidth="1"/>
    <col min="3" max="3" width="13.5703125" customWidth="1"/>
    <col min="4" max="4" width="11.140625" style="2" customWidth="1"/>
    <col min="5" max="5" width="11.5703125" customWidth="1"/>
    <col min="10" max="11" width="9.140625" style="3"/>
    <col min="12" max="12" width="18.5703125" bestFit="1" customWidth="1"/>
    <col min="13" max="13" width="16" customWidth="1"/>
    <col min="16" max="16" width="10.28515625" customWidth="1"/>
    <col min="17" max="17" width="11.42578125" customWidth="1"/>
    <col min="19" max="19" width="20.85546875" customWidth="1"/>
    <col min="27" max="27" width="17.140625" customWidth="1"/>
  </cols>
  <sheetData>
    <row r="1" spans="1:31" x14ac:dyDescent="0.25">
      <c r="A1" t="s">
        <v>19</v>
      </c>
      <c r="C1" t="s">
        <v>0</v>
      </c>
      <c r="D1" s="2" t="s">
        <v>1</v>
      </c>
      <c r="E1" t="s">
        <v>2</v>
      </c>
      <c r="F1" t="s">
        <v>3</v>
      </c>
      <c r="H1" t="s">
        <v>7</v>
      </c>
      <c r="I1" t="s">
        <v>8</v>
      </c>
      <c r="J1" s="3" t="s">
        <v>9</v>
      </c>
      <c r="K1" s="3" t="s">
        <v>10</v>
      </c>
    </row>
    <row r="2" spans="1:31" x14ac:dyDescent="0.25">
      <c r="A2" t="s">
        <v>17</v>
      </c>
      <c r="C2" s="1">
        <v>42069</v>
      </c>
      <c r="D2" s="2">
        <v>28.93</v>
      </c>
      <c r="E2" s="3">
        <v>158.5</v>
      </c>
      <c r="F2" s="2">
        <f>D2-D3</f>
        <v>-0.37000000000000099</v>
      </c>
      <c r="G2" s="2">
        <f>E2-E3</f>
        <v>-2.6800000000000068</v>
      </c>
      <c r="H2" s="5">
        <f t="shared" ref="H2:H65" si="0">DiscreteDist($F$2:$F$252,251,F2)</f>
        <v>7.9681274900398405E-2</v>
      </c>
      <c r="I2" s="5">
        <f t="shared" ref="I2:I65" si="1">DiscreteDist($G$2:$G$252,251,G2)</f>
        <v>5.1792828685258967E-2</v>
      </c>
      <c r="J2" s="3">
        <v>-1.0700000000000003</v>
      </c>
      <c r="K2" s="3">
        <v>-12.77000000000001</v>
      </c>
      <c r="L2" s="4"/>
      <c r="M2" s="4"/>
      <c r="N2" s="4"/>
      <c r="O2" s="4"/>
      <c r="P2" s="4"/>
      <c r="Q2" s="4"/>
      <c r="AA2" s="8"/>
      <c r="AB2" s="8"/>
      <c r="AC2" s="4"/>
      <c r="AD2" s="4"/>
      <c r="AE2" s="4"/>
    </row>
    <row r="3" spans="1:31" x14ac:dyDescent="0.25">
      <c r="C3" s="1">
        <v>42068</v>
      </c>
      <c r="D3" s="2">
        <v>29.3</v>
      </c>
      <c r="E3" s="3">
        <v>161.18</v>
      </c>
      <c r="F3" s="2">
        <f t="shared" ref="F3:F66" si="2">D3-D4</f>
        <v>-2.9999999999997584E-2</v>
      </c>
      <c r="G3" s="2">
        <f t="shared" ref="G3:G66" si="3">E3-E4</f>
        <v>1.7600000000000193</v>
      </c>
      <c r="H3" s="5">
        <f t="shared" si="0"/>
        <v>0.39840637450199201</v>
      </c>
      <c r="I3" s="5">
        <f t="shared" si="1"/>
        <v>0.86852589641434264</v>
      </c>
      <c r="J3" s="3">
        <v>-0.84999999999999787</v>
      </c>
      <c r="K3" s="3">
        <v>-6.2299999999999898</v>
      </c>
      <c r="L3" s="4"/>
      <c r="M3" s="4"/>
      <c r="N3" s="4"/>
      <c r="O3" s="4"/>
      <c r="P3" s="4"/>
      <c r="Q3" s="4"/>
      <c r="T3" s="6"/>
      <c r="U3" s="6"/>
      <c r="V3" s="6"/>
      <c r="W3" s="6"/>
      <c r="AA3" s="8"/>
      <c r="AB3" s="8"/>
      <c r="AC3" s="4"/>
      <c r="AD3" s="4"/>
      <c r="AE3" s="4"/>
    </row>
    <row r="4" spans="1:31" x14ac:dyDescent="0.25">
      <c r="A4" t="s">
        <v>6</v>
      </c>
      <c r="C4" s="1">
        <v>42067</v>
      </c>
      <c r="D4" s="2">
        <v>29.33</v>
      </c>
      <c r="E4" s="3">
        <v>159.41999999999999</v>
      </c>
      <c r="F4" s="2">
        <f t="shared" si="2"/>
        <v>-0.21000000000000085</v>
      </c>
      <c r="G4" s="2">
        <f t="shared" si="3"/>
        <v>-1.6100000000000136</v>
      </c>
      <c r="H4" s="5">
        <f t="shared" si="0"/>
        <v>0.17131474103585656</v>
      </c>
      <c r="I4" s="5">
        <f t="shared" si="1"/>
        <v>0.18326693227091634</v>
      </c>
      <c r="J4" s="3">
        <v>-0.83999999999999986</v>
      </c>
      <c r="K4" s="3">
        <v>-5.789999999999992</v>
      </c>
      <c r="L4" s="4"/>
      <c r="M4" s="4"/>
      <c r="N4" s="4"/>
      <c r="O4" s="4"/>
      <c r="P4" s="4"/>
      <c r="Q4" s="4"/>
      <c r="T4" s="6"/>
      <c r="U4" s="6"/>
      <c r="V4" s="6"/>
      <c r="W4" s="6"/>
      <c r="AA4" s="8"/>
      <c r="AB4" s="8"/>
      <c r="AC4" s="4"/>
      <c r="AD4" s="4"/>
      <c r="AE4" s="4"/>
    </row>
    <row r="5" spans="1:31" x14ac:dyDescent="0.25">
      <c r="A5" s="4">
        <f>AVERAGE(F2:F252)</f>
        <v>3.1274900398406379E-2</v>
      </c>
      <c r="B5" s="4">
        <f>AVERAGE(G2:G252)</f>
        <v>-9.7410358565737001E-2</v>
      </c>
      <c r="C5" s="1">
        <v>42066</v>
      </c>
      <c r="D5" s="2">
        <v>29.54</v>
      </c>
      <c r="E5" s="3">
        <v>161.03</v>
      </c>
      <c r="F5" s="2">
        <f t="shared" si="2"/>
        <v>-0.65000000000000213</v>
      </c>
      <c r="G5" s="2">
        <f t="shared" si="3"/>
        <v>0.55000000000001137</v>
      </c>
      <c r="H5" s="5">
        <f t="shared" si="0"/>
        <v>1.5936254980079681E-2</v>
      </c>
      <c r="I5" s="5">
        <f t="shared" si="1"/>
        <v>0.66533864541832666</v>
      </c>
      <c r="J5" s="3">
        <v>-0.65000000000000213</v>
      </c>
      <c r="K5" s="3">
        <v>-5.6499999999999773</v>
      </c>
      <c r="L5" s="4"/>
      <c r="M5" s="4"/>
      <c r="N5" s="4"/>
      <c r="O5" s="4"/>
      <c r="P5" s="4"/>
      <c r="Q5" s="4"/>
      <c r="T5" s="6"/>
      <c r="U5" s="6"/>
      <c r="V5" s="6"/>
      <c r="W5" s="6"/>
      <c r="AA5" s="8"/>
      <c r="AB5" s="8"/>
      <c r="AC5" s="4"/>
      <c r="AD5" s="4"/>
      <c r="AE5" s="4"/>
    </row>
    <row r="6" spans="1:31" x14ac:dyDescent="0.25">
      <c r="A6" s="4" t="s">
        <v>5</v>
      </c>
      <c r="B6" s="4"/>
      <c r="C6" s="1">
        <v>42065</v>
      </c>
      <c r="D6" s="2">
        <v>30.19</v>
      </c>
      <c r="E6" s="3">
        <v>160.47999999999999</v>
      </c>
      <c r="F6" s="2">
        <f t="shared" si="2"/>
        <v>0.67999999999999972</v>
      </c>
      <c r="G6" s="2">
        <f t="shared" si="3"/>
        <v>-1.460000000000008</v>
      </c>
      <c r="H6" s="5">
        <f t="shared" si="0"/>
        <v>0.98007968127490042</v>
      </c>
      <c r="I6" s="5">
        <f t="shared" si="1"/>
        <v>0.19920318725099601</v>
      </c>
      <c r="J6" s="3">
        <v>-0.64999999999999858</v>
      </c>
      <c r="K6" s="3">
        <v>-4.8300000000000125</v>
      </c>
      <c r="L6" s="4"/>
      <c r="M6" s="4"/>
      <c r="N6" s="4"/>
      <c r="O6" s="4"/>
      <c r="P6" s="4"/>
      <c r="Q6" s="4"/>
      <c r="T6" s="6"/>
      <c r="U6" s="6"/>
      <c r="V6" s="6"/>
      <c r="W6" s="6"/>
      <c r="AA6" s="8"/>
      <c r="AB6" s="8"/>
      <c r="AC6" s="4"/>
      <c r="AD6" s="4"/>
      <c r="AE6" s="4"/>
    </row>
    <row r="7" spans="1:31" x14ac:dyDescent="0.25">
      <c r="A7" s="4">
        <f>COVAR($F$2:$F$252,F$2:F$252)</f>
        <v>0.10520793638196234</v>
      </c>
      <c r="B7" s="4">
        <f>COVAR($F$2:$F$252,G$2:G$252)</f>
        <v>0.23204968651291308</v>
      </c>
      <c r="C7" s="1">
        <v>42062</v>
      </c>
      <c r="D7" s="2">
        <v>29.51</v>
      </c>
      <c r="E7" s="3">
        <v>161.94</v>
      </c>
      <c r="F7" s="2">
        <f t="shared" si="2"/>
        <v>-0.39999999999999858</v>
      </c>
      <c r="G7" s="2">
        <f t="shared" si="3"/>
        <v>1.0699999999999932</v>
      </c>
      <c r="H7" s="5">
        <f t="shared" si="0"/>
        <v>6.3745019920318724E-2</v>
      </c>
      <c r="I7" s="5">
        <f t="shared" si="1"/>
        <v>0.76095617529880477</v>
      </c>
      <c r="J7" s="3">
        <v>-0.55999999999999872</v>
      </c>
      <c r="K7" s="3">
        <v>-3.4200000000000159</v>
      </c>
      <c r="L7" s="4"/>
      <c r="M7" s="4"/>
      <c r="N7" s="4"/>
      <c r="O7" s="4"/>
      <c r="P7" s="4"/>
      <c r="Q7" s="4"/>
      <c r="T7" s="6"/>
      <c r="U7" s="6"/>
      <c r="V7" s="6"/>
      <c r="W7" s="6"/>
      <c r="AA7" s="8"/>
      <c r="AB7" s="8"/>
      <c r="AC7" s="4"/>
      <c r="AD7" s="4"/>
      <c r="AE7" s="4"/>
    </row>
    <row r="8" spans="1:31" x14ac:dyDescent="0.25">
      <c r="A8" s="4">
        <f>COVAR($G$2:$G$252,F$2:F$252)</f>
        <v>0.23204968651291308</v>
      </c>
      <c r="B8" s="4">
        <f>COVAR($G$2:$G$252,G$2:G$252)</f>
        <v>3.8579355248329414</v>
      </c>
      <c r="C8" s="1">
        <v>42061</v>
      </c>
      <c r="D8" s="2">
        <v>29.91</v>
      </c>
      <c r="E8" s="3">
        <v>160.87</v>
      </c>
      <c r="F8" s="2">
        <f t="shared" si="2"/>
        <v>0.42000000000000171</v>
      </c>
      <c r="G8" s="2">
        <f t="shared" si="3"/>
        <v>-1.9399999999999977</v>
      </c>
      <c r="H8" s="5">
        <f t="shared" si="0"/>
        <v>0.94023904382470125</v>
      </c>
      <c r="I8" s="5">
        <f t="shared" si="1"/>
        <v>0.14342629482071714</v>
      </c>
      <c r="J8" s="3">
        <v>-0.55000000000000071</v>
      </c>
      <c r="K8" s="3">
        <v>-3.4000000000000057</v>
      </c>
      <c r="L8" s="4"/>
      <c r="M8" s="4"/>
      <c r="N8" s="4"/>
      <c r="O8" s="4"/>
      <c r="P8" s="4"/>
      <c r="Q8" s="4"/>
      <c r="T8" s="6"/>
      <c r="U8" s="6"/>
      <c r="V8" s="6"/>
      <c r="W8" s="6"/>
      <c r="AA8" s="8"/>
      <c r="AB8" s="8"/>
      <c r="AC8" s="4"/>
      <c r="AD8" s="4"/>
      <c r="AE8" s="4"/>
    </row>
    <row r="9" spans="1:31" x14ac:dyDescent="0.25">
      <c r="A9" s="4" t="s">
        <v>4</v>
      </c>
      <c r="B9" s="4"/>
      <c r="C9" s="1">
        <v>42060</v>
      </c>
      <c r="D9" s="2">
        <v>29.49</v>
      </c>
      <c r="E9" s="3">
        <v>162.81</v>
      </c>
      <c r="F9" s="2">
        <f t="shared" si="2"/>
        <v>-0.14000000000000057</v>
      </c>
      <c r="G9" s="2">
        <f t="shared" si="3"/>
        <v>-2.0200000000000102</v>
      </c>
      <c r="H9" s="5">
        <f t="shared" si="0"/>
        <v>0.24302788844621515</v>
      </c>
      <c r="I9" s="5">
        <f t="shared" si="1"/>
        <v>0.13545816733067728</v>
      </c>
      <c r="J9" s="3">
        <v>-0.5400000000000027</v>
      </c>
      <c r="K9" s="3">
        <v>-3.289999999999992</v>
      </c>
      <c r="L9" s="4"/>
      <c r="M9" s="4"/>
      <c r="N9" s="4"/>
      <c r="O9" s="4"/>
      <c r="P9" s="4"/>
      <c r="Q9" s="4"/>
      <c r="T9" s="6"/>
      <c r="U9" s="6"/>
      <c r="V9" s="6"/>
      <c r="W9" s="6"/>
      <c r="AA9" s="8"/>
      <c r="AB9" s="8"/>
      <c r="AC9" s="4"/>
      <c r="AD9" s="4"/>
      <c r="AE9" s="4"/>
    </row>
    <row r="10" spans="1:31" x14ac:dyDescent="0.25">
      <c r="A10" s="4">
        <f>1</f>
        <v>1</v>
      </c>
      <c r="B10" s="4">
        <f>B7/SQRT(A7*B8)</f>
        <v>0.36423296764689655</v>
      </c>
      <c r="C10" s="1">
        <v>42059</v>
      </c>
      <c r="D10" s="2">
        <v>29.63</v>
      </c>
      <c r="E10" s="3">
        <v>164.83</v>
      </c>
      <c r="F10" s="2">
        <f t="shared" si="2"/>
        <v>0</v>
      </c>
      <c r="G10" s="2">
        <f t="shared" si="3"/>
        <v>1.9200000000000159</v>
      </c>
      <c r="H10" s="5">
        <f t="shared" si="0"/>
        <v>0.47011952191235062</v>
      </c>
      <c r="I10" s="5">
        <f t="shared" si="1"/>
        <v>0.88844621513944222</v>
      </c>
      <c r="J10" s="3">
        <v>-0.53999999999999915</v>
      </c>
      <c r="K10" s="3">
        <v>-3.25</v>
      </c>
      <c r="L10" s="4"/>
      <c r="M10" s="4"/>
      <c r="N10" s="4"/>
      <c r="O10" s="4"/>
      <c r="P10" s="4"/>
      <c r="Q10" s="4"/>
      <c r="T10" s="6"/>
      <c r="U10" s="6"/>
      <c r="V10" s="6"/>
      <c r="W10" s="6"/>
      <c r="AA10" s="8"/>
      <c r="AB10" s="8"/>
      <c r="AC10" s="4"/>
      <c r="AD10" s="4"/>
      <c r="AE10" s="4"/>
    </row>
    <row r="11" spans="1:31" x14ac:dyDescent="0.25">
      <c r="A11" s="4">
        <f>B10</f>
        <v>0.36423296764689655</v>
      </c>
      <c r="B11" s="4">
        <v>1</v>
      </c>
      <c r="C11" s="1">
        <v>42058</v>
      </c>
      <c r="D11" s="2">
        <v>29.63</v>
      </c>
      <c r="E11" s="3">
        <v>162.91</v>
      </c>
      <c r="F11" s="2">
        <f t="shared" si="2"/>
        <v>1.9999999999999574E-2</v>
      </c>
      <c r="G11" s="2">
        <f t="shared" si="3"/>
        <v>-0.74000000000000909</v>
      </c>
      <c r="H11" s="5">
        <f t="shared" si="0"/>
        <v>0.49402390438247012</v>
      </c>
      <c r="I11" s="5">
        <f t="shared" si="1"/>
        <v>0.33067729083665337</v>
      </c>
      <c r="J11" s="3">
        <v>-0.51000000000000156</v>
      </c>
      <c r="K11" s="3">
        <v>-2.8999999999999773</v>
      </c>
      <c r="L11" s="4"/>
      <c r="M11" s="4"/>
      <c r="N11" s="4"/>
      <c r="O11" s="4"/>
      <c r="P11" s="4"/>
      <c r="Q11" s="4"/>
      <c r="T11" s="6"/>
      <c r="U11" s="6"/>
      <c r="V11" s="6"/>
      <c r="W11" s="6"/>
      <c r="AA11" s="8"/>
      <c r="AB11" s="8"/>
      <c r="AC11" s="4"/>
      <c r="AD11" s="4"/>
      <c r="AE11" s="4"/>
    </row>
    <row r="12" spans="1:31" x14ac:dyDescent="0.25">
      <c r="A12" t="s">
        <v>18</v>
      </c>
      <c r="B12" s="4">
        <v>0.4</v>
      </c>
      <c r="C12" s="1">
        <v>42055</v>
      </c>
      <c r="D12" s="2">
        <v>29.61</v>
      </c>
      <c r="E12" s="3">
        <v>163.65</v>
      </c>
      <c r="F12" s="2">
        <f t="shared" si="2"/>
        <v>0.30000000000000071</v>
      </c>
      <c r="G12" s="2">
        <f t="shared" si="3"/>
        <v>-0.23999999999998067</v>
      </c>
      <c r="H12" s="5">
        <f t="shared" si="0"/>
        <v>0.89641434262948205</v>
      </c>
      <c r="I12" s="5">
        <f t="shared" si="1"/>
        <v>0.4541832669322709</v>
      </c>
      <c r="J12" s="3">
        <v>-0.46999999999999886</v>
      </c>
      <c r="K12" s="3">
        <v>-2.8700000000000045</v>
      </c>
      <c r="L12" s="4"/>
      <c r="M12" s="4"/>
      <c r="N12" s="4"/>
      <c r="O12" s="4"/>
      <c r="P12" s="4"/>
      <c r="Q12" s="4"/>
      <c r="T12" s="6"/>
      <c r="U12" s="6"/>
      <c r="V12" s="6"/>
      <c r="W12" s="6"/>
      <c r="AA12" s="8"/>
      <c r="AB12" s="8"/>
      <c r="AC12" s="4"/>
      <c r="AD12" s="4"/>
      <c r="AE12" s="4"/>
    </row>
    <row r="13" spans="1:31" x14ac:dyDescent="0.25">
      <c r="A13" t="s">
        <v>16</v>
      </c>
      <c r="B13">
        <f>COUNT(F2:F252)</f>
        <v>251</v>
      </c>
      <c r="C13" s="1">
        <v>42054</v>
      </c>
      <c r="D13" s="2">
        <v>29.31</v>
      </c>
      <c r="E13" s="3">
        <v>163.89</v>
      </c>
      <c r="F13" s="2">
        <f t="shared" si="2"/>
        <v>-0.17999999999999972</v>
      </c>
      <c r="G13" s="2">
        <f t="shared" si="3"/>
        <v>1.6999999999999886</v>
      </c>
      <c r="H13" s="5">
        <f t="shared" si="0"/>
        <v>0.20318725099601595</v>
      </c>
      <c r="I13" s="5">
        <f t="shared" si="1"/>
        <v>0.85657370517928288</v>
      </c>
      <c r="J13" s="3">
        <v>-0.46000000000000085</v>
      </c>
      <c r="K13" s="3">
        <v>-2.7199999999999989</v>
      </c>
      <c r="L13" s="4"/>
      <c r="M13" s="4"/>
      <c r="N13" s="4"/>
      <c r="O13" s="4"/>
      <c r="P13" s="4"/>
      <c r="Q13" s="4"/>
      <c r="AA13" s="8"/>
      <c r="AB13" s="8"/>
      <c r="AC13" s="4"/>
      <c r="AD13" s="4"/>
      <c r="AE13" s="4"/>
    </row>
    <row r="14" spans="1:31" x14ac:dyDescent="0.25">
      <c r="A14" t="s">
        <v>11</v>
      </c>
      <c r="B14" s="9">
        <f>EProduct(J2:J252, K2:K252, 251, B12,5)</f>
        <v>0.21801097911134942</v>
      </c>
      <c r="C14" s="1">
        <v>42053</v>
      </c>
      <c r="D14" s="2">
        <v>29.49</v>
      </c>
      <c r="E14" s="3">
        <v>162.19</v>
      </c>
      <c r="F14" s="2">
        <f t="shared" si="2"/>
        <v>0.17999999999999972</v>
      </c>
      <c r="G14" s="2">
        <f t="shared" si="3"/>
        <v>1.2299999999999898</v>
      </c>
      <c r="H14" s="5">
        <f t="shared" si="0"/>
        <v>0.76494023904382469</v>
      </c>
      <c r="I14" s="5">
        <f t="shared" si="1"/>
        <v>0.79282868525896411</v>
      </c>
      <c r="J14" s="3">
        <v>-0.42999999999999972</v>
      </c>
      <c r="K14" s="3">
        <v>-2.6800000000000068</v>
      </c>
      <c r="L14" s="4"/>
      <c r="M14" s="4"/>
      <c r="N14" s="4"/>
      <c r="O14" s="4"/>
      <c r="P14" s="4"/>
      <c r="Q14" s="4"/>
      <c r="AA14" s="8"/>
      <c r="AB14" s="8"/>
      <c r="AC14" s="4"/>
      <c r="AD14" s="4"/>
      <c r="AE14" s="4"/>
    </row>
    <row r="15" spans="1:31" x14ac:dyDescent="0.25">
      <c r="A15" t="s">
        <v>12</v>
      </c>
      <c r="B15" s="4">
        <f>A5*B5</f>
        <v>-3.0464992619164762E-3</v>
      </c>
      <c r="C15" s="1">
        <v>42052</v>
      </c>
      <c r="D15" s="2">
        <v>29.31</v>
      </c>
      <c r="E15" s="3">
        <v>160.96</v>
      </c>
      <c r="F15" s="2">
        <f t="shared" si="2"/>
        <v>-0.12000000000000099</v>
      </c>
      <c r="G15" s="2">
        <f t="shared" si="3"/>
        <v>0.56000000000000227</v>
      </c>
      <c r="H15" s="5">
        <f t="shared" si="0"/>
        <v>0.25896414342629481</v>
      </c>
      <c r="I15" s="5">
        <f t="shared" si="1"/>
        <v>0.67330677290836649</v>
      </c>
      <c r="J15" s="3">
        <v>-0.42999999999999972</v>
      </c>
      <c r="K15" s="3">
        <v>-2.6700000000000159</v>
      </c>
      <c r="L15" s="4"/>
      <c r="M15" s="4"/>
      <c r="N15" s="4"/>
      <c r="O15" s="4"/>
      <c r="P15" s="4"/>
      <c r="Q15" s="4"/>
      <c r="AA15" s="8"/>
      <c r="AB15" s="8"/>
      <c r="AC15" s="4"/>
      <c r="AD15" s="4"/>
      <c r="AE15" s="4"/>
    </row>
    <row r="16" spans="1:31" x14ac:dyDescent="0.25">
      <c r="A16" t="s">
        <v>15</v>
      </c>
      <c r="B16" s="4">
        <f>(B14-B15)/SQRT(A7*B8)</f>
        <v>0.34697922922621022</v>
      </c>
      <c r="C16" s="1">
        <v>42048</v>
      </c>
      <c r="D16" s="2">
        <v>29.43</v>
      </c>
      <c r="E16" s="3">
        <v>160.4</v>
      </c>
      <c r="F16" s="2">
        <f t="shared" si="2"/>
        <v>-3.0000000000001137E-2</v>
      </c>
      <c r="G16" s="2">
        <f t="shared" si="3"/>
        <v>1.8799999999999955</v>
      </c>
      <c r="H16" s="5">
        <f t="shared" si="0"/>
        <v>0.39043824701195218</v>
      </c>
      <c r="I16" s="5">
        <f t="shared" si="1"/>
        <v>0.8844621513944223</v>
      </c>
      <c r="J16" s="3">
        <v>-0.41000000000000014</v>
      </c>
      <c r="K16" s="3">
        <v>-2.6500000000000057</v>
      </c>
      <c r="L16" s="4"/>
      <c r="M16" s="4"/>
      <c r="N16" s="4"/>
      <c r="O16" s="4"/>
      <c r="P16" s="4"/>
      <c r="Q16" s="4"/>
      <c r="AA16" s="8"/>
      <c r="AB16" s="8"/>
      <c r="AC16" s="4"/>
      <c r="AD16" s="4"/>
      <c r="AE16" s="4"/>
    </row>
    <row r="17" spans="1:31" x14ac:dyDescent="0.25">
      <c r="A17" t="s">
        <v>13</v>
      </c>
      <c r="B17" s="4">
        <f>KendallsTau(F2:F252,G2:G252,251)</f>
        <v>0.34926429739208326</v>
      </c>
      <c r="C17" s="1">
        <v>42047</v>
      </c>
      <c r="D17" s="2">
        <v>29.46</v>
      </c>
      <c r="E17" s="3">
        <v>158.52000000000001</v>
      </c>
      <c r="F17" s="2">
        <f t="shared" si="2"/>
        <v>2.5300000000000011</v>
      </c>
      <c r="G17" s="2">
        <f t="shared" si="3"/>
        <v>0.3200000000000216</v>
      </c>
      <c r="H17" s="5">
        <f t="shared" si="0"/>
        <v>1</v>
      </c>
      <c r="I17" s="5">
        <f t="shared" si="1"/>
        <v>0.60159362549800799</v>
      </c>
      <c r="J17" s="3">
        <v>-0.39999999999999858</v>
      </c>
      <c r="K17" s="3">
        <v>-2.6299999999999955</v>
      </c>
      <c r="L17" s="4"/>
      <c r="M17" s="4"/>
      <c r="N17" s="4"/>
      <c r="O17" s="4"/>
      <c r="P17" s="4"/>
      <c r="Q17" s="4"/>
      <c r="AA17" s="8"/>
      <c r="AB17" s="8"/>
      <c r="AC17" s="4"/>
      <c r="AD17" s="4"/>
      <c r="AE17" s="4"/>
    </row>
    <row r="18" spans="1:31" x14ac:dyDescent="0.25">
      <c r="A18" t="s">
        <v>14</v>
      </c>
      <c r="B18" s="4">
        <f>CORREL(H2:H252,I2:I252)</f>
        <v>0.49589265419204753</v>
      </c>
      <c r="C18" s="1">
        <v>42046</v>
      </c>
      <c r="D18" s="2">
        <v>26.93</v>
      </c>
      <c r="E18" s="3">
        <v>158.19999999999999</v>
      </c>
      <c r="F18" s="2">
        <f t="shared" si="2"/>
        <v>-0.55999999999999872</v>
      </c>
      <c r="G18" s="2">
        <f t="shared" si="3"/>
        <v>-0.36000000000001364</v>
      </c>
      <c r="H18" s="5">
        <f t="shared" si="0"/>
        <v>2.3904382470119521E-2</v>
      </c>
      <c r="I18" s="5">
        <f t="shared" si="1"/>
        <v>0.43824701195219123</v>
      </c>
      <c r="J18" s="3">
        <v>-0.39000000000000057</v>
      </c>
      <c r="K18" s="3">
        <v>-2.5300000000000011</v>
      </c>
      <c r="L18" s="4"/>
      <c r="M18" s="4"/>
      <c r="N18" s="4"/>
      <c r="O18" s="4"/>
      <c r="P18" s="4"/>
      <c r="Q18" s="4"/>
      <c r="AA18" s="8"/>
      <c r="AB18" s="8"/>
      <c r="AC18" s="4"/>
      <c r="AD18" s="4"/>
      <c r="AE18" s="4"/>
    </row>
    <row r="19" spans="1:31" x14ac:dyDescent="0.25">
      <c r="C19" s="1">
        <v>42045</v>
      </c>
      <c r="D19" s="2">
        <v>27.49</v>
      </c>
      <c r="E19" s="3">
        <v>158.56</v>
      </c>
      <c r="F19" s="2">
        <f t="shared" si="2"/>
        <v>0.36999999999999744</v>
      </c>
      <c r="G19" s="2">
        <f t="shared" si="3"/>
        <v>2.8100000000000023</v>
      </c>
      <c r="H19" s="5">
        <f t="shared" si="0"/>
        <v>0.92031872509960155</v>
      </c>
      <c r="I19" s="5">
        <f t="shared" si="1"/>
        <v>0.94023904382470125</v>
      </c>
      <c r="J19" s="3">
        <v>-0.37999999999999901</v>
      </c>
      <c r="K19" s="3">
        <v>-2.4900000000000091</v>
      </c>
      <c r="L19" s="4"/>
      <c r="M19" s="4"/>
      <c r="N19" s="4"/>
      <c r="O19" s="4"/>
      <c r="P19" s="4"/>
      <c r="Q19" s="4"/>
      <c r="AA19" s="8"/>
      <c r="AB19" s="8"/>
      <c r="AC19" s="4"/>
      <c r="AD19" s="4"/>
      <c r="AE19" s="4"/>
    </row>
    <row r="20" spans="1:31" x14ac:dyDescent="0.25">
      <c r="C20" s="1">
        <v>42044</v>
      </c>
      <c r="D20" s="2">
        <v>27.12</v>
      </c>
      <c r="E20" s="3">
        <v>155.75</v>
      </c>
      <c r="F20" s="2">
        <f t="shared" si="2"/>
        <v>-0.11999999999999744</v>
      </c>
      <c r="G20" s="2">
        <f t="shared" si="3"/>
        <v>-0.96999999999999886</v>
      </c>
      <c r="H20" s="5">
        <f t="shared" si="0"/>
        <v>0.26294820717131473</v>
      </c>
      <c r="I20" s="5">
        <f t="shared" si="1"/>
        <v>0.2788844621513944</v>
      </c>
      <c r="J20" s="3">
        <v>-0.37000000000000099</v>
      </c>
      <c r="K20" s="3">
        <v>-2.4699999999999989</v>
      </c>
      <c r="L20" s="4"/>
      <c r="M20" s="4"/>
      <c r="N20" s="4"/>
      <c r="O20" s="4"/>
      <c r="P20" s="4"/>
      <c r="Q20" s="4"/>
      <c r="AA20" s="8"/>
      <c r="AB20" s="8"/>
      <c r="AC20" s="4"/>
      <c r="AD20" s="4"/>
      <c r="AE20" s="4"/>
    </row>
    <row r="21" spans="1:31" x14ac:dyDescent="0.25">
      <c r="C21" s="1">
        <v>42041</v>
      </c>
      <c r="D21" s="2">
        <v>27.24</v>
      </c>
      <c r="E21" s="3">
        <v>156.72</v>
      </c>
      <c r="F21" s="2">
        <f t="shared" si="2"/>
        <v>-2.0000000000003126E-2</v>
      </c>
      <c r="G21" s="2">
        <f t="shared" si="3"/>
        <v>-9.0000000000003411E-2</v>
      </c>
      <c r="H21" s="5">
        <f t="shared" si="0"/>
        <v>0.41035856573705182</v>
      </c>
      <c r="I21" s="5">
        <f t="shared" si="1"/>
        <v>0.51394422310756971</v>
      </c>
      <c r="J21" s="3">
        <v>-0.37000000000000099</v>
      </c>
      <c r="K21" s="3">
        <v>-2.460000000000008</v>
      </c>
      <c r="L21" s="4"/>
      <c r="M21" s="4"/>
      <c r="N21" s="4"/>
      <c r="O21" s="4"/>
      <c r="P21" s="4"/>
      <c r="Q21" s="4"/>
      <c r="AA21" s="8"/>
      <c r="AB21" s="8"/>
      <c r="AC21" s="4"/>
      <c r="AD21" s="4"/>
      <c r="AE21" s="4"/>
    </row>
    <row r="22" spans="1:31" x14ac:dyDescent="0.25">
      <c r="C22" s="1">
        <v>42040</v>
      </c>
      <c r="D22" s="2">
        <v>27.26</v>
      </c>
      <c r="E22" s="3">
        <v>156.81</v>
      </c>
      <c r="F22" s="2">
        <f t="shared" si="2"/>
        <v>0.57000000000000028</v>
      </c>
      <c r="G22" s="2">
        <f t="shared" si="3"/>
        <v>0.93999999999999773</v>
      </c>
      <c r="H22" s="5">
        <f t="shared" si="0"/>
        <v>0.96414342629482075</v>
      </c>
      <c r="I22" s="5">
        <f t="shared" si="1"/>
        <v>0.74900398406374502</v>
      </c>
      <c r="J22" s="3">
        <v>-0.36999999999999744</v>
      </c>
      <c r="K22" s="3">
        <v>-2.3799999999999955</v>
      </c>
      <c r="L22" s="4"/>
      <c r="M22" s="4"/>
      <c r="N22" s="4"/>
      <c r="O22" s="4"/>
      <c r="P22" s="4"/>
      <c r="Q22" s="4"/>
      <c r="AA22" s="8"/>
      <c r="AB22" s="8"/>
      <c r="AC22" s="4"/>
      <c r="AD22" s="4"/>
      <c r="AE22" s="4"/>
    </row>
    <row r="23" spans="1:31" x14ac:dyDescent="0.25">
      <c r="C23" s="1">
        <v>42039</v>
      </c>
      <c r="D23" s="2">
        <v>26.69</v>
      </c>
      <c r="E23" s="3">
        <v>155.87</v>
      </c>
      <c r="F23" s="2">
        <f t="shared" si="2"/>
        <v>-0.42999999999999972</v>
      </c>
      <c r="G23" s="2">
        <f t="shared" si="3"/>
        <v>-1.5</v>
      </c>
      <c r="H23" s="5">
        <f t="shared" si="0"/>
        <v>5.5776892430278883E-2</v>
      </c>
      <c r="I23" s="5">
        <f t="shared" si="1"/>
        <v>0.18725099601593626</v>
      </c>
      <c r="J23" s="3">
        <v>-0.34999999999999787</v>
      </c>
      <c r="K23" s="3">
        <v>-2.3599999999999852</v>
      </c>
      <c r="L23" s="4"/>
      <c r="M23" s="4"/>
      <c r="N23" s="4"/>
      <c r="O23" s="4"/>
      <c r="P23" s="4"/>
      <c r="Q23" s="4"/>
      <c r="AA23" s="8"/>
      <c r="AB23" s="8"/>
      <c r="AC23" s="4"/>
      <c r="AD23" s="4"/>
      <c r="AE23" s="4"/>
    </row>
    <row r="24" spans="1:31" x14ac:dyDescent="0.25">
      <c r="C24" s="1">
        <v>42038</v>
      </c>
      <c r="D24" s="2">
        <v>27.12</v>
      </c>
      <c r="E24" s="3">
        <v>157.37</v>
      </c>
      <c r="F24" s="2">
        <f t="shared" si="2"/>
        <v>0.2900000000000027</v>
      </c>
      <c r="G24" s="2">
        <f t="shared" si="3"/>
        <v>3.789999999999992</v>
      </c>
      <c r="H24" s="5">
        <f t="shared" si="0"/>
        <v>0.8844621513944223</v>
      </c>
      <c r="I24" s="5">
        <f t="shared" si="1"/>
        <v>0.98007968127490042</v>
      </c>
      <c r="J24" s="3">
        <v>-0.32000000000000028</v>
      </c>
      <c r="K24" s="3">
        <v>-2.3100000000000023</v>
      </c>
      <c r="L24" s="4"/>
      <c r="M24" s="4"/>
      <c r="N24" s="4"/>
      <c r="O24" s="4"/>
      <c r="P24" s="4"/>
      <c r="Q24" s="4"/>
      <c r="AA24" s="8"/>
      <c r="AB24" s="8"/>
      <c r="AC24" s="4"/>
      <c r="AD24" s="4"/>
      <c r="AE24" s="4"/>
    </row>
    <row r="25" spans="1:31" x14ac:dyDescent="0.25">
      <c r="A25" s="4"/>
      <c r="B25" s="4"/>
      <c r="C25" s="1">
        <v>42037</v>
      </c>
      <c r="D25" s="2">
        <v>26.83</v>
      </c>
      <c r="E25" s="3">
        <v>153.58000000000001</v>
      </c>
      <c r="F25" s="2">
        <f t="shared" si="2"/>
        <v>0.4599999999999973</v>
      </c>
      <c r="G25" s="2">
        <f t="shared" si="3"/>
        <v>1.3400000000000034</v>
      </c>
      <c r="H25" s="5">
        <f t="shared" si="0"/>
        <v>0.95617529880478092</v>
      </c>
      <c r="I25" s="5">
        <f t="shared" si="1"/>
        <v>0.81673306772908372</v>
      </c>
      <c r="J25" s="3">
        <v>-0.32000000000000028</v>
      </c>
      <c r="K25" s="3">
        <v>-2.2800000000000011</v>
      </c>
      <c r="L25" s="4"/>
      <c r="M25" s="4"/>
      <c r="N25" s="4"/>
      <c r="O25" s="4"/>
      <c r="P25" s="4"/>
      <c r="Q25" s="4"/>
      <c r="AA25" s="8"/>
      <c r="AB25" s="8"/>
      <c r="AC25" s="4"/>
      <c r="AD25" s="4"/>
      <c r="AE25" s="4"/>
    </row>
    <row r="26" spans="1:31" x14ac:dyDescent="0.25">
      <c r="A26" s="4"/>
      <c r="B26" s="4"/>
      <c r="C26" s="1">
        <v>42034</v>
      </c>
      <c r="D26" s="2">
        <v>26.37</v>
      </c>
      <c r="E26" s="3">
        <v>152.24</v>
      </c>
      <c r="F26" s="2">
        <f t="shared" si="2"/>
        <v>-0.84999999999999787</v>
      </c>
      <c r="G26" s="2">
        <f t="shared" si="3"/>
        <v>-2.1599999999999966</v>
      </c>
      <c r="H26" s="5">
        <f t="shared" si="0"/>
        <v>7.9681274900398405E-3</v>
      </c>
      <c r="I26" s="5">
        <f t="shared" si="1"/>
        <v>0.11155378486055777</v>
      </c>
      <c r="J26" s="3">
        <v>-0.32000000000000028</v>
      </c>
      <c r="K26" s="3">
        <v>-2.2600000000000193</v>
      </c>
      <c r="L26" s="4"/>
      <c r="M26" s="4"/>
      <c r="N26" s="4"/>
      <c r="O26" s="4"/>
      <c r="P26" s="4"/>
      <c r="Q26" s="4"/>
      <c r="AA26" s="8"/>
      <c r="AB26" s="8"/>
      <c r="AC26" s="4"/>
      <c r="AD26" s="4"/>
      <c r="AE26" s="4"/>
    </row>
    <row r="27" spans="1:31" x14ac:dyDescent="0.25">
      <c r="C27" s="1">
        <v>42033</v>
      </c>
      <c r="D27" s="2">
        <v>27.22</v>
      </c>
      <c r="E27" s="3">
        <v>154.4</v>
      </c>
      <c r="F27" s="2">
        <f t="shared" si="2"/>
        <v>0.41000000000000014</v>
      </c>
      <c r="G27" s="2">
        <f t="shared" si="3"/>
        <v>3.9099999999999966</v>
      </c>
      <c r="H27" s="5">
        <f t="shared" si="0"/>
        <v>0.93625498007968122</v>
      </c>
      <c r="I27" s="5">
        <f t="shared" si="1"/>
        <v>0.98804780876494025</v>
      </c>
      <c r="J27" s="3">
        <v>-0.30000000000000071</v>
      </c>
      <c r="K27" s="3">
        <v>-2.2599999999999909</v>
      </c>
      <c r="L27" s="4"/>
      <c r="M27" s="4"/>
      <c r="N27" s="4"/>
      <c r="O27" s="4"/>
      <c r="P27" s="4"/>
      <c r="Q27" s="4"/>
      <c r="AA27" s="8"/>
      <c r="AB27" s="8"/>
      <c r="AC27" s="4"/>
      <c r="AD27" s="4"/>
      <c r="AE27" s="4"/>
    </row>
    <row r="28" spans="1:31" x14ac:dyDescent="0.25">
      <c r="C28" s="1">
        <v>42032</v>
      </c>
      <c r="D28" s="2">
        <v>26.81</v>
      </c>
      <c r="E28" s="3">
        <v>150.49</v>
      </c>
      <c r="F28" s="2">
        <f t="shared" si="2"/>
        <v>-8.9999999999999858E-2</v>
      </c>
      <c r="G28" s="2">
        <f t="shared" si="3"/>
        <v>-2.1099999999999852</v>
      </c>
      <c r="H28" s="5">
        <f t="shared" si="0"/>
        <v>0.31075697211155379</v>
      </c>
      <c r="I28" s="5">
        <f t="shared" si="1"/>
        <v>0.11553784860557768</v>
      </c>
      <c r="J28" s="3">
        <v>-0.28999999999999915</v>
      </c>
      <c r="K28" s="3">
        <v>-2.2199999999999989</v>
      </c>
      <c r="L28" s="4"/>
      <c r="M28" s="4"/>
      <c r="N28" s="4"/>
      <c r="O28" s="4"/>
      <c r="P28" s="4"/>
      <c r="Q28" s="4"/>
      <c r="AA28" s="8"/>
      <c r="AB28" s="8"/>
      <c r="AC28" s="4"/>
      <c r="AD28" s="4"/>
      <c r="AE28" s="4"/>
    </row>
    <row r="29" spans="1:31" x14ac:dyDescent="0.25">
      <c r="C29" s="1">
        <v>42031</v>
      </c>
      <c r="D29" s="2">
        <v>26.9</v>
      </c>
      <c r="E29" s="3">
        <v>152.6</v>
      </c>
      <c r="F29" s="2">
        <f t="shared" si="2"/>
        <v>-1.0700000000000003</v>
      </c>
      <c r="G29" s="2">
        <f t="shared" si="3"/>
        <v>-2.6700000000000159</v>
      </c>
      <c r="H29" s="5">
        <f t="shared" si="0"/>
        <v>3.9840637450199202E-3</v>
      </c>
      <c r="I29" s="5">
        <f t="shared" si="1"/>
        <v>5.5776892430278883E-2</v>
      </c>
      <c r="J29" s="3">
        <v>-0.28999999999999915</v>
      </c>
      <c r="K29" s="3">
        <v>-2.1599999999999966</v>
      </c>
      <c r="L29" s="4"/>
      <c r="M29" s="4"/>
      <c r="N29" s="4"/>
      <c r="O29" s="4"/>
      <c r="P29" s="4"/>
      <c r="Q29" s="4"/>
      <c r="AA29" s="8"/>
      <c r="AB29" s="8"/>
      <c r="AC29" s="4"/>
      <c r="AD29" s="4"/>
      <c r="AE29" s="4"/>
    </row>
    <row r="30" spans="1:31" x14ac:dyDescent="0.25">
      <c r="C30" s="1">
        <v>42030</v>
      </c>
      <c r="D30" s="2">
        <v>27.97</v>
      </c>
      <c r="E30" s="3">
        <v>155.27000000000001</v>
      </c>
      <c r="F30" s="2">
        <f t="shared" si="2"/>
        <v>-0.24000000000000199</v>
      </c>
      <c r="G30" s="2">
        <f t="shared" si="3"/>
        <v>0.49000000000000909</v>
      </c>
      <c r="H30" s="5">
        <f t="shared" si="0"/>
        <v>0.14342629482071714</v>
      </c>
      <c r="I30" s="5">
        <f t="shared" si="1"/>
        <v>0.64541832669322707</v>
      </c>
      <c r="J30" s="3">
        <v>-0.28999999999999915</v>
      </c>
      <c r="K30" s="3">
        <v>-2.1099999999999852</v>
      </c>
      <c r="L30" s="4"/>
      <c r="M30" s="4"/>
      <c r="N30" s="4"/>
      <c r="O30" s="4"/>
      <c r="P30" s="4"/>
      <c r="Q30" s="4"/>
      <c r="AA30" s="8"/>
      <c r="AB30" s="8"/>
      <c r="AC30" s="4"/>
      <c r="AD30" s="4"/>
      <c r="AE30" s="4"/>
    </row>
    <row r="31" spans="1:31" x14ac:dyDescent="0.25">
      <c r="C31" s="1">
        <v>42027</v>
      </c>
      <c r="D31" s="2">
        <v>28.21</v>
      </c>
      <c r="E31" s="3">
        <v>154.78</v>
      </c>
      <c r="F31" s="2">
        <f t="shared" si="2"/>
        <v>-0.28999999999999915</v>
      </c>
      <c r="G31" s="2">
        <f t="shared" si="3"/>
        <v>0.46999999999999886</v>
      </c>
      <c r="H31" s="5">
        <f t="shared" si="0"/>
        <v>0.11553784860557768</v>
      </c>
      <c r="I31" s="5">
        <f t="shared" si="1"/>
        <v>0.63745019920318724</v>
      </c>
      <c r="J31" s="3">
        <v>-0.26999999999999957</v>
      </c>
      <c r="K31" s="3">
        <v>-2.0699999999999932</v>
      </c>
      <c r="L31" s="4"/>
      <c r="M31" s="4"/>
      <c r="N31" s="4"/>
      <c r="O31" s="4"/>
      <c r="P31" s="4"/>
      <c r="Q31" s="4"/>
      <c r="AA31" s="8"/>
      <c r="AB31" s="8"/>
      <c r="AC31" s="4"/>
      <c r="AD31" s="4"/>
      <c r="AE31" s="4"/>
    </row>
    <row r="32" spans="1:31" x14ac:dyDescent="0.25">
      <c r="C32" s="1">
        <v>42026</v>
      </c>
      <c r="D32" s="2">
        <v>28.5</v>
      </c>
      <c r="E32" s="3">
        <v>154.31</v>
      </c>
      <c r="F32" s="2">
        <f t="shared" si="2"/>
        <v>0.66000000000000014</v>
      </c>
      <c r="G32" s="2">
        <f t="shared" si="3"/>
        <v>3.2800000000000011</v>
      </c>
      <c r="H32" s="5">
        <f t="shared" si="0"/>
        <v>0.9760956175298805</v>
      </c>
      <c r="I32" s="5">
        <f t="shared" si="1"/>
        <v>0.96015936254980083</v>
      </c>
      <c r="J32" s="3">
        <v>-0.26999999999999957</v>
      </c>
      <c r="K32" s="3">
        <v>-2.039999999999992</v>
      </c>
      <c r="L32" s="4"/>
      <c r="M32" s="4"/>
      <c r="N32" s="4"/>
      <c r="O32" s="4"/>
      <c r="P32" s="4"/>
      <c r="Q32" s="4"/>
      <c r="AA32" s="8"/>
      <c r="AB32" s="8"/>
      <c r="AC32" s="4"/>
      <c r="AD32" s="4"/>
      <c r="AE32" s="4"/>
    </row>
    <row r="33" spans="2:31" x14ac:dyDescent="0.25">
      <c r="C33" s="1">
        <v>42025</v>
      </c>
      <c r="D33" s="2">
        <v>27.84</v>
      </c>
      <c r="E33" s="3">
        <v>151.03</v>
      </c>
      <c r="F33" s="2">
        <f t="shared" si="2"/>
        <v>-0.23000000000000043</v>
      </c>
      <c r="G33" s="2">
        <f t="shared" si="3"/>
        <v>-4.8300000000000125</v>
      </c>
      <c r="H33" s="5">
        <f t="shared" si="0"/>
        <v>0.16334661354581673</v>
      </c>
      <c r="I33" s="5">
        <f t="shared" si="1"/>
        <v>1.9920318725099601E-2</v>
      </c>
      <c r="J33" s="3">
        <v>-0.26999999999999957</v>
      </c>
      <c r="K33" s="3">
        <v>-2.0300000000000011</v>
      </c>
      <c r="L33" s="4"/>
      <c r="M33" s="4"/>
      <c r="N33" s="4"/>
      <c r="O33" s="4"/>
      <c r="P33" s="4"/>
      <c r="Q33" s="4"/>
      <c r="AA33" s="8"/>
      <c r="AB33" s="8"/>
      <c r="AC33" s="4"/>
      <c r="AD33" s="4"/>
      <c r="AE33" s="4"/>
    </row>
    <row r="34" spans="2:31" x14ac:dyDescent="0.25">
      <c r="C34" s="1">
        <v>42024</v>
      </c>
      <c r="D34" s="2">
        <v>28.07</v>
      </c>
      <c r="E34" s="3">
        <v>155.86000000000001</v>
      </c>
      <c r="F34" s="2">
        <f t="shared" si="2"/>
        <v>0.39000000000000057</v>
      </c>
      <c r="G34" s="2">
        <f t="shared" si="3"/>
        <v>-0.18999999999999773</v>
      </c>
      <c r="H34" s="5">
        <f t="shared" si="0"/>
        <v>0.9322709163346613</v>
      </c>
      <c r="I34" s="5">
        <f t="shared" si="1"/>
        <v>0.47011952191235062</v>
      </c>
      <c r="J34" s="3">
        <v>-0.25999999999999801</v>
      </c>
      <c r="K34" s="3">
        <v>-2.0200000000000102</v>
      </c>
      <c r="L34" s="4"/>
      <c r="M34" s="4"/>
      <c r="N34" s="4"/>
      <c r="O34" s="4"/>
      <c r="P34" s="4"/>
      <c r="Q34" s="4"/>
      <c r="AA34" s="8"/>
      <c r="AB34" s="8"/>
      <c r="AC34" s="4"/>
      <c r="AD34" s="4"/>
      <c r="AE34" s="4"/>
    </row>
    <row r="35" spans="2:31" x14ac:dyDescent="0.25">
      <c r="C35" s="1">
        <v>42020</v>
      </c>
      <c r="D35" s="2">
        <v>27.68</v>
      </c>
      <c r="E35" s="3">
        <v>156.05000000000001</v>
      </c>
      <c r="F35" s="2">
        <f t="shared" si="2"/>
        <v>0.26999999999999957</v>
      </c>
      <c r="G35" s="2">
        <f t="shared" si="3"/>
        <v>2.5600000000000023</v>
      </c>
      <c r="H35" s="5">
        <f t="shared" si="0"/>
        <v>0.87250996015936255</v>
      </c>
      <c r="I35" s="5">
        <f t="shared" si="1"/>
        <v>0.9322709163346613</v>
      </c>
      <c r="J35" s="3">
        <v>-0.25</v>
      </c>
      <c r="K35" s="3">
        <v>-2.0200000000000102</v>
      </c>
      <c r="L35" s="4"/>
      <c r="M35" s="4"/>
      <c r="N35" s="4"/>
      <c r="O35" s="4"/>
      <c r="P35" s="4"/>
      <c r="Q35" s="4"/>
      <c r="AA35" s="8"/>
      <c r="AB35" s="8"/>
      <c r="AC35" s="4"/>
      <c r="AD35" s="4"/>
      <c r="AE35" s="4"/>
    </row>
    <row r="36" spans="2:31" x14ac:dyDescent="0.25">
      <c r="C36" s="1">
        <v>42019</v>
      </c>
      <c r="D36" s="2">
        <v>27.41</v>
      </c>
      <c r="E36" s="3">
        <v>153.49</v>
      </c>
      <c r="F36" s="2">
        <f t="shared" si="2"/>
        <v>-0.51000000000000156</v>
      </c>
      <c r="G36" s="2">
        <f t="shared" si="3"/>
        <v>-1.2199999999999989</v>
      </c>
      <c r="H36" s="5">
        <f t="shared" si="0"/>
        <v>3.9840637450199202E-2</v>
      </c>
      <c r="I36" s="5">
        <f t="shared" si="1"/>
        <v>0.23904382470119523</v>
      </c>
      <c r="J36" s="3">
        <v>-0.24000000000000199</v>
      </c>
      <c r="K36" s="3">
        <v>-2</v>
      </c>
      <c r="L36" s="4"/>
      <c r="M36" s="4"/>
      <c r="N36" s="4"/>
      <c r="O36" s="4"/>
      <c r="P36" s="4"/>
      <c r="Q36" s="4"/>
      <c r="AA36" s="8"/>
      <c r="AB36" s="8"/>
      <c r="AC36" s="4"/>
      <c r="AD36" s="4"/>
      <c r="AE36" s="4"/>
    </row>
    <row r="37" spans="2:31" x14ac:dyDescent="0.25">
      <c r="C37" s="1">
        <v>42018</v>
      </c>
      <c r="D37" s="2">
        <v>27.92</v>
      </c>
      <c r="E37" s="3">
        <v>154.71</v>
      </c>
      <c r="F37" s="2">
        <f t="shared" si="2"/>
        <v>-0.17999999999999972</v>
      </c>
      <c r="G37" s="2">
        <f t="shared" si="3"/>
        <v>-1.0099999999999909</v>
      </c>
      <c r="H37" s="5">
        <f t="shared" si="0"/>
        <v>0.20318725099601595</v>
      </c>
      <c r="I37" s="5">
        <f t="shared" si="1"/>
        <v>0.27490039840637448</v>
      </c>
      <c r="J37" s="3">
        <v>-0.24000000000000199</v>
      </c>
      <c r="K37" s="3">
        <v>-1.9399999999999977</v>
      </c>
      <c r="L37" s="4"/>
      <c r="M37" s="4"/>
      <c r="N37" s="4"/>
      <c r="O37" s="4"/>
      <c r="P37" s="4"/>
      <c r="Q37" s="4"/>
      <c r="AA37" s="8"/>
      <c r="AB37" s="8"/>
      <c r="AC37" s="4"/>
      <c r="AD37" s="4"/>
      <c r="AE37" s="4"/>
    </row>
    <row r="38" spans="2:31" x14ac:dyDescent="0.25">
      <c r="C38" s="1">
        <v>42017</v>
      </c>
      <c r="D38" s="2">
        <v>28.1</v>
      </c>
      <c r="E38" s="3">
        <v>155.72</v>
      </c>
      <c r="F38" s="2">
        <f t="shared" si="2"/>
        <v>5.0000000000000711E-2</v>
      </c>
      <c r="G38" s="2">
        <f t="shared" si="3"/>
        <v>0.37000000000000455</v>
      </c>
      <c r="H38" s="5">
        <f t="shared" si="0"/>
        <v>0.54980079681274896</v>
      </c>
      <c r="I38" s="5">
        <f t="shared" si="1"/>
        <v>0.61752988047808766</v>
      </c>
      <c r="J38" s="3">
        <v>-0.23000000000000043</v>
      </c>
      <c r="K38" s="3">
        <v>-1.9000000000000057</v>
      </c>
      <c r="L38" s="4"/>
      <c r="M38" s="4"/>
      <c r="N38" s="4"/>
      <c r="O38" s="4"/>
      <c r="P38" s="4"/>
      <c r="Q38" s="4"/>
      <c r="AA38" s="8"/>
      <c r="AB38" s="8"/>
      <c r="AC38" s="4"/>
      <c r="AD38" s="4"/>
      <c r="AE38" s="4"/>
    </row>
    <row r="39" spans="2:31" x14ac:dyDescent="0.25">
      <c r="C39" s="1">
        <v>42016</v>
      </c>
      <c r="D39" s="2">
        <v>28.05</v>
      </c>
      <c r="E39" s="3">
        <v>155.35</v>
      </c>
      <c r="F39" s="2">
        <f t="shared" si="2"/>
        <v>0.26000000000000156</v>
      </c>
      <c r="G39" s="2">
        <f t="shared" si="3"/>
        <v>-2.6500000000000057</v>
      </c>
      <c r="H39" s="5">
        <f t="shared" si="0"/>
        <v>0.8605577689243028</v>
      </c>
      <c r="I39" s="5">
        <f t="shared" si="1"/>
        <v>5.9760956175298807E-2</v>
      </c>
      <c r="J39" s="3">
        <v>-0.23000000000000043</v>
      </c>
      <c r="K39" s="3">
        <v>-1.8899999999999864</v>
      </c>
      <c r="L39" s="4"/>
      <c r="M39" s="4"/>
      <c r="N39" s="4"/>
      <c r="O39" s="4"/>
      <c r="P39" s="4"/>
      <c r="Q39" s="4"/>
      <c r="AA39" s="8"/>
      <c r="AB39" s="8"/>
      <c r="AC39" s="4"/>
      <c r="AD39" s="4"/>
      <c r="AE39" s="4"/>
    </row>
    <row r="40" spans="2:31" x14ac:dyDescent="0.25">
      <c r="C40" s="1">
        <v>42013</v>
      </c>
      <c r="D40" s="2">
        <v>27.79</v>
      </c>
      <c r="E40" s="3">
        <v>158</v>
      </c>
      <c r="F40" s="2">
        <f t="shared" si="2"/>
        <v>0.27999999999999758</v>
      </c>
      <c r="G40" s="2">
        <f t="shared" si="3"/>
        <v>0.68000000000000682</v>
      </c>
      <c r="H40" s="5">
        <f t="shared" si="0"/>
        <v>0.88047808764940239</v>
      </c>
      <c r="I40" s="5">
        <f t="shared" si="1"/>
        <v>0.70916334661354585</v>
      </c>
      <c r="J40" s="3">
        <v>-0.23000000000000043</v>
      </c>
      <c r="K40" s="3">
        <v>-1.8200000000000216</v>
      </c>
      <c r="L40" s="4"/>
      <c r="M40" s="4"/>
      <c r="N40" s="4"/>
      <c r="O40" s="4"/>
      <c r="P40" s="4"/>
      <c r="Q40" s="4"/>
      <c r="AA40" s="8"/>
      <c r="AB40" s="8"/>
      <c r="AC40" s="4"/>
      <c r="AD40" s="4"/>
      <c r="AE40" s="4"/>
    </row>
    <row r="41" spans="2:31" x14ac:dyDescent="0.25">
      <c r="B41" s="6"/>
      <c r="C41" s="1">
        <v>42012</v>
      </c>
      <c r="D41" s="2">
        <v>27.51</v>
      </c>
      <c r="E41" s="3">
        <v>157.32</v>
      </c>
      <c r="F41" s="2">
        <f t="shared" si="2"/>
        <v>0.21000000000000085</v>
      </c>
      <c r="G41" s="2">
        <f t="shared" si="3"/>
        <v>3.3499999999999943</v>
      </c>
      <c r="H41" s="5">
        <f t="shared" si="0"/>
        <v>0.81673306772908372</v>
      </c>
      <c r="I41" s="5">
        <f t="shared" si="1"/>
        <v>0.96414342629482075</v>
      </c>
      <c r="J41" s="3">
        <v>-0.23000000000000043</v>
      </c>
      <c r="K41" s="3">
        <v>-1.6900000000000261</v>
      </c>
      <c r="L41" s="4"/>
      <c r="M41" s="4"/>
      <c r="N41" s="4"/>
      <c r="O41" s="4"/>
      <c r="P41" s="4"/>
      <c r="Q41" s="4"/>
      <c r="AA41" s="8"/>
      <c r="AB41" s="8"/>
      <c r="AC41" s="4"/>
      <c r="AD41" s="4"/>
      <c r="AE41" s="4"/>
    </row>
    <row r="42" spans="2:31" x14ac:dyDescent="0.25">
      <c r="B42" s="7"/>
      <c r="C42" s="1">
        <v>42011</v>
      </c>
      <c r="D42" s="2">
        <v>27.3</v>
      </c>
      <c r="E42" s="3">
        <v>153.97</v>
      </c>
      <c r="F42" s="2">
        <f t="shared" si="2"/>
        <v>0.25</v>
      </c>
      <c r="G42" s="2">
        <f t="shared" si="3"/>
        <v>-1.0099999999999909</v>
      </c>
      <c r="H42" s="5">
        <f t="shared" si="0"/>
        <v>0.85657370517928288</v>
      </c>
      <c r="I42" s="5">
        <f t="shared" si="1"/>
        <v>0.27490039840637448</v>
      </c>
      <c r="J42" s="3">
        <v>-0.23000000000000043</v>
      </c>
      <c r="K42" s="3">
        <v>-1.6599999999999966</v>
      </c>
      <c r="L42" s="4"/>
      <c r="M42" s="4"/>
      <c r="N42" s="4"/>
      <c r="O42" s="4"/>
      <c r="P42" s="4"/>
      <c r="Q42" s="4"/>
      <c r="AA42" s="8"/>
      <c r="AB42" s="8"/>
      <c r="AC42" s="4"/>
      <c r="AD42" s="4"/>
      <c r="AE42" s="4"/>
    </row>
    <row r="43" spans="2:31" x14ac:dyDescent="0.25">
      <c r="B43" s="7"/>
      <c r="C43" s="1">
        <v>42010</v>
      </c>
      <c r="D43" s="2">
        <v>27.05</v>
      </c>
      <c r="E43" s="3">
        <v>154.97999999999999</v>
      </c>
      <c r="F43" s="2">
        <f t="shared" si="2"/>
        <v>-9.9999999999980105E-3</v>
      </c>
      <c r="G43" s="2">
        <f t="shared" si="3"/>
        <v>-3.4200000000000159</v>
      </c>
      <c r="H43" s="5">
        <f t="shared" si="0"/>
        <v>0.45019920318725098</v>
      </c>
      <c r="I43" s="5">
        <f t="shared" si="1"/>
        <v>2.3904382470119521E-2</v>
      </c>
      <c r="J43" s="3">
        <v>-0.21000000000000085</v>
      </c>
      <c r="K43" s="3">
        <v>-1.6500000000000057</v>
      </c>
      <c r="L43" s="4"/>
      <c r="M43" s="4"/>
      <c r="N43" s="4"/>
      <c r="O43" s="4"/>
      <c r="P43" s="4"/>
      <c r="Q43" s="4"/>
      <c r="AA43" s="8"/>
      <c r="AB43" s="8"/>
      <c r="AC43" s="4"/>
      <c r="AD43" s="4"/>
      <c r="AE43" s="4"/>
    </row>
    <row r="44" spans="2:31" x14ac:dyDescent="0.25">
      <c r="B44" s="7"/>
      <c r="C44" s="1">
        <v>42009</v>
      </c>
      <c r="D44" s="2">
        <v>27.06</v>
      </c>
      <c r="E44" s="3">
        <v>158.4</v>
      </c>
      <c r="F44" s="2">
        <f t="shared" si="2"/>
        <v>-0.55000000000000071</v>
      </c>
      <c r="G44" s="2">
        <f t="shared" si="3"/>
        <v>-2.5300000000000011</v>
      </c>
      <c r="H44" s="5">
        <f t="shared" si="0"/>
        <v>2.7888446215139442E-2</v>
      </c>
      <c r="I44" s="5">
        <f t="shared" si="1"/>
        <v>6.7729083665338641E-2</v>
      </c>
      <c r="J44" s="3">
        <v>-0.21000000000000085</v>
      </c>
      <c r="K44" s="3">
        <v>-1.6499999999999773</v>
      </c>
      <c r="L44" s="4"/>
      <c r="M44" s="4"/>
      <c r="N44" s="4"/>
      <c r="O44" s="4"/>
      <c r="P44" s="4"/>
      <c r="Q44" s="4"/>
      <c r="AA44" s="8"/>
      <c r="AB44" s="8"/>
      <c r="AC44" s="4"/>
      <c r="AD44" s="4"/>
      <c r="AE44" s="4"/>
    </row>
    <row r="45" spans="2:31" x14ac:dyDescent="0.25">
      <c r="B45" s="7"/>
      <c r="C45" s="1">
        <v>42006</v>
      </c>
      <c r="D45" s="2">
        <v>27.61</v>
      </c>
      <c r="E45" s="3">
        <v>160.93</v>
      </c>
      <c r="F45" s="2">
        <f t="shared" si="2"/>
        <v>-1.9999999999999574E-2</v>
      </c>
      <c r="G45" s="2">
        <f t="shared" si="3"/>
        <v>1.6100000000000136</v>
      </c>
      <c r="H45" s="5">
        <f t="shared" si="0"/>
        <v>0.43426294820717132</v>
      </c>
      <c r="I45" s="5">
        <f t="shared" si="1"/>
        <v>0.85258964143426297</v>
      </c>
      <c r="J45" s="3">
        <v>-0.19999999999999929</v>
      </c>
      <c r="K45" s="3">
        <v>-1.6299999999999955</v>
      </c>
      <c r="L45" s="4"/>
      <c r="M45" s="4"/>
      <c r="N45" s="4"/>
      <c r="O45" s="4"/>
      <c r="P45" s="4"/>
      <c r="Q45" s="4"/>
      <c r="AA45" s="8"/>
      <c r="AB45" s="8"/>
      <c r="AC45" s="4"/>
      <c r="AD45" s="4"/>
      <c r="AE45" s="4"/>
    </row>
    <row r="46" spans="2:31" x14ac:dyDescent="0.25">
      <c r="B46" s="7"/>
      <c r="C46" s="1">
        <v>42004</v>
      </c>
      <c r="D46" s="2">
        <v>27.63</v>
      </c>
      <c r="E46" s="3">
        <v>159.32</v>
      </c>
      <c r="F46" s="2">
        <f t="shared" si="2"/>
        <v>-0.5400000000000027</v>
      </c>
      <c r="G46" s="2">
        <f t="shared" si="3"/>
        <v>0.37999999999999545</v>
      </c>
      <c r="H46" s="5">
        <f t="shared" si="0"/>
        <v>3.1872509960159362E-2</v>
      </c>
      <c r="I46" s="5">
        <f t="shared" si="1"/>
        <v>0.62549800796812749</v>
      </c>
      <c r="J46" s="3">
        <v>-0.19000000000000128</v>
      </c>
      <c r="K46" s="3">
        <v>-1.6100000000000136</v>
      </c>
      <c r="L46" s="4"/>
      <c r="M46" s="4"/>
      <c r="N46" s="4"/>
      <c r="O46" s="4"/>
      <c r="P46" s="4"/>
      <c r="Q46" s="4"/>
      <c r="AA46" s="8"/>
      <c r="AB46" s="8"/>
      <c r="AC46" s="4"/>
      <c r="AD46" s="4"/>
      <c r="AE46" s="4"/>
    </row>
    <row r="47" spans="2:31" x14ac:dyDescent="0.25">
      <c r="B47" s="7"/>
      <c r="C47" s="1">
        <v>42003</v>
      </c>
      <c r="D47" s="2">
        <v>28.17</v>
      </c>
      <c r="E47" s="3">
        <v>158.94</v>
      </c>
      <c r="F47" s="2">
        <f t="shared" si="2"/>
        <v>-9.9999999999997868E-2</v>
      </c>
      <c r="G47" s="2">
        <f t="shared" si="3"/>
        <v>-0.44999999999998863</v>
      </c>
      <c r="H47" s="5">
        <f t="shared" si="0"/>
        <v>0.29880478087649404</v>
      </c>
      <c r="I47" s="5">
        <f t="shared" si="1"/>
        <v>0.40239043824701193</v>
      </c>
      <c r="J47" s="3">
        <v>-0.18000000000000327</v>
      </c>
      <c r="K47" s="3">
        <v>-1.6100000000000136</v>
      </c>
      <c r="L47" s="4"/>
      <c r="M47" s="4"/>
      <c r="N47" s="4"/>
      <c r="O47" s="4"/>
      <c r="P47" s="4"/>
      <c r="Q47" s="4"/>
      <c r="AA47" s="8"/>
      <c r="AB47" s="8"/>
      <c r="AC47" s="4"/>
      <c r="AD47" s="4"/>
      <c r="AE47" s="4"/>
    </row>
    <row r="48" spans="2:31" x14ac:dyDescent="0.25">
      <c r="B48" s="7"/>
      <c r="C48" s="1">
        <v>42002</v>
      </c>
      <c r="D48" s="2">
        <v>28.27</v>
      </c>
      <c r="E48" s="3">
        <v>159.38999999999999</v>
      </c>
      <c r="F48" s="2">
        <f t="shared" si="2"/>
        <v>0.10999999999999943</v>
      </c>
      <c r="G48" s="2">
        <f t="shared" si="3"/>
        <v>-1.8200000000000216</v>
      </c>
      <c r="H48" s="5">
        <f t="shared" si="0"/>
        <v>0.61354581673306774</v>
      </c>
      <c r="I48" s="5">
        <f t="shared" si="1"/>
        <v>0.15537848605577689</v>
      </c>
      <c r="J48" s="3">
        <v>-0.18000000000000327</v>
      </c>
      <c r="K48" s="3">
        <v>-1.5</v>
      </c>
      <c r="L48" s="4"/>
      <c r="M48" s="4"/>
      <c r="N48" s="4"/>
      <c r="O48" s="4"/>
      <c r="P48" s="4"/>
      <c r="Q48" s="4"/>
      <c r="AA48" s="8"/>
      <c r="AB48" s="8"/>
      <c r="AC48" s="4"/>
      <c r="AD48" s="4"/>
      <c r="AE48" s="4"/>
    </row>
    <row r="49" spans="1:31" x14ac:dyDescent="0.25">
      <c r="B49" s="7"/>
      <c r="C49" s="1">
        <v>41999</v>
      </c>
      <c r="D49" s="2">
        <v>28.16</v>
      </c>
      <c r="E49" s="3">
        <v>161.21</v>
      </c>
      <c r="F49" s="2">
        <f t="shared" si="2"/>
        <v>5.0000000000000711E-2</v>
      </c>
      <c r="G49" s="2">
        <f t="shared" si="3"/>
        <v>0.52000000000001023</v>
      </c>
      <c r="H49" s="5">
        <f t="shared" si="0"/>
        <v>0.54980079681274896</v>
      </c>
      <c r="I49" s="5">
        <f t="shared" si="1"/>
        <v>0.66135458167330674</v>
      </c>
      <c r="J49" s="3">
        <v>-0.17999999999999972</v>
      </c>
      <c r="K49" s="3">
        <v>-1.4699999999999989</v>
      </c>
      <c r="L49" s="4"/>
      <c r="M49" s="4"/>
      <c r="N49" s="4"/>
      <c r="O49" s="4"/>
      <c r="P49" s="4"/>
      <c r="Q49" s="4"/>
      <c r="AA49" s="8"/>
      <c r="AB49" s="8"/>
      <c r="AC49" s="4"/>
      <c r="AD49" s="4"/>
      <c r="AE49" s="4"/>
    </row>
    <row r="50" spans="1:31" x14ac:dyDescent="0.25">
      <c r="B50" s="7"/>
      <c r="C50" s="1">
        <v>41997</v>
      </c>
      <c r="D50" s="2">
        <v>28.11</v>
      </c>
      <c r="E50" s="3">
        <v>160.69</v>
      </c>
      <c r="F50" s="2">
        <f t="shared" si="2"/>
        <v>5.0000000000000711E-2</v>
      </c>
      <c r="G50" s="2">
        <f t="shared" si="3"/>
        <v>-0.42000000000001592</v>
      </c>
      <c r="H50" s="5">
        <f t="shared" si="0"/>
        <v>0.54980079681274896</v>
      </c>
      <c r="I50" s="5">
        <f t="shared" si="1"/>
        <v>0.41434262948207173</v>
      </c>
      <c r="J50" s="3">
        <v>-0.17999999999999972</v>
      </c>
      <c r="K50" s="3">
        <v>-1.4699999999999989</v>
      </c>
      <c r="L50" s="4"/>
      <c r="M50" s="4"/>
      <c r="N50" s="4"/>
      <c r="O50" s="4"/>
      <c r="P50" s="4"/>
      <c r="Q50" s="4"/>
      <c r="AA50" s="8"/>
      <c r="AB50" s="8"/>
      <c r="AC50" s="4"/>
      <c r="AD50" s="4"/>
      <c r="AE50" s="4"/>
    </row>
    <row r="51" spans="1:31" x14ac:dyDescent="0.25">
      <c r="C51" s="1">
        <v>41996</v>
      </c>
      <c r="D51" s="2">
        <v>28.06</v>
      </c>
      <c r="E51" s="3">
        <v>161.11000000000001</v>
      </c>
      <c r="F51" s="2">
        <f t="shared" si="2"/>
        <v>2.9999999999997584E-2</v>
      </c>
      <c r="G51" s="2">
        <f t="shared" si="3"/>
        <v>0.79000000000002046</v>
      </c>
      <c r="H51" s="5">
        <f t="shared" si="0"/>
        <v>0.49800796812749004</v>
      </c>
      <c r="I51" s="5">
        <f t="shared" si="1"/>
        <v>0.72509960159362552</v>
      </c>
      <c r="J51" s="3">
        <v>-0.17999999999999972</v>
      </c>
      <c r="K51" s="3">
        <v>-1.460000000000008</v>
      </c>
      <c r="L51" s="4"/>
      <c r="M51" s="4"/>
      <c r="N51" s="4"/>
      <c r="O51" s="4"/>
      <c r="P51" s="4"/>
      <c r="Q51" s="4"/>
      <c r="AA51" s="8"/>
      <c r="AB51" s="8"/>
      <c r="AC51" s="4"/>
      <c r="AD51" s="4"/>
      <c r="AE51" s="4"/>
    </row>
    <row r="52" spans="1:31" x14ac:dyDescent="0.25">
      <c r="C52" s="1">
        <v>41995</v>
      </c>
      <c r="D52" s="2">
        <v>28.03</v>
      </c>
      <c r="E52" s="3">
        <v>160.32</v>
      </c>
      <c r="F52" s="2">
        <f t="shared" si="2"/>
        <v>0.45000000000000284</v>
      </c>
      <c r="G52" s="2">
        <f t="shared" si="3"/>
        <v>2.9099999999999966</v>
      </c>
      <c r="H52" s="5">
        <f t="shared" si="0"/>
        <v>0.952191235059761</v>
      </c>
      <c r="I52" s="5">
        <f t="shared" si="1"/>
        <v>0.94422310756972117</v>
      </c>
      <c r="J52" s="3">
        <v>-0.17999999999999972</v>
      </c>
      <c r="K52" s="3">
        <v>-1.4200000000000159</v>
      </c>
      <c r="L52" s="4"/>
      <c r="M52" s="4"/>
      <c r="N52" s="4"/>
      <c r="O52" s="4"/>
      <c r="P52" s="4"/>
      <c r="Q52" s="4"/>
      <c r="AA52" s="8"/>
      <c r="AB52" s="8"/>
      <c r="AC52" s="4"/>
      <c r="AD52" s="4"/>
      <c r="AE52" s="4"/>
    </row>
    <row r="53" spans="1:31" x14ac:dyDescent="0.25">
      <c r="B53" s="6"/>
      <c r="C53" s="1">
        <v>41992</v>
      </c>
      <c r="D53" s="2">
        <v>27.58</v>
      </c>
      <c r="E53" s="3">
        <v>157.41</v>
      </c>
      <c r="F53" s="2">
        <f t="shared" si="2"/>
        <v>0.11999999999999744</v>
      </c>
      <c r="G53" s="2">
        <f t="shared" si="3"/>
        <v>0.82999999999998408</v>
      </c>
      <c r="H53" s="5">
        <f t="shared" si="0"/>
        <v>0.62549800796812749</v>
      </c>
      <c r="I53" s="5">
        <f t="shared" si="1"/>
        <v>0.72908366533864544</v>
      </c>
      <c r="J53" s="3">
        <v>-0.17000000000000171</v>
      </c>
      <c r="K53" s="3">
        <v>-1.4000000000000057</v>
      </c>
      <c r="L53" s="4"/>
      <c r="M53" s="4"/>
      <c r="N53" s="4"/>
      <c r="O53" s="4"/>
      <c r="P53" s="4"/>
      <c r="Q53" s="4"/>
      <c r="AA53" s="8"/>
      <c r="AB53" s="8"/>
      <c r="AC53" s="4"/>
      <c r="AD53" s="4"/>
      <c r="AE53" s="4"/>
    </row>
    <row r="54" spans="1:31" x14ac:dyDescent="0.25">
      <c r="B54" s="7"/>
      <c r="C54" s="1">
        <v>41991</v>
      </c>
      <c r="D54" s="2">
        <v>27.46</v>
      </c>
      <c r="E54" s="3">
        <v>156.58000000000001</v>
      </c>
      <c r="F54" s="2">
        <f t="shared" si="2"/>
        <v>0.83000000000000185</v>
      </c>
      <c r="G54" s="2">
        <f t="shared" si="3"/>
        <v>5.710000000000008</v>
      </c>
      <c r="H54" s="5">
        <f t="shared" si="0"/>
        <v>0.98804780876494025</v>
      </c>
      <c r="I54" s="5">
        <f t="shared" si="1"/>
        <v>0.99601593625498008</v>
      </c>
      <c r="J54" s="3">
        <v>-0.16999999999999815</v>
      </c>
      <c r="K54" s="3">
        <v>-1.3700000000000045</v>
      </c>
      <c r="L54" s="4"/>
      <c r="M54" s="4"/>
      <c r="N54" s="4"/>
      <c r="O54" s="4"/>
      <c r="P54" s="4"/>
      <c r="Q54" s="4"/>
      <c r="AA54" s="8"/>
      <c r="AB54" s="8"/>
      <c r="AC54" s="4"/>
      <c r="AD54" s="4"/>
      <c r="AE54" s="4"/>
    </row>
    <row r="55" spans="1:31" x14ac:dyDescent="0.25">
      <c r="B55" s="7"/>
      <c r="C55" s="1">
        <v>41990</v>
      </c>
      <c r="D55" s="2">
        <v>26.63</v>
      </c>
      <c r="E55" s="3">
        <v>150.87</v>
      </c>
      <c r="F55" s="2">
        <f t="shared" si="2"/>
        <v>0.21999999999999886</v>
      </c>
      <c r="G55" s="2">
        <f t="shared" si="3"/>
        <v>0.50999999999999091</v>
      </c>
      <c r="H55" s="5">
        <f t="shared" si="0"/>
        <v>0.82470119521912355</v>
      </c>
      <c r="I55" s="5">
        <f t="shared" si="1"/>
        <v>0.64940239043824699</v>
      </c>
      <c r="J55" s="3">
        <v>-0.16000000000000014</v>
      </c>
      <c r="K55" s="3">
        <v>-1.3400000000000034</v>
      </c>
      <c r="L55" s="4"/>
      <c r="M55" s="4"/>
      <c r="N55" s="4"/>
      <c r="O55" s="4"/>
      <c r="P55" s="4"/>
      <c r="Q55" s="4"/>
      <c r="AA55" s="8"/>
      <c r="AB55" s="8"/>
      <c r="AC55" s="4"/>
      <c r="AD55" s="4"/>
      <c r="AE55" s="4"/>
    </row>
    <row r="56" spans="1:31" x14ac:dyDescent="0.25">
      <c r="B56" s="7"/>
      <c r="C56" s="1">
        <v>41989</v>
      </c>
      <c r="D56" s="2">
        <v>26.41</v>
      </c>
      <c r="E56" s="3">
        <v>150.36000000000001</v>
      </c>
      <c r="F56" s="2">
        <f t="shared" si="2"/>
        <v>-8.9999999999999858E-2</v>
      </c>
      <c r="G56" s="2">
        <f t="shared" si="3"/>
        <v>-1.6299999999999955</v>
      </c>
      <c r="H56" s="5">
        <f t="shared" si="0"/>
        <v>0.31075697211155379</v>
      </c>
      <c r="I56" s="5">
        <f t="shared" si="1"/>
        <v>0.1752988047808765</v>
      </c>
      <c r="J56" s="3">
        <v>-0.16000000000000014</v>
      </c>
      <c r="K56" s="3">
        <v>-1.2999999999999829</v>
      </c>
      <c r="L56" s="4"/>
      <c r="M56" s="4"/>
      <c r="N56" s="4"/>
      <c r="O56" s="4"/>
      <c r="P56" s="4"/>
      <c r="Q56" s="4"/>
      <c r="AA56" s="8"/>
      <c r="AB56" s="8"/>
      <c r="AC56" s="4"/>
      <c r="AD56" s="4"/>
      <c r="AE56" s="4"/>
    </row>
    <row r="57" spans="1:31" x14ac:dyDescent="0.25">
      <c r="B57" s="7"/>
      <c r="C57" s="1">
        <v>41988</v>
      </c>
      <c r="D57" s="2">
        <v>26.5</v>
      </c>
      <c r="E57" s="3">
        <v>151.99</v>
      </c>
      <c r="F57" s="2">
        <f t="shared" si="2"/>
        <v>-0.17999999999999972</v>
      </c>
      <c r="G57" s="2">
        <f t="shared" si="3"/>
        <v>-2.3100000000000023</v>
      </c>
      <c r="H57" s="5">
        <f t="shared" si="0"/>
        <v>0.20318725099601595</v>
      </c>
      <c r="I57" s="5">
        <f t="shared" si="1"/>
        <v>9.1633466135458169E-2</v>
      </c>
      <c r="J57" s="3">
        <v>-0.16000000000000014</v>
      </c>
      <c r="K57" s="3">
        <v>-1.2599999999999909</v>
      </c>
      <c r="L57" s="4"/>
      <c r="M57" s="4"/>
      <c r="N57" s="4"/>
      <c r="O57" s="4"/>
      <c r="P57" s="4"/>
      <c r="Q57" s="4"/>
      <c r="AA57" s="8"/>
      <c r="AB57" s="8"/>
      <c r="AC57" s="4"/>
      <c r="AD57" s="4"/>
      <c r="AE57" s="4"/>
    </row>
    <row r="58" spans="1:31" x14ac:dyDescent="0.25">
      <c r="B58" s="7"/>
      <c r="C58" s="1">
        <v>41985</v>
      </c>
      <c r="D58" s="2">
        <v>26.68</v>
      </c>
      <c r="E58" s="3">
        <v>154.30000000000001</v>
      </c>
      <c r="F58" s="2">
        <f t="shared" si="2"/>
        <v>-0.12999999999999901</v>
      </c>
      <c r="G58" s="2">
        <f t="shared" si="3"/>
        <v>-5.6499999999999773</v>
      </c>
      <c r="H58" s="5">
        <f t="shared" si="0"/>
        <v>0.2549800796812749</v>
      </c>
      <c r="I58" s="5">
        <f t="shared" si="1"/>
        <v>1.5936254980079681E-2</v>
      </c>
      <c r="J58" s="3">
        <v>-0.16000000000000014</v>
      </c>
      <c r="K58" s="3">
        <v>-1.2599999999999909</v>
      </c>
      <c r="L58" s="4"/>
      <c r="M58" s="4"/>
      <c r="N58" s="4"/>
      <c r="O58" s="4"/>
      <c r="P58" s="4"/>
      <c r="Q58" s="4"/>
      <c r="AA58" s="8"/>
      <c r="AB58" s="8"/>
      <c r="AC58" s="4"/>
      <c r="AD58" s="4"/>
      <c r="AE58" s="4"/>
    </row>
    <row r="59" spans="1:31" x14ac:dyDescent="0.25">
      <c r="B59" s="7"/>
      <c r="C59" s="1">
        <v>41984</v>
      </c>
      <c r="D59" s="2">
        <v>26.81</v>
      </c>
      <c r="E59" s="3">
        <v>159.94999999999999</v>
      </c>
      <c r="F59" s="2">
        <f t="shared" si="2"/>
        <v>0.11999999999999744</v>
      </c>
      <c r="G59" s="2">
        <f t="shared" si="3"/>
        <v>0.56000000000000227</v>
      </c>
      <c r="H59" s="5">
        <f t="shared" si="0"/>
        <v>0.62549800796812749</v>
      </c>
      <c r="I59" s="5">
        <f t="shared" si="1"/>
        <v>0.67330677290836649</v>
      </c>
      <c r="J59" s="3">
        <v>-0.14000000000000057</v>
      </c>
      <c r="K59" s="3">
        <v>-1.2400000000000091</v>
      </c>
      <c r="L59" s="4"/>
      <c r="M59" s="4"/>
      <c r="N59" s="4"/>
      <c r="O59" s="4"/>
      <c r="P59" s="4"/>
      <c r="Q59" s="4"/>
      <c r="AA59" s="8"/>
      <c r="AB59" s="8"/>
      <c r="AC59" s="4"/>
      <c r="AD59" s="4"/>
      <c r="AE59" s="4"/>
    </row>
    <row r="60" spans="1:31" x14ac:dyDescent="0.25">
      <c r="B60" s="7"/>
      <c r="C60" s="1">
        <v>41983</v>
      </c>
      <c r="D60" s="2">
        <v>26.69</v>
      </c>
      <c r="E60" s="3">
        <v>159.38999999999999</v>
      </c>
      <c r="F60" s="2">
        <f t="shared" si="2"/>
        <v>-0.53999999999999915</v>
      </c>
      <c r="G60" s="2">
        <f t="shared" si="3"/>
        <v>-2.460000000000008</v>
      </c>
      <c r="H60" s="5">
        <f t="shared" si="0"/>
        <v>3.5856573705179286E-2</v>
      </c>
      <c r="I60" s="5">
        <f t="shared" si="1"/>
        <v>7.9681274900398405E-2</v>
      </c>
      <c r="J60" s="3">
        <v>-0.14000000000000057</v>
      </c>
      <c r="K60" s="3">
        <v>-1.2400000000000091</v>
      </c>
      <c r="L60" s="4"/>
      <c r="M60" s="4"/>
      <c r="N60" s="4"/>
      <c r="O60" s="4"/>
      <c r="P60" s="4"/>
      <c r="Q60" s="4"/>
      <c r="AA60" s="8"/>
      <c r="AB60" s="8"/>
      <c r="AC60" s="4"/>
      <c r="AD60" s="4"/>
      <c r="AE60" s="4"/>
    </row>
    <row r="61" spans="1:31" x14ac:dyDescent="0.25">
      <c r="B61" s="7"/>
      <c r="C61" s="1">
        <v>41982</v>
      </c>
      <c r="D61" s="2">
        <v>27.23</v>
      </c>
      <c r="E61" s="3">
        <v>161.85</v>
      </c>
      <c r="F61" s="2">
        <f t="shared" si="2"/>
        <v>0.19000000000000128</v>
      </c>
      <c r="G61" s="2">
        <f t="shared" si="3"/>
        <v>1.1200000000000045</v>
      </c>
      <c r="H61" s="5">
        <f t="shared" si="0"/>
        <v>0.79282868525896411</v>
      </c>
      <c r="I61" s="5">
        <f t="shared" si="1"/>
        <v>0.7689243027888446</v>
      </c>
      <c r="J61" s="3">
        <v>-0.14000000000000057</v>
      </c>
      <c r="K61" s="3">
        <v>-1.2199999999999989</v>
      </c>
      <c r="L61" s="4"/>
      <c r="M61" s="4"/>
      <c r="N61" s="4"/>
      <c r="O61" s="4"/>
      <c r="P61" s="4"/>
      <c r="Q61" s="4"/>
      <c r="AA61" s="8"/>
      <c r="AB61" s="8"/>
      <c r="AC61" s="4"/>
      <c r="AD61" s="4"/>
      <c r="AE61" s="4"/>
    </row>
    <row r="62" spans="1:31" x14ac:dyDescent="0.25">
      <c r="B62" s="6"/>
      <c r="C62" s="1">
        <v>41981</v>
      </c>
      <c r="D62" s="2">
        <v>27.04</v>
      </c>
      <c r="E62" s="3">
        <v>160.72999999999999</v>
      </c>
      <c r="F62" s="2">
        <f t="shared" si="2"/>
        <v>-0.26999999999999957</v>
      </c>
      <c r="G62" s="2">
        <f t="shared" si="3"/>
        <v>-1.4000000000000057</v>
      </c>
      <c r="H62" s="5">
        <f t="shared" si="0"/>
        <v>0.12749003984063745</v>
      </c>
      <c r="I62" s="5">
        <f t="shared" si="1"/>
        <v>0.20717131474103587</v>
      </c>
      <c r="J62" s="3">
        <v>-0.14000000000000057</v>
      </c>
      <c r="K62" s="3">
        <v>-1.2000000000000171</v>
      </c>
      <c r="L62" s="4"/>
      <c r="M62" s="4"/>
      <c r="N62" s="4"/>
      <c r="O62" s="4"/>
      <c r="P62" s="4"/>
      <c r="Q62" s="4"/>
      <c r="AA62" s="8"/>
      <c r="AB62" s="8"/>
      <c r="AC62" s="4"/>
      <c r="AD62" s="4"/>
      <c r="AE62" s="4"/>
    </row>
    <row r="63" spans="1:31" x14ac:dyDescent="0.25">
      <c r="C63" s="1">
        <v>41978</v>
      </c>
      <c r="D63" s="2">
        <v>27.31</v>
      </c>
      <c r="E63" s="3">
        <v>162.13</v>
      </c>
      <c r="F63" s="2">
        <f t="shared" si="2"/>
        <v>-0.26999999999999957</v>
      </c>
      <c r="G63" s="2">
        <f t="shared" si="3"/>
        <v>-0.78000000000000114</v>
      </c>
      <c r="H63" s="5">
        <f t="shared" si="0"/>
        <v>0.12749003984063745</v>
      </c>
      <c r="I63" s="5">
        <f t="shared" si="1"/>
        <v>0.32270916334661354</v>
      </c>
      <c r="J63" s="3">
        <v>-0.12999999999999901</v>
      </c>
      <c r="K63" s="3">
        <v>-1.1999999999999886</v>
      </c>
      <c r="L63" s="4"/>
      <c r="M63" s="4"/>
      <c r="N63" s="4"/>
      <c r="O63" s="4"/>
      <c r="P63" s="4"/>
      <c r="Q63" s="4"/>
      <c r="AA63" s="8"/>
      <c r="AB63" s="8"/>
      <c r="AC63" s="4"/>
      <c r="AD63" s="4"/>
      <c r="AE63" s="4"/>
    </row>
    <row r="64" spans="1:31" x14ac:dyDescent="0.25">
      <c r="A64" s="4"/>
      <c r="B64" s="4"/>
      <c r="C64" s="1">
        <v>41977</v>
      </c>
      <c r="D64" s="2">
        <v>27.58</v>
      </c>
      <c r="E64" s="3">
        <v>162.91</v>
      </c>
      <c r="F64" s="2">
        <f t="shared" si="2"/>
        <v>-0.18000000000000327</v>
      </c>
      <c r="G64" s="2">
        <f t="shared" si="3"/>
        <v>-0.46000000000000796</v>
      </c>
      <c r="H64" s="5">
        <f t="shared" si="0"/>
        <v>0.18725099601593626</v>
      </c>
      <c r="I64" s="5">
        <f t="shared" si="1"/>
        <v>0.39043824701195218</v>
      </c>
      <c r="J64" s="3">
        <v>-0.12999999999999901</v>
      </c>
      <c r="K64" s="3">
        <v>-1.1999999999999886</v>
      </c>
      <c r="L64" s="4"/>
      <c r="M64" s="4"/>
      <c r="N64" s="4"/>
      <c r="O64" s="4"/>
      <c r="P64" s="4"/>
      <c r="Q64" s="4"/>
      <c r="AA64" s="8"/>
      <c r="AB64" s="8"/>
      <c r="AC64" s="4"/>
      <c r="AD64" s="4"/>
      <c r="AE64" s="4"/>
    </row>
    <row r="65" spans="1:31" x14ac:dyDescent="0.25">
      <c r="A65" s="4"/>
      <c r="B65" s="4"/>
      <c r="C65" s="1">
        <v>41976</v>
      </c>
      <c r="D65" s="2">
        <v>27.76</v>
      </c>
      <c r="E65" s="3">
        <v>163.37</v>
      </c>
      <c r="F65" s="2">
        <f t="shared" si="2"/>
        <v>0.13000000000000256</v>
      </c>
      <c r="G65" s="2">
        <f t="shared" si="3"/>
        <v>1.8300000000000125</v>
      </c>
      <c r="H65" s="5">
        <f t="shared" si="0"/>
        <v>0.66135458167330674</v>
      </c>
      <c r="I65" s="5">
        <f t="shared" si="1"/>
        <v>0.88047808764940239</v>
      </c>
      <c r="J65" s="3">
        <v>-0.12999999999999901</v>
      </c>
      <c r="K65" s="3">
        <v>-1.1899999999999977</v>
      </c>
      <c r="L65" s="4"/>
      <c r="M65" s="4"/>
      <c r="N65" s="4"/>
      <c r="O65" s="4"/>
      <c r="P65" s="4"/>
      <c r="Q65" s="4"/>
      <c r="AA65" s="8"/>
      <c r="AB65" s="8"/>
      <c r="AC65" s="4"/>
      <c r="AD65" s="4"/>
      <c r="AE65" s="4"/>
    </row>
    <row r="66" spans="1:31" x14ac:dyDescent="0.25">
      <c r="C66" s="1">
        <v>41975</v>
      </c>
      <c r="D66" s="2">
        <v>27.63</v>
      </c>
      <c r="E66" s="3">
        <v>161.54</v>
      </c>
      <c r="F66" s="2">
        <f t="shared" si="2"/>
        <v>0.23000000000000043</v>
      </c>
      <c r="G66" s="2">
        <f t="shared" si="3"/>
        <v>1.1299999999999955</v>
      </c>
      <c r="H66" s="5">
        <f t="shared" ref="H66:H129" si="4">DiscreteDist($F$2:$F$252,251,F66)</f>
        <v>0.8366533864541833</v>
      </c>
      <c r="I66" s="5">
        <f t="shared" ref="I66:I129" si="5">DiscreteDist($G$2:$G$252,251,G66)</f>
        <v>0.77689243027888444</v>
      </c>
      <c r="J66" s="3">
        <v>-0.12000000000000099</v>
      </c>
      <c r="K66" s="3">
        <v>-1.1400000000000148</v>
      </c>
      <c r="L66" s="4"/>
      <c r="M66" s="4"/>
      <c r="N66" s="4"/>
      <c r="O66" s="4"/>
      <c r="P66" s="4"/>
      <c r="Q66" s="4"/>
      <c r="AA66" s="8"/>
      <c r="AB66" s="8"/>
      <c r="AC66" s="4"/>
      <c r="AD66" s="4"/>
      <c r="AE66" s="4"/>
    </row>
    <row r="67" spans="1:31" x14ac:dyDescent="0.25">
      <c r="C67" s="1">
        <v>41974</v>
      </c>
      <c r="D67" s="2">
        <v>27.4</v>
      </c>
      <c r="E67" s="3">
        <v>160.41</v>
      </c>
      <c r="F67" s="2">
        <f t="shared" ref="F67:F130" si="6">D67-D68</f>
        <v>-5.0000000000000711E-2</v>
      </c>
      <c r="G67" s="2">
        <f t="shared" ref="G67:G130" si="7">E67-E68</f>
        <v>-0.62999999999999545</v>
      </c>
      <c r="H67" s="5">
        <f t="shared" si="4"/>
        <v>0.36653386454183268</v>
      </c>
      <c r="I67" s="5">
        <f t="shared" si="5"/>
        <v>0.35458167330677293</v>
      </c>
      <c r="J67" s="3">
        <v>-0.11999999999999744</v>
      </c>
      <c r="K67" s="3">
        <v>-1.0500000000000114</v>
      </c>
      <c r="L67" s="4"/>
      <c r="M67" s="4"/>
      <c r="N67" s="4"/>
      <c r="O67" s="4"/>
      <c r="P67" s="4"/>
      <c r="Q67" s="4"/>
      <c r="AA67" s="8"/>
      <c r="AB67" s="8"/>
      <c r="AC67" s="4"/>
      <c r="AD67" s="4"/>
      <c r="AE67" s="4"/>
    </row>
    <row r="68" spans="1:31" x14ac:dyDescent="0.25">
      <c r="C68" s="1">
        <v>41971</v>
      </c>
      <c r="D68" s="2">
        <v>27.45</v>
      </c>
      <c r="E68" s="3">
        <v>161.04</v>
      </c>
      <c r="F68" s="2">
        <f t="shared" si="6"/>
        <v>0.21000000000000085</v>
      </c>
      <c r="G68" s="2">
        <f t="shared" si="7"/>
        <v>0.21999999999999886</v>
      </c>
      <c r="H68" s="5">
        <f t="shared" si="4"/>
        <v>0.81673306772908372</v>
      </c>
      <c r="I68" s="5">
        <f t="shared" si="5"/>
        <v>0.57370517928286857</v>
      </c>
      <c r="J68" s="3">
        <v>-0.11000000000000298</v>
      </c>
      <c r="K68" s="3">
        <v>-1.0099999999999909</v>
      </c>
      <c r="L68" s="4"/>
      <c r="M68" s="4"/>
      <c r="N68" s="4"/>
      <c r="O68" s="4"/>
      <c r="P68" s="4"/>
      <c r="Q68" s="4"/>
      <c r="AA68" s="8"/>
      <c r="AB68" s="8"/>
      <c r="AC68" s="4"/>
      <c r="AD68" s="4"/>
      <c r="AE68" s="4"/>
    </row>
    <row r="69" spans="1:31" x14ac:dyDescent="0.25">
      <c r="B69" s="7"/>
      <c r="C69" s="1">
        <v>41969</v>
      </c>
      <c r="D69" s="2">
        <v>27.24</v>
      </c>
      <c r="E69" s="3">
        <v>160.82</v>
      </c>
      <c r="F69" s="2">
        <f t="shared" si="6"/>
        <v>0.14999999999999858</v>
      </c>
      <c r="G69" s="2">
        <f t="shared" si="7"/>
        <v>0.18999999999999773</v>
      </c>
      <c r="H69" s="5">
        <f t="shared" si="4"/>
        <v>0.70517928286852594</v>
      </c>
      <c r="I69" s="5">
        <f t="shared" si="5"/>
        <v>0.56972111553784865</v>
      </c>
      <c r="J69" s="3">
        <v>-0.11000000000000298</v>
      </c>
      <c r="K69" s="3">
        <v>-1.0099999999999909</v>
      </c>
      <c r="L69" s="4"/>
      <c r="M69" s="4"/>
      <c r="N69" s="4"/>
      <c r="O69" s="4"/>
      <c r="P69" s="4"/>
      <c r="Q69" s="4"/>
      <c r="AA69" s="8"/>
      <c r="AB69" s="8"/>
      <c r="AC69" s="4"/>
      <c r="AD69" s="4"/>
      <c r="AE69" s="4"/>
    </row>
    <row r="70" spans="1:31" x14ac:dyDescent="0.25">
      <c r="B70" s="7"/>
      <c r="C70" s="1">
        <v>41968</v>
      </c>
      <c r="D70" s="2">
        <v>27.09</v>
      </c>
      <c r="E70" s="3">
        <v>160.63</v>
      </c>
      <c r="F70" s="2">
        <f t="shared" si="6"/>
        <v>0.23999999999999844</v>
      </c>
      <c r="G70" s="2">
        <f t="shared" si="7"/>
        <v>-0.39000000000001478</v>
      </c>
      <c r="H70" s="5">
        <f t="shared" si="4"/>
        <v>0.84462151394422313</v>
      </c>
      <c r="I70" s="5">
        <f t="shared" si="5"/>
        <v>0.4302788844621514</v>
      </c>
      <c r="J70" s="3">
        <v>-0.10999999999999943</v>
      </c>
      <c r="K70" s="3">
        <v>-1.0099999999999909</v>
      </c>
      <c r="L70" s="4"/>
      <c r="M70" s="4"/>
      <c r="N70" s="4"/>
      <c r="O70" s="4"/>
      <c r="P70" s="4"/>
      <c r="Q70" s="4"/>
      <c r="AA70" s="8"/>
      <c r="AB70" s="8"/>
      <c r="AC70" s="4"/>
      <c r="AD70" s="4"/>
      <c r="AE70" s="4"/>
    </row>
    <row r="71" spans="1:31" x14ac:dyDescent="0.25">
      <c r="B71" s="7"/>
      <c r="C71" s="1">
        <v>41967</v>
      </c>
      <c r="D71" s="2">
        <v>26.85</v>
      </c>
      <c r="E71" s="3">
        <v>161.02000000000001</v>
      </c>
      <c r="F71" s="2">
        <f t="shared" si="6"/>
        <v>0.15000000000000213</v>
      </c>
      <c r="G71" s="2">
        <f t="shared" si="7"/>
        <v>1.2199999999999989</v>
      </c>
      <c r="H71" s="5">
        <f t="shared" si="4"/>
        <v>0.71713147410358569</v>
      </c>
      <c r="I71" s="5">
        <f t="shared" si="5"/>
        <v>0.78884462151394419</v>
      </c>
      <c r="J71" s="3">
        <v>-0.10000000000000142</v>
      </c>
      <c r="K71" s="3">
        <v>-0.96999999999999886</v>
      </c>
      <c r="L71" s="4"/>
      <c r="M71" s="4"/>
      <c r="N71" s="4"/>
      <c r="O71" s="4"/>
      <c r="P71" s="4"/>
      <c r="Q71" s="4"/>
      <c r="AA71" s="8"/>
      <c r="AB71" s="8"/>
      <c r="AC71" s="4"/>
      <c r="AD71" s="4"/>
      <c r="AE71" s="4"/>
    </row>
    <row r="72" spans="1:31" x14ac:dyDescent="0.25">
      <c r="B72" s="7"/>
      <c r="C72" s="1">
        <v>41964</v>
      </c>
      <c r="D72" s="2">
        <v>26.7</v>
      </c>
      <c r="E72" s="3">
        <v>159.80000000000001</v>
      </c>
      <c r="F72" s="2">
        <f t="shared" si="6"/>
        <v>7.0000000000000284E-2</v>
      </c>
      <c r="G72" s="2">
        <f t="shared" si="7"/>
        <v>0.28000000000000114</v>
      </c>
      <c r="H72" s="5">
        <f t="shared" si="4"/>
        <v>0.56972111553784865</v>
      </c>
      <c r="I72" s="5">
        <f t="shared" si="5"/>
        <v>0.58964143426294824</v>
      </c>
      <c r="J72" s="3">
        <v>-9.9999999999997868E-2</v>
      </c>
      <c r="K72" s="3">
        <v>-0.93999999999999773</v>
      </c>
      <c r="L72" s="4"/>
      <c r="M72" s="4"/>
      <c r="N72" s="4"/>
      <c r="O72" s="4"/>
      <c r="P72" s="4"/>
      <c r="Q72" s="4"/>
      <c r="AA72" s="8"/>
      <c r="AB72" s="8"/>
      <c r="AC72" s="4"/>
      <c r="AD72" s="4"/>
      <c r="AE72" s="4"/>
    </row>
    <row r="73" spans="1:31" x14ac:dyDescent="0.25">
      <c r="B73" s="7"/>
      <c r="C73" s="1">
        <v>41963</v>
      </c>
      <c r="D73" s="2">
        <v>26.63</v>
      </c>
      <c r="E73" s="3">
        <v>159.52000000000001</v>
      </c>
      <c r="F73" s="2">
        <f t="shared" si="6"/>
        <v>0.21999999999999886</v>
      </c>
      <c r="G73" s="2">
        <f t="shared" si="7"/>
        <v>-0.78999999999999204</v>
      </c>
      <c r="H73" s="5">
        <f t="shared" si="4"/>
        <v>0.82470119521912355</v>
      </c>
      <c r="I73" s="5">
        <f t="shared" si="5"/>
        <v>0.31872509960159362</v>
      </c>
      <c r="J73" s="3">
        <v>-9.9999999999997868E-2</v>
      </c>
      <c r="K73" s="3">
        <v>-0.93000000000000682</v>
      </c>
      <c r="L73" s="4"/>
      <c r="M73" s="4"/>
      <c r="N73" s="4"/>
      <c r="O73" s="4"/>
      <c r="P73" s="4"/>
      <c r="Q73" s="4"/>
      <c r="AA73" s="8"/>
      <c r="AB73" s="8"/>
      <c r="AC73" s="4"/>
      <c r="AD73" s="4"/>
      <c r="AE73" s="4"/>
    </row>
    <row r="74" spans="1:31" x14ac:dyDescent="0.25">
      <c r="B74" s="7"/>
      <c r="C74" s="1">
        <v>41962</v>
      </c>
      <c r="D74" s="2">
        <v>26.41</v>
      </c>
      <c r="E74" s="3">
        <v>160.31</v>
      </c>
      <c r="F74" s="2">
        <f t="shared" si="6"/>
        <v>-1.0000000000001563E-2</v>
      </c>
      <c r="G74" s="2">
        <f t="shared" si="7"/>
        <v>-0.44999999999998863</v>
      </c>
      <c r="H74" s="5">
        <f t="shared" si="4"/>
        <v>0.43824701195219123</v>
      </c>
      <c r="I74" s="5">
        <f t="shared" si="5"/>
        <v>0.40239043824701193</v>
      </c>
      <c r="J74" s="3">
        <v>-9.9999999999997868E-2</v>
      </c>
      <c r="K74" s="3">
        <v>-0.90000000000000568</v>
      </c>
      <c r="L74" s="4"/>
      <c r="M74" s="4"/>
      <c r="N74" s="4"/>
      <c r="O74" s="4"/>
      <c r="P74" s="4"/>
      <c r="Q74" s="4"/>
      <c r="AA74" s="8"/>
      <c r="AB74" s="8"/>
      <c r="AC74" s="4"/>
      <c r="AD74" s="4"/>
      <c r="AE74" s="4"/>
    </row>
    <row r="75" spans="1:31" x14ac:dyDescent="0.25">
      <c r="B75" s="7"/>
      <c r="C75" s="1">
        <v>41961</v>
      </c>
      <c r="D75" s="2">
        <v>26.42</v>
      </c>
      <c r="E75" s="3">
        <v>160.76</v>
      </c>
      <c r="F75" s="2">
        <f t="shared" si="6"/>
        <v>0.13000000000000256</v>
      </c>
      <c r="G75" s="2">
        <f t="shared" si="7"/>
        <v>-2.2600000000000193</v>
      </c>
      <c r="H75" s="5">
        <f t="shared" si="4"/>
        <v>0.66135458167330674</v>
      </c>
      <c r="I75" s="5">
        <f t="shared" si="5"/>
        <v>9.9601593625498003E-2</v>
      </c>
      <c r="J75" s="3">
        <v>-9.9999999999997868E-2</v>
      </c>
      <c r="K75" s="3">
        <v>-0.87999999999999545</v>
      </c>
      <c r="L75" s="4"/>
      <c r="M75" s="4"/>
      <c r="N75" s="4"/>
      <c r="O75" s="4"/>
      <c r="P75" s="4"/>
      <c r="Q75" s="4"/>
      <c r="AA75" s="8"/>
      <c r="AB75" s="8"/>
      <c r="AC75" s="4"/>
      <c r="AD75" s="4"/>
      <c r="AE75" s="4"/>
    </row>
    <row r="76" spans="1:31" x14ac:dyDescent="0.25">
      <c r="B76" s="7"/>
      <c r="C76" s="1">
        <v>41960</v>
      </c>
      <c r="D76" s="2">
        <v>26.29</v>
      </c>
      <c r="E76" s="3">
        <v>163.02000000000001</v>
      </c>
      <c r="F76" s="2">
        <f t="shared" si="6"/>
        <v>0.14999999999999858</v>
      </c>
      <c r="G76" s="2">
        <f t="shared" si="7"/>
        <v>0</v>
      </c>
      <c r="H76" s="5">
        <f t="shared" si="4"/>
        <v>0.70517928286852594</v>
      </c>
      <c r="I76" s="5">
        <f t="shared" si="5"/>
        <v>0.53386454183266929</v>
      </c>
      <c r="J76" s="3">
        <v>-9.9999999999997868E-2</v>
      </c>
      <c r="K76" s="3">
        <v>-0.82999999999998408</v>
      </c>
      <c r="L76" s="4"/>
      <c r="M76" s="4"/>
      <c r="N76" s="4"/>
      <c r="O76" s="4"/>
      <c r="P76" s="4"/>
      <c r="Q76" s="4"/>
      <c r="AA76" s="8"/>
      <c r="AB76" s="8"/>
      <c r="AC76" s="4"/>
      <c r="AD76" s="4"/>
      <c r="AE76" s="4"/>
    </row>
    <row r="77" spans="1:31" x14ac:dyDescent="0.25">
      <c r="B77" s="7"/>
      <c r="C77" s="1">
        <v>41957</v>
      </c>
      <c r="D77" s="2">
        <v>26.14</v>
      </c>
      <c r="E77" s="3">
        <v>163.02000000000001</v>
      </c>
      <c r="F77" s="2">
        <f t="shared" si="6"/>
        <v>0.64000000000000057</v>
      </c>
      <c r="G77" s="2">
        <f t="shared" si="7"/>
        <v>1.3600000000000136</v>
      </c>
      <c r="H77" s="5">
        <f t="shared" si="4"/>
        <v>0.97211155378486058</v>
      </c>
      <c r="I77" s="5">
        <f t="shared" si="5"/>
        <v>0.82470119521912355</v>
      </c>
      <c r="J77" s="3">
        <v>-8.9999999999999858E-2</v>
      </c>
      <c r="K77" s="3">
        <v>-0.81999999999999318</v>
      </c>
      <c r="L77" s="4"/>
      <c r="M77" s="4"/>
      <c r="N77" s="4"/>
      <c r="O77" s="4"/>
      <c r="P77" s="4"/>
      <c r="Q77" s="4"/>
      <c r="AA77" s="8"/>
      <c r="AB77" s="8"/>
      <c r="AC77" s="4"/>
      <c r="AD77" s="4"/>
      <c r="AE77" s="4"/>
    </row>
    <row r="78" spans="1:31" x14ac:dyDescent="0.25">
      <c r="B78" s="7"/>
      <c r="C78" s="1">
        <v>41956</v>
      </c>
      <c r="D78" s="2">
        <v>25.5</v>
      </c>
      <c r="E78" s="3">
        <v>161.66</v>
      </c>
      <c r="F78" s="2">
        <f t="shared" si="6"/>
        <v>0.55999999999999872</v>
      </c>
      <c r="G78" s="2">
        <f t="shared" si="7"/>
        <v>0.87000000000000455</v>
      </c>
      <c r="H78" s="5">
        <f t="shared" si="4"/>
        <v>0.96015936254980083</v>
      </c>
      <c r="I78" s="5">
        <f t="shared" si="5"/>
        <v>0.73705179282868527</v>
      </c>
      <c r="J78" s="3">
        <v>-8.9999999999999858E-2</v>
      </c>
      <c r="K78" s="3">
        <v>-0.81999999999999318</v>
      </c>
      <c r="L78" s="4"/>
      <c r="M78" s="4"/>
      <c r="N78" s="4"/>
      <c r="O78" s="4"/>
      <c r="P78" s="4"/>
      <c r="Q78" s="4"/>
      <c r="AA78" s="8"/>
      <c r="AB78" s="8"/>
      <c r="AC78" s="4"/>
      <c r="AD78" s="4"/>
      <c r="AE78" s="4"/>
    </row>
    <row r="79" spans="1:31" x14ac:dyDescent="0.25">
      <c r="C79" s="1">
        <v>41955</v>
      </c>
      <c r="D79" s="2">
        <v>24.94</v>
      </c>
      <c r="E79" s="3">
        <v>160.79</v>
      </c>
      <c r="F79" s="2">
        <f t="shared" si="6"/>
        <v>-3.9999999999999147E-2</v>
      </c>
      <c r="G79" s="2">
        <f t="shared" si="7"/>
        <v>-1.3700000000000045</v>
      </c>
      <c r="H79" s="5">
        <f t="shared" si="4"/>
        <v>0.38247011952191234</v>
      </c>
      <c r="I79" s="5">
        <f t="shared" si="5"/>
        <v>0.21115537848605578</v>
      </c>
      <c r="J79" s="3">
        <v>-8.9999999999999858E-2</v>
      </c>
      <c r="K79" s="3">
        <v>-0.81000000000000227</v>
      </c>
      <c r="L79" s="4"/>
      <c r="M79" s="4"/>
      <c r="N79" s="4"/>
      <c r="O79" s="4"/>
      <c r="P79" s="4"/>
      <c r="Q79" s="4"/>
      <c r="AA79" s="8"/>
      <c r="AB79" s="8"/>
      <c r="AC79" s="4"/>
      <c r="AD79" s="4"/>
      <c r="AE79" s="4"/>
    </row>
    <row r="80" spans="1:31" x14ac:dyDescent="0.25">
      <c r="C80" s="1">
        <v>41954</v>
      </c>
      <c r="D80" s="2">
        <v>24.98</v>
      </c>
      <c r="E80" s="3">
        <v>162.16</v>
      </c>
      <c r="F80" s="2">
        <f t="shared" si="6"/>
        <v>0</v>
      </c>
      <c r="G80" s="2">
        <f t="shared" si="7"/>
        <v>-0.18999999999999773</v>
      </c>
      <c r="H80" s="5">
        <f t="shared" si="4"/>
        <v>0.47011952191235062</v>
      </c>
      <c r="I80" s="5">
        <f t="shared" si="5"/>
        <v>0.47011952191235062</v>
      </c>
      <c r="J80" s="3">
        <v>-8.0000000000001847E-2</v>
      </c>
      <c r="K80" s="3">
        <v>-0.80000000000001137</v>
      </c>
      <c r="L80" s="4"/>
      <c r="M80" s="4"/>
      <c r="N80" s="4"/>
      <c r="O80" s="4"/>
      <c r="P80" s="4"/>
      <c r="Q80" s="4"/>
      <c r="AA80" s="8"/>
      <c r="AB80" s="8"/>
      <c r="AC80" s="4"/>
      <c r="AD80" s="4"/>
      <c r="AE80" s="4"/>
    </row>
    <row r="81" spans="2:31" x14ac:dyDescent="0.25">
      <c r="B81" s="7"/>
      <c r="C81" s="1">
        <v>41953</v>
      </c>
      <c r="D81" s="2">
        <v>24.98</v>
      </c>
      <c r="E81" s="3">
        <v>162.35</v>
      </c>
      <c r="F81" s="2">
        <f t="shared" si="6"/>
        <v>-0.17999999999999972</v>
      </c>
      <c r="G81" s="2">
        <f t="shared" si="7"/>
        <v>1.4099999999999966</v>
      </c>
      <c r="H81" s="5">
        <f t="shared" si="4"/>
        <v>0.20318725099601595</v>
      </c>
      <c r="I81" s="5">
        <f t="shared" si="5"/>
        <v>0.82868525896414347</v>
      </c>
      <c r="J81" s="3">
        <v>-7.9999999999998295E-2</v>
      </c>
      <c r="K81" s="3">
        <v>-0.78999999999999204</v>
      </c>
      <c r="L81" s="4"/>
      <c r="M81" s="4"/>
      <c r="N81" s="4"/>
      <c r="O81" s="4"/>
      <c r="P81" s="4"/>
      <c r="Q81" s="4"/>
      <c r="AA81" s="8"/>
      <c r="AB81" s="8"/>
      <c r="AC81" s="4"/>
      <c r="AD81" s="4"/>
      <c r="AE81" s="4"/>
    </row>
    <row r="82" spans="2:31" x14ac:dyDescent="0.25">
      <c r="B82" s="7"/>
      <c r="C82" s="1">
        <v>41950</v>
      </c>
      <c r="D82" s="2">
        <v>25.16</v>
      </c>
      <c r="E82" s="3">
        <v>160.94</v>
      </c>
      <c r="F82" s="2">
        <f t="shared" si="6"/>
        <v>7.0000000000000284E-2</v>
      </c>
      <c r="G82" s="2">
        <f t="shared" si="7"/>
        <v>0.59999999999999432</v>
      </c>
      <c r="H82" s="5">
        <f t="shared" si="4"/>
        <v>0.56972111553784865</v>
      </c>
      <c r="I82" s="5">
        <f t="shared" si="5"/>
        <v>0.6972111553784861</v>
      </c>
      <c r="J82" s="3">
        <v>-7.9999999999998295E-2</v>
      </c>
      <c r="K82" s="3">
        <v>-0.78000000000000114</v>
      </c>
      <c r="L82" s="4"/>
      <c r="M82" s="4"/>
      <c r="N82" s="4"/>
      <c r="O82" s="4"/>
      <c r="P82" s="4"/>
      <c r="Q82" s="4"/>
      <c r="AA82" s="8"/>
      <c r="AB82" s="8"/>
      <c r="AC82" s="4"/>
      <c r="AD82" s="4"/>
      <c r="AE82" s="4"/>
    </row>
    <row r="83" spans="2:31" x14ac:dyDescent="0.25">
      <c r="B83" s="7"/>
      <c r="C83" s="1">
        <v>41949</v>
      </c>
      <c r="D83" s="2">
        <v>25.09</v>
      </c>
      <c r="E83" s="3">
        <v>160.34</v>
      </c>
      <c r="F83" s="2">
        <f t="shared" si="6"/>
        <v>0.10999999999999943</v>
      </c>
      <c r="G83" s="2">
        <f t="shared" si="7"/>
        <v>0.74000000000000909</v>
      </c>
      <c r="H83" s="5">
        <f t="shared" si="4"/>
        <v>0.61354581673306774</v>
      </c>
      <c r="I83" s="5">
        <f t="shared" si="5"/>
        <v>0.7211155378486056</v>
      </c>
      <c r="J83" s="3">
        <v>-7.0000000000000284E-2</v>
      </c>
      <c r="K83" s="3">
        <v>-0.77000000000001023</v>
      </c>
      <c r="L83" s="4"/>
      <c r="M83" s="4"/>
      <c r="N83" s="4"/>
      <c r="O83" s="4"/>
      <c r="P83" s="4"/>
      <c r="Q83" s="4"/>
      <c r="AA83" s="8"/>
      <c r="AB83" s="8"/>
      <c r="AC83" s="4"/>
      <c r="AD83" s="4"/>
      <c r="AE83" s="4"/>
    </row>
    <row r="84" spans="2:31" x14ac:dyDescent="0.25">
      <c r="B84" s="7"/>
      <c r="C84" s="1">
        <v>41948</v>
      </c>
      <c r="D84" s="2">
        <v>24.98</v>
      </c>
      <c r="E84" s="3">
        <v>159.6</v>
      </c>
      <c r="F84" s="2">
        <f t="shared" si="6"/>
        <v>0.26999999999999957</v>
      </c>
      <c r="G84" s="2">
        <f t="shared" si="7"/>
        <v>-0.81999999999999318</v>
      </c>
      <c r="H84" s="5">
        <f t="shared" si="4"/>
        <v>0.87250996015936255</v>
      </c>
      <c r="I84" s="5">
        <f t="shared" si="5"/>
        <v>0.30677290836653387</v>
      </c>
      <c r="J84" s="3">
        <v>-7.0000000000000284E-2</v>
      </c>
      <c r="K84" s="3">
        <v>-0.74000000000000909</v>
      </c>
      <c r="L84" s="4"/>
      <c r="M84" s="4"/>
      <c r="N84" s="4"/>
      <c r="O84" s="4"/>
      <c r="P84" s="4"/>
      <c r="Q84" s="4"/>
      <c r="AA84" s="8"/>
      <c r="AB84" s="8"/>
      <c r="AC84" s="4"/>
      <c r="AD84" s="4"/>
      <c r="AE84" s="4"/>
    </row>
    <row r="85" spans="2:31" x14ac:dyDescent="0.25">
      <c r="B85" s="7"/>
      <c r="C85" s="1">
        <v>41947</v>
      </c>
      <c r="D85" s="2">
        <v>24.71</v>
      </c>
      <c r="E85" s="3">
        <v>160.41999999999999</v>
      </c>
      <c r="F85" s="2">
        <f t="shared" si="6"/>
        <v>0.30000000000000071</v>
      </c>
      <c r="G85" s="2">
        <f t="shared" si="7"/>
        <v>-1.6900000000000261</v>
      </c>
      <c r="H85" s="5">
        <f t="shared" si="4"/>
        <v>0.89641434262948205</v>
      </c>
      <c r="I85" s="5">
        <f t="shared" si="5"/>
        <v>0.15936254980079681</v>
      </c>
      <c r="J85" s="3">
        <v>-7.0000000000000284E-2</v>
      </c>
      <c r="K85" s="3">
        <v>-0.72999999999998977</v>
      </c>
      <c r="L85" s="4"/>
      <c r="M85" s="4"/>
      <c r="N85" s="4"/>
      <c r="O85" s="4"/>
      <c r="P85" s="4"/>
      <c r="Q85" s="4"/>
      <c r="AA85" s="8"/>
      <c r="AB85" s="8"/>
      <c r="AC85" s="4"/>
      <c r="AD85" s="4"/>
      <c r="AE85" s="4"/>
    </row>
    <row r="86" spans="2:31" x14ac:dyDescent="0.25">
      <c r="B86" s="7"/>
      <c r="C86" s="1">
        <v>41946</v>
      </c>
      <c r="D86" s="2">
        <v>24.41</v>
      </c>
      <c r="E86" s="3">
        <v>162.11000000000001</v>
      </c>
      <c r="F86" s="2">
        <f t="shared" si="6"/>
        <v>0.10999999999999943</v>
      </c>
      <c r="G86" s="2">
        <f t="shared" si="7"/>
        <v>-3.9999999999992042E-2</v>
      </c>
      <c r="H86" s="5">
        <f t="shared" si="4"/>
        <v>0.61354581673306774</v>
      </c>
      <c r="I86" s="5">
        <f t="shared" si="5"/>
        <v>0.52589641434262946</v>
      </c>
      <c r="J86" s="3">
        <v>-7.0000000000000284E-2</v>
      </c>
      <c r="K86" s="3">
        <v>-0.72999999999998977</v>
      </c>
      <c r="L86" s="4"/>
      <c r="M86" s="4"/>
      <c r="N86" s="4"/>
      <c r="O86" s="4"/>
      <c r="P86" s="4"/>
      <c r="Q86" s="4"/>
      <c r="AA86" s="8"/>
      <c r="AB86" s="8"/>
      <c r="AC86" s="4"/>
      <c r="AD86" s="4"/>
      <c r="AE86" s="4"/>
    </row>
    <row r="87" spans="2:31" x14ac:dyDescent="0.25">
      <c r="B87" s="7"/>
      <c r="C87" s="1">
        <v>41943</v>
      </c>
      <c r="D87" s="2">
        <v>24.3</v>
      </c>
      <c r="E87" s="3">
        <v>162.15</v>
      </c>
      <c r="F87" s="2">
        <f t="shared" si="6"/>
        <v>0.37999999999999901</v>
      </c>
      <c r="G87" s="2">
        <f t="shared" si="7"/>
        <v>5.0000000000011369E-2</v>
      </c>
      <c r="H87" s="5">
        <f t="shared" si="4"/>
        <v>0.92430278884462147</v>
      </c>
      <c r="I87" s="5">
        <f t="shared" si="5"/>
        <v>0.54581673306772904</v>
      </c>
      <c r="J87" s="3">
        <v>-6.9999999999996732E-2</v>
      </c>
      <c r="K87" s="3">
        <v>-0.72999999999998977</v>
      </c>
      <c r="L87" s="4"/>
      <c r="M87" s="4"/>
      <c r="N87" s="4"/>
      <c r="O87" s="4"/>
      <c r="P87" s="4"/>
      <c r="Q87" s="4"/>
      <c r="AA87" s="8"/>
      <c r="AB87" s="8"/>
      <c r="AC87" s="4"/>
      <c r="AD87" s="4"/>
      <c r="AE87" s="4"/>
    </row>
    <row r="88" spans="2:31" x14ac:dyDescent="0.25">
      <c r="B88" s="7"/>
      <c r="C88" s="1">
        <v>41942</v>
      </c>
      <c r="D88" s="2">
        <v>23.92</v>
      </c>
      <c r="E88" s="3">
        <v>162.1</v>
      </c>
      <c r="F88" s="2">
        <f t="shared" si="6"/>
        <v>-1.9999999999999574E-2</v>
      </c>
      <c r="G88" s="2">
        <f t="shared" si="7"/>
        <v>0.87999999999999545</v>
      </c>
      <c r="H88" s="5">
        <f t="shared" si="4"/>
        <v>0.43426294820717132</v>
      </c>
      <c r="I88" s="5">
        <f t="shared" si="5"/>
        <v>0.74103585657370519</v>
      </c>
      <c r="J88" s="3">
        <v>-6.0000000000002274E-2</v>
      </c>
      <c r="K88" s="3">
        <v>-0.70000000000001705</v>
      </c>
      <c r="L88" s="4"/>
      <c r="M88" s="4"/>
      <c r="N88" s="4"/>
      <c r="O88" s="4"/>
      <c r="P88" s="4"/>
      <c r="Q88" s="4"/>
      <c r="AA88" s="8"/>
      <c r="AB88" s="8"/>
      <c r="AC88" s="4"/>
      <c r="AD88" s="4"/>
      <c r="AE88" s="4"/>
    </row>
    <row r="89" spans="2:31" x14ac:dyDescent="0.25">
      <c r="B89" s="7"/>
      <c r="C89" s="1">
        <v>41941</v>
      </c>
      <c r="D89" s="2">
        <v>23.94</v>
      </c>
      <c r="E89" s="3">
        <v>161.22</v>
      </c>
      <c r="F89" s="2">
        <f t="shared" si="6"/>
        <v>3.0000000000001137E-2</v>
      </c>
      <c r="G89" s="2">
        <f t="shared" si="7"/>
        <v>-0.14000000000001478</v>
      </c>
      <c r="H89" s="5">
        <f t="shared" si="4"/>
        <v>0.50597609561752988</v>
      </c>
      <c r="I89" s="5">
        <f t="shared" si="5"/>
        <v>0.49003984063745021</v>
      </c>
      <c r="J89" s="3">
        <v>-5.9999999999998721E-2</v>
      </c>
      <c r="K89" s="3">
        <v>-0.68999999999999773</v>
      </c>
      <c r="L89" s="4"/>
      <c r="M89" s="4"/>
      <c r="N89" s="4"/>
      <c r="O89" s="4"/>
      <c r="P89" s="4"/>
      <c r="Q89" s="4"/>
      <c r="AA89" s="8"/>
      <c r="AB89" s="8"/>
      <c r="AC89" s="4"/>
      <c r="AD89" s="4"/>
      <c r="AE89" s="4"/>
    </row>
    <row r="90" spans="2:31" x14ac:dyDescent="0.25">
      <c r="B90" s="7"/>
      <c r="C90" s="1">
        <v>41940</v>
      </c>
      <c r="D90" s="2">
        <v>23.91</v>
      </c>
      <c r="E90" s="3">
        <v>161.36000000000001</v>
      </c>
      <c r="F90" s="2">
        <f t="shared" si="6"/>
        <v>0.30999999999999872</v>
      </c>
      <c r="G90" s="2">
        <f t="shared" si="7"/>
        <v>1.710000000000008</v>
      </c>
      <c r="H90" s="5">
        <f t="shared" si="4"/>
        <v>0.9083665338645418</v>
      </c>
      <c r="I90" s="5">
        <f t="shared" si="5"/>
        <v>0.8605577689243028</v>
      </c>
      <c r="J90" s="3">
        <v>-5.0000000000000711E-2</v>
      </c>
      <c r="K90" s="3">
        <v>-0.62999999999999545</v>
      </c>
      <c r="L90" s="4"/>
      <c r="M90" s="4"/>
      <c r="N90" s="4"/>
      <c r="O90" s="4"/>
      <c r="P90" s="4"/>
      <c r="Q90" s="4"/>
      <c r="AA90" s="8"/>
      <c r="AB90" s="8"/>
      <c r="AC90" s="4"/>
      <c r="AD90" s="4"/>
      <c r="AE90" s="4"/>
    </row>
    <row r="91" spans="2:31" x14ac:dyDescent="0.25">
      <c r="C91" s="1">
        <v>41939</v>
      </c>
      <c r="D91" s="2">
        <v>23.6</v>
      </c>
      <c r="E91" s="3">
        <v>159.65</v>
      </c>
      <c r="F91" s="2">
        <f t="shared" si="6"/>
        <v>-1.9999999999999574E-2</v>
      </c>
      <c r="G91" s="2">
        <f t="shared" si="7"/>
        <v>-0.21000000000000796</v>
      </c>
      <c r="H91" s="5">
        <f t="shared" si="4"/>
        <v>0.43426294820717132</v>
      </c>
      <c r="I91" s="5">
        <f t="shared" si="5"/>
        <v>0.46215139442231074</v>
      </c>
      <c r="J91" s="3">
        <v>-5.0000000000000711E-2</v>
      </c>
      <c r="K91" s="3">
        <v>-0.61000000000001364</v>
      </c>
      <c r="L91" s="4"/>
      <c r="M91" s="4"/>
      <c r="N91" s="4"/>
      <c r="O91" s="4"/>
      <c r="P91" s="4"/>
      <c r="Q91" s="4"/>
      <c r="AA91" s="8"/>
      <c r="AB91" s="8"/>
      <c r="AC91" s="4"/>
      <c r="AD91" s="4"/>
      <c r="AE91" s="4"/>
    </row>
    <row r="92" spans="2:31" x14ac:dyDescent="0.25">
      <c r="C92" s="1">
        <v>41936</v>
      </c>
      <c r="D92" s="2">
        <v>23.62</v>
      </c>
      <c r="E92" s="3">
        <v>159.86000000000001</v>
      </c>
      <c r="F92" s="2">
        <f t="shared" si="6"/>
        <v>0.21000000000000085</v>
      </c>
      <c r="G92" s="2">
        <f t="shared" si="7"/>
        <v>-9.9999999999994316E-2</v>
      </c>
      <c r="H92" s="5">
        <f t="shared" si="4"/>
        <v>0.81673306772908372</v>
      </c>
      <c r="I92" s="5">
        <f t="shared" si="5"/>
        <v>0.50597609561752988</v>
      </c>
      <c r="J92" s="3">
        <v>-5.0000000000000711E-2</v>
      </c>
      <c r="K92" s="3">
        <v>-0.58000000000001251</v>
      </c>
      <c r="L92" s="4"/>
      <c r="M92" s="4"/>
      <c r="N92" s="4"/>
      <c r="O92" s="4"/>
      <c r="P92" s="4"/>
      <c r="Q92" s="4"/>
      <c r="AA92" s="8"/>
      <c r="AB92" s="8"/>
      <c r="AC92" s="4"/>
      <c r="AD92" s="4"/>
      <c r="AE92" s="4"/>
    </row>
    <row r="93" spans="2:31" x14ac:dyDescent="0.25">
      <c r="C93" s="1">
        <v>41935</v>
      </c>
      <c r="D93" s="2">
        <v>23.41</v>
      </c>
      <c r="E93" s="3">
        <v>159.96</v>
      </c>
      <c r="F93" s="2">
        <f t="shared" si="6"/>
        <v>0.30999999999999872</v>
      </c>
      <c r="G93" s="2">
        <f t="shared" si="7"/>
        <v>0.39000000000001478</v>
      </c>
      <c r="H93" s="5">
        <f t="shared" si="4"/>
        <v>0.9083665338645418</v>
      </c>
      <c r="I93" s="5">
        <f t="shared" si="5"/>
        <v>0.63346613545816732</v>
      </c>
      <c r="J93" s="3">
        <v>-5.0000000000000711E-2</v>
      </c>
      <c r="K93" s="3">
        <v>-0.56000000000000227</v>
      </c>
      <c r="L93" s="4"/>
      <c r="M93" s="4"/>
      <c r="N93" s="4"/>
      <c r="O93" s="4"/>
      <c r="P93" s="4"/>
      <c r="Q93" s="4"/>
      <c r="AA93" s="8"/>
      <c r="AB93" s="8"/>
      <c r="AC93" s="4"/>
      <c r="AD93" s="4"/>
      <c r="AE93" s="4"/>
    </row>
    <row r="94" spans="2:31" x14ac:dyDescent="0.25">
      <c r="C94" s="1">
        <v>41934</v>
      </c>
      <c r="D94" s="2">
        <v>23.1</v>
      </c>
      <c r="E94" s="3">
        <v>159.57</v>
      </c>
      <c r="F94" s="2">
        <f t="shared" si="6"/>
        <v>-0.25</v>
      </c>
      <c r="G94" s="2">
        <f t="shared" si="7"/>
        <v>-1.4200000000000159</v>
      </c>
      <c r="H94" s="5">
        <f t="shared" si="4"/>
        <v>0.13545816733067728</v>
      </c>
      <c r="I94" s="5">
        <f t="shared" si="5"/>
        <v>0.20318725099601595</v>
      </c>
      <c r="J94" s="3">
        <v>-3.9999999999999147E-2</v>
      </c>
      <c r="K94" s="3">
        <v>-0.53000000000000114</v>
      </c>
      <c r="L94" s="4"/>
      <c r="M94" s="4"/>
      <c r="N94" s="4"/>
      <c r="O94" s="4"/>
      <c r="P94" s="4"/>
      <c r="Q94" s="4"/>
      <c r="AA94" s="8"/>
      <c r="AB94" s="8"/>
      <c r="AC94" s="4"/>
      <c r="AD94" s="4"/>
      <c r="AE94" s="4"/>
    </row>
    <row r="95" spans="2:31" x14ac:dyDescent="0.25">
      <c r="C95" s="1">
        <v>41933</v>
      </c>
      <c r="D95" s="2">
        <v>23.35</v>
      </c>
      <c r="E95" s="3">
        <v>160.99</v>
      </c>
      <c r="F95" s="2">
        <f t="shared" si="6"/>
        <v>0.58000000000000185</v>
      </c>
      <c r="G95" s="2">
        <f t="shared" si="7"/>
        <v>-5.789999999999992</v>
      </c>
      <c r="H95" s="5">
        <f t="shared" si="4"/>
        <v>0.96812749003984067</v>
      </c>
      <c r="I95" s="5">
        <f t="shared" si="5"/>
        <v>1.1952191235059761E-2</v>
      </c>
      <c r="J95" s="3">
        <v>-3.9999999999999147E-2</v>
      </c>
      <c r="K95" s="3">
        <v>-0.49000000000000909</v>
      </c>
      <c r="L95" s="4"/>
      <c r="M95" s="4"/>
      <c r="N95" s="4"/>
      <c r="O95" s="4"/>
      <c r="P95" s="4"/>
      <c r="Q95" s="4"/>
      <c r="AA95" s="8"/>
      <c r="AB95" s="8"/>
      <c r="AC95" s="4"/>
      <c r="AD95" s="4"/>
      <c r="AE95" s="4"/>
    </row>
    <row r="96" spans="2:31" x14ac:dyDescent="0.25">
      <c r="C96" s="1">
        <v>41932</v>
      </c>
      <c r="D96" s="2">
        <v>22.77</v>
      </c>
      <c r="E96" s="3">
        <v>166.78</v>
      </c>
      <c r="F96" s="2">
        <f t="shared" si="6"/>
        <v>-0.32000000000000028</v>
      </c>
      <c r="G96" s="2">
        <f t="shared" si="7"/>
        <v>-12.77000000000001</v>
      </c>
      <c r="H96" s="5">
        <f t="shared" si="4"/>
        <v>9.9601593625498003E-2</v>
      </c>
      <c r="I96" s="5">
        <f t="shared" si="5"/>
        <v>3.9840637450199202E-3</v>
      </c>
      <c r="J96" s="3">
        <v>-3.9999999999999147E-2</v>
      </c>
      <c r="K96" s="3">
        <v>-0.48000000000001819</v>
      </c>
      <c r="L96" s="4"/>
      <c r="M96" s="4"/>
      <c r="N96" s="4"/>
      <c r="O96" s="4"/>
      <c r="P96" s="4"/>
      <c r="Q96" s="4"/>
      <c r="AA96" s="8"/>
      <c r="AB96" s="8"/>
      <c r="AC96" s="4"/>
      <c r="AD96" s="4"/>
      <c r="AE96" s="4"/>
    </row>
    <row r="97" spans="2:31" x14ac:dyDescent="0.25">
      <c r="C97" s="1">
        <v>41929</v>
      </c>
      <c r="D97" s="2">
        <v>23.09</v>
      </c>
      <c r="E97" s="3">
        <v>179.55</v>
      </c>
      <c r="F97" s="2">
        <f t="shared" si="6"/>
        <v>0.42999999999999972</v>
      </c>
      <c r="G97" s="2">
        <f t="shared" si="7"/>
        <v>2.1800000000000068</v>
      </c>
      <c r="H97" s="5">
        <f t="shared" si="4"/>
        <v>0.94422310756972117</v>
      </c>
      <c r="I97" s="5">
        <f t="shared" si="5"/>
        <v>0.91235059760956172</v>
      </c>
      <c r="J97" s="3">
        <v>-3.9999999999999147E-2</v>
      </c>
      <c r="K97" s="3">
        <v>-0.47999999999998977</v>
      </c>
      <c r="L97" s="4"/>
      <c r="M97" s="4"/>
      <c r="N97" s="4"/>
      <c r="O97" s="4"/>
      <c r="P97" s="4"/>
      <c r="Q97" s="4"/>
      <c r="AA97" s="8"/>
      <c r="AB97" s="8"/>
      <c r="AC97" s="4"/>
      <c r="AD97" s="4"/>
      <c r="AE97" s="4"/>
    </row>
    <row r="98" spans="2:31" x14ac:dyDescent="0.25">
      <c r="C98" s="1">
        <v>41928</v>
      </c>
      <c r="D98" s="2">
        <v>22.66</v>
      </c>
      <c r="E98" s="3">
        <v>177.37</v>
      </c>
      <c r="F98" s="2">
        <f t="shared" si="6"/>
        <v>-0.14000000000000057</v>
      </c>
      <c r="G98" s="2">
        <f t="shared" si="7"/>
        <v>-1.8899999999999864</v>
      </c>
      <c r="H98" s="5">
        <f t="shared" si="4"/>
        <v>0.24302788844621515</v>
      </c>
      <c r="I98" s="5">
        <f t="shared" si="5"/>
        <v>0.15139442231075698</v>
      </c>
      <c r="J98" s="3">
        <v>-3.0000000000001137E-2</v>
      </c>
      <c r="K98" s="3">
        <v>-0.47999999999998977</v>
      </c>
      <c r="L98" s="4"/>
      <c r="M98" s="4"/>
      <c r="N98" s="4"/>
      <c r="O98" s="4"/>
      <c r="P98" s="4"/>
      <c r="Q98" s="4"/>
      <c r="AA98" s="8"/>
      <c r="AB98" s="8"/>
      <c r="AC98" s="4"/>
      <c r="AD98" s="4"/>
      <c r="AE98" s="4"/>
    </row>
    <row r="99" spans="2:31" x14ac:dyDescent="0.25">
      <c r="C99" s="1">
        <v>41927</v>
      </c>
      <c r="D99" s="2">
        <v>22.8</v>
      </c>
      <c r="E99" s="3">
        <v>179.26</v>
      </c>
      <c r="F99" s="2">
        <f t="shared" si="6"/>
        <v>-9.9999999999997868E-2</v>
      </c>
      <c r="G99" s="2">
        <f t="shared" si="7"/>
        <v>-2.0200000000000102</v>
      </c>
      <c r="H99" s="5">
        <f t="shared" si="4"/>
        <v>0.29880478087649404</v>
      </c>
      <c r="I99" s="5">
        <f t="shared" si="5"/>
        <v>0.13545816733067728</v>
      </c>
      <c r="J99" s="3">
        <v>-3.0000000000001137E-2</v>
      </c>
      <c r="K99" s="3">
        <v>-0.46000000000000796</v>
      </c>
      <c r="L99" s="4"/>
      <c r="M99" s="4"/>
      <c r="N99" s="4"/>
      <c r="O99" s="4"/>
      <c r="P99" s="4"/>
      <c r="Q99" s="4"/>
      <c r="AA99" s="8"/>
      <c r="AB99" s="8"/>
      <c r="AC99" s="4"/>
      <c r="AD99" s="4"/>
      <c r="AE99" s="4"/>
    </row>
    <row r="100" spans="2:31" x14ac:dyDescent="0.25">
      <c r="B100" s="4"/>
      <c r="C100" s="1">
        <v>41926</v>
      </c>
      <c r="D100" s="2">
        <v>22.9</v>
      </c>
      <c r="E100" s="3">
        <v>181.28</v>
      </c>
      <c r="F100" s="2">
        <f t="shared" si="6"/>
        <v>0.12999999999999901</v>
      </c>
      <c r="G100" s="2">
        <f t="shared" si="7"/>
        <v>0.28000000000000114</v>
      </c>
      <c r="H100" s="5">
        <f t="shared" si="4"/>
        <v>0.65338645418326691</v>
      </c>
      <c r="I100" s="5">
        <f t="shared" si="5"/>
        <v>0.58964143426294824</v>
      </c>
      <c r="J100" s="3">
        <v>-2.9999999999997584E-2</v>
      </c>
      <c r="K100" s="3">
        <v>-0.45000000000001705</v>
      </c>
      <c r="L100" s="4"/>
      <c r="M100" s="4"/>
      <c r="N100" s="4"/>
      <c r="O100" s="4"/>
      <c r="P100" s="4"/>
      <c r="Q100" s="4"/>
      <c r="AA100" s="8"/>
      <c r="AB100" s="8"/>
      <c r="AC100" s="4"/>
      <c r="AD100" s="4"/>
      <c r="AE100" s="4"/>
    </row>
    <row r="101" spans="2:31" x14ac:dyDescent="0.25">
      <c r="C101" s="1">
        <v>41925</v>
      </c>
      <c r="D101" s="2">
        <v>22.77</v>
      </c>
      <c r="E101" s="3">
        <v>181</v>
      </c>
      <c r="F101" s="2">
        <f t="shared" si="6"/>
        <v>-0.41000000000000014</v>
      </c>
      <c r="G101" s="2">
        <f t="shared" si="7"/>
        <v>-2.3799999999999955</v>
      </c>
      <c r="H101" s="5">
        <f t="shared" si="4"/>
        <v>5.9760956175298807E-2</v>
      </c>
      <c r="I101" s="5">
        <f t="shared" si="5"/>
        <v>8.3665338645418322E-2</v>
      </c>
      <c r="J101" s="3">
        <v>-2.9999999999997584E-2</v>
      </c>
      <c r="K101" s="3">
        <v>-0.44999999999998863</v>
      </c>
      <c r="L101" s="4"/>
      <c r="M101" s="4"/>
      <c r="N101" s="4"/>
      <c r="O101" s="4"/>
      <c r="P101" s="4"/>
      <c r="Q101" s="4"/>
      <c r="AA101" s="8"/>
      <c r="AB101" s="8"/>
      <c r="AC101" s="4"/>
      <c r="AD101" s="4"/>
      <c r="AE101" s="4"/>
    </row>
    <row r="102" spans="2:31" x14ac:dyDescent="0.25">
      <c r="C102" s="1">
        <v>41922</v>
      </c>
      <c r="D102" s="2">
        <v>23.18</v>
      </c>
      <c r="E102" s="3">
        <v>183.38</v>
      </c>
      <c r="F102" s="2">
        <f t="shared" si="6"/>
        <v>-0.83999999999999986</v>
      </c>
      <c r="G102" s="2">
        <f t="shared" si="7"/>
        <v>-0.48000000000001819</v>
      </c>
      <c r="H102" s="5">
        <f t="shared" si="4"/>
        <v>1.1952191235059761E-2</v>
      </c>
      <c r="I102" s="5">
        <f t="shared" si="5"/>
        <v>0.37848605577689243</v>
      </c>
      <c r="J102" s="3">
        <v>-2.0000000000003126E-2</v>
      </c>
      <c r="K102" s="3">
        <v>-0.44999999999998863</v>
      </c>
      <c r="L102" s="4"/>
      <c r="M102" s="4"/>
      <c r="N102" s="4"/>
      <c r="O102" s="4"/>
      <c r="P102" s="4"/>
      <c r="Q102" s="4"/>
      <c r="AA102" s="8"/>
      <c r="AB102" s="8"/>
      <c r="AC102" s="4"/>
      <c r="AD102" s="4"/>
      <c r="AE102" s="4"/>
    </row>
    <row r="103" spans="2:31" x14ac:dyDescent="0.25">
      <c r="C103" s="1">
        <v>41921</v>
      </c>
      <c r="D103" s="2">
        <v>24.02</v>
      </c>
      <c r="E103" s="3">
        <v>183.86</v>
      </c>
      <c r="F103" s="2">
        <f t="shared" si="6"/>
        <v>-0.46999999999999886</v>
      </c>
      <c r="G103" s="2">
        <f t="shared" si="7"/>
        <v>-2.8999999999999773</v>
      </c>
      <c r="H103" s="5">
        <f t="shared" si="4"/>
        <v>4.3824701195219126E-2</v>
      </c>
      <c r="I103" s="5">
        <f t="shared" si="5"/>
        <v>3.9840637450199202E-2</v>
      </c>
      <c r="J103" s="3">
        <v>-2.0000000000003126E-2</v>
      </c>
      <c r="K103" s="3">
        <v>-0.43000000000000682</v>
      </c>
      <c r="L103" s="4"/>
      <c r="M103" s="4"/>
      <c r="N103" s="4"/>
      <c r="O103" s="4"/>
      <c r="P103" s="4"/>
      <c r="Q103" s="4"/>
      <c r="AA103" s="8"/>
      <c r="AB103" s="8"/>
      <c r="AC103" s="4"/>
      <c r="AD103" s="4"/>
      <c r="AE103" s="4"/>
    </row>
    <row r="104" spans="2:31" x14ac:dyDescent="0.25">
      <c r="C104" s="1">
        <v>41920</v>
      </c>
      <c r="D104" s="2">
        <v>24.49</v>
      </c>
      <c r="E104" s="3">
        <v>186.76</v>
      </c>
      <c r="F104" s="2">
        <f t="shared" si="6"/>
        <v>1.9999999999999574E-2</v>
      </c>
      <c r="G104" s="2">
        <f t="shared" si="7"/>
        <v>3.5999999999999943</v>
      </c>
      <c r="H104" s="5">
        <f t="shared" si="4"/>
        <v>0.49402390438247012</v>
      </c>
      <c r="I104" s="5">
        <f t="shared" si="5"/>
        <v>0.9760956175298805</v>
      </c>
      <c r="J104" s="3">
        <v>-2.0000000000003126E-2</v>
      </c>
      <c r="K104" s="3">
        <v>-0.43000000000000682</v>
      </c>
      <c r="L104" s="4"/>
      <c r="M104" s="4"/>
      <c r="N104" s="4"/>
      <c r="O104" s="4"/>
      <c r="P104" s="4"/>
      <c r="Q104" s="4"/>
      <c r="AA104" s="8"/>
      <c r="AB104" s="8"/>
      <c r="AC104" s="4"/>
      <c r="AD104" s="4"/>
      <c r="AE104" s="4"/>
    </row>
    <row r="105" spans="2:31" x14ac:dyDescent="0.25">
      <c r="C105" s="1">
        <v>41919</v>
      </c>
      <c r="D105" s="2">
        <v>24.47</v>
      </c>
      <c r="E105" s="3">
        <v>183.16</v>
      </c>
      <c r="F105" s="2">
        <f t="shared" si="6"/>
        <v>-0.37000000000000099</v>
      </c>
      <c r="G105" s="2">
        <f t="shared" si="7"/>
        <v>-3.289999999999992</v>
      </c>
      <c r="H105" s="5">
        <f t="shared" si="4"/>
        <v>7.9681274900398405E-2</v>
      </c>
      <c r="I105" s="5">
        <f t="shared" si="5"/>
        <v>3.1872509960159362E-2</v>
      </c>
      <c r="J105" s="3">
        <v>-1.9999999999999574E-2</v>
      </c>
      <c r="K105" s="3">
        <v>-0.42000000000001592</v>
      </c>
      <c r="L105" s="4"/>
      <c r="M105" s="4"/>
      <c r="N105" s="4"/>
      <c r="O105" s="4"/>
      <c r="P105" s="4"/>
      <c r="Q105" s="4"/>
      <c r="AA105" s="8"/>
      <c r="AB105" s="8"/>
      <c r="AC105" s="4"/>
      <c r="AD105" s="4"/>
      <c r="AE105" s="4"/>
    </row>
    <row r="106" spans="2:31" x14ac:dyDescent="0.25">
      <c r="C106" s="1">
        <v>41918</v>
      </c>
      <c r="D106" s="2">
        <v>24.84</v>
      </c>
      <c r="E106" s="3">
        <v>186.45</v>
      </c>
      <c r="F106" s="2">
        <f t="shared" si="6"/>
        <v>-0.30000000000000071</v>
      </c>
      <c r="G106" s="2">
        <f t="shared" si="7"/>
        <v>0.36999999999997613</v>
      </c>
      <c r="H106" s="5">
        <f t="shared" si="4"/>
        <v>0.10358565737051793</v>
      </c>
      <c r="I106" s="5">
        <f t="shared" si="5"/>
        <v>0.60557768924302791</v>
      </c>
      <c r="J106" s="3">
        <v>-1.9999999999999574E-2</v>
      </c>
      <c r="K106" s="3">
        <v>-0.40999999999999659</v>
      </c>
      <c r="L106" s="4"/>
      <c r="M106" s="4"/>
      <c r="N106" s="4"/>
      <c r="O106" s="4"/>
      <c r="P106" s="4"/>
      <c r="Q106" s="4"/>
      <c r="AA106" s="8"/>
      <c r="AB106" s="8"/>
      <c r="AC106" s="4"/>
      <c r="AD106" s="4"/>
      <c r="AE106" s="4"/>
    </row>
    <row r="107" spans="2:31" x14ac:dyDescent="0.25">
      <c r="C107" s="1">
        <v>41915</v>
      </c>
      <c r="D107" s="2">
        <v>25.14</v>
      </c>
      <c r="E107" s="3">
        <v>186.08</v>
      </c>
      <c r="F107" s="2">
        <f t="shared" si="6"/>
        <v>0.25</v>
      </c>
      <c r="G107" s="2">
        <f t="shared" si="7"/>
        <v>1.7300000000000182</v>
      </c>
      <c r="H107" s="5">
        <f t="shared" si="4"/>
        <v>0.85657370517928288</v>
      </c>
      <c r="I107" s="5">
        <f t="shared" si="5"/>
        <v>0.86454183266932272</v>
      </c>
      <c r="J107" s="3">
        <v>-1.9999999999999574E-2</v>
      </c>
      <c r="K107" s="3">
        <v>-0.40999999999999659</v>
      </c>
      <c r="L107" s="4"/>
      <c r="M107" s="4"/>
      <c r="N107" s="4"/>
      <c r="O107" s="4"/>
      <c r="P107" s="4"/>
      <c r="Q107" s="4"/>
      <c r="AA107" s="8"/>
      <c r="AB107" s="8"/>
      <c r="AC107" s="4"/>
      <c r="AD107" s="4"/>
      <c r="AE107" s="4"/>
    </row>
    <row r="108" spans="2:31" x14ac:dyDescent="0.25">
      <c r="C108" s="1">
        <v>41914</v>
      </c>
      <c r="D108" s="2">
        <v>24.89</v>
      </c>
      <c r="E108" s="3">
        <v>184.35</v>
      </c>
      <c r="F108" s="2">
        <f t="shared" si="6"/>
        <v>3.0000000000001137E-2</v>
      </c>
      <c r="G108" s="2">
        <f t="shared" si="7"/>
        <v>-0.25</v>
      </c>
      <c r="H108" s="5">
        <f t="shared" si="4"/>
        <v>0.50597609561752988</v>
      </c>
      <c r="I108" s="5">
        <f t="shared" si="5"/>
        <v>0.44621513944223107</v>
      </c>
      <c r="J108" s="3">
        <v>-1.9999999999999574E-2</v>
      </c>
      <c r="K108" s="3">
        <v>-0.39000000000001478</v>
      </c>
      <c r="L108" s="4"/>
      <c r="M108" s="4"/>
      <c r="N108" s="4"/>
      <c r="O108" s="4"/>
      <c r="P108" s="4"/>
      <c r="Q108" s="4"/>
      <c r="AA108" s="8"/>
      <c r="AB108" s="8"/>
      <c r="AC108" s="4"/>
      <c r="AD108" s="4"/>
      <c r="AE108" s="4"/>
    </row>
    <row r="109" spans="2:31" x14ac:dyDescent="0.25">
      <c r="C109" s="1">
        <v>41913</v>
      </c>
      <c r="D109" s="2">
        <v>24.86</v>
      </c>
      <c r="E109" s="3">
        <v>184.6</v>
      </c>
      <c r="F109" s="2">
        <f t="shared" si="6"/>
        <v>-0.14000000000000057</v>
      </c>
      <c r="G109" s="2">
        <f t="shared" si="7"/>
        <v>-2.6299999999999955</v>
      </c>
      <c r="H109" s="5">
        <f t="shared" si="4"/>
        <v>0.24302788844621515</v>
      </c>
      <c r="I109" s="5">
        <f t="shared" si="5"/>
        <v>6.3745019920318724E-2</v>
      </c>
      <c r="J109" s="3">
        <v>-1.9999999999999574E-2</v>
      </c>
      <c r="K109" s="3">
        <v>-0.39000000000001478</v>
      </c>
      <c r="L109" s="4"/>
      <c r="M109" s="4"/>
      <c r="N109" s="4"/>
      <c r="O109" s="4"/>
      <c r="P109" s="4"/>
      <c r="Q109" s="4"/>
      <c r="AA109" s="8"/>
      <c r="AB109" s="8"/>
      <c r="AC109" s="4"/>
      <c r="AD109" s="4"/>
      <c r="AE109" s="4"/>
    </row>
    <row r="110" spans="2:31" x14ac:dyDescent="0.25">
      <c r="C110" s="1">
        <v>41912</v>
      </c>
      <c r="D110" s="2">
        <v>25</v>
      </c>
      <c r="E110" s="3">
        <v>187.23</v>
      </c>
      <c r="F110" s="2">
        <f t="shared" si="6"/>
        <v>0.23999999999999844</v>
      </c>
      <c r="G110" s="2">
        <f t="shared" si="7"/>
        <v>0.18999999999999773</v>
      </c>
      <c r="H110" s="5">
        <f t="shared" si="4"/>
        <v>0.84462151394422313</v>
      </c>
      <c r="I110" s="5">
        <f t="shared" si="5"/>
        <v>0.56972111553784865</v>
      </c>
      <c r="J110" s="3">
        <v>-1.9999999999999574E-2</v>
      </c>
      <c r="K110" s="3">
        <v>-0.37000000000000455</v>
      </c>
      <c r="L110" s="4"/>
      <c r="M110" s="4"/>
      <c r="N110" s="4"/>
      <c r="O110" s="4"/>
      <c r="P110" s="4"/>
      <c r="Q110" s="4"/>
      <c r="AA110" s="8"/>
      <c r="AB110" s="8"/>
      <c r="AC110" s="4"/>
      <c r="AD110" s="4"/>
      <c r="AE110" s="4"/>
    </row>
    <row r="111" spans="2:31" x14ac:dyDescent="0.25">
      <c r="C111" s="1">
        <v>41911</v>
      </c>
      <c r="D111" s="2">
        <v>24.76</v>
      </c>
      <c r="E111" s="3">
        <v>187.04</v>
      </c>
      <c r="F111" s="2">
        <f t="shared" si="6"/>
        <v>0.12000000000000099</v>
      </c>
      <c r="G111" s="2">
        <f t="shared" si="7"/>
        <v>-0.40999999999999659</v>
      </c>
      <c r="H111" s="5">
        <f t="shared" si="4"/>
        <v>0.64143426294820716</v>
      </c>
      <c r="I111" s="5">
        <f t="shared" si="5"/>
        <v>0.42231075697211157</v>
      </c>
      <c r="J111" s="3">
        <v>-1.0000000000001563E-2</v>
      </c>
      <c r="K111" s="3">
        <v>-0.36000000000001364</v>
      </c>
      <c r="L111" s="4"/>
      <c r="M111" s="4"/>
      <c r="N111" s="4"/>
      <c r="O111" s="4"/>
      <c r="P111" s="4"/>
      <c r="Q111" s="4"/>
      <c r="AA111" s="8"/>
      <c r="AB111" s="8"/>
      <c r="AC111" s="4"/>
      <c r="AD111" s="4"/>
      <c r="AE111" s="4"/>
    </row>
    <row r="112" spans="2:31" x14ac:dyDescent="0.25">
      <c r="C112" s="1">
        <v>41908</v>
      </c>
      <c r="D112" s="2">
        <v>24.64</v>
      </c>
      <c r="E112" s="3">
        <v>187.45</v>
      </c>
      <c r="F112" s="2">
        <f t="shared" si="6"/>
        <v>0.44999999999999929</v>
      </c>
      <c r="G112" s="2">
        <f t="shared" si="7"/>
        <v>1.0300000000000011</v>
      </c>
      <c r="H112" s="5">
        <f t="shared" si="4"/>
        <v>0.94820717131474108</v>
      </c>
      <c r="I112" s="5">
        <f t="shared" si="5"/>
        <v>0.75697211155378485</v>
      </c>
      <c r="J112" s="3">
        <v>-9.9999999999980105E-3</v>
      </c>
      <c r="K112" s="3">
        <v>-0.34000000000000341</v>
      </c>
      <c r="L112" s="4"/>
      <c r="M112" s="4"/>
      <c r="N112" s="4"/>
      <c r="O112" s="4"/>
      <c r="P112" s="4"/>
      <c r="Q112" s="4"/>
      <c r="AA112" s="8"/>
      <c r="AB112" s="8"/>
      <c r="AC112" s="4"/>
      <c r="AD112" s="4"/>
      <c r="AE112" s="4"/>
    </row>
    <row r="113" spans="3:31" x14ac:dyDescent="0.25">
      <c r="C113" s="1">
        <v>41907</v>
      </c>
      <c r="D113" s="2">
        <v>24.19</v>
      </c>
      <c r="E113" s="3">
        <v>186.42</v>
      </c>
      <c r="F113" s="2">
        <f t="shared" si="6"/>
        <v>-0.42999999999999972</v>
      </c>
      <c r="G113" s="2">
        <f t="shared" si="7"/>
        <v>-3.25</v>
      </c>
      <c r="H113" s="5">
        <f t="shared" si="4"/>
        <v>5.5776892430278883E-2</v>
      </c>
      <c r="I113" s="5">
        <f t="shared" si="5"/>
        <v>3.5856573705179286E-2</v>
      </c>
      <c r="J113" s="3">
        <v>-9.9999999999980105E-3</v>
      </c>
      <c r="K113" s="3">
        <v>-0.25</v>
      </c>
      <c r="L113" s="4"/>
      <c r="M113" s="4"/>
      <c r="N113" s="4"/>
      <c r="O113" s="4"/>
      <c r="P113" s="4"/>
      <c r="Q113" s="4"/>
      <c r="AA113" s="8"/>
      <c r="AB113" s="8"/>
      <c r="AC113" s="4"/>
      <c r="AD113" s="4"/>
      <c r="AE113" s="4"/>
    </row>
    <row r="114" spans="3:31" x14ac:dyDescent="0.25">
      <c r="C114" s="1">
        <v>41906</v>
      </c>
      <c r="D114" s="2">
        <v>24.62</v>
      </c>
      <c r="E114" s="3">
        <v>189.67</v>
      </c>
      <c r="F114" s="2">
        <f t="shared" si="6"/>
        <v>0.26999999999999957</v>
      </c>
      <c r="G114" s="2">
        <f t="shared" si="7"/>
        <v>0.6799999999999784</v>
      </c>
      <c r="H114" s="5">
        <f t="shared" si="4"/>
        <v>0.87250996015936255</v>
      </c>
      <c r="I114" s="5">
        <f t="shared" si="5"/>
        <v>0.70517928286852594</v>
      </c>
      <c r="J114" s="3">
        <v>-9.9999999999980105E-3</v>
      </c>
      <c r="K114" s="3">
        <v>-0.24000000000000909</v>
      </c>
      <c r="L114" s="4"/>
      <c r="M114" s="4"/>
      <c r="N114" s="4"/>
      <c r="O114" s="4"/>
      <c r="P114" s="4"/>
      <c r="Q114" s="4"/>
      <c r="AA114" s="8"/>
      <c r="AB114" s="8"/>
      <c r="AC114" s="4"/>
      <c r="AD114" s="4"/>
      <c r="AE114" s="4"/>
    </row>
    <row r="115" spans="3:31" x14ac:dyDescent="0.25">
      <c r="C115" s="1">
        <v>41905</v>
      </c>
      <c r="D115" s="2">
        <v>24.35</v>
      </c>
      <c r="E115" s="3">
        <v>188.99</v>
      </c>
      <c r="F115" s="2">
        <f t="shared" si="6"/>
        <v>-0.25999999999999801</v>
      </c>
      <c r="G115" s="2">
        <f t="shared" si="7"/>
        <v>-1.4699999999999989</v>
      </c>
      <c r="H115" s="5">
        <f t="shared" si="4"/>
        <v>0.13147410358565736</v>
      </c>
      <c r="I115" s="5">
        <f t="shared" si="5"/>
        <v>0.19521912350597609</v>
      </c>
      <c r="J115" s="3">
        <v>0</v>
      </c>
      <c r="K115" s="3">
        <v>-0.23999999999998067</v>
      </c>
      <c r="L115" s="4"/>
      <c r="M115" s="4"/>
      <c r="N115" s="4"/>
      <c r="O115" s="4"/>
      <c r="P115" s="4"/>
      <c r="Q115" s="4"/>
      <c r="AA115" s="8"/>
      <c r="AB115" s="8"/>
      <c r="AC115" s="4"/>
      <c r="AD115" s="4"/>
      <c r="AE115" s="4"/>
    </row>
    <row r="116" spans="3:31" x14ac:dyDescent="0.25">
      <c r="C116" s="1">
        <v>41904</v>
      </c>
      <c r="D116" s="2">
        <v>24.61</v>
      </c>
      <c r="E116" s="3">
        <v>190.46</v>
      </c>
      <c r="F116" s="2">
        <f t="shared" si="6"/>
        <v>-0.23000000000000043</v>
      </c>
      <c r="G116" s="2">
        <f t="shared" si="7"/>
        <v>-0.87999999999999545</v>
      </c>
      <c r="H116" s="5">
        <f t="shared" si="4"/>
        <v>0.16334661354581673</v>
      </c>
      <c r="I116" s="5">
        <f t="shared" si="5"/>
        <v>0.29482071713147412</v>
      </c>
      <c r="J116" s="3">
        <v>0</v>
      </c>
      <c r="K116" s="3">
        <v>-0.21000000000000796</v>
      </c>
      <c r="L116" s="4"/>
      <c r="M116" s="4"/>
      <c r="N116" s="4"/>
      <c r="O116" s="4"/>
      <c r="P116" s="4"/>
      <c r="Q116" s="4"/>
      <c r="AA116" s="8"/>
      <c r="AB116" s="8"/>
      <c r="AC116" s="4"/>
      <c r="AD116" s="4"/>
      <c r="AE116" s="4"/>
    </row>
    <row r="117" spans="3:31" x14ac:dyDescent="0.25">
      <c r="C117" s="1">
        <v>41901</v>
      </c>
      <c r="D117" s="2">
        <v>24.84</v>
      </c>
      <c r="E117" s="3">
        <v>191.34</v>
      </c>
      <c r="F117" s="2">
        <f t="shared" si="6"/>
        <v>-1.9999999999999574E-2</v>
      </c>
      <c r="G117" s="2">
        <f t="shared" si="7"/>
        <v>0.25</v>
      </c>
      <c r="H117" s="5">
        <f t="shared" si="4"/>
        <v>0.43426294820717132</v>
      </c>
      <c r="I117" s="5">
        <f t="shared" si="5"/>
        <v>0.58167330677290841</v>
      </c>
      <c r="J117" s="3">
        <v>0</v>
      </c>
      <c r="K117" s="3">
        <v>-0.21000000000000796</v>
      </c>
      <c r="L117" s="4"/>
      <c r="M117" s="4"/>
      <c r="N117" s="4"/>
      <c r="O117" s="4"/>
      <c r="P117" s="4"/>
      <c r="Q117" s="4"/>
      <c r="AA117" s="8"/>
      <c r="AB117" s="8"/>
      <c r="AC117" s="4"/>
      <c r="AD117" s="4"/>
      <c r="AE117" s="4"/>
    </row>
    <row r="118" spans="3:31" x14ac:dyDescent="0.25">
      <c r="C118" s="1">
        <v>41900</v>
      </c>
      <c r="D118" s="2">
        <v>24.86</v>
      </c>
      <c r="E118" s="3">
        <v>191.09</v>
      </c>
      <c r="F118" s="2">
        <f t="shared" si="6"/>
        <v>9.9999999999980105E-3</v>
      </c>
      <c r="G118" s="2">
        <f t="shared" si="7"/>
        <v>0.93000000000000682</v>
      </c>
      <c r="H118" s="5">
        <f t="shared" si="4"/>
        <v>0.47808764940239046</v>
      </c>
      <c r="I118" s="5">
        <f t="shared" si="5"/>
        <v>0.7450199203187251</v>
      </c>
      <c r="J118" s="3">
        <v>0</v>
      </c>
      <c r="K118" s="3">
        <v>-0.18999999999999773</v>
      </c>
      <c r="L118" s="4"/>
      <c r="M118" s="4"/>
      <c r="N118" s="4"/>
      <c r="O118" s="4"/>
      <c r="P118" s="4"/>
      <c r="Q118" s="4"/>
      <c r="AA118" s="8"/>
      <c r="AB118" s="8"/>
      <c r="AC118" s="4"/>
      <c r="AD118" s="4"/>
      <c r="AE118" s="4"/>
    </row>
    <row r="119" spans="3:31" x14ac:dyDescent="0.25">
      <c r="C119" s="1">
        <v>41899</v>
      </c>
      <c r="D119" s="2">
        <v>24.85</v>
      </c>
      <c r="E119" s="3">
        <v>190.16</v>
      </c>
      <c r="F119" s="2">
        <f t="shared" si="6"/>
        <v>-9.9999999999980105E-3</v>
      </c>
      <c r="G119" s="2">
        <f t="shared" si="7"/>
        <v>-0.15000000000000568</v>
      </c>
      <c r="H119" s="5">
        <f t="shared" si="4"/>
        <v>0.45019920318725098</v>
      </c>
      <c r="I119" s="5">
        <f t="shared" si="5"/>
        <v>0.48605577689243029</v>
      </c>
      <c r="J119" s="3">
        <v>0</v>
      </c>
      <c r="K119" s="3">
        <v>-0.18999999999999773</v>
      </c>
      <c r="L119" s="4"/>
      <c r="M119" s="4"/>
      <c r="N119" s="4"/>
      <c r="O119" s="4"/>
      <c r="P119" s="4"/>
      <c r="Q119" s="4"/>
      <c r="AA119" s="8"/>
      <c r="AB119" s="8"/>
      <c r="AC119" s="4"/>
      <c r="AD119" s="4"/>
      <c r="AE119" s="4"/>
    </row>
    <row r="120" spans="3:31" x14ac:dyDescent="0.25">
      <c r="C120" s="1">
        <v>41898</v>
      </c>
      <c r="D120" s="2">
        <v>24.86</v>
      </c>
      <c r="E120" s="3">
        <v>190.31</v>
      </c>
      <c r="F120" s="2">
        <f t="shared" si="6"/>
        <v>0.16000000000000014</v>
      </c>
      <c r="G120" s="2">
        <f t="shared" si="7"/>
        <v>1.1299999999999955</v>
      </c>
      <c r="H120" s="5">
        <f t="shared" si="4"/>
        <v>0.73705179282868527</v>
      </c>
      <c r="I120" s="5">
        <f t="shared" si="5"/>
        <v>0.77689243027888444</v>
      </c>
      <c r="J120" s="3">
        <v>9.9999999999980105E-3</v>
      </c>
      <c r="K120" s="3">
        <v>-0.18000000000000682</v>
      </c>
      <c r="L120" s="4"/>
      <c r="M120" s="4"/>
      <c r="N120" s="4"/>
      <c r="O120" s="4"/>
      <c r="P120" s="4"/>
      <c r="Q120" s="4"/>
      <c r="AA120" s="8"/>
      <c r="AB120" s="8"/>
      <c r="AC120" s="4"/>
      <c r="AD120" s="4"/>
      <c r="AE120" s="4"/>
    </row>
    <row r="121" spans="3:31" x14ac:dyDescent="0.25">
      <c r="C121" s="1">
        <v>41897</v>
      </c>
      <c r="D121" s="2">
        <v>24.7</v>
      </c>
      <c r="E121" s="3">
        <v>189.18</v>
      </c>
      <c r="F121" s="2">
        <f t="shared" si="6"/>
        <v>-0.10000000000000142</v>
      </c>
      <c r="G121" s="2">
        <f t="shared" si="7"/>
        <v>0.52000000000001023</v>
      </c>
      <c r="H121" s="5">
        <f t="shared" si="4"/>
        <v>0.2788844621513944</v>
      </c>
      <c r="I121" s="5">
        <f t="shared" si="5"/>
        <v>0.66135458167330674</v>
      </c>
      <c r="J121" s="3">
        <v>9.9999999999980105E-3</v>
      </c>
      <c r="K121" s="3">
        <v>-0.15999999999999659</v>
      </c>
      <c r="L121" s="4"/>
      <c r="M121" s="4"/>
      <c r="N121" s="4"/>
      <c r="O121" s="4"/>
      <c r="P121" s="4"/>
      <c r="Q121" s="4"/>
      <c r="AA121" s="8"/>
      <c r="AB121" s="8"/>
      <c r="AC121" s="4"/>
      <c r="AD121" s="4"/>
      <c r="AE121" s="4"/>
    </row>
    <row r="122" spans="3:31" x14ac:dyDescent="0.25">
      <c r="C122" s="1">
        <v>41894</v>
      </c>
      <c r="D122" s="2">
        <v>24.8</v>
      </c>
      <c r="E122" s="3">
        <v>188.66</v>
      </c>
      <c r="F122" s="2">
        <f t="shared" si="6"/>
        <v>-1.9999999999999574E-2</v>
      </c>
      <c r="G122" s="2">
        <f t="shared" si="7"/>
        <v>-0.43000000000000682</v>
      </c>
      <c r="H122" s="5">
        <f t="shared" si="4"/>
        <v>0.43426294820717132</v>
      </c>
      <c r="I122" s="5">
        <f t="shared" si="5"/>
        <v>0.41035856573705182</v>
      </c>
      <c r="J122" s="3">
        <v>1.9999999999999574E-2</v>
      </c>
      <c r="K122" s="3">
        <v>-0.15000000000000568</v>
      </c>
      <c r="L122" s="4"/>
      <c r="M122" s="4"/>
      <c r="N122" s="4"/>
      <c r="O122" s="4"/>
      <c r="P122" s="4"/>
      <c r="Q122" s="4"/>
      <c r="AA122" s="8"/>
      <c r="AB122" s="8"/>
      <c r="AC122" s="4"/>
      <c r="AD122" s="4"/>
      <c r="AE122" s="4"/>
    </row>
    <row r="123" spans="3:31" x14ac:dyDescent="0.25">
      <c r="C123" s="1">
        <v>41893</v>
      </c>
      <c r="D123" s="2">
        <v>24.82</v>
      </c>
      <c r="E123" s="3">
        <v>189.09</v>
      </c>
      <c r="F123" s="2">
        <f t="shared" si="6"/>
        <v>0.25</v>
      </c>
      <c r="G123" s="2">
        <f t="shared" si="7"/>
        <v>0.18000000000000682</v>
      </c>
      <c r="H123" s="5">
        <f t="shared" si="4"/>
        <v>0.85657370517928288</v>
      </c>
      <c r="I123" s="5">
        <f t="shared" si="5"/>
        <v>0.56175298804780871</v>
      </c>
      <c r="J123" s="3">
        <v>1.9999999999999574E-2</v>
      </c>
      <c r="K123" s="3">
        <v>-0.15000000000000568</v>
      </c>
      <c r="L123" s="4"/>
      <c r="M123" s="4"/>
      <c r="N123" s="4"/>
      <c r="O123" s="4"/>
      <c r="P123" s="4"/>
      <c r="Q123" s="4"/>
      <c r="AA123" s="8"/>
      <c r="AB123" s="8"/>
      <c r="AC123" s="4"/>
      <c r="AD123" s="4"/>
      <c r="AE123" s="4"/>
    </row>
    <row r="124" spans="3:31" x14ac:dyDescent="0.25">
      <c r="C124" s="1">
        <v>41892</v>
      </c>
      <c r="D124" s="2">
        <v>24.57</v>
      </c>
      <c r="E124" s="3">
        <v>188.91</v>
      </c>
      <c r="F124" s="2">
        <f t="shared" si="6"/>
        <v>7.0000000000000284E-2</v>
      </c>
      <c r="G124" s="2">
        <f t="shared" si="7"/>
        <v>1.5300000000000011</v>
      </c>
      <c r="H124" s="5">
        <f t="shared" si="4"/>
        <v>0.56972111553784865</v>
      </c>
      <c r="I124" s="5">
        <f t="shared" si="5"/>
        <v>0.84063745019920322</v>
      </c>
      <c r="J124" s="3">
        <v>1.9999999999999574E-2</v>
      </c>
      <c r="K124" s="3">
        <v>-0.14000000000001478</v>
      </c>
      <c r="L124" s="4"/>
      <c r="M124" s="4"/>
      <c r="N124" s="4"/>
      <c r="O124" s="4"/>
      <c r="P124" s="4"/>
      <c r="Q124" s="4"/>
      <c r="AA124" s="8"/>
      <c r="AB124" s="8"/>
      <c r="AC124" s="4"/>
      <c r="AD124" s="4"/>
      <c r="AE124" s="4"/>
    </row>
    <row r="125" spans="3:31" x14ac:dyDescent="0.25">
      <c r="C125" s="1">
        <v>41891</v>
      </c>
      <c r="D125" s="2">
        <v>24.5</v>
      </c>
      <c r="E125" s="3">
        <v>187.38</v>
      </c>
      <c r="F125" s="2">
        <f t="shared" si="6"/>
        <v>-8.9999999999999858E-2</v>
      </c>
      <c r="G125" s="2">
        <f t="shared" si="7"/>
        <v>-0.15000000000000568</v>
      </c>
      <c r="H125" s="5">
        <f t="shared" si="4"/>
        <v>0.31075697211155379</v>
      </c>
      <c r="I125" s="5">
        <f t="shared" si="5"/>
        <v>0.48605577689243029</v>
      </c>
      <c r="J125" s="3">
        <v>1.9999999999999574E-2</v>
      </c>
      <c r="K125" s="3">
        <v>-0.13999999999998636</v>
      </c>
      <c r="L125" s="4"/>
      <c r="M125" s="4"/>
      <c r="N125" s="4"/>
      <c r="O125" s="4"/>
      <c r="P125" s="4"/>
      <c r="Q125" s="4"/>
      <c r="AA125" s="8"/>
      <c r="AB125" s="8"/>
      <c r="AC125" s="4"/>
      <c r="AD125" s="4"/>
      <c r="AE125" s="4"/>
    </row>
    <row r="126" spans="3:31" x14ac:dyDescent="0.25">
      <c r="C126" s="1">
        <v>41890</v>
      </c>
      <c r="D126" s="2">
        <v>24.59</v>
      </c>
      <c r="E126" s="3">
        <v>187.53</v>
      </c>
      <c r="F126" s="2">
        <f t="shared" si="6"/>
        <v>-5.0000000000000711E-2</v>
      </c>
      <c r="G126" s="2">
        <f t="shared" si="7"/>
        <v>-1.0500000000000114</v>
      </c>
      <c r="H126" s="5">
        <f t="shared" si="4"/>
        <v>0.36653386454183268</v>
      </c>
      <c r="I126" s="5">
        <f t="shared" si="5"/>
        <v>0.26294820717131473</v>
      </c>
      <c r="J126" s="3">
        <v>2.9999999999997584E-2</v>
      </c>
      <c r="K126" s="3">
        <v>-0.12999999999999545</v>
      </c>
      <c r="L126" s="4"/>
      <c r="M126" s="4"/>
      <c r="N126" s="4"/>
      <c r="O126" s="4"/>
      <c r="P126" s="4"/>
      <c r="Q126" s="4"/>
      <c r="AA126" s="8"/>
      <c r="AB126" s="8"/>
      <c r="AC126" s="4"/>
      <c r="AD126" s="4"/>
      <c r="AE126" s="4"/>
    </row>
    <row r="127" spans="3:31" x14ac:dyDescent="0.25">
      <c r="C127" s="1">
        <v>41887</v>
      </c>
      <c r="D127" s="2">
        <v>24.64</v>
      </c>
      <c r="E127" s="3">
        <v>188.58</v>
      </c>
      <c r="F127" s="2">
        <f t="shared" si="6"/>
        <v>8.9999999999999858E-2</v>
      </c>
      <c r="G127" s="2">
        <f t="shared" si="7"/>
        <v>0.52000000000001023</v>
      </c>
      <c r="H127" s="5">
        <f t="shared" si="4"/>
        <v>0.58565737051792832</v>
      </c>
      <c r="I127" s="5">
        <f t="shared" si="5"/>
        <v>0.66135458167330674</v>
      </c>
      <c r="J127" s="3">
        <v>3.0000000000001137E-2</v>
      </c>
      <c r="K127" s="3">
        <v>-0.12000000000000455</v>
      </c>
      <c r="L127" s="4"/>
      <c r="M127" s="4"/>
      <c r="N127" s="4"/>
      <c r="O127" s="4"/>
      <c r="P127" s="4"/>
      <c r="Q127" s="4"/>
      <c r="AA127" s="8"/>
      <c r="AB127" s="8"/>
      <c r="AC127" s="4"/>
      <c r="AD127" s="4"/>
      <c r="AE127" s="4"/>
    </row>
    <row r="128" spans="3:31" x14ac:dyDescent="0.25">
      <c r="C128" s="1">
        <v>41886</v>
      </c>
      <c r="D128" s="2">
        <v>24.55</v>
      </c>
      <c r="E128" s="3">
        <v>188.06</v>
      </c>
      <c r="F128" s="2">
        <f t="shared" si="6"/>
        <v>-0.12999999999999901</v>
      </c>
      <c r="G128" s="2">
        <f t="shared" si="7"/>
        <v>-1.2599999999999909</v>
      </c>
      <c r="H128" s="5">
        <f t="shared" si="4"/>
        <v>0.2549800796812749</v>
      </c>
      <c r="I128" s="5">
        <f t="shared" si="5"/>
        <v>0.22709163346613545</v>
      </c>
      <c r="J128" s="3">
        <v>3.0000000000001137E-2</v>
      </c>
      <c r="K128" s="3">
        <v>-9.9999999999994316E-2</v>
      </c>
      <c r="L128" s="4"/>
      <c r="M128" s="4"/>
      <c r="N128" s="4"/>
      <c r="O128" s="4"/>
      <c r="P128" s="4"/>
      <c r="Q128" s="4"/>
      <c r="AA128" s="8"/>
      <c r="AB128" s="8"/>
      <c r="AC128" s="4"/>
      <c r="AD128" s="4"/>
      <c r="AE128" s="4"/>
    </row>
    <row r="129" spans="3:31" x14ac:dyDescent="0.25">
      <c r="C129" s="1">
        <v>41885</v>
      </c>
      <c r="D129" s="2">
        <v>24.68</v>
      </c>
      <c r="E129" s="3">
        <v>189.32</v>
      </c>
      <c r="F129" s="2">
        <f t="shared" si="6"/>
        <v>0.16000000000000014</v>
      </c>
      <c r="G129" s="2">
        <f t="shared" si="7"/>
        <v>0.38999999999998636</v>
      </c>
      <c r="H129" s="5">
        <f t="shared" si="4"/>
        <v>0.73705179282868527</v>
      </c>
      <c r="I129" s="5">
        <f t="shared" si="5"/>
        <v>0.62948207171314741</v>
      </c>
      <c r="J129" s="3">
        <v>3.9999999999999147E-2</v>
      </c>
      <c r="K129" s="3">
        <v>-9.0000000000003411E-2</v>
      </c>
      <c r="L129" s="4"/>
      <c r="M129" s="4"/>
      <c r="N129" s="4"/>
      <c r="O129" s="4"/>
      <c r="P129" s="4"/>
      <c r="Q129" s="4"/>
      <c r="AA129" s="8"/>
      <c r="AB129" s="8"/>
      <c r="AC129" s="4"/>
      <c r="AD129" s="4"/>
      <c r="AE129" s="4"/>
    </row>
    <row r="130" spans="3:31" x14ac:dyDescent="0.25">
      <c r="C130" s="1">
        <v>41884</v>
      </c>
      <c r="D130" s="2">
        <v>24.52</v>
      </c>
      <c r="E130" s="3">
        <v>188.93</v>
      </c>
      <c r="F130" s="2">
        <f t="shared" si="6"/>
        <v>-0.10999999999999943</v>
      </c>
      <c r="G130" s="2">
        <f t="shared" si="7"/>
        <v>-0.72999999999998977</v>
      </c>
      <c r="H130" s="5">
        <f t="shared" ref="H130:H193" si="8">DiscreteDist($F$2:$F$252,251,F130)</f>
        <v>0.27490039840637448</v>
      </c>
      <c r="I130" s="5">
        <f t="shared" ref="I130:I193" si="9">DiscreteDist($G$2:$G$252,251,G130)</f>
        <v>0.34262948207171312</v>
      </c>
      <c r="J130" s="3">
        <v>3.9999999999999147E-2</v>
      </c>
      <c r="K130" s="3">
        <v>-9.0000000000003411E-2</v>
      </c>
      <c r="L130" s="4"/>
      <c r="M130" s="4"/>
      <c r="N130" s="4"/>
      <c r="O130" s="4"/>
      <c r="P130" s="4"/>
      <c r="Q130" s="4"/>
      <c r="AA130" s="8"/>
      <c r="AB130" s="8"/>
      <c r="AC130" s="4"/>
      <c r="AD130" s="4"/>
      <c r="AE130" s="4"/>
    </row>
    <row r="131" spans="3:31" x14ac:dyDescent="0.25">
      <c r="C131" s="1">
        <v>41880</v>
      </c>
      <c r="D131" s="2">
        <v>24.63</v>
      </c>
      <c r="E131" s="3">
        <v>189.66</v>
      </c>
      <c r="F131" s="2">
        <f t="shared" ref="F131:F194" si="10">D131-D132</f>
        <v>0.14000000000000057</v>
      </c>
      <c r="G131" s="2">
        <f t="shared" ref="G131:G194" si="11">E131-E132</f>
        <v>0.28999999999999204</v>
      </c>
      <c r="H131" s="5">
        <f t="shared" si="8"/>
        <v>0.68525896414342624</v>
      </c>
      <c r="I131" s="5">
        <f t="shared" si="9"/>
        <v>0.59362549800796816</v>
      </c>
      <c r="J131" s="3">
        <v>3.9999999999999147E-2</v>
      </c>
      <c r="K131" s="3">
        <v>-6.9999999999993179E-2</v>
      </c>
      <c r="L131" s="4"/>
      <c r="M131" s="4"/>
      <c r="N131" s="4"/>
      <c r="O131" s="4"/>
      <c r="P131" s="4"/>
      <c r="Q131" s="4"/>
      <c r="AA131" s="8"/>
      <c r="AB131" s="8"/>
      <c r="AC131" s="4"/>
      <c r="AD131" s="4"/>
      <c r="AE131" s="4"/>
    </row>
    <row r="132" spans="3:31" x14ac:dyDescent="0.25">
      <c r="C132" s="1">
        <v>41879</v>
      </c>
      <c r="D132" s="2">
        <v>24.49</v>
      </c>
      <c r="E132" s="3">
        <v>189.37</v>
      </c>
      <c r="F132" s="2">
        <f t="shared" si="10"/>
        <v>4.9999999999997158E-2</v>
      </c>
      <c r="G132" s="2">
        <f t="shared" si="11"/>
        <v>-0.24000000000000909</v>
      </c>
      <c r="H132" s="5">
        <f t="shared" si="8"/>
        <v>0.52589641434262946</v>
      </c>
      <c r="I132" s="5">
        <f t="shared" si="9"/>
        <v>0.45019920318725098</v>
      </c>
      <c r="J132" s="3">
        <v>4.00000000000027E-2</v>
      </c>
      <c r="K132" s="3">
        <v>-6.0000000000002274E-2</v>
      </c>
      <c r="L132" s="4"/>
      <c r="M132" s="4"/>
      <c r="N132" s="4"/>
      <c r="O132" s="4"/>
      <c r="P132" s="4"/>
      <c r="Q132" s="4"/>
      <c r="AA132" s="8"/>
      <c r="AB132" s="8"/>
      <c r="AC132" s="4"/>
      <c r="AD132" s="4"/>
      <c r="AE132" s="4"/>
    </row>
    <row r="133" spans="3:31" x14ac:dyDescent="0.25">
      <c r="C133" s="1">
        <v>41878</v>
      </c>
      <c r="D133" s="2">
        <v>24.44</v>
      </c>
      <c r="E133" s="3">
        <v>189.61</v>
      </c>
      <c r="F133" s="2">
        <f t="shared" si="10"/>
        <v>-9.9999999999980105E-3</v>
      </c>
      <c r="G133" s="2">
        <f t="shared" si="11"/>
        <v>-0.72999999999998977</v>
      </c>
      <c r="H133" s="5">
        <f t="shared" si="8"/>
        <v>0.45019920318725098</v>
      </c>
      <c r="I133" s="5">
        <f t="shared" si="9"/>
        <v>0.34262948207171312</v>
      </c>
      <c r="J133" s="3">
        <v>4.9999999999997158E-2</v>
      </c>
      <c r="K133" s="3">
        <v>-3.9999999999992042E-2</v>
      </c>
      <c r="L133" s="4"/>
      <c r="M133" s="4"/>
      <c r="N133" s="4"/>
      <c r="O133" s="4"/>
      <c r="P133" s="4"/>
      <c r="Q133" s="4"/>
      <c r="AA133" s="8"/>
      <c r="AB133" s="8"/>
      <c r="AC133" s="4"/>
      <c r="AD133" s="4"/>
      <c r="AE133" s="4"/>
    </row>
    <row r="134" spans="3:31" x14ac:dyDescent="0.25">
      <c r="C134" s="1">
        <v>41877</v>
      </c>
      <c r="D134" s="2">
        <v>24.45</v>
      </c>
      <c r="E134" s="3">
        <v>190.34</v>
      </c>
      <c r="F134" s="2">
        <f t="shared" si="10"/>
        <v>9.9999999999997868E-2</v>
      </c>
      <c r="G134" s="2">
        <f t="shared" si="11"/>
        <v>1.8000000000000114</v>
      </c>
      <c r="H134" s="5">
        <f t="shared" si="8"/>
        <v>0.59362549800796816</v>
      </c>
      <c r="I134" s="5">
        <f t="shared" si="9"/>
        <v>0.87250996015936255</v>
      </c>
      <c r="J134" s="3">
        <v>5.0000000000000711E-2</v>
      </c>
      <c r="K134" s="3">
        <v>-3.0000000000001137E-2</v>
      </c>
      <c r="L134" s="4"/>
      <c r="M134" s="4"/>
      <c r="N134" s="4"/>
      <c r="O134" s="4"/>
      <c r="P134" s="4"/>
      <c r="Q134" s="4"/>
      <c r="AA134" s="8"/>
      <c r="AB134" s="8"/>
      <c r="AC134" s="4"/>
      <c r="AD134" s="4"/>
      <c r="AE134" s="4"/>
    </row>
    <row r="135" spans="3:31" x14ac:dyDescent="0.25">
      <c r="C135" s="1">
        <v>41876</v>
      </c>
      <c r="D135" s="2">
        <v>24.35</v>
      </c>
      <c r="E135" s="3">
        <v>188.54</v>
      </c>
      <c r="F135" s="2">
        <f t="shared" si="10"/>
        <v>5.0000000000000711E-2</v>
      </c>
      <c r="G135" s="2">
        <f t="shared" si="11"/>
        <v>0.73999999999998067</v>
      </c>
      <c r="H135" s="5">
        <f t="shared" si="8"/>
        <v>0.54980079681274896</v>
      </c>
      <c r="I135" s="5">
        <f t="shared" si="9"/>
        <v>0.71713147410358569</v>
      </c>
      <c r="J135" s="3">
        <v>5.0000000000000711E-2</v>
      </c>
      <c r="K135" s="3">
        <v>0</v>
      </c>
      <c r="L135" s="4"/>
      <c r="M135" s="4"/>
      <c r="N135" s="4"/>
      <c r="O135" s="4"/>
      <c r="P135" s="4"/>
      <c r="Q135" s="4"/>
      <c r="AA135" s="8"/>
      <c r="AB135" s="8"/>
      <c r="AC135" s="4"/>
      <c r="AD135" s="4"/>
      <c r="AE135" s="4"/>
    </row>
    <row r="136" spans="3:31" x14ac:dyDescent="0.25">
      <c r="C136" s="1">
        <v>41873</v>
      </c>
      <c r="D136" s="2">
        <v>24.3</v>
      </c>
      <c r="E136" s="3">
        <v>187.8</v>
      </c>
      <c r="F136" s="2">
        <f t="shared" si="10"/>
        <v>-0.23000000000000043</v>
      </c>
      <c r="G136" s="2">
        <f t="shared" si="11"/>
        <v>-0.81000000000000227</v>
      </c>
      <c r="H136" s="5">
        <f t="shared" si="8"/>
        <v>0.16334661354581673</v>
      </c>
      <c r="I136" s="5">
        <f t="shared" si="9"/>
        <v>0.31075697211155379</v>
      </c>
      <c r="J136" s="3">
        <v>5.0000000000000711E-2</v>
      </c>
      <c r="K136" s="3">
        <v>1.0000000000019327E-2</v>
      </c>
      <c r="L136" s="4"/>
      <c r="M136" s="4"/>
      <c r="N136" s="4"/>
      <c r="O136" s="4"/>
      <c r="P136" s="4"/>
      <c r="Q136" s="4"/>
      <c r="AA136" s="8"/>
      <c r="AB136" s="8"/>
      <c r="AC136" s="4"/>
      <c r="AD136" s="4"/>
      <c r="AE136" s="4"/>
    </row>
    <row r="137" spans="3:31" x14ac:dyDescent="0.25">
      <c r="C137" s="1">
        <v>41872</v>
      </c>
      <c r="D137" s="2">
        <v>24.53</v>
      </c>
      <c r="E137" s="3">
        <v>188.61</v>
      </c>
      <c r="F137" s="2">
        <f t="shared" si="10"/>
        <v>0.17000000000000171</v>
      </c>
      <c r="G137" s="2">
        <f t="shared" si="11"/>
        <v>1.1200000000000045</v>
      </c>
      <c r="H137" s="5">
        <f t="shared" si="8"/>
        <v>0.75298804780876494</v>
      </c>
      <c r="I137" s="5">
        <f t="shared" si="9"/>
        <v>0.7689243027888446</v>
      </c>
      <c r="J137" s="3">
        <v>5.0000000000000711E-2</v>
      </c>
      <c r="K137" s="3">
        <v>3.0000000000001137E-2</v>
      </c>
      <c r="L137" s="4"/>
      <c r="M137" s="4"/>
      <c r="N137" s="4"/>
      <c r="O137" s="4"/>
      <c r="P137" s="4"/>
      <c r="Q137" s="4"/>
      <c r="AA137" s="8"/>
      <c r="AB137" s="8"/>
      <c r="AC137" s="4"/>
      <c r="AD137" s="4"/>
      <c r="AE137" s="4"/>
    </row>
    <row r="138" spans="3:31" x14ac:dyDescent="0.25">
      <c r="C138" s="1">
        <v>41871</v>
      </c>
      <c r="D138" s="2">
        <v>24.36</v>
      </c>
      <c r="E138" s="3">
        <v>187.49</v>
      </c>
      <c r="F138" s="2">
        <f t="shared" si="10"/>
        <v>7.0000000000000284E-2</v>
      </c>
      <c r="G138" s="2">
        <f t="shared" si="11"/>
        <v>3.0000000000001137E-2</v>
      </c>
      <c r="H138" s="5">
        <f t="shared" si="8"/>
        <v>0.56972111553784865</v>
      </c>
      <c r="I138" s="5">
        <f t="shared" si="9"/>
        <v>0.54183266932270913</v>
      </c>
      <c r="J138" s="3">
        <v>5.0000000000000711E-2</v>
      </c>
      <c r="K138" s="3">
        <v>5.0000000000011369E-2</v>
      </c>
      <c r="L138" s="4"/>
      <c r="M138" s="4"/>
      <c r="N138" s="4"/>
      <c r="O138" s="4"/>
      <c r="P138" s="4"/>
      <c r="Q138" s="4"/>
      <c r="AA138" s="8"/>
      <c r="AB138" s="8"/>
      <c r="AC138" s="4"/>
      <c r="AD138" s="4"/>
      <c r="AE138" s="4"/>
    </row>
    <row r="139" spans="3:31" x14ac:dyDescent="0.25">
      <c r="C139" s="1">
        <v>41870</v>
      </c>
      <c r="D139" s="2">
        <v>24.29</v>
      </c>
      <c r="E139" s="3">
        <v>187.46</v>
      </c>
      <c r="F139" s="2">
        <f t="shared" si="10"/>
        <v>9.9999999999980105E-3</v>
      </c>
      <c r="G139" s="2">
        <f t="shared" si="11"/>
        <v>0.70000000000001705</v>
      </c>
      <c r="H139" s="5">
        <f t="shared" si="8"/>
        <v>0.47808764940239046</v>
      </c>
      <c r="I139" s="5">
        <f t="shared" si="9"/>
        <v>0.71314741035856577</v>
      </c>
      <c r="J139" s="3">
        <v>5.0000000000000711E-2</v>
      </c>
      <c r="K139" s="3">
        <v>0.11999999999997613</v>
      </c>
      <c r="L139" s="4"/>
      <c r="M139" s="4"/>
      <c r="N139" s="4"/>
      <c r="O139" s="4"/>
      <c r="P139" s="4"/>
      <c r="Q139" s="4"/>
      <c r="AA139" s="8"/>
      <c r="AB139" s="8"/>
      <c r="AC139" s="4"/>
      <c r="AD139" s="4"/>
      <c r="AE139" s="4"/>
    </row>
    <row r="140" spans="3:31" x14ac:dyDescent="0.25">
      <c r="C140" s="1">
        <v>41869</v>
      </c>
      <c r="D140" s="2">
        <v>24.28</v>
      </c>
      <c r="E140" s="3">
        <v>186.76</v>
      </c>
      <c r="F140" s="2">
        <f t="shared" si="10"/>
        <v>0.20000000000000284</v>
      </c>
      <c r="G140" s="2">
        <f t="shared" si="11"/>
        <v>1.9499999999999886</v>
      </c>
      <c r="H140" s="5">
        <f t="shared" si="8"/>
        <v>0.80478087649402386</v>
      </c>
      <c r="I140" s="5">
        <f t="shared" si="9"/>
        <v>0.89641434262948205</v>
      </c>
      <c r="J140" s="3">
        <v>7.0000000000000284E-2</v>
      </c>
      <c r="K140" s="3">
        <v>0.13999999999998636</v>
      </c>
      <c r="L140" s="4"/>
      <c r="M140" s="4"/>
      <c r="N140" s="4"/>
      <c r="O140" s="4"/>
      <c r="P140" s="4"/>
      <c r="Q140" s="4"/>
      <c r="AA140" s="8"/>
      <c r="AB140" s="8"/>
      <c r="AC140" s="4"/>
      <c r="AD140" s="4"/>
      <c r="AE140" s="4"/>
    </row>
    <row r="141" spans="3:31" x14ac:dyDescent="0.25">
      <c r="C141" s="1">
        <v>41866</v>
      </c>
      <c r="D141" s="2">
        <v>24.08</v>
      </c>
      <c r="E141" s="3">
        <v>184.81</v>
      </c>
      <c r="F141" s="2">
        <f t="shared" si="10"/>
        <v>-0.11000000000000298</v>
      </c>
      <c r="G141" s="2">
        <f t="shared" si="11"/>
        <v>-0.49000000000000909</v>
      </c>
      <c r="H141" s="5">
        <f t="shared" si="8"/>
        <v>0.27091633466135456</v>
      </c>
      <c r="I141" s="5">
        <f t="shared" si="9"/>
        <v>0.37450199203187251</v>
      </c>
      <c r="J141" s="3">
        <v>7.0000000000000284E-2</v>
      </c>
      <c r="K141" s="3">
        <v>0.13999999999998636</v>
      </c>
      <c r="L141" s="4"/>
      <c r="M141" s="4"/>
      <c r="N141" s="4"/>
      <c r="O141" s="4"/>
      <c r="P141" s="4"/>
      <c r="Q141" s="4"/>
      <c r="AA141" s="8"/>
      <c r="AB141" s="8"/>
      <c r="AC141" s="4"/>
      <c r="AD141" s="4"/>
      <c r="AE141" s="4"/>
    </row>
    <row r="142" spans="3:31" x14ac:dyDescent="0.25">
      <c r="C142" s="1">
        <v>41865</v>
      </c>
      <c r="D142" s="2">
        <v>24.19</v>
      </c>
      <c r="E142" s="3">
        <v>185.3</v>
      </c>
      <c r="F142" s="2">
        <f t="shared" si="10"/>
        <v>-0.64999999999999858</v>
      </c>
      <c r="G142" s="2">
        <f t="shared" si="11"/>
        <v>-6.9999999999993179E-2</v>
      </c>
      <c r="H142" s="5">
        <f t="shared" si="8"/>
        <v>1.9920318725099601E-2</v>
      </c>
      <c r="I142" s="5">
        <f t="shared" si="9"/>
        <v>0.51792828685258963</v>
      </c>
      <c r="J142" s="3">
        <v>7.0000000000000284E-2</v>
      </c>
      <c r="K142" s="3">
        <v>0.18000000000000682</v>
      </c>
      <c r="L142" s="4"/>
      <c r="M142" s="4"/>
      <c r="N142" s="4"/>
      <c r="O142" s="4"/>
      <c r="P142" s="4"/>
      <c r="Q142" s="4"/>
      <c r="AA142" s="8"/>
      <c r="AB142" s="8"/>
      <c r="AC142" s="4"/>
      <c r="AD142" s="4"/>
      <c r="AE142" s="4"/>
    </row>
    <row r="143" spans="3:31" x14ac:dyDescent="0.25">
      <c r="C143" s="1">
        <v>41864</v>
      </c>
      <c r="D143" s="2">
        <v>24.84</v>
      </c>
      <c r="E143" s="3">
        <v>185.37</v>
      </c>
      <c r="F143" s="2">
        <f t="shared" si="10"/>
        <v>5.0000000000000711E-2</v>
      </c>
      <c r="G143" s="2">
        <f t="shared" si="11"/>
        <v>0.59999999999999432</v>
      </c>
      <c r="H143" s="5">
        <f t="shared" si="8"/>
        <v>0.54980079681274896</v>
      </c>
      <c r="I143" s="5">
        <f t="shared" si="9"/>
        <v>0.6972111553784861</v>
      </c>
      <c r="J143" s="3">
        <v>7.0000000000000284E-2</v>
      </c>
      <c r="K143" s="3">
        <v>0.18999999999999773</v>
      </c>
      <c r="L143" s="4"/>
      <c r="M143" s="4"/>
      <c r="N143" s="4"/>
      <c r="O143" s="4"/>
      <c r="P143" s="4"/>
      <c r="Q143" s="4"/>
      <c r="AA143" s="8"/>
      <c r="AB143" s="8"/>
      <c r="AC143" s="4"/>
      <c r="AD143" s="4"/>
      <c r="AE143" s="4"/>
    </row>
    <row r="144" spans="3:31" x14ac:dyDescent="0.25">
      <c r="C144" s="1">
        <v>41863</v>
      </c>
      <c r="D144" s="2">
        <v>24.79</v>
      </c>
      <c r="E144" s="3">
        <v>184.77</v>
      </c>
      <c r="F144" s="2">
        <f t="shared" si="10"/>
        <v>-8.0000000000001847E-2</v>
      </c>
      <c r="G144" s="2">
        <f t="shared" si="11"/>
        <v>-0.12999999999999545</v>
      </c>
      <c r="H144" s="5">
        <f t="shared" si="8"/>
        <v>0.3147410358565737</v>
      </c>
      <c r="I144" s="5">
        <f t="shared" si="9"/>
        <v>0.49800796812749004</v>
      </c>
      <c r="J144" s="3">
        <v>7.0000000000000284E-2</v>
      </c>
      <c r="K144" s="3">
        <v>0.18999999999999773</v>
      </c>
      <c r="L144" s="4"/>
      <c r="M144" s="4"/>
      <c r="N144" s="4"/>
      <c r="O144" s="4"/>
      <c r="P144" s="4"/>
      <c r="Q144" s="4"/>
      <c r="AA144" s="8"/>
      <c r="AB144" s="8"/>
      <c r="AC144" s="4"/>
      <c r="AD144" s="4"/>
      <c r="AE144" s="4"/>
    </row>
    <row r="145" spans="3:31" x14ac:dyDescent="0.25">
      <c r="C145" s="1">
        <v>41862</v>
      </c>
      <c r="D145" s="2">
        <v>24.87</v>
      </c>
      <c r="E145" s="3">
        <v>184.9</v>
      </c>
      <c r="F145" s="2">
        <f t="shared" si="10"/>
        <v>0.19999999999999929</v>
      </c>
      <c r="G145" s="2">
        <f t="shared" si="11"/>
        <v>0.83000000000001251</v>
      </c>
      <c r="H145" s="5">
        <f t="shared" si="8"/>
        <v>0.80079681274900394</v>
      </c>
      <c r="I145" s="5">
        <f t="shared" si="9"/>
        <v>0.73306772908366535</v>
      </c>
      <c r="J145" s="3">
        <v>8.0000000000001847E-2</v>
      </c>
      <c r="K145" s="3">
        <v>0.21999999999999886</v>
      </c>
      <c r="L145" s="4"/>
      <c r="M145" s="4"/>
      <c r="N145" s="4"/>
      <c r="O145" s="4"/>
      <c r="P145" s="4"/>
      <c r="Q145" s="4"/>
      <c r="AA145" s="8"/>
      <c r="AB145" s="8"/>
      <c r="AC145" s="4"/>
      <c r="AD145" s="4"/>
      <c r="AE145" s="4"/>
    </row>
    <row r="146" spans="3:31" x14ac:dyDescent="0.25">
      <c r="C146" s="1">
        <v>41859</v>
      </c>
      <c r="D146" s="2">
        <v>24.67</v>
      </c>
      <c r="E146" s="3">
        <v>184.07</v>
      </c>
      <c r="F146" s="2">
        <f t="shared" si="10"/>
        <v>0.17000000000000171</v>
      </c>
      <c r="G146" s="2">
        <f t="shared" si="11"/>
        <v>2.2999999999999829</v>
      </c>
      <c r="H146" s="5">
        <f t="shared" si="8"/>
        <v>0.75298804780876494</v>
      </c>
      <c r="I146" s="5">
        <f t="shared" si="9"/>
        <v>0.92031872509960155</v>
      </c>
      <c r="J146" s="3">
        <v>8.9999999999999858E-2</v>
      </c>
      <c r="K146" s="3">
        <v>0.25</v>
      </c>
      <c r="L146" s="4"/>
      <c r="M146" s="4"/>
      <c r="N146" s="4"/>
      <c r="O146" s="4"/>
      <c r="P146" s="4"/>
      <c r="Q146" s="4"/>
      <c r="AA146" s="8"/>
      <c r="AB146" s="8"/>
      <c r="AC146" s="4"/>
      <c r="AD146" s="4"/>
      <c r="AE146" s="4"/>
    </row>
    <row r="147" spans="3:31" x14ac:dyDescent="0.25">
      <c r="C147" s="1">
        <v>41858</v>
      </c>
      <c r="D147" s="2">
        <v>24.5</v>
      </c>
      <c r="E147" s="3">
        <v>181.77</v>
      </c>
      <c r="F147" s="2">
        <f t="shared" si="10"/>
        <v>-7.0000000000000284E-2</v>
      </c>
      <c r="G147" s="2">
        <f t="shared" si="11"/>
        <v>-1.6499999999999773</v>
      </c>
      <c r="H147" s="5">
        <f t="shared" si="8"/>
        <v>0.3386454183266932</v>
      </c>
      <c r="I147" s="5">
        <f t="shared" si="9"/>
        <v>0.17131474103585656</v>
      </c>
      <c r="J147" s="3">
        <v>8.9999999999999858E-2</v>
      </c>
      <c r="K147" s="3">
        <v>0.25</v>
      </c>
      <c r="L147" s="4"/>
      <c r="M147" s="4"/>
      <c r="N147" s="4"/>
      <c r="O147" s="4"/>
      <c r="P147" s="4"/>
      <c r="Q147" s="4"/>
      <c r="AA147" s="8"/>
      <c r="AB147" s="8"/>
      <c r="AC147" s="4"/>
      <c r="AD147" s="4"/>
      <c r="AE147" s="4"/>
    </row>
    <row r="148" spans="3:31" x14ac:dyDescent="0.25">
      <c r="C148" s="1">
        <v>41857</v>
      </c>
      <c r="D148" s="2">
        <v>24.57</v>
      </c>
      <c r="E148" s="3">
        <v>183.42</v>
      </c>
      <c r="F148" s="2">
        <f t="shared" si="10"/>
        <v>-3.9999999999999147E-2</v>
      </c>
      <c r="G148" s="2">
        <f t="shared" si="11"/>
        <v>-3.0000000000001137E-2</v>
      </c>
      <c r="H148" s="5">
        <f t="shared" si="8"/>
        <v>0.38247011952191234</v>
      </c>
      <c r="I148" s="5">
        <f t="shared" si="9"/>
        <v>0.52988047808764938</v>
      </c>
      <c r="J148" s="3">
        <v>8.9999999999999858E-2</v>
      </c>
      <c r="K148" s="3">
        <v>0.28000000000000114</v>
      </c>
      <c r="L148" s="4"/>
      <c r="M148" s="4"/>
      <c r="N148" s="4"/>
      <c r="O148" s="4"/>
      <c r="P148" s="4"/>
      <c r="Q148" s="4"/>
      <c r="AA148" s="8"/>
      <c r="AB148" s="8"/>
      <c r="AC148" s="4"/>
      <c r="AD148" s="4"/>
      <c r="AE148" s="4"/>
    </row>
    <row r="149" spans="3:31" x14ac:dyDescent="0.25">
      <c r="C149" s="1">
        <v>41856</v>
      </c>
      <c r="D149" s="2">
        <v>24.61</v>
      </c>
      <c r="E149" s="3">
        <v>183.45</v>
      </c>
      <c r="F149" s="2">
        <f t="shared" si="10"/>
        <v>-0.19999999999999929</v>
      </c>
      <c r="G149" s="2">
        <f t="shared" si="11"/>
        <v>-2.4900000000000091</v>
      </c>
      <c r="H149" s="5">
        <f t="shared" si="8"/>
        <v>0.1752988047808765</v>
      </c>
      <c r="I149" s="5">
        <f t="shared" si="9"/>
        <v>7.1713147410358571E-2</v>
      </c>
      <c r="J149" s="3">
        <v>9.9999999999997868E-2</v>
      </c>
      <c r="K149" s="3">
        <v>0.28000000000000114</v>
      </c>
      <c r="L149" s="4"/>
      <c r="M149" s="4"/>
      <c r="N149" s="4"/>
      <c r="O149" s="4"/>
      <c r="P149" s="4"/>
      <c r="Q149" s="4"/>
      <c r="AA149" s="8"/>
      <c r="AB149" s="8"/>
      <c r="AC149" s="4"/>
      <c r="AD149" s="4"/>
      <c r="AE149" s="4"/>
    </row>
    <row r="150" spans="3:31" x14ac:dyDescent="0.25">
      <c r="C150" s="1">
        <v>41855</v>
      </c>
      <c r="D150" s="2">
        <v>24.81</v>
      </c>
      <c r="E150" s="3">
        <v>185.94</v>
      </c>
      <c r="F150" s="2">
        <f t="shared" si="10"/>
        <v>0.16999999999999815</v>
      </c>
      <c r="G150" s="2">
        <f t="shared" si="11"/>
        <v>0.47999999999998977</v>
      </c>
      <c r="H150" s="5">
        <f t="shared" si="8"/>
        <v>0.7450199203187251</v>
      </c>
      <c r="I150" s="5">
        <f t="shared" si="9"/>
        <v>0.64143426294820716</v>
      </c>
      <c r="J150" s="3">
        <v>9.9999999999997868E-2</v>
      </c>
      <c r="K150" s="3">
        <v>0.28999999999999204</v>
      </c>
      <c r="L150" s="4"/>
      <c r="M150" s="4"/>
      <c r="N150" s="4"/>
      <c r="O150" s="4"/>
      <c r="P150" s="4"/>
      <c r="Q150" s="4"/>
      <c r="AA150" s="8"/>
      <c r="AB150" s="8"/>
      <c r="AC150" s="4"/>
      <c r="AD150" s="4"/>
      <c r="AE150" s="4"/>
    </row>
    <row r="151" spans="3:31" x14ac:dyDescent="0.25">
      <c r="C151" s="1">
        <v>41852</v>
      </c>
      <c r="D151" s="2">
        <v>24.64</v>
      </c>
      <c r="E151" s="3">
        <v>185.46</v>
      </c>
      <c r="F151" s="2">
        <f t="shared" si="10"/>
        <v>-0.23000000000000043</v>
      </c>
      <c r="G151" s="2">
        <f t="shared" si="11"/>
        <v>-2.4699999999999989</v>
      </c>
      <c r="H151" s="5">
        <f t="shared" si="8"/>
        <v>0.16334661354581673</v>
      </c>
      <c r="I151" s="5">
        <f t="shared" si="9"/>
        <v>7.5697211155378488E-2</v>
      </c>
      <c r="J151" s="3">
        <v>0.10000000000000142</v>
      </c>
      <c r="K151" s="3">
        <v>0.29000000000002046</v>
      </c>
      <c r="L151" s="4"/>
      <c r="M151" s="4"/>
      <c r="N151" s="4"/>
      <c r="O151" s="4"/>
      <c r="P151" s="4"/>
      <c r="Q151" s="4"/>
      <c r="AA151" s="8"/>
      <c r="AB151" s="8"/>
      <c r="AC151" s="4"/>
      <c r="AD151" s="4"/>
      <c r="AE151" s="4"/>
    </row>
    <row r="152" spans="3:31" x14ac:dyDescent="0.25">
      <c r="C152" s="1">
        <v>41851</v>
      </c>
      <c r="D152" s="2">
        <v>24.87</v>
      </c>
      <c r="E152" s="3">
        <v>187.93</v>
      </c>
      <c r="F152" s="2">
        <f t="shared" si="10"/>
        <v>-0.39000000000000057</v>
      </c>
      <c r="G152" s="2">
        <f t="shared" si="11"/>
        <v>-2.2800000000000011</v>
      </c>
      <c r="H152" s="5">
        <f t="shared" si="8"/>
        <v>6.7729083665338641E-2</v>
      </c>
      <c r="I152" s="5">
        <f t="shared" si="9"/>
        <v>9.5617529880478086E-2</v>
      </c>
      <c r="J152" s="3">
        <v>0.10999999999999943</v>
      </c>
      <c r="K152" s="3">
        <v>0.3200000000000216</v>
      </c>
      <c r="L152" s="4"/>
      <c r="M152" s="4"/>
      <c r="N152" s="4"/>
      <c r="O152" s="4"/>
      <c r="P152" s="4"/>
      <c r="Q152" s="4"/>
      <c r="AA152" s="8"/>
      <c r="AB152" s="8"/>
      <c r="AC152" s="4"/>
      <c r="AD152" s="4"/>
      <c r="AE152" s="4"/>
    </row>
    <row r="153" spans="3:31" x14ac:dyDescent="0.25">
      <c r="C153" s="1">
        <v>41850</v>
      </c>
      <c r="D153" s="2">
        <v>25.26</v>
      </c>
      <c r="E153" s="3">
        <v>190.21</v>
      </c>
      <c r="F153" s="2">
        <f t="shared" si="10"/>
        <v>-7.9999999999998295E-2</v>
      </c>
      <c r="G153" s="2">
        <f t="shared" si="11"/>
        <v>-0.56000000000000227</v>
      </c>
      <c r="H153" s="5">
        <f t="shared" si="8"/>
        <v>0.32270916334661354</v>
      </c>
      <c r="I153" s="5">
        <f t="shared" si="9"/>
        <v>0.36653386454183268</v>
      </c>
      <c r="J153" s="3">
        <v>0.10999999999999943</v>
      </c>
      <c r="K153" s="3">
        <v>0.36999999999997613</v>
      </c>
      <c r="L153" s="4"/>
      <c r="M153" s="4"/>
      <c r="N153" s="4"/>
      <c r="O153" s="4"/>
      <c r="P153" s="4"/>
      <c r="Q153" s="4"/>
      <c r="AA153" s="8"/>
      <c r="AB153" s="8"/>
      <c r="AC153" s="4"/>
      <c r="AD153" s="4"/>
      <c r="AE153" s="4"/>
    </row>
    <row r="154" spans="3:31" x14ac:dyDescent="0.25">
      <c r="C154" s="1">
        <v>41849</v>
      </c>
      <c r="D154" s="2">
        <v>25.34</v>
      </c>
      <c r="E154" s="3">
        <v>190.77</v>
      </c>
      <c r="F154" s="2">
        <f t="shared" si="10"/>
        <v>-0.21000000000000085</v>
      </c>
      <c r="G154" s="2">
        <f t="shared" si="11"/>
        <v>-1.1899999999999977</v>
      </c>
      <c r="H154" s="5">
        <f t="shared" si="8"/>
        <v>0.17131474103585656</v>
      </c>
      <c r="I154" s="5">
        <f t="shared" si="9"/>
        <v>0.2549800796812749</v>
      </c>
      <c r="J154" s="3">
        <v>0.10999999999999943</v>
      </c>
      <c r="K154" s="3">
        <v>0.37000000000000455</v>
      </c>
      <c r="L154" s="4"/>
      <c r="M154" s="4"/>
      <c r="N154" s="4"/>
      <c r="O154" s="4"/>
      <c r="P154" s="4"/>
      <c r="Q154" s="4"/>
      <c r="AA154" s="8"/>
      <c r="AB154" s="8"/>
      <c r="AC154" s="4"/>
      <c r="AD154" s="4"/>
      <c r="AE154" s="4"/>
    </row>
    <row r="155" spans="3:31" x14ac:dyDescent="0.25">
      <c r="C155" s="1">
        <v>41848</v>
      </c>
      <c r="D155" s="2">
        <v>25.55</v>
      </c>
      <c r="E155" s="3">
        <v>191.96</v>
      </c>
      <c r="F155" s="2">
        <f t="shared" si="10"/>
        <v>-5.0000000000000711E-2</v>
      </c>
      <c r="G155" s="2">
        <f t="shared" si="11"/>
        <v>1.3499999999999943</v>
      </c>
      <c r="H155" s="5">
        <f t="shared" si="8"/>
        <v>0.36653386454183268</v>
      </c>
      <c r="I155" s="5">
        <f t="shared" si="9"/>
        <v>0.82071713147410363</v>
      </c>
      <c r="J155" s="3">
        <v>0.10999999999999943</v>
      </c>
      <c r="K155" s="3">
        <v>0.37000000000000455</v>
      </c>
      <c r="L155" s="4"/>
      <c r="M155" s="4"/>
      <c r="N155" s="4"/>
      <c r="O155" s="4"/>
      <c r="P155" s="4"/>
      <c r="Q155" s="4"/>
      <c r="AA155" s="8"/>
      <c r="AB155" s="8"/>
      <c r="AC155" s="4"/>
      <c r="AD155" s="4"/>
      <c r="AE155" s="4"/>
    </row>
    <row r="156" spans="3:31" x14ac:dyDescent="0.25">
      <c r="C156" s="1">
        <v>41845</v>
      </c>
      <c r="D156" s="2">
        <v>25.6</v>
      </c>
      <c r="E156" s="3">
        <v>190.61</v>
      </c>
      <c r="F156" s="2">
        <f t="shared" si="10"/>
        <v>0.14000000000000057</v>
      </c>
      <c r="G156" s="2">
        <f t="shared" si="11"/>
        <v>-0.81999999999999318</v>
      </c>
      <c r="H156" s="5">
        <f t="shared" si="8"/>
        <v>0.68525896414342624</v>
      </c>
      <c r="I156" s="5">
        <f t="shared" si="9"/>
        <v>0.30677290836653387</v>
      </c>
      <c r="J156" s="3">
        <v>0.11999999999999744</v>
      </c>
      <c r="K156" s="3">
        <v>0.37000000000000455</v>
      </c>
      <c r="L156" s="4"/>
      <c r="M156" s="4"/>
      <c r="N156" s="4"/>
      <c r="O156" s="4"/>
      <c r="P156" s="4"/>
      <c r="Q156" s="4"/>
      <c r="AA156" s="8"/>
      <c r="AB156" s="8"/>
      <c r="AC156" s="4"/>
      <c r="AD156" s="4"/>
      <c r="AE156" s="4"/>
    </row>
    <row r="157" spans="3:31" x14ac:dyDescent="0.25">
      <c r="C157" s="1">
        <v>41844</v>
      </c>
      <c r="D157" s="2">
        <v>25.46</v>
      </c>
      <c r="E157" s="3">
        <v>191.43</v>
      </c>
      <c r="F157" s="2">
        <f t="shared" si="10"/>
        <v>0.15000000000000213</v>
      </c>
      <c r="G157" s="2">
        <f t="shared" si="11"/>
        <v>1.5800000000000125</v>
      </c>
      <c r="H157" s="5">
        <f t="shared" si="8"/>
        <v>0.71713147410358569</v>
      </c>
      <c r="I157" s="5">
        <f t="shared" si="9"/>
        <v>0.84860557768924305</v>
      </c>
      <c r="J157" s="3">
        <v>0.11999999999999744</v>
      </c>
      <c r="K157" s="3">
        <v>0.37999999999999545</v>
      </c>
      <c r="L157" s="4"/>
      <c r="M157" s="4"/>
      <c r="N157" s="4"/>
      <c r="O157" s="4"/>
      <c r="P157" s="4"/>
      <c r="Q157" s="4"/>
      <c r="AA157" s="8"/>
      <c r="AB157" s="8"/>
      <c r="AC157" s="4"/>
      <c r="AD157" s="4"/>
      <c r="AE157" s="4"/>
    </row>
    <row r="158" spans="3:31" x14ac:dyDescent="0.25">
      <c r="C158" s="1">
        <v>41843</v>
      </c>
      <c r="D158" s="2">
        <v>25.31</v>
      </c>
      <c r="E158" s="3">
        <v>189.85</v>
      </c>
      <c r="F158" s="2">
        <f t="shared" si="10"/>
        <v>-0.26999999999999957</v>
      </c>
      <c r="G158" s="2">
        <f t="shared" si="11"/>
        <v>-0.45000000000001705</v>
      </c>
      <c r="H158" s="5">
        <f t="shared" si="8"/>
        <v>0.12749003984063745</v>
      </c>
      <c r="I158" s="5">
        <f t="shared" si="9"/>
        <v>0.39442231075697209</v>
      </c>
      <c r="J158" s="3">
        <v>0.11999999999999744</v>
      </c>
      <c r="K158" s="3">
        <v>0.37999999999999545</v>
      </c>
      <c r="L158" s="4"/>
      <c r="M158" s="4"/>
      <c r="N158" s="4"/>
      <c r="O158" s="4"/>
      <c r="P158" s="4"/>
      <c r="Q158" s="4"/>
      <c r="AA158" s="8"/>
      <c r="AB158" s="8"/>
      <c r="AC158" s="4"/>
      <c r="AD158" s="4"/>
      <c r="AE158" s="4"/>
    </row>
    <row r="159" spans="3:31" x14ac:dyDescent="0.25">
      <c r="C159" s="1">
        <v>41842</v>
      </c>
      <c r="D159" s="2">
        <v>25.58</v>
      </c>
      <c r="E159" s="3">
        <v>190.3</v>
      </c>
      <c r="F159" s="2">
        <f t="shared" si="10"/>
        <v>9.9999999999997868E-2</v>
      </c>
      <c r="G159" s="2">
        <f t="shared" si="11"/>
        <v>3.1700000000000159</v>
      </c>
      <c r="H159" s="5">
        <f t="shared" si="8"/>
        <v>0.59362549800796816</v>
      </c>
      <c r="I159" s="5">
        <f t="shared" si="9"/>
        <v>0.952191235059761</v>
      </c>
      <c r="J159" s="3">
        <v>0.12000000000000099</v>
      </c>
      <c r="K159" s="3">
        <v>0.38999999999998636</v>
      </c>
      <c r="L159" s="4"/>
      <c r="M159" s="4"/>
      <c r="N159" s="4"/>
      <c r="O159" s="4"/>
      <c r="P159" s="4"/>
      <c r="Q159" s="4"/>
      <c r="AA159" s="8"/>
      <c r="AB159" s="8"/>
      <c r="AC159" s="4"/>
      <c r="AD159" s="4"/>
      <c r="AE159" s="4"/>
    </row>
    <row r="160" spans="3:31" x14ac:dyDescent="0.25">
      <c r="C160" s="1">
        <v>41841</v>
      </c>
      <c r="D160" s="2">
        <v>25.48</v>
      </c>
      <c r="E160" s="3">
        <v>187.13</v>
      </c>
      <c r="F160" s="2">
        <f t="shared" si="10"/>
        <v>-5.9999999999998721E-2</v>
      </c>
      <c r="G160" s="2">
        <f t="shared" si="11"/>
        <v>-1.6100000000000136</v>
      </c>
      <c r="H160" s="5">
        <f t="shared" si="8"/>
        <v>0.35059760956175301</v>
      </c>
      <c r="I160" s="5">
        <f t="shared" si="9"/>
        <v>0.18326693227091634</v>
      </c>
      <c r="J160" s="3">
        <v>0.12000000000000099</v>
      </c>
      <c r="K160" s="3">
        <v>0.39000000000001478</v>
      </c>
      <c r="L160" s="4"/>
      <c r="M160" s="4"/>
      <c r="N160" s="4"/>
      <c r="O160" s="4"/>
      <c r="P160" s="4"/>
      <c r="Q160" s="4"/>
      <c r="AA160" s="8"/>
      <c r="AB160" s="8"/>
      <c r="AC160" s="4"/>
      <c r="AD160" s="4"/>
      <c r="AE160" s="4"/>
    </row>
    <row r="161" spans="3:31" x14ac:dyDescent="0.25">
      <c r="C161" s="1">
        <v>41838</v>
      </c>
      <c r="D161" s="2">
        <v>25.54</v>
      </c>
      <c r="E161" s="3">
        <v>188.74</v>
      </c>
      <c r="F161" s="2">
        <f t="shared" si="10"/>
        <v>0.27999999999999758</v>
      </c>
      <c r="G161" s="2">
        <f t="shared" si="11"/>
        <v>1.0000000000019327E-2</v>
      </c>
      <c r="H161" s="5">
        <f t="shared" si="8"/>
        <v>0.88047808764940239</v>
      </c>
      <c r="I161" s="5">
        <f t="shared" si="9"/>
        <v>0.53784860557768921</v>
      </c>
      <c r="J161" s="3">
        <v>0.12000000000000099</v>
      </c>
      <c r="K161" s="3">
        <v>0.46999999999999886</v>
      </c>
      <c r="L161" s="4"/>
      <c r="M161" s="4"/>
      <c r="N161" s="4"/>
      <c r="O161" s="4"/>
      <c r="P161" s="4"/>
      <c r="Q161" s="4"/>
      <c r="AA161" s="8"/>
      <c r="AB161" s="8"/>
      <c r="AC161" s="4"/>
      <c r="AD161" s="4"/>
      <c r="AE161" s="4"/>
    </row>
    <row r="162" spans="3:31" x14ac:dyDescent="0.25">
      <c r="C162" s="1">
        <v>41837</v>
      </c>
      <c r="D162" s="2">
        <v>25.26</v>
      </c>
      <c r="E162" s="3">
        <v>188.73</v>
      </c>
      <c r="F162" s="2">
        <f t="shared" si="10"/>
        <v>-0.34999999999999787</v>
      </c>
      <c r="G162" s="2">
        <f t="shared" si="11"/>
        <v>0.11999999999997613</v>
      </c>
      <c r="H162" s="5">
        <f t="shared" si="8"/>
        <v>8.7649402390438252E-2</v>
      </c>
      <c r="I162" s="5">
        <f t="shared" si="9"/>
        <v>0.54980079681274896</v>
      </c>
      <c r="J162" s="3">
        <v>0.12000000000000099</v>
      </c>
      <c r="K162" s="3">
        <v>0.47999999999998977</v>
      </c>
      <c r="L162" s="4"/>
      <c r="M162" s="4"/>
      <c r="N162" s="4"/>
      <c r="O162" s="4"/>
      <c r="P162" s="4"/>
      <c r="Q162" s="4"/>
      <c r="AA162" s="8"/>
      <c r="AB162" s="8"/>
      <c r="AC162" s="4"/>
      <c r="AD162" s="4"/>
      <c r="AE162" s="4"/>
    </row>
    <row r="163" spans="3:31" x14ac:dyDescent="0.25">
      <c r="C163" s="1">
        <v>41836</v>
      </c>
      <c r="D163" s="2">
        <v>25.61</v>
      </c>
      <c r="E163" s="3">
        <v>188.61</v>
      </c>
      <c r="F163" s="2">
        <f t="shared" si="10"/>
        <v>0.30999999999999872</v>
      </c>
      <c r="G163" s="2">
        <f t="shared" si="11"/>
        <v>3.8000000000000114</v>
      </c>
      <c r="H163" s="5">
        <f t="shared" si="8"/>
        <v>0.9083665338645418</v>
      </c>
      <c r="I163" s="5">
        <f t="shared" si="9"/>
        <v>0.98406374501992033</v>
      </c>
      <c r="J163" s="3">
        <v>0.12999999999999901</v>
      </c>
      <c r="K163" s="3">
        <v>0.49000000000000909</v>
      </c>
      <c r="L163" s="4"/>
      <c r="M163" s="4"/>
      <c r="N163" s="4"/>
      <c r="O163" s="4"/>
      <c r="P163" s="4"/>
      <c r="Q163" s="4"/>
      <c r="AA163" s="8"/>
      <c r="AB163" s="8"/>
      <c r="AC163" s="4"/>
      <c r="AD163" s="4"/>
      <c r="AE163" s="4"/>
    </row>
    <row r="164" spans="3:31" x14ac:dyDescent="0.25">
      <c r="C164" s="1">
        <v>41835</v>
      </c>
      <c r="D164" s="2">
        <v>25.3</v>
      </c>
      <c r="E164" s="3">
        <v>184.81</v>
      </c>
      <c r="F164" s="2">
        <f t="shared" si="10"/>
        <v>0.22000000000000242</v>
      </c>
      <c r="G164" s="2">
        <f t="shared" si="11"/>
        <v>-1.3400000000000034</v>
      </c>
      <c r="H164" s="5">
        <f t="shared" si="8"/>
        <v>0.83266932270916338</v>
      </c>
      <c r="I164" s="5">
        <f t="shared" si="9"/>
        <v>0.2151394422310757</v>
      </c>
      <c r="J164" s="3">
        <v>0.12999999999999901</v>
      </c>
      <c r="K164" s="3">
        <v>0.50999999999999091</v>
      </c>
      <c r="L164" s="4"/>
      <c r="M164" s="4"/>
      <c r="N164" s="4"/>
      <c r="O164" s="4"/>
      <c r="P164" s="4"/>
      <c r="Q164" s="4"/>
      <c r="AA164" s="8"/>
      <c r="AB164" s="8"/>
      <c r="AC164" s="4"/>
      <c r="AD164" s="4"/>
      <c r="AE164" s="4"/>
    </row>
    <row r="165" spans="3:31" x14ac:dyDescent="0.25">
      <c r="C165" s="1">
        <v>41834</v>
      </c>
      <c r="D165" s="2">
        <v>25.08</v>
      </c>
      <c r="E165" s="3">
        <v>186.15</v>
      </c>
      <c r="F165" s="2">
        <f t="shared" si="10"/>
        <v>-7.0000000000000284E-2</v>
      </c>
      <c r="G165" s="2">
        <f t="shared" si="11"/>
        <v>1.8199999999999932</v>
      </c>
      <c r="H165" s="5">
        <f t="shared" si="8"/>
        <v>0.3386454183266932</v>
      </c>
      <c r="I165" s="5">
        <f t="shared" si="9"/>
        <v>0.87649402390438247</v>
      </c>
      <c r="J165" s="3">
        <v>0.12999999999999901</v>
      </c>
      <c r="K165" s="3">
        <v>0.52000000000001023</v>
      </c>
      <c r="L165" s="4"/>
      <c r="M165" s="4"/>
      <c r="N165" s="4"/>
      <c r="O165" s="4"/>
      <c r="P165" s="4"/>
      <c r="Q165" s="4"/>
      <c r="AA165" s="8"/>
      <c r="AB165" s="8"/>
      <c r="AC165" s="4"/>
      <c r="AD165" s="4"/>
      <c r="AE165" s="4"/>
    </row>
    <row r="166" spans="3:31" x14ac:dyDescent="0.25">
      <c r="C166" s="1">
        <v>41831</v>
      </c>
      <c r="D166" s="2">
        <v>25.15</v>
      </c>
      <c r="E166" s="3">
        <v>184.33</v>
      </c>
      <c r="F166" s="2">
        <f t="shared" si="10"/>
        <v>7.0000000000000284E-2</v>
      </c>
      <c r="G166" s="2">
        <f t="shared" si="11"/>
        <v>0.29000000000002046</v>
      </c>
      <c r="H166" s="5">
        <f t="shared" si="8"/>
        <v>0.56972111553784865</v>
      </c>
      <c r="I166" s="5">
        <f t="shared" si="9"/>
        <v>0.59760956175298807</v>
      </c>
      <c r="J166" s="3">
        <v>0.13000000000000256</v>
      </c>
      <c r="K166" s="3">
        <v>0.52000000000001023</v>
      </c>
      <c r="L166" s="4"/>
      <c r="M166" s="4"/>
      <c r="N166" s="4"/>
      <c r="O166" s="4"/>
      <c r="P166" s="4"/>
      <c r="Q166" s="4"/>
      <c r="AA166" s="8"/>
      <c r="AB166" s="8"/>
      <c r="AC166" s="4"/>
      <c r="AD166" s="4"/>
      <c r="AE166" s="4"/>
    </row>
    <row r="167" spans="3:31" x14ac:dyDescent="0.25">
      <c r="C167" s="1">
        <v>41830</v>
      </c>
      <c r="D167" s="2">
        <v>25.08</v>
      </c>
      <c r="E167" s="3">
        <v>184.04</v>
      </c>
      <c r="F167" s="2">
        <f t="shared" si="10"/>
        <v>0</v>
      </c>
      <c r="G167" s="2">
        <f t="shared" si="11"/>
        <v>-0.70000000000001705</v>
      </c>
      <c r="H167" s="5">
        <f t="shared" si="8"/>
        <v>0.47011952191235062</v>
      </c>
      <c r="I167" s="5">
        <f t="shared" si="9"/>
        <v>0.34661354581673309</v>
      </c>
      <c r="J167" s="3">
        <v>0.13000000000000256</v>
      </c>
      <c r="K167" s="3">
        <v>0.52000000000001023</v>
      </c>
      <c r="L167" s="4"/>
      <c r="M167" s="4"/>
      <c r="N167" s="4"/>
      <c r="O167" s="4"/>
      <c r="P167" s="4"/>
      <c r="Q167" s="4"/>
      <c r="AA167" s="8"/>
      <c r="AB167" s="8"/>
      <c r="AC167" s="4"/>
      <c r="AD167" s="4"/>
      <c r="AE167" s="4"/>
    </row>
    <row r="168" spans="3:31" x14ac:dyDescent="0.25">
      <c r="C168" s="1">
        <v>41829</v>
      </c>
      <c r="D168" s="2">
        <v>25.08</v>
      </c>
      <c r="E168" s="3">
        <v>184.74</v>
      </c>
      <c r="F168" s="2">
        <f t="shared" si="10"/>
        <v>0.36999999999999744</v>
      </c>
      <c r="G168" s="2">
        <f t="shared" si="11"/>
        <v>1.1700000000000159</v>
      </c>
      <c r="H168" s="5">
        <f t="shared" si="8"/>
        <v>0.92031872509960155</v>
      </c>
      <c r="I168" s="5">
        <f t="shared" si="9"/>
        <v>0.78486055776892427</v>
      </c>
      <c r="J168" s="3">
        <v>0.13999999999999702</v>
      </c>
      <c r="K168" s="3">
        <v>0.55000000000001137</v>
      </c>
      <c r="L168" s="4"/>
      <c r="M168" s="4"/>
      <c r="N168" s="4"/>
      <c r="O168" s="4"/>
      <c r="P168" s="4"/>
      <c r="Q168" s="4"/>
      <c r="AA168" s="8"/>
      <c r="AB168" s="8"/>
      <c r="AC168" s="4"/>
      <c r="AD168" s="4"/>
      <c r="AE168" s="4"/>
    </row>
    <row r="169" spans="3:31" x14ac:dyDescent="0.25">
      <c r="C169" s="1">
        <v>41828</v>
      </c>
      <c r="D169" s="2">
        <v>24.71</v>
      </c>
      <c r="E169" s="3">
        <v>183.57</v>
      </c>
      <c r="F169" s="2">
        <f t="shared" si="10"/>
        <v>-0.16000000000000014</v>
      </c>
      <c r="G169" s="2">
        <f t="shared" si="11"/>
        <v>-0.80000000000001137</v>
      </c>
      <c r="H169" s="5">
        <f t="shared" si="8"/>
        <v>0.22709163346613545</v>
      </c>
      <c r="I169" s="5">
        <f t="shared" si="9"/>
        <v>0.3147410358565737</v>
      </c>
      <c r="J169" s="3">
        <v>0.14000000000000057</v>
      </c>
      <c r="K169" s="3">
        <v>0.56000000000000227</v>
      </c>
      <c r="L169" s="4"/>
      <c r="M169" s="4"/>
      <c r="N169" s="4"/>
      <c r="O169" s="4"/>
      <c r="P169" s="4"/>
      <c r="Q169" s="4"/>
      <c r="AA169" s="8"/>
      <c r="AB169" s="8"/>
      <c r="AC169" s="4"/>
      <c r="AD169" s="4"/>
      <c r="AE169" s="4"/>
    </row>
    <row r="170" spans="3:31" x14ac:dyDescent="0.25">
      <c r="C170" s="1">
        <v>41827</v>
      </c>
      <c r="D170" s="2">
        <v>24.87</v>
      </c>
      <c r="E170" s="3">
        <v>184.37</v>
      </c>
      <c r="F170" s="2">
        <f t="shared" si="10"/>
        <v>4.00000000000027E-2</v>
      </c>
      <c r="G170" s="2">
        <f t="shared" si="11"/>
        <v>-0.47999999999998977</v>
      </c>
      <c r="H170" s="5">
        <f t="shared" si="8"/>
        <v>0.52191235059760954</v>
      </c>
      <c r="I170" s="5">
        <f t="shared" si="9"/>
        <v>0.38645418326693226</v>
      </c>
      <c r="J170" s="3">
        <v>0.14000000000000057</v>
      </c>
      <c r="K170" s="3">
        <v>0.56000000000000227</v>
      </c>
      <c r="L170" s="4"/>
      <c r="M170" s="4"/>
      <c r="N170" s="4"/>
      <c r="O170" s="4"/>
      <c r="P170" s="4"/>
      <c r="Q170" s="4"/>
      <c r="AA170" s="8"/>
      <c r="AB170" s="8"/>
      <c r="AC170" s="4"/>
      <c r="AD170" s="4"/>
      <c r="AE170" s="4"/>
    </row>
    <row r="171" spans="3:31" x14ac:dyDescent="0.25">
      <c r="C171" s="1">
        <v>41823</v>
      </c>
      <c r="D171" s="2">
        <v>24.83</v>
      </c>
      <c r="E171" s="3">
        <v>184.85</v>
      </c>
      <c r="F171" s="2">
        <f t="shared" si="10"/>
        <v>0.15999999999999659</v>
      </c>
      <c r="G171" s="2">
        <f t="shared" si="11"/>
        <v>0.13999999999998636</v>
      </c>
      <c r="H171" s="5">
        <f t="shared" si="8"/>
        <v>0.7211155378486056</v>
      </c>
      <c r="I171" s="5">
        <f t="shared" si="9"/>
        <v>0.55776892430278879</v>
      </c>
      <c r="J171" s="3">
        <v>0.14000000000000057</v>
      </c>
      <c r="K171" s="3">
        <v>0.58000000000001251</v>
      </c>
      <c r="L171" s="4"/>
      <c r="M171" s="4"/>
      <c r="N171" s="4"/>
      <c r="O171" s="4"/>
      <c r="P171" s="4"/>
      <c r="Q171" s="4"/>
      <c r="AA171" s="8"/>
      <c r="AB171" s="8"/>
      <c r="AC171" s="4"/>
      <c r="AD171" s="4"/>
      <c r="AE171" s="4"/>
    </row>
    <row r="172" spans="3:31" x14ac:dyDescent="0.25">
      <c r="C172" s="1">
        <v>41822</v>
      </c>
      <c r="D172" s="2">
        <v>24.67</v>
      </c>
      <c r="E172" s="3">
        <v>184.71</v>
      </c>
      <c r="F172" s="2">
        <f t="shared" si="10"/>
        <v>0.14000000000000057</v>
      </c>
      <c r="G172" s="2">
        <f t="shared" si="11"/>
        <v>2</v>
      </c>
      <c r="H172" s="5">
        <f t="shared" si="8"/>
        <v>0.68525896414342624</v>
      </c>
      <c r="I172" s="5">
        <f t="shared" si="9"/>
        <v>0.9083665338645418</v>
      </c>
      <c r="J172" s="3">
        <v>0.14000000000000057</v>
      </c>
      <c r="K172" s="3">
        <v>0.59000000000000341</v>
      </c>
      <c r="L172" s="4"/>
      <c r="M172" s="4"/>
      <c r="N172" s="4"/>
      <c r="O172" s="4"/>
      <c r="P172" s="4"/>
      <c r="Q172" s="4"/>
      <c r="AA172" s="8"/>
      <c r="AB172" s="8"/>
      <c r="AC172" s="4"/>
      <c r="AD172" s="4"/>
      <c r="AE172" s="4"/>
    </row>
    <row r="173" spans="3:31" x14ac:dyDescent="0.25">
      <c r="C173" s="1">
        <v>41821</v>
      </c>
      <c r="D173" s="2">
        <v>24.53</v>
      </c>
      <c r="E173" s="3">
        <v>182.71</v>
      </c>
      <c r="F173" s="2">
        <f t="shared" si="10"/>
        <v>0.22000000000000242</v>
      </c>
      <c r="G173" s="2">
        <f t="shared" si="11"/>
        <v>4.9800000000000182</v>
      </c>
      <c r="H173" s="5">
        <f t="shared" si="8"/>
        <v>0.83266932270916338</v>
      </c>
      <c r="I173" s="5">
        <f t="shared" si="9"/>
        <v>0.99203187250996017</v>
      </c>
      <c r="J173" s="3">
        <v>0.14000000000000057</v>
      </c>
      <c r="K173" s="3">
        <v>0.59000000000000341</v>
      </c>
      <c r="L173" s="4"/>
      <c r="M173" s="4"/>
      <c r="N173" s="4"/>
      <c r="O173" s="4"/>
      <c r="P173" s="4"/>
      <c r="Q173" s="4"/>
      <c r="AA173" s="8"/>
      <c r="AB173" s="8"/>
      <c r="AC173" s="4"/>
      <c r="AD173" s="4"/>
      <c r="AE173" s="4"/>
    </row>
    <row r="174" spans="3:31" x14ac:dyDescent="0.25">
      <c r="C174" s="1">
        <v>41820</v>
      </c>
      <c r="D174" s="2">
        <v>24.31</v>
      </c>
      <c r="E174" s="3">
        <v>177.73</v>
      </c>
      <c r="F174" s="2">
        <f t="shared" si="10"/>
        <v>0.14999999999999858</v>
      </c>
      <c r="G174" s="2">
        <f t="shared" si="11"/>
        <v>-0.43000000000000682</v>
      </c>
      <c r="H174" s="5">
        <f t="shared" si="8"/>
        <v>0.70517928286852594</v>
      </c>
      <c r="I174" s="5">
        <f t="shared" si="9"/>
        <v>0.41035856573705182</v>
      </c>
      <c r="J174" s="3">
        <v>0.14999999999999858</v>
      </c>
      <c r="K174" s="3">
        <v>0.59999999999999432</v>
      </c>
      <c r="L174" s="4"/>
      <c r="M174" s="4"/>
      <c r="N174" s="4"/>
      <c r="O174" s="4"/>
      <c r="P174" s="4"/>
      <c r="Q174" s="4"/>
      <c r="AA174" s="8"/>
      <c r="AB174" s="8"/>
      <c r="AC174" s="4"/>
      <c r="AD174" s="4"/>
      <c r="AE174" s="4"/>
    </row>
    <row r="175" spans="3:31" x14ac:dyDescent="0.25">
      <c r="C175" s="1">
        <v>41817</v>
      </c>
      <c r="D175" s="2">
        <v>24.16</v>
      </c>
      <c r="E175" s="3">
        <v>178.16</v>
      </c>
      <c r="F175" s="2">
        <f t="shared" si="10"/>
        <v>5.0000000000000711E-2</v>
      </c>
      <c r="G175" s="2">
        <f t="shared" si="11"/>
        <v>1.3100000000000023</v>
      </c>
      <c r="H175" s="5">
        <f t="shared" si="8"/>
        <v>0.54980079681274896</v>
      </c>
      <c r="I175" s="5">
        <f t="shared" si="9"/>
        <v>0.80079681274900394</v>
      </c>
      <c r="J175" s="3">
        <v>0.14999999999999858</v>
      </c>
      <c r="K175" s="3">
        <v>0.59999999999999432</v>
      </c>
      <c r="L175" s="4"/>
      <c r="M175" s="4"/>
      <c r="N175" s="4"/>
      <c r="O175" s="4"/>
      <c r="P175" s="4"/>
      <c r="Q175" s="4"/>
      <c r="AA175" s="8"/>
      <c r="AB175" s="8"/>
      <c r="AC175" s="4"/>
      <c r="AD175" s="4"/>
      <c r="AE175" s="4"/>
    </row>
    <row r="176" spans="3:31" x14ac:dyDescent="0.25">
      <c r="C176" s="1">
        <v>41816</v>
      </c>
      <c r="D176" s="2">
        <v>24.11</v>
      </c>
      <c r="E176" s="3">
        <v>176.85</v>
      </c>
      <c r="F176" s="2">
        <f t="shared" si="10"/>
        <v>-7.0000000000000284E-2</v>
      </c>
      <c r="G176" s="2">
        <f t="shared" si="11"/>
        <v>-0.34000000000000341</v>
      </c>
      <c r="H176" s="5">
        <f t="shared" si="8"/>
        <v>0.3386454183266932</v>
      </c>
      <c r="I176" s="5">
        <f t="shared" si="9"/>
        <v>0.44223107569721115</v>
      </c>
      <c r="J176" s="3">
        <v>0.14999999999999858</v>
      </c>
      <c r="K176" s="3">
        <v>0.59999999999999432</v>
      </c>
      <c r="L176" s="4"/>
      <c r="M176" s="4"/>
      <c r="N176" s="4"/>
      <c r="O176" s="4"/>
      <c r="P176" s="4"/>
      <c r="Q176" s="4"/>
      <c r="AA176" s="8"/>
      <c r="AB176" s="8"/>
      <c r="AC176" s="4"/>
      <c r="AD176" s="4"/>
      <c r="AE176" s="4"/>
    </row>
    <row r="177" spans="3:31" x14ac:dyDescent="0.25">
      <c r="C177" s="1">
        <v>41815</v>
      </c>
      <c r="D177" s="2">
        <v>24.18</v>
      </c>
      <c r="E177" s="3">
        <v>177.19</v>
      </c>
      <c r="F177" s="2">
        <f t="shared" si="10"/>
        <v>0.17999999999999972</v>
      </c>
      <c r="G177" s="2">
        <f t="shared" si="11"/>
        <v>-0.15999999999999659</v>
      </c>
      <c r="H177" s="5">
        <f t="shared" si="8"/>
        <v>0.76494023904382469</v>
      </c>
      <c r="I177" s="5">
        <f t="shared" si="9"/>
        <v>0.47808764940239046</v>
      </c>
      <c r="J177" s="3">
        <v>0.14999999999999858</v>
      </c>
      <c r="K177" s="3">
        <v>0.65999999999999659</v>
      </c>
      <c r="L177" s="4"/>
      <c r="M177" s="4"/>
      <c r="N177" s="4"/>
      <c r="O177" s="4"/>
      <c r="P177" s="4"/>
      <c r="Q177" s="4"/>
      <c r="AA177" s="8"/>
      <c r="AB177" s="8"/>
      <c r="AC177" s="4"/>
      <c r="AD177" s="4"/>
      <c r="AE177" s="4"/>
    </row>
    <row r="178" spans="3:31" x14ac:dyDescent="0.25">
      <c r="C178" s="1">
        <v>41814</v>
      </c>
      <c r="D178" s="2">
        <v>24</v>
      </c>
      <c r="E178" s="3">
        <v>177.35</v>
      </c>
      <c r="F178" s="2">
        <f t="shared" si="10"/>
        <v>-0.16000000000000014</v>
      </c>
      <c r="G178" s="2">
        <f t="shared" si="11"/>
        <v>-1.2400000000000091</v>
      </c>
      <c r="H178" s="5">
        <f t="shared" si="8"/>
        <v>0.22709163346613545</v>
      </c>
      <c r="I178" s="5">
        <f t="shared" si="9"/>
        <v>0.23505976095617531</v>
      </c>
      <c r="J178" s="3">
        <v>0.14999999999999858</v>
      </c>
      <c r="K178" s="3">
        <v>0.6799999999999784</v>
      </c>
      <c r="L178" s="4"/>
      <c r="M178" s="4"/>
      <c r="N178" s="4"/>
      <c r="O178" s="4"/>
      <c r="P178" s="4"/>
      <c r="Q178" s="4"/>
      <c r="AA178" s="8"/>
      <c r="AB178" s="8"/>
      <c r="AC178" s="4"/>
      <c r="AD178" s="4"/>
      <c r="AE178" s="4"/>
    </row>
    <row r="179" spans="3:31" x14ac:dyDescent="0.25">
      <c r="C179" s="1">
        <v>41813</v>
      </c>
      <c r="D179" s="2">
        <v>24.16</v>
      </c>
      <c r="E179" s="3">
        <v>178.59</v>
      </c>
      <c r="F179" s="2">
        <f t="shared" si="10"/>
        <v>-0.12999999999999901</v>
      </c>
      <c r="G179" s="2">
        <f t="shared" si="11"/>
        <v>0.58000000000001251</v>
      </c>
      <c r="H179" s="5">
        <f t="shared" si="8"/>
        <v>0.2549800796812749</v>
      </c>
      <c r="I179" s="5">
        <f t="shared" si="9"/>
        <v>0.67729083665338641</v>
      </c>
      <c r="J179" s="3">
        <v>0.15000000000000213</v>
      </c>
      <c r="K179" s="3">
        <v>0.68000000000000682</v>
      </c>
      <c r="L179" s="4"/>
      <c r="M179" s="4"/>
      <c r="N179" s="4"/>
      <c r="O179" s="4"/>
      <c r="P179" s="4"/>
      <c r="Q179" s="4"/>
      <c r="AA179" s="8"/>
      <c r="AB179" s="8"/>
      <c r="AC179" s="4"/>
      <c r="AD179" s="4"/>
      <c r="AE179" s="4"/>
    </row>
    <row r="180" spans="3:31" x14ac:dyDescent="0.25">
      <c r="C180" s="1">
        <v>41810</v>
      </c>
      <c r="D180" s="2">
        <v>24.29</v>
      </c>
      <c r="E180" s="3">
        <v>178.01</v>
      </c>
      <c r="F180" s="2">
        <f t="shared" si="10"/>
        <v>0.11999999999999744</v>
      </c>
      <c r="G180" s="2">
        <f t="shared" si="11"/>
        <v>-1.2400000000000091</v>
      </c>
      <c r="H180" s="5">
        <f t="shared" si="8"/>
        <v>0.62549800796812749</v>
      </c>
      <c r="I180" s="5">
        <f t="shared" si="9"/>
        <v>0.23505976095617531</v>
      </c>
      <c r="J180" s="3">
        <v>0.15000000000000213</v>
      </c>
      <c r="K180" s="3">
        <v>0.70000000000001705</v>
      </c>
      <c r="L180" s="4"/>
      <c r="M180" s="4"/>
      <c r="N180" s="4"/>
      <c r="O180" s="4"/>
      <c r="P180" s="4"/>
      <c r="Q180" s="4"/>
      <c r="AA180" s="8"/>
      <c r="AB180" s="8"/>
      <c r="AC180" s="4"/>
      <c r="AD180" s="4"/>
      <c r="AE180" s="4"/>
    </row>
    <row r="181" spans="3:31" x14ac:dyDescent="0.25">
      <c r="C181" s="1">
        <v>41809</v>
      </c>
      <c r="D181" s="2">
        <v>24.17</v>
      </c>
      <c r="E181" s="3">
        <v>179.25</v>
      </c>
      <c r="F181" s="2">
        <f t="shared" si="10"/>
        <v>8.0000000000001847E-2</v>
      </c>
      <c r="G181" s="2">
        <f t="shared" si="11"/>
        <v>-0.77000000000001023</v>
      </c>
      <c r="H181" s="5">
        <f t="shared" si="8"/>
        <v>0.57370517928286857</v>
      </c>
      <c r="I181" s="5">
        <f t="shared" si="9"/>
        <v>0.32669322709163345</v>
      </c>
      <c r="J181" s="3">
        <v>0.15000000000000213</v>
      </c>
      <c r="K181" s="3">
        <v>0.73999999999998067</v>
      </c>
      <c r="L181" s="4"/>
      <c r="M181" s="4"/>
      <c r="N181" s="4"/>
      <c r="O181" s="4"/>
      <c r="P181" s="4"/>
      <c r="Q181" s="4"/>
      <c r="AA181" s="8"/>
      <c r="AB181" s="8"/>
      <c r="AC181" s="4"/>
      <c r="AD181" s="4"/>
      <c r="AE181" s="4"/>
    </row>
    <row r="182" spans="3:31" x14ac:dyDescent="0.25">
      <c r="C182" s="1">
        <v>41808</v>
      </c>
      <c r="D182" s="2">
        <v>24.09</v>
      </c>
      <c r="E182" s="3">
        <v>180.02</v>
      </c>
      <c r="F182" s="2">
        <f t="shared" si="10"/>
        <v>0.12000000000000099</v>
      </c>
      <c r="G182" s="2">
        <f t="shared" si="11"/>
        <v>1.3200000000000216</v>
      </c>
      <c r="H182" s="5">
        <f t="shared" si="8"/>
        <v>0.64143426294820716</v>
      </c>
      <c r="I182" s="5">
        <f t="shared" si="9"/>
        <v>0.8127490039840638</v>
      </c>
      <c r="J182" s="3">
        <v>0.15999999999999659</v>
      </c>
      <c r="K182" s="3">
        <v>0.74000000000000909</v>
      </c>
      <c r="L182" s="4"/>
      <c r="M182" s="4"/>
      <c r="N182" s="4"/>
      <c r="O182" s="4"/>
      <c r="P182" s="4"/>
      <c r="Q182" s="4"/>
      <c r="AA182" s="8"/>
      <c r="AB182" s="8"/>
      <c r="AC182" s="4"/>
      <c r="AD182" s="4"/>
      <c r="AE182" s="4"/>
    </row>
    <row r="183" spans="3:31" x14ac:dyDescent="0.25">
      <c r="C183" s="1">
        <v>41807</v>
      </c>
      <c r="D183" s="2">
        <v>23.97</v>
      </c>
      <c r="E183" s="3">
        <v>178.7</v>
      </c>
      <c r="F183" s="2">
        <f t="shared" si="10"/>
        <v>-3.0000000000001137E-2</v>
      </c>
      <c r="G183" s="2">
        <f t="shared" si="11"/>
        <v>-9.0000000000003411E-2</v>
      </c>
      <c r="H183" s="5">
        <f t="shared" si="8"/>
        <v>0.39043824701195218</v>
      </c>
      <c r="I183" s="5">
        <f t="shared" si="9"/>
        <v>0.51394422310756971</v>
      </c>
      <c r="J183" s="3">
        <v>0.16000000000000014</v>
      </c>
      <c r="K183" s="3">
        <v>0.79000000000002046</v>
      </c>
      <c r="L183" s="4"/>
      <c r="M183" s="4"/>
      <c r="N183" s="4"/>
      <c r="O183" s="4"/>
      <c r="P183" s="4"/>
      <c r="Q183" s="4"/>
      <c r="AA183" s="8"/>
      <c r="AB183" s="8"/>
      <c r="AC183" s="4"/>
      <c r="AD183" s="4"/>
      <c r="AE183" s="4"/>
    </row>
    <row r="184" spans="3:31" x14ac:dyDescent="0.25">
      <c r="C184" s="1">
        <v>41806</v>
      </c>
      <c r="D184" s="2">
        <v>24</v>
      </c>
      <c r="E184" s="3">
        <v>178.79</v>
      </c>
      <c r="F184" s="2">
        <f t="shared" si="10"/>
        <v>-0.16000000000000014</v>
      </c>
      <c r="G184" s="2">
        <f t="shared" si="11"/>
        <v>-0.21000000000000796</v>
      </c>
      <c r="H184" s="5">
        <f t="shared" si="8"/>
        <v>0.22709163346613545</v>
      </c>
      <c r="I184" s="5">
        <f t="shared" si="9"/>
        <v>0.46215139442231074</v>
      </c>
      <c r="J184" s="3">
        <v>0.16000000000000014</v>
      </c>
      <c r="K184" s="3">
        <v>0.82999999999998408</v>
      </c>
      <c r="L184" s="4"/>
      <c r="M184" s="4"/>
      <c r="N184" s="4"/>
      <c r="O184" s="4"/>
      <c r="P184" s="4"/>
      <c r="Q184" s="4"/>
      <c r="AA184" s="8"/>
      <c r="AB184" s="8"/>
      <c r="AC184" s="4"/>
      <c r="AD184" s="4"/>
      <c r="AE184" s="4"/>
    </row>
    <row r="185" spans="3:31" x14ac:dyDescent="0.25">
      <c r="C185" s="1">
        <v>41803</v>
      </c>
      <c r="D185" s="2">
        <v>24.16</v>
      </c>
      <c r="E185" s="3">
        <v>179</v>
      </c>
      <c r="F185" s="2">
        <f t="shared" si="10"/>
        <v>3.9999999999999147E-2</v>
      </c>
      <c r="G185" s="2">
        <f t="shared" si="11"/>
        <v>1.3199999999999932</v>
      </c>
      <c r="H185" s="5">
        <f t="shared" si="8"/>
        <v>0.51792828685258963</v>
      </c>
      <c r="I185" s="5">
        <f t="shared" si="9"/>
        <v>0.80478087649402386</v>
      </c>
      <c r="J185" s="3">
        <v>0.16000000000000014</v>
      </c>
      <c r="K185" s="3">
        <v>0.83000000000001251</v>
      </c>
      <c r="L185" s="4"/>
      <c r="M185" s="4"/>
      <c r="N185" s="4"/>
      <c r="O185" s="4"/>
      <c r="P185" s="4"/>
      <c r="Q185" s="4"/>
      <c r="AA185" s="8"/>
      <c r="AB185" s="8"/>
      <c r="AC185" s="4"/>
      <c r="AD185" s="4"/>
      <c r="AE185" s="4"/>
    </row>
    <row r="186" spans="3:31" x14ac:dyDescent="0.25">
      <c r="C186" s="1">
        <v>41802</v>
      </c>
      <c r="D186" s="2">
        <v>24.12</v>
      </c>
      <c r="E186" s="3">
        <v>177.68</v>
      </c>
      <c r="F186" s="2">
        <f t="shared" si="10"/>
        <v>-0.36999999999999744</v>
      </c>
      <c r="G186" s="2">
        <f t="shared" si="11"/>
        <v>-1.0099999999999909</v>
      </c>
      <c r="H186" s="5">
        <f t="shared" si="8"/>
        <v>8.3665338645418322E-2</v>
      </c>
      <c r="I186" s="5">
        <f t="shared" si="9"/>
        <v>0.27490039840637448</v>
      </c>
      <c r="J186" s="3">
        <v>0.16000000000000014</v>
      </c>
      <c r="K186" s="3">
        <v>0.87000000000000455</v>
      </c>
      <c r="L186" s="4"/>
      <c r="M186" s="4"/>
      <c r="N186" s="4"/>
      <c r="O186" s="4"/>
      <c r="P186" s="4"/>
      <c r="Q186" s="4"/>
      <c r="AA186" s="8"/>
      <c r="AB186" s="8"/>
      <c r="AC186" s="4"/>
      <c r="AD186" s="4"/>
      <c r="AE186" s="4"/>
    </row>
    <row r="187" spans="3:31" x14ac:dyDescent="0.25">
      <c r="C187" s="1">
        <v>41801</v>
      </c>
      <c r="D187" s="2">
        <v>24.49</v>
      </c>
      <c r="E187" s="3">
        <v>178.69</v>
      </c>
      <c r="F187" s="2">
        <f t="shared" si="10"/>
        <v>3.9999999999999147E-2</v>
      </c>
      <c r="G187" s="2">
        <f t="shared" si="11"/>
        <v>-2</v>
      </c>
      <c r="H187" s="5">
        <f t="shared" si="8"/>
        <v>0.51792828685258963</v>
      </c>
      <c r="I187" s="5">
        <f t="shared" si="9"/>
        <v>0.1394422310756972</v>
      </c>
      <c r="J187" s="3">
        <v>0.16999999999999815</v>
      </c>
      <c r="K187" s="3">
        <v>0.87999999999999545</v>
      </c>
      <c r="L187" s="4"/>
      <c r="M187" s="4"/>
      <c r="N187" s="4"/>
      <c r="O187" s="4"/>
      <c r="P187" s="4"/>
      <c r="Q187" s="4"/>
      <c r="AA187" s="8"/>
      <c r="AB187" s="8"/>
      <c r="AC187" s="4"/>
      <c r="AD187" s="4"/>
      <c r="AE187" s="4"/>
    </row>
    <row r="188" spans="3:31" x14ac:dyDescent="0.25">
      <c r="C188" s="1">
        <v>41800</v>
      </c>
      <c r="D188" s="2">
        <v>24.45</v>
      </c>
      <c r="E188" s="3">
        <v>180.69</v>
      </c>
      <c r="F188" s="2">
        <f t="shared" si="10"/>
        <v>0.18999999999999773</v>
      </c>
      <c r="G188" s="2">
        <f t="shared" si="11"/>
        <v>-1.9000000000000057</v>
      </c>
      <c r="H188" s="5">
        <f t="shared" si="8"/>
        <v>0.77290836653386452</v>
      </c>
      <c r="I188" s="5">
        <f t="shared" si="9"/>
        <v>0.14741035856573706</v>
      </c>
      <c r="J188" s="3">
        <v>0.16999999999999815</v>
      </c>
      <c r="K188" s="3">
        <v>0.93000000000000682</v>
      </c>
      <c r="L188" s="4"/>
      <c r="M188" s="4"/>
      <c r="N188" s="4"/>
      <c r="O188" s="4"/>
      <c r="P188" s="4"/>
      <c r="Q188" s="4"/>
      <c r="AA188" s="8"/>
      <c r="AB188" s="8"/>
      <c r="AC188" s="4"/>
      <c r="AD188" s="4"/>
      <c r="AE188" s="4"/>
    </row>
    <row r="189" spans="3:31" x14ac:dyDescent="0.25">
      <c r="C189" s="1">
        <v>41799</v>
      </c>
      <c r="D189" s="2">
        <v>24.26</v>
      </c>
      <c r="E189" s="3">
        <v>182.59</v>
      </c>
      <c r="F189" s="2">
        <f t="shared" si="10"/>
        <v>-2.9999999999997584E-2</v>
      </c>
      <c r="G189" s="2">
        <f t="shared" si="11"/>
        <v>-0.13999999999998636</v>
      </c>
      <c r="H189" s="5">
        <f t="shared" si="8"/>
        <v>0.39840637450199201</v>
      </c>
      <c r="I189" s="5">
        <f t="shared" si="9"/>
        <v>0.49402390438247012</v>
      </c>
      <c r="J189" s="3">
        <v>0.17000000000000171</v>
      </c>
      <c r="K189" s="3">
        <v>0.93999999999999773</v>
      </c>
      <c r="L189" s="4"/>
      <c r="M189" s="4"/>
      <c r="N189" s="4"/>
      <c r="O189" s="4"/>
      <c r="P189" s="4"/>
      <c r="Q189" s="4"/>
      <c r="AA189" s="8"/>
      <c r="AB189" s="8"/>
      <c r="AC189" s="4"/>
      <c r="AD189" s="4"/>
      <c r="AE189" s="4"/>
    </row>
    <row r="190" spans="3:31" x14ac:dyDescent="0.25">
      <c r="C190" s="1">
        <v>41796</v>
      </c>
      <c r="D190" s="2">
        <v>24.29</v>
      </c>
      <c r="E190" s="3">
        <v>182.73</v>
      </c>
      <c r="F190" s="2">
        <f t="shared" si="10"/>
        <v>0.12999999999999901</v>
      </c>
      <c r="G190" s="2">
        <f t="shared" si="11"/>
        <v>0.37999999999999545</v>
      </c>
      <c r="H190" s="5">
        <f t="shared" si="8"/>
        <v>0.65338645418326691</v>
      </c>
      <c r="I190" s="5">
        <f t="shared" si="9"/>
        <v>0.62549800796812749</v>
      </c>
      <c r="J190" s="3">
        <v>0.17000000000000171</v>
      </c>
      <c r="K190" s="3">
        <v>0.96999999999999886</v>
      </c>
      <c r="L190" s="4"/>
      <c r="M190" s="4"/>
      <c r="N190" s="4"/>
      <c r="O190" s="4"/>
      <c r="P190" s="4"/>
      <c r="Q190" s="4"/>
      <c r="AA190" s="8"/>
      <c r="AB190" s="8"/>
      <c r="AC190" s="4"/>
      <c r="AD190" s="4"/>
      <c r="AE190" s="4"/>
    </row>
    <row r="191" spans="3:31" x14ac:dyDescent="0.25">
      <c r="C191" s="1">
        <v>41795</v>
      </c>
      <c r="D191" s="2">
        <v>24.16</v>
      </c>
      <c r="E191" s="3">
        <v>182.35</v>
      </c>
      <c r="F191" s="2">
        <f t="shared" si="10"/>
        <v>0.19000000000000128</v>
      </c>
      <c r="G191" s="2">
        <f t="shared" si="11"/>
        <v>1.4399999999999977</v>
      </c>
      <c r="H191" s="5">
        <f t="shared" si="8"/>
        <v>0.79282868525896411</v>
      </c>
      <c r="I191" s="5">
        <f t="shared" si="9"/>
        <v>0.83266932270916338</v>
      </c>
      <c r="J191" s="3">
        <v>0.17999999999999972</v>
      </c>
      <c r="K191" s="3">
        <v>1.0300000000000011</v>
      </c>
      <c r="L191" s="4"/>
      <c r="M191" s="4"/>
      <c r="N191" s="4"/>
      <c r="O191" s="4"/>
      <c r="P191" s="4"/>
      <c r="Q191" s="4"/>
      <c r="AA191" s="8"/>
      <c r="AB191" s="8"/>
      <c r="AC191" s="4"/>
      <c r="AD191" s="4"/>
      <c r="AE191" s="4"/>
    </row>
    <row r="192" spans="3:31" x14ac:dyDescent="0.25">
      <c r="C192" s="1">
        <v>41794</v>
      </c>
      <c r="D192" s="2">
        <v>23.97</v>
      </c>
      <c r="E192" s="3">
        <v>180.91</v>
      </c>
      <c r="F192" s="2">
        <f t="shared" si="10"/>
        <v>-0.17000000000000171</v>
      </c>
      <c r="G192" s="2">
        <f t="shared" si="11"/>
        <v>0.13999999999998636</v>
      </c>
      <c r="H192" s="5">
        <f t="shared" si="8"/>
        <v>0.20717131474103587</v>
      </c>
      <c r="I192" s="5">
        <f t="shared" si="9"/>
        <v>0.55776892430278879</v>
      </c>
      <c r="J192" s="3">
        <v>0.17999999999999972</v>
      </c>
      <c r="K192" s="3">
        <v>1.0699999999999932</v>
      </c>
      <c r="L192" s="4"/>
      <c r="M192" s="4"/>
      <c r="N192" s="4"/>
      <c r="O192" s="4"/>
      <c r="P192" s="4"/>
      <c r="Q192" s="4"/>
      <c r="AA192" s="8"/>
      <c r="AB192" s="8"/>
      <c r="AC192" s="4"/>
      <c r="AD192" s="4"/>
      <c r="AE192" s="4"/>
    </row>
    <row r="193" spans="3:31" x14ac:dyDescent="0.25">
      <c r="C193" s="1">
        <v>41793</v>
      </c>
      <c r="D193" s="2">
        <v>24.14</v>
      </c>
      <c r="E193" s="3">
        <v>180.77</v>
      </c>
      <c r="F193" s="2">
        <f t="shared" si="10"/>
        <v>-9.9999999999997868E-2</v>
      </c>
      <c r="G193" s="2">
        <f t="shared" si="11"/>
        <v>-1.2999999999999829</v>
      </c>
      <c r="H193" s="5">
        <f t="shared" si="8"/>
        <v>0.29880478087649404</v>
      </c>
      <c r="I193" s="5">
        <f t="shared" si="9"/>
        <v>0.21912350597609562</v>
      </c>
      <c r="J193" s="3">
        <v>0.17999999999999972</v>
      </c>
      <c r="K193" s="3">
        <v>1.1200000000000045</v>
      </c>
      <c r="L193" s="4"/>
      <c r="M193" s="4"/>
      <c r="N193" s="4"/>
      <c r="O193" s="4"/>
      <c r="P193" s="4"/>
      <c r="Q193" s="4"/>
      <c r="AA193" s="8"/>
      <c r="AB193" s="8"/>
      <c r="AC193" s="4"/>
      <c r="AD193" s="4"/>
      <c r="AE193" s="4"/>
    </row>
    <row r="194" spans="3:31" x14ac:dyDescent="0.25">
      <c r="C194" s="1">
        <v>41792</v>
      </c>
      <c r="D194" s="2">
        <v>24.24</v>
      </c>
      <c r="E194" s="3">
        <v>182.07</v>
      </c>
      <c r="F194" s="2">
        <f t="shared" si="10"/>
        <v>0.16000000000000014</v>
      </c>
      <c r="G194" s="2">
        <f t="shared" si="11"/>
        <v>1.3100000000000023</v>
      </c>
      <c r="H194" s="5">
        <f t="shared" ref="H194:H252" si="12">DiscreteDist($F$2:$F$252,251,F194)</f>
        <v>0.73705179282868527</v>
      </c>
      <c r="I194" s="5">
        <f t="shared" ref="I194:I252" si="13">DiscreteDist($G$2:$G$252,251,G194)</f>
        <v>0.80079681274900394</v>
      </c>
      <c r="J194" s="3">
        <v>0.18000000000000327</v>
      </c>
      <c r="K194" s="3">
        <v>1.1200000000000045</v>
      </c>
      <c r="L194" s="4"/>
      <c r="M194" s="4"/>
      <c r="N194" s="4"/>
      <c r="O194" s="4"/>
      <c r="P194" s="4"/>
      <c r="Q194" s="4"/>
      <c r="AA194" s="8"/>
      <c r="AB194" s="8"/>
      <c r="AC194" s="4"/>
      <c r="AD194" s="4"/>
      <c r="AE194" s="4"/>
    </row>
    <row r="195" spans="3:31" x14ac:dyDescent="0.25">
      <c r="C195" s="1">
        <v>41789</v>
      </c>
      <c r="D195" s="2">
        <v>24.08</v>
      </c>
      <c r="E195" s="3">
        <v>180.76</v>
      </c>
      <c r="F195" s="2">
        <f t="shared" ref="F195:F252" si="14">D195-D196</f>
        <v>-6.0000000000002274E-2</v>
      </c>
      <c r="G195" s="2">
        <f t="shared" ref="G195:G252" si="15">E195-E196</f>
        <v>0.59000000000000341</v>
      </c>
      <c r="H195" s="5">
        <f t="shared" si="12"/>
        <v>0.34661354581673309</v>
      </c>
      <c r="I195" s="5">
        <f t="shared" si="13"/>
        <v>0.68525896414342624</v>
      </c>
      <c r="J195" s="3">
        <v>0.18999999999999773</v>
      </c>
      <c r="K195" s="3">
        <v>1.1299999999999955</v>
      </c>
      <c r="L195" s="4"/>
      <c r="M195" s="4"/>
      <c r="N195" s="4"/>
      <c r="O195" s="4"/>
      <c r="P195" s="4"/>
      <c r="Q195" s="4"/>
      <c r="AA195" s="8"/>
      <c r="AB195" s="8"/>
      <c r="AC195" s="4"/>
      <c r="AD195" s="4"/>
      <c r="AE195" s="4"/>
    </row>
    <row r="196" spans="3:31" x14ac:dyDescent="0.25">
      <c r="C196" s="1">
        <v>41788</v>
      </c>
      <c r="D196" s="2">
        <v>24.14</v>
      </c>
      <c r="E196" s="3">
        <v>180.17</v>
      </c>
      <c r="F196" s="2">
        <f t="shared" si="14"/>
        <v>-0.14000000000000057</v>
      </c>
      <c r="G196" s="2">
        <f t="shared" si="15"/>
        <v>0.65999999999999659</v>
      </c>
      <c r="H196" s="5">
        <f t="shared" si="12"/>
        <v>0.24302788844621515</v>
      </c>
      <c r="I196" s="5">
        <f t="shared" si="13"/>
        <v>0.70119521912350602</v>
      </c>
      <c r="J196" s="3">
        <v>0.19000000000000128</v>
      </c>
      <c r="K196" s="3">
        <v>1.1299999999999955</v>
      </c>
      <c r="L196" s="4"/>
      <c r="M196" s="4"/>
      <c r="N196" s="4"/>
      <c r="O196" s="4"/>
      <c r="P196" s="4"/>
      <c r="Q196" s="4"/>
      <c r="AA196" s="8"/>
      <c r="AB196" s="8"/>
      <c r="AC196" s="4"/>
      <c r="AD196" s="4"/>
      <c r="AE196" s="4"/>
    </row>
    <row r="197" spans="3:31" x14ac:dyDescent="0.25">
      <c r="C197" s="1">
        <v>41787</v>
      </c>
      <c r="D197" s="2">
        <v>24.28</v>
      </c>
      <c r="E197" s="3">
        <v>179.51</v>
      </c>
      <c r="F197" s="2">
        <f t="shared" si="14"/>
        <v>0.10999999999999943</v>
      </c>
      <c r="G197" s="2">
        <f t="shared" si="15"/>
        <v>-1.6599999999999966</v>
      </c>
      <c r="H197" s="5">
        <f t="shared" si="12"/>
        <v>0.61354581673306774</v>
      </c>
      <c r="I197" s="5">
        <f t="shared" si="13"/>
        <v>0.16334661354581673</v>
      </c>
      <c r="J197" s="3">
        <v>0.19000000000000128</v>
      </c>
      <c r="K197" s="3">
        <v>1.1500000000000057</v>
      </c>
      <c r="L197" s="4"/>
      <c r="M197" s="4"/>
      <c r="N197" s="4"/>
      <c r="O197" s="4"/>
      <c r="P197" s="4"/>
      <c r="Q197" s="4"/>
      <c r="AA197" s="8"/>
      <c r="AB197" s="8"/>
      <c r="AC197" s="4"/>
      <c r="AD197" s="4"/>
      <c r="AE197" s="4"/>
    </row>
    <row r="198" spans="3:31" x14ac:dyDescent="0.25">
      <c r="C198" s="1">
        <v>41786</v>
      </c>
      <c r="D198" s="2">
        <v>24.17</v>
      </c>
      <c r="E198" s="3">
        <v>181.17</v>
      </c>
      <c r="F198" s="2">
        <f t="shared" si="14"/>
        <v>0.18000000000000327</v>
      </c>
      <c r="G198" s="2">
        <f t="shared" si="15"/>
        <v>-1.1400000000000148</v>
      </c>
      <c r="H198" s="5">
        <f t="shared" si="12"/>
        <v>0.7689243027888446</v>
      </c>
      <c r="I198" s="5">
        <f t="shared" si="13"/>
        <v>0.25896414342629481</v>
      </c>
      <c r="J198" s="3">
        <v>0.19000000000000128</v>
      </c>
      <c r="K198" s="3">
        <v>1.1700000000000159</v>
      </c>
      <c r="L198" s="4"/>
      <c r="M198" s="4"/>
      <c r="N198" s="4"/>
      <c r="O198" s="4"/>
      <c r="P198" s="4"/>
      <c r="Q198" s="4"/>
      <c r="AA198" s="8"/>
      <c r="AB198" s="8"/>
      <c r="AC198" s="4"/>
      <c r="AD198" s="4"/>
      <c r="AE198" s="4"/>
    </row>
    <row r="199" spans="3:31" x14ac:dyDescent="0.25">
      <c r="C199" s="1">
        <v>41782</v>
      </c>
      <c r="D199" s="2">
        <v>23.99</v>
      </c>
      <c r="E199" s="3">
        <v>182.31</v>
      </c>
      <c r="F199" s="2">
        <f t="shared" si="14"/>
        <v>0.13999999999999702</v>
      </c>
      <c r="G199" s="2">
        <f t="shared" si="15"/>
        <v>0.25</v>
      </c>
      <c r="H199" s="5">
        <f t="shared" si="12"/>
        <v>0.66533864541832666</v>
      </c>
      <c r="I199" s="5">
        <f t="shared" si="13"/>
        <v>0.58167330677290841</v>
      </c>
      <c r="J199" s="3">
        <v>0.19000000000000128</v>
      </c>
      <c r="K199" s="3">
        <v>1.2199999999999989</v>
      </c>
      <c r="L199" s="4"/>
      <c r="M199" s="4"/>
      <c r="N199" s="4"/>
      <c r="O199" s="4"/>
      <c r="P199" s="4"/>
      <c r="Q199" s="4"/>
      <c r="AA199" s="8"/>
      <c r="AB199" s="8"/>
      <c r="AC199" s="4"/>
      <c r="AD199" s="4"/>
      <c r="AE199" s="4"/>
    </row>
    <row r="200" spans="3:31" x14ac:dyDescent="0.25">
      <c r="C200" s="1">
        <v>41781</v>
      </c>
      <c r="D200" s="2">
        <v>23.85</v>
      </c>
      <c r="E200" s="3">
        <v>182.06</v>
      </c>
      <c r="F200" s="2">
        <f t="shared" si="14"/>
        <v>-9.9999999999997868E-2</v>
      </c>
      <c r="G200" s="2">
        <f t="shared" si="15"/>
        <v>-0.68999999999999773</v>
      </c>
      <c r="H200" s="5">
        <f t="shared" si="12"/>
        <v>0.29880478087649404</v>
      </c>
      <c r="I200" s="5">
        <f t="shared" si="13"/>
        <v>0.35059760956175301</v>
      </c>
      <c r="J200" s="3">
        <v>0.19000000000000128</v>
      </c>
      <c r="K200" s="3">
        <v>1.2299999999999898</v>
      </c>
      <c r="L200" s="4"/>
      <c r="M200" s="4"/>
      <c r="N200" s="4"/>
      <c r="O200" s="4"/>
      <c r="P200" s="4"/>
      <c r="Q200" s="4"/>
      <c r="AA200" s="8"/>
      <c r="AB200" s="8"/>
      <c r="AC200" s="4"/>
      <c r="AD200" s="4"/>
      <c r="AE200" s="4"/>
    </row>
    <row r="201" spans="3:31" x14ac:dyDescent="0.25">
      <c r="C201" s="1">
        <v>41780</v>
      </c>
      <c r="D201" s="2">
        <v>23.95</v>
      </c>
      <c r="E201" s="3">
        <v>182.75</v>
      </c>
      <c r="F201" s="2">
        <f t="shared" si="14"/>
        <v>0.35999999999999943</v>
      </c>
      <c r="G201" s="2">
        <f t="shared" si="15"/>
        <v>1.4699999999999989</v>
      </c>
      <c r="H201" s="5">
        <f t="shared" si="12"/>
        <v>0.91235059760956172</v>
      </c>
      <c r="I201" s="5">
        <f t="shared" si="13"/>
        <v>0.8366533864541833</v>
      </c>
      <c r="J201" s="3">
        <v>0.19999999999999929</v>
      </c>
      <c r="K201" s="3">
        <v>1.3100000000000023</v>
      </c>
      <c r="L201" s="4"/>
      <c r="M201" s="4"/>
      <c r="N201" s="4"/>
      <c r="O201" s="4"/>
      <c r="P201" s="4"/>
      <c r="Q201" s="4"/>
      <c r="AA201" s="8"/>
      <c r="AB201" s="8"/>
      <c r="AC201" s="4"/>
      <c r="AD201" s="4"/>
      <c r="AE201" s="4"/>
    </row>
    <row r="202" spans="3:31" x14ac:dyDescent="0.25">
      <c r="C202" s="1">
        <v>41779</v>
      </c>
      <c r="D202" s="2">
        <v>23.59</v>
      </c>
      <c r="E202" s="3">
        <v>181.28</v>
      </c>
      <c r="F202" s="2">
        <f t="shared" si="14"/>
        <v>-0.23000000000000043</v>
      </c>
      <c r="G202" s="2">
        <f t="shared" si="15"/>
        <v>-2.0699999999999932</v>
      </c>
      <c r="H202" s="5">
        <f t="shared" si="12"/>
        <v>0.16334661354581673</v>
      </c>
      <c r="I202" s="5">
        <f t="shared" si="13"/>
        <v>0.11952191235059761</v>
      </c>
      <c r="J202" s="3">
        <v>0.19999999999999929</v>
      </c>
      <c r="K202" s="3">
        <v>1.3100000000000023</v>
      </c>
      <c r="L202" s="4"/>
      <c r="M202" s="4"/>
      <c r="N202" s="4"/>
      <c r="O202" s="4"/>
      <c r="P202" s="4"/>
      <c r="Q202" s="4"/>
      <c r="AA202" s="8"/>
      <c r="AB202" s="8"/>
      <c r="AC202" s="4"/>
      <c r="AD202" s="4"/>
      <c r="AE202" s="4"/>
    </row>
    <row r="203" spans="3:31" x14ac:dyDescent="0.25">
      <c r="C203" s="1">
        <v>41778</v>
      </c>
      <c r="D203" s="2">
        <v>23.82</v>
      </c>
      <c r="E203" s="3">
        <v>183.35</v>
      </c>
      <c r="F203" s="2">
        <f t="shared" si="14"/>
        <v>-1.9999999999999574E-2</v>
      </c>
      <c r="G203" s="2">
        <f t="shared" si="15"/>
        <v>-6.0000000000002274E-2</v>
      </c>
      <c r="H203" s="5">
        <f t="shared" si="12"/>
        <v>0.43426294820717132</v>
      </c>
      <c r="I203" s="5">
        <f t="shared" si="13"/>
        <v>0.52191235059760954</v>
      </c>
      <c r="J203" s="3">
        <v>0.20000000000000284</v>
      </c>
      <c r="K203" s="3">
        <v>1.3199999999999932</v>
      </c>
      <c r="L203" s="4"/>
      <c r="M203" s="4"/>
      <c r="N203" s="4"/>
      <c r="O203" s="4"/>
      <c r="P203" s="4"/>
      <c r="Q203" s="4"/>
      <c r="AA203" s="8"/>
      <c r="AB203" s="8"/>
      <c r="AC203" s="4"/>
      <c r="AD203" s="4"/>
      <c r="AE203" s="4"/>
    </row>
    <row r="204" spans="3:31" x14ac:dyDescent="0.25">
      <c r="C204" s="1">
        <v>41775</v>
      </c>
      <c r="D204" s="2">
        <v>23.84</v>
      </c>
      <c r="E204" s="3">
        <v>183.41</v>
      </c>
      <c r="F204" s="2">
        <f t="shared" si="14"/>
        <v>0.19000000000000128</v>
      </c>
      <c r="G204" s="2">
        <f t="shared" si="15"/>
        <v>0.59000000000000341</v>
      </c>
      <c r="H204" s="5">
        <f t="shared" si="12"/>
        <v>0.79282868525896411</v>
      </c>
      <c r="I204" s="5">
        <f t="shared" si="13"/>
        <v>0.68525896414342624</v>
      </c>
      <c r="J204" s="3">
        <v>0.21000000000000085</v>
      </c>
      <c r="K204" s="3">
        <v>1.3200000000000216</v>
      </c>
      <c r="L204" s="4"/>
      <c r="M204" s="4"/>
      <c r="N204" s="4"/>
      <c r="O204" s="4"/>
      <c r="P204" s="4"/>
      <c r="Q204" s="4"/>
      <c r="AA204" s="8"/>
      <c r="AB204" s="8"/>
      <c r="AC204" s="4"/>
      <c r="AD204" s="4"/>
      <c r="AE204" s="4"/>
    </row>
    <row r="205" spans="3:31" x14ac:dyDescent="0.25">
      <c r="C205" s="1">
        <v>41774</v>
      </c>
      <c r="D205" s="2">
        <v>23.65</v>
      </c>
      <c r="E205" s="3">
        <v>182.82</v>
      </c>
      <c r="F205" s="2">
        <f t="shared" si="14"/>
        <v>1.3399999999999999</v>
      </c>
      <c r="G205" s="2">
        <f t="shared" si="15"/>
        <v>-2.2199999999999989</v>
      </c>
      <c r="H205" s="5">
        <f t="shared" si="12"/>
        <v>0.99601593625498008</v>
      </c>
      <c r="I205" s="5">
        <f t="shared" si="13"/>
        <v>0.10756972111553785</v>
      </c>
      <c r="J205" s="3">
        <v>0.21000000000000085</v>
      </c>
      <c r="K205" s="3">
        <v>1.3200000000000216</v>
      </c>
      <c r="L205" s="4"/>
      <c r="M205" s="4"/>
      <c r="N205" s="4"/>
      <c r="O205" s="4"/>
      <c r="P205" s="4"/>
      <c r="Q205" s="4"/>
      <c r="AA205" s="8"/>
      <c r="AB205" s="8"/>
      <c r="AC205" s="4"/>
      <c r="AD205" s="4"/>
      <c r="AE205" s="4"/>
    </row>
    <row r="206" spans="3:31" x14ac:dyDescent="0.25">
      <c r="C206" s="1">
        <v>41773</v>
      </c>
      <c r="D206" s="2">
        <v>22.31</v>
      </c>
      <c r="E206" s="3">
        <v>185.04</v>
      </c>
      <c r="F206" s="2">
        <f t="shared" si="14"/>
        <v>-5.0000000000000711E-2</v>
      </c>
      <c r="G206" s="2">
        <f t="shared" si="15"/>
        <v>-3.4000000000000057</v>
      </c>
      <c r="H206" s="5">
        <f t="shared" si="12"/>
        <v>0.36653386454183268</v>
      </c>
      <c r="I206" s="5">
        <f t="shared" si="13"/>
        <v>2.7888446215139442E-2</v>
      </c>
      <c r="J206" s="3">
        <v>0.21000000000000085</v>
      </c>
      <c r="K206" s="3">
        <v>1.3400000000000034</v>
      </c>
      <c r="L206" s="4"/>
      <c r="M206" s="4"/>
      <c r="N206" s="4"/>
      <c r="O206" s="4"/>
      <c r="P206" s="4"/>
      <c r="Q206" s="4"/>
      <c r="AA206" s="8"/>
      <c r="AB206" s="8"/>
      <c r="AC206" s="4"/>
      <c r="AD206" s="4"/>
      <c r="AE206" s="4"/>
    </row>
    <row r="207" spans="3:31" x14ac:dyDescent="0.25">
      <c r="C207" s="1">
        <v>41772</v>
      </c>
      <c r="D207" s="2">
        <v>22.36</v>
      </c>
      <c r="E207" s="3">
        <v>188.44</v>
      </c>
      <c r="F207" s="2">
        <f t="shared" si="14"/>
        <v>-0.32000000000000028</v>
      </c>
      <c r="G207" s="2">
        <f t="shared" si="15"/>
        <v>-0.37000000000000455</v>
      </c>
      <c r="H207" s="5">
        <f t="shared" si="12"/>
        <v>9.9601593625498003E-2</v>
      </c>
      <c r="I207" s="5">
        <f t="shared" si="13"/>
        <v>0.43426294820717132</v>
      </c>
      <c r="J207" s="3">
        <v>0.21999999999999886</v>
      </c>
      <c r="K207" s="3">
        <v>1.3499999999999943</v>
      </c>
      <c r="L207" s="4"/>
      <c r="M207" s="4"/>
      <c r="N207" s="4"/>
      <c r="O207" s="4"/>
      <c r="P207" s="4"/>
      <c r="Q207" s="4"/>
      <c r="AA207" s="8"/>
      <c r="AB207" s="8"/>
      <c r="AC207" s="4"/>
      <c r="AD207" s="4"/>
      <c r="AE207" s="4"/>
    </row>
    <row r="208" spans="3:31" x14ac:dyDescent="0.25">
      <c r="C208" s="1">
        <v>41771</v>
      </c>
      <c r="D208" s="2">
        <v>22.68</v>
      </c>
      <c r="E208" s="3">
        <v>188.81</v>
      </c>
      <c r="F208" s="2">
        <f t="shared" si="14"/>
        <v>0.16000000000000014</v>
      </c>
      <c r="G208" s="2">
        <f t="shared" si="15"/>
        <v>2.4399999999999977</v>
      </c>
      <c r="H208" s="5">
        <f t="shared" si="12"/>
        <v>0.73705179282868527</v>
      </c>
      <c r="I208" s="5">
        <f t="shared" si="13"/>
        <v>0.92430278884462147</v>
      </c>
      <c r="J208" s="3">
        <v>0.21999999999999886</v>
      </c>
      <c r="K208" s="3">
        <v>1.3600000000000136</v>
      </c>
      <c r="L208" s="4"/>
      <c r="M208" s="4"/>
      <c r="N208" s="4"/>
      <c r="O208" s="4"/>
      <c r="P208" s="4"/>
      <c r="Q208" s="4"/>
      <c r="AA208" s="8"/>
      <c r="AB208" s="8"/>
      <c r="AC208" s="4"/>
      <c r="AD208" s="4"/>
      <c r="AE208" s="4"/>
    </row>
    <row r="209" spans="3:31" x14ac:dyDescent="0.25">
      <c r="C209" s="1">
        <v>41768</v>
      </c>
      <c r="D209" s="2">
        <v>22.52</v>
      </c>
      <c r="E209" s="3">
        <v>186.37</v>
      </c>
      <c r="F209" s="2">
        <f t="shared" si="14"/>
        <v>0</v>
      </c>
      <c r="G209" s="2">
        <f t="shared" si="15"/>
        <v>1.1500000000000057</v>
      </c>
      <c r="H209" s="5">
        <f t="shared" si="12"/>
        <v>0.47011952191235062</v>
      </c>
      <c r="I209" s="5">
        <f t="shared" si="13"/>
        <v>0.78087649402390436</v>
      </c>
      <c r="J209" s="3">
        <v>0.22000000000000242</v>
      </c>
      <c r="K209" s="3">
        <v>1.4099999999999966</v>
      </c>
      <c r="L209" s="4"/>
      <c r="M209" s="4"/>
      <c r="N209" s="4"/>
      <c r="O209" s="4"/>
      <c r="P209" s="4"/>
      <c r="Q209" s="4"/>
      <c r="AA209" s="8"/>
      <c r="AB209" s="8"/>
      <c r="AC209" s="4"/>
      <c r="AD209" s="4"/>
      <c r="AE209" s="4"/>
    </row>
    <row r="210" spans="3:31" x14ac:dyDescent="0.25">
      <c r="C210" s="1">
        <v>41767</v>
      </c>
      <c r="D210" s="2">
        <v>22.52</v>
      </c>
      <c r="E210" s="3">
        <v>185.22</v>
      </c>
      <c r="F210" s="2">
        <f t="shared" si="14"/>
        <v>0.14999999999999858</v>
      </c>
      <c r="G210" s="2">
        <f t="shared" si="15"/>
        <v>-0.39000000000001478</v>
      </c>
      <c r="H210" s="5">
        <f t="shared" si="12"/>
        <v>0.70517928286852594</v>
      </c>
      <c r="I210" s="5">
        <f t="shared" si="13"/>
        <v>0.4302788844621514</v>
      </c>
      <c r="J210" s="3">
        <v>0.22000000000000242</v>
      </c>
      <c r="K210" s="3">
        <v>1.4399999999999977</v>
      </c>
      <c r="L210" s="4"/>
      <c r="M210" s="4"/>
      <c r="N210" s="4"/>
      <c r="O210" s="4"/>
      <c r="P210" s="4"/>
      <c r="Q210" s="4"/>
      <c r="AA210" s="8"/>
      <c r="AB210" s="8"/>
      <c r="AC210" s="4"/>
      <c r="AD210" s="4"/>
      <c r="AE210" s="4"/>
    </row>
    <row r="211" spans="3:31" x14ac:dyDescent="0.25">
      <c r="C211" s="1">
        <v>41766</v>
      </c>
      <c r="D211" s="2">
        <v>22.37</v>
      </c>
      <c r="E211" s="3">
        <v>185.61</v>
      </c>
      <c r="F211" s="2">
        <f t="shared" si="14"/>
        <v>0.15000000000000213</v>
      </c>
      <c r="G211" s="2">
        <f t="shared" si="15"/>
        <v>0.37000000000000455</v>
      </c>
      <c r="H211" s="5">
        <f t="shared" si="12"/>
        <v>0.71713147410358569</v>
      </c>
      <c r="I211" s="5">
        <f t="shared" si="13"/>
        <v>0.61752988047808766</v>
      </c>
      <c r="J211" s="3">
        <v>0.23000000000000043</v>
      </c>
      <c r="K211" s="3">
        <v>1.4699999999999989</v>
      </c>
      <c r="L211" s="4"/>
      <c r="M211" s="4"/>
      <c r="N211" s="4"/>
      <c r="O211" s="4"/>
      <c r="P211" s="4"/>
      <c r="Q211" s="4"/>
      <c r="AA211" s="8"/>
      <c r="AB211" s="8"/>
      <c r="AC211" s="4"/>
      <c r="AD211" s="4"/>
      <c r="AE211" s="4"/>
    </row>
    <row r="212" spans="3:31" x14ac:dyDescent="0.25">
      <c r="C212" s="1">
        <v>41765</v>
      </c>
      <c r="D212" s="2">
        <v>22.22</v>
      </c>
      <c r="E212" s="3">
        <v>185.24</v>
      </c>
      <c r="F212" s="2">
        <f t="shared" si="14"/>
        <v>-0.24000000000000199</v>
      </c>
      <c r="G212" s="2">
        <f t="shared" si="15"/>
        <v>-1.1999999999999886</v>
      </c>
      <c r="H212" s="5">
        <f t="shared" si="12"/>
        <v>0.14342629482071714</v>
      </c>
      <c r="I212" s="5">
        <f t="shared" si="13"/>
        <v>0.25099601593625498</v>
      </c>
      <c r="J212" s="3">
        <v>0.23999999999999844</v>
      </c>
      <c r="K212" s="3">
        <v>1.5300000000000011</v>
      </c>
      <c r="L212" s="4"/>
      <c r="M212" s="4"/>
      <c r="N212" s="4"/>
      <c r="O212" s="4"/>
      <c r="P212" s="4"/>
      <c r="Q212" s="4"/>
      <c r="AA212" s="8"/>
      <c r="AB212" s="8"/>
      <c r="AC212" s="4"/>
      <c r="AD212" s="4"/>
      <c r="AE212" s="4"/>
    </row>
    <row r="213" spans="3:31" x14ac:dyDescent="0.25">
      <c r="C213" s="1">
        <v>41764</v>
      </c>
      <c r="D213" s="2">
        <v>22.46</v>
      </c>
      <c r="E213" s="3">
        <v>186.44</v>
      </c>
      <c r="F213" s="2">
        <f t="shared" si="14"/>
        <v>1.9999999999999574E-2</v>
      </c>
      <c r="G213" s="2">
        <f t="shared" si="15"/>
        <v>-0.18000000000000682</v>
      </c>
      <c r="H213" s="5">
        <f t="shared" si="12"/>
        <v>0.49402390438247012</v>
      </c>
      <c r="I213" s="5">
        <f t="shared" si="13"/>
        <v>0.47410358565737054</v>
      </c>
      <c r="J213" s="3">
        <v>0.23999999999999844</v>
      </c>
      <c r="K213" s="3">
        <v>1.539999999999992</v>
      </c>
      <c r="L213" s="4"/>
      <c r="M213" s="4"/>
      <c r="N213" s="4"/>
      <c r="O213" s="4"/>
      <c r="P213" s="4"/>
      <c r="Q213" s="4"/>
      <c r="AA213" s="8"/>
      <c r="AB213" s="8"/>
      <c r="AC213" s="4"/>
      <c r="AD213" s="4"/>
      <c r="AE213" s="4"/>
    </row>
    <row r="214" spans="3:31" x14ac:dyDescent="0.25">
      <c r="C214" s="1">
        <v>41761</v>
      </c>
      <c r="D214" s="2">
        <v>22.44</v>
      </c>
      <c r="E214" s="3">
        <v>186.62</v>
      </c>
      <c r="F214" s="2">
        <f t="shared" si="14"/>
        <v>-7.0000000000000284E-2</v>
      </c>
      <c r="G214" s="2">
        <f t="shared" si="15"/>
        <v>-2.0300000000000011</v>
      </c>
      <c r="H214" s="5">
        <f t="shared" si="12"/>
        <v>0.3386454183266932</v>
      </c>
      <c r="I214" s="5">
        <f t="shared" si="13"/>
        <v>0.12749003984063745</v>
      </c>
      <c r="J214" s="3">
        <v>0.25</v>
      </c>
      <c r="K214" s="3">
        <v>1.5800000000000125</v>
      </c>
      <c r="L214" s="4"/>
      <c r="M214" s="4"/>
      <c r="N214" s="4"/>
      <c r="O214" s="4"/>
      <c r="P214" s="4"/>
      <c r="Q214" s="4"/>
      <c r="AA214" s="8"/>
      <c r="AB214" s="8"/>
      <c r="AC214" s="4"/>
      <c r="AD214" s="4"/>
      <c r="AE214" s="4"/>
    </row>
    <row r="215" spans="3:31" x14ac:dyDescent="0.25">
      <c r="C215" s="1">
        <v>41760</v>
      </c>
      <c r="D215" s="2">
        <v>22.51</v>
      </c>
      <c r="E215" s="3">
        <v>188.65</v>
      </c>
      <c r="F215" s="2">
        <f t="shared" si="14"/>
        <v>-9.9999999999997868E-2</v>
      </c>
      <c r="G215" s="2">
        <f t="shared" si="15"/>
        <v>-2.8700000000000045</v>
      </c>
      <c r="H215" s="5">
        <f t="shared" si="12"/>
        <v>0.29880478087649404</v>
      </c>
      <c r="I215" s="5">
        <f t="shared" si="13"/>
        <v>4.3824701195219126E-2</v>
      </c>
      <c r="J215" s="3">
        <v>0.25</v>
      </c>
      <c r="K215" s="3">
        <v>1.6100000000000136</v>
      </c>
      <c r="L215" s="4"/>
      <c r="M215" s="4"/>
      <c r="N215" s="4"/>
      <c r="O215" s="4"/>
      <c r="P215" s="4"/>
      <c r="Q215" s="4"/>
      <c r="AA215" s="8"/>
      <c r="AB215" s="8"/>
      <c r="AC215" s="4"/>
      <c r="AD215" s="4"/>
      <c r="AE215" s="4"/>
    </row>
    <row r="216" spans="3:31" x14ac:dyDescent="0.25">
      <c r="C216" s="1">
        <v>41759</v>
      </c>
      <c r="D216" s="2">
        <v>22.61</v>
      </c>
      <c r="E216" s="3">
        <v>191.52</v>
      </c>
      <c r="F216" s="2">
        <f t="shared" si="14"/>
        <v>-3.9999999999999147E-2</v>
      </c>
      <c r="G216" s="2">
        <f t="shared" si="15"/>
        <v>1.3200000000000216</v>
      </c>
      <c r="H216" s="5">
        <f t="shared" si="12"/>
        <v>0.38247011952191234</v>
      </c>
      <c r="I216" s="5">
        <f t="shared" si="13"/>
        <v>0.8127490039840638</v>
      </c>
      <c r="J216" s="3">
        <v>0.25</v>
      </c>
      <c r="K216" s="3">
        <v>1.6999999999999886</v>
      </c>
      <c r="L216" s="4"/>
      <c r="M216" s="4"/>
      <c r="N216" s="4"/>
      <c r="O216" s="4"/>
      <c r="P216" s="4"/>
      <c r="Q216" s="4"/>
      <c r="AA216" s="8"/>
      <c r="AB216" s="8"/>
      <c r="AC216" s="4"/>
      <c r="AD216" s="4"/>
      <c r="AE216" s="4"/>
    </row>
    <row r="217" spans="3:31" x14ac:dyDescent="0.25">
      <c r="C217" s="1">
        <v>41758</v>
      </c>
      <c r="D217" s="2">
        <v>22.65</v>
      </c>
      <c r="E217" s="3">
        <v>190.2</v>
      </c>
      <c r="F217" s="2">
        <f t="shared" si="14"/>
        <v>0.12999999999999901</v>
      </c>
      <c r="G217" s="2">
        <f t="shared" si="15"/>
        <v>1.9299999999999784</v>
      </c>
      <c r="H217" s="5">
        <f t="shared" si="12"/>
        <v>0.65338645418326691</v>
      </c>
      <c r="I217" s="5">
        <f t="shared" si="13"/>
        <v>0.89243027888446214</v>
      </c>
      <c r="J217" s="3">
        <v>0.26000000000000156</v>
      </c>
      <c r="K217" s="3">
        <v>1.710000000000008</v>
      </c>
      <c r="L217" s="4"/>
      <c r="M217" s="4"/>
      <c r="N217" s="4"/>
      <c r="O217" s="4"/>
      <c r="P217" s="4"/>
      <c r="Q217" s="4"/>
      <c r="AA217" s="8"/>
      <c r="AB217" s="8"/>
      <c r="AC217" s="4"/>
      <c r="AD217" s="4"/>
      <c r="AE217" s="4"/>
    </row>
    <row r="218" spans="3:31" x14ac:dyDescent="0.25">
      <c r="C218" s="1">
        <v>41757</v>
      </c>
      <c r="D218" s="2">
        <v>22.52</v>
      </c>
      <c r="E218" s="3">
        <v>188.27</v>
      </c>
      <c r="F218" s="2">
        <f t="shared" si="14"/>
        <v>1.9999999999999574E-2</v>
      </c>
      <c r="G218" s="2">
        <f t="shared" si="15"/>
        <v>3.4200000000000159</v>
      </c>
      <c r="H218" s="5">
        <f t="shared" si="12"/>
        <v>0.49402390438247012</v>
      </c>
      <c r="I218" s="5">
        <f t="shared" si="13"/>
        <v>0.96812749003984067</v>
      </c>
      <c r="J218" s="3">
        <v>0.26999999999999957</v>
      </c>
      <c r="K218" s="3">
        <v>1.7300000000000182</v>
      </c>
      <c r="L218" s="4"/>
      <c r="M218" s="4"/>
      <c r="N218" s="4"/>
      <c r="O218" s="4"/>
      <c r="P218" s="4"/>
      <c r="Q218" s="4"/>
      <c r="AA218" s="8"/>
      <c r="AB218" s="8"/>
      <c r="AC218" s="4"/>
      <c r="AD218" s="4"/>
      <c r="AE218" s="4"/>
    </row>
    <row r="219" spans="3:31" x14ac:dyDescent="0.25">
      <c r="C219" s="1">
        <v>41754</v>
      </c>
      <c r="D219" s="2">
        <v>22.5</v>
      </c>
      <c r="E219" s="3">
        <v>184.85</v>
      </c>
      <c r="F219" s="2">
        <f t="shared" si="14"/>
        <v>-0.32000000000000028</v>
      </c>
      <c r="G219" s="2">
        <f t="shared" si="15"/>
        <v>-0.58000000000001251</v>
      </c>
      <c r="H219" s="5">
        <f t="shared" si="12"/>
        <v>9.9601593625498003E-2</v>
      </c>
      <c r="I219" s="5">
        <f t="shared" si="13"/>
        <v>0.36254980079681276</v>
      </c>
      <c r="J219" s="3">
        <v>0.26999999999999957</v>
      </c>
      <c r="K219" s="3">
        <v>1.7600000000000193</v>
      </c>
      <c r="L219" s="4"/>
      <c r="M219" s="4"/>
      <c r="N219" s="4"/>
      <c r="O219" s="4"/>
      <c r="P219" s="4"/>
      <c r="Q219" s="4"/>
      <c r="AA219" s="8"/>
      <c r="AB219" s="8"/>
      <c r="AC219" s="4"/>
      <c r="AD219" s="4"/>
      <c r="AE219" s="4"/>
    </row>
    <row r="220" spans="3:31" x14ac:dyDescent="0.25">
      <c r="C220" s="1">
        <v>41753</v>
      </c>
      <c r="D220" s="2">
        <v>22.82</v>
      </c>
      <c r="E220" s="3">
        <v>185.43</v>
      </c>
      <c r="F220" s="2">
        <f t="shared" si="14"/>
        <v>-0.16999999999999815</v>
      </c>
      <c r="G220" s="2">
        <f t="shared" si="15"/>
        <v>-1.4699999999999989</v>
      </c>
      <c r="H220" s="5">
        <f t="shared" si="12"/>
        <v>0.21115537848605578</v>
      </c>
      <c r="I220" s="5">
        <f t="shared" si="13"/>
        <v>0.19521912350597609</v>
      </c>
      <c r="J220" s="3">
        <v>0.26999999999999957</v>
      </c>
      <c r="K220" s="3">
        <v>1.8000000000000114</v>
      </c>
      <c r="L220" s="4"/>
      <c r="M220" s="4"/>
      <c r="N220" s="4"/>
      <c r="O220" s="4"/>
      <c r="P220" s="4"/>
      <c r="Q220" s="4"/>
      <c r="AA220" s="8"/>
      <c r="AB220" s="8"/>
      <c r="AC220" s="4"/>
      <c r="AD220" s="4"/>
      <c r="AE220" s="4"/>
    </row>
    <row r="221" spans="3:31" x14ac:dyDescent="0.25">
      <c r="C221" s="1">
        <v>41752</v>
      </c>
      <c r="D221" s="2">
        <v>22.99</v>
      </c>
      <c r="E221" s="3">
        <v>186.9</v>
      </c>
      <c r="F221" s="2">
        <f t="shared" si="14"/>
        <v>-2.0000000000003126E-2</v>
      </c>
      <c r="G221" s="2">
        <f t="shared" si="15"/>
        <v>-0.40999999999999659</v>
      </c>
      <c r="H221" s="5">
        <f t="shared" si="12"/>
        <v>0.41035856573705182</v>
      </c>
      <c r="I221" s="5">
        <f t="shared" si="13"/>
        <v>0.42231075697211157</v>
      </c>
      <c r="J221" s="3">
        <v>0.27999999999999758</v>
      </c>
      <c r="K221" s="3">
        <v>1.8199999999999932</v>
      </c>
      <c r="L221" s="4"/>
      <c r="M221" s="4"/>
      <c r="N221" s="4"/>
      <c r="O221" s="4"/>
      <c r="P221" s="4"/>
      <c r="Q221" s="4"/>
      <c r="AA221" s="8"/>
      <c r="AB221" s="8"/>
      <c r="AC221" s="4"/>
      <c r="AD221" s="4"/>
      <c r="AE221" s="4"/>
    </row>
    <row r="222" spans="3:31" x14ac:dyDescent="0.25">
      <c r="C222" s="1">
        <v>41751</v>
      </c>
      <c r="D222" s="2">
        <v>23.01</v>
      </c>
      <c r="E222" s="3">
        <v>187.31</v>
      </c>
      <c r="F222" s="2">
        <f t="shared" si="14"/>
        <v>0.12000000000000099</v>
      </c>
      <c r="G222" s="2">
        <f t="shared" si="15"/>
        <v>-0.12000000000000455</v>
      </c>
      <c r="H222" s="5">
        <f t="shared" si="12"/>
        <v>0.64143426294820716</v>
      </c>
      <c r="I222" s="5">
        <f t="shared" si="13"/>
        <v>0.50199203187250996</v>
      </c>
      <c r="J222" s="3">
        <v>0.27999999999999758</v>
      </c>
      <c r="K222" s="3">
        <v>1.8300000000000125</v>
      </c>
      <c r="L222" s="4"/>
      <c r="M222" s="4"/>
      <c r="N222" s="4"/>
      <c r="O222" s="4"/>
      <c r="P222" s="4"/>
      <c r="Q222" s="4"/>
      <c r="AA222" s="8"/>
      <c r="AB222" s="8"/>
      <c r="AC222" s="4"/>
      <c r="AD222" s="4"/>
      <c r="AE222" s="4"/>
    </row>
    <row r="223" spans="3:31" x14ac:dyDescent="0.25">
      <c r="C223" s="1">
        <v>41750</v>
      </c>
      <c r="D223" s="2">
        <v>22.89</v>
      </c>
      <c r="E223" s="3">
        <v>187.43</v>
      </c>
      <c r="F223" s="2">
        <f t="shared" si="14"/>
        <v>0.19000000000000128</v>
      </c>
      <c r="G223" s="2">
        <f t="shared" si="15"/>
        <v>2.210000000000008</v>
      </c>
      <c r="H223" s="5">
        <f t="shared" si="12"/>
        <v>0.79282868525896411</v>
      </c>
      <c r="I223" s="5">
        <f t="shared" si="13"/>
        <v>0.91633466135458164</v>
      </c>
      <c r="J223" s="3">
        <v>0.2900000000000027</v>
      </c>
      <c r="K223" s="3">
        <v>1.8799999999999955</v>
      </c>
      <c r="L223" s="4"/>
      <c r="M223" s="4"/>
      <c r="N223" s="4"/>
      <c r="O223" s="4"/>
      <c r="P223" s="4"/>
      <c r="Q223" s="4"/>
      <c r="AA223" s="8"/>
      <c r="AB223" s="8"/>
      <c r="AC223" s="4"/>
      <c r="AD223" s="4"/>
      <c r="AE223" s="4"/>
    </row>
    <row r="224" spans="3:31" x14ac:dyDescent="0.25">
      <c r="C224" s="1">
        <v>41746</v>
      </c>
      <c r="D224" s="2">
        <v>22.7</v>
      </c>
      <c r="E224" s="3">
        <v>185.22</v>
      </c>
      <c r="F224" s="2">
        <f t="shared" si="14"/>
        <v>0.16999999999999815</v>
      </c>
      <c r="G224" s="2">
        <f t="shared" si="15"/>
        <v>-6.2299999999999898</v>
      </c>
      <c r="H224" s="5">
        <f t="shared" si="12"/>
        <v>0.7450199203187251</v>
      </c>
      <c r="I224" s="5">
        <f t="shared" si="13"/>
        <v>7.9681274900398405E-3</v>
      </c>
      <c r="J224" s="3">
        <v>0.30000000000000071</v>
      </c>
      <c r="K224" s="3">
        <v>1.9200000000000159</v>
      </c>
      <c r="L224" s="4"/>
      <c r="M224" s="4"/>
      <c r="N224" s="4"/>
      <c r="O224" s="4"/>
      <c r="P224" s="4"/>
      <c r="Q224" s="4"/>
      <c r="AA224" s="8"/>
      <c r="AB224" s="8"/>
      <c r="AC224" s="4"/>
      <c r="AD224" s="4"/>
      <c r="AE224" s="4"/>
    </row>
    <row r="225" spans="3:31" x14ac:dyDescent="0.25">
      <c r="C225" s="1">
        <v>41745</v>
      </c>
      <c r="D225" s="2">
        <v>22.53</v>
      </c>
      <c r="E225" s="3">
        <v>191.45</v>
      </c>
      <c r="F225" s="2">
        <f t="shared" si="14"/>
        <v>0.14000000000000057</v>
      </c>
      <c r="G225" s="2">
        <f t="shared" si="15"/>
        <v>-0.61000000000001364</v>
      </c>
      <c r="H225" s="5">
        <f t="shared" si="12"/>
        <v>0.68525896414342624</v>
      </c>
      <c r="I225" s="5">
        <f t="shared" si="13"/>
        <v>0.35856573705179284</v>
      </c>
      <c r="J225" s="3">
        <v>0.30000000000000071</v>
      </c>
      <c r="K225" s="3">
        <v>1.9299999999999784</v>
      </c>
      <c r="L225" s="4"/>
      <c r="M225" s="4"/>
      <c r="N225" s="4"/>
      <c r="O225" s="4"/>
      <c r="P225" s="4"/>
      <c r="Q225" s="4"/>
      <c r="AA225" s="8"/>
      <c r="AB225" s="8"/>
      <c r="AC225" s="4"/>
      <c r="AD225" s="4"/>
      <c r="AE225" s="4"/>
    </row>
    <row r="226" spans="3:31" x14ac:dyDescent="0.25">
      <c r="C226" s="1">
        <v>41744</v>
      </c>
      <c r="D226" s="2">
        <v>22.39</v>
      </c>
      <c r="E226" s="3">
        <v>192.06</v>
      </c>
      <c r="F226" s="2">
        <f t="shared" si="14"/>
        <v>3.9999999999999147E-2</v>
      </c>
      <c r="G226" s="2">
        <f t="shared" si="15"/>
        <v>-0.72999999999998977</v>
      </c>
      <c r="H226" s="5">
        <f t="shared" si="12"/>
        <v>0.51792828685258963</v>
      </c>
      <c r="I226" s="5">
        <f t="shared" si="13"/>
        <v>0.34262948207171312</v>
      </c>
      <c r="J226" s="3">
        <v>0.30000000000000071</v>
      </c>
      <c r="K226" s="3">
        <v>1.9499999999999886</v>
      </c>
      <c r="L226" s="4"/>
      <c r="M226" s="4"/>
      <c r="N226" s="4"/>
      <c r="O226" s="4"/>
      <c r="P226" s="4"/>
      <c r="Q226" s="4"/>
      <c r="AA226" s="8"/>
      <c r="AB226" s="8"/>
      <c r="AC226" s="4"/>
      <c r="AD226" s="4"/>
      <c r="AE226" s="4"/>
    </row>
    <row r="227" spans="3:31" x14ac:dyDescent="0.25">
      <c r="C227" s="1">
        <v>41743</v>
      </c>
      <c r="D227" s="2">
        <v>22.35</v>
      </c>
      <c r="E227" s="3">
        <v>192.79</v>
      </c>
      <c r="F227" s="2">
        <f t="shared" si="14"/>
        <v>0.38000000000000256</v>
      </c>
      <c r="G227" s="2">
        <f t="shared" si="15"/>
        <v>2.5199999999999818</v>
      </c>
      <c r="H227" s="5">
        <f t="shared" si="12"/>
        <v>0.92828685258964139</v>
      </c>
      <c r="I227" s="5">
        <f t="shared" si="13"/>
        <v>0.92828685258964139</v>
      </c>
      <c r="J227" s="3">
        <v>0.30999999999999872</v>
      </c>
      <c r="K227" s="3">
        <v>1.960000000000008</v>
      </c>
      <c r="L227" s="4"/>
      <c r="M227" s="4"/>
      <c r="N227" s="4"/>
      <c r="O227" s="4"/>
      <c r="P227" s="4"/>
      <c r="Q227" s="4"/>
      <c r="AA227" s="8"/>
      <c r="AB227" s="8"/>
      <c r="AC227" s="4"/>
      <c r="AD227" s="4"/>
      <c r="AE227" s="4"/>
    </row>
    <row r="228" spans="3:31" x14ac:dyDescent="0.25">
      <c r="C228" s="1">
        <v>41740</v>
      </c>
      <c r="D228" s="2">
        <v>21.97</v>
      </c>
      <c r="E228" s="3">
        <v>190.27</v>
      </c>
      <c r="F228" s="2">
        <f t="shared" si="14"/>
        <v>-0.19000000000000128</v>
      </c>
      <c r="G228" s="2">
        <f t="shared" si="15"/>
        <v>-0.47999999999998977</v>
      </c>
      <c r="H228" s="5">
        <f t="shared" si="12"/>
        <v>0.17928286852589642</v>
      </c>
      <c r="I228" s="5">
        <f t="shared" si="13"/>
        <v>0.38645418326693226</v>
      </c>
      <c r="J228" s="3">
        <v>0.30999999999999872</v>
      </c>
      <c r="K228" s="3">
        <v>1.9899999999999807</v>
      </c>
      <c r="L228" s="4"/>
      <c r="M228" s="4"/>
      <c r="N228" s="4"/>
      <c r="O228" s="4"/>
      <c r="P228" s="4"/>
      <c r="Q228" s="4"/>
      <c r="AA228" s="8"/>
      <c r="AB228" s="8"/>
      <c r="AC228" s="4"/>
      <c r="AD228" s="4"/>
      <c r="AE228" s="4"/>
    </row>
    <row r="229" spans="3:31" x14ac:dyDescent="0.25">
      <c r="C229" s="1">
        <v>41739</v>
      </c>
      <c r="D229" s="2">
        <v>22.16</v>
      </c>
      <c r="E229" s="3">
        <v>190.75</v>
      </c>
      <c r="F229" s="2">
        <f t="shared" si="14"/>
        <v>-0.46000000000000085</v>
      </c>
      <c r="G229" s="2">
        <f t="shared" si="15"/>
        <v>-0.93999999999999773</v>
      </c>
      <c r="H229" s="5">
        <f t="shared" si="12"/>
        <v>4.7808764940239043E-2</v>
      </c>
      <c r="I229" s="5">
        <f t="shared" si="13"/>
        <v>0.28286852589641437</v>
      </c>
      <c r="J229" s="3">
        <v>0.30999999999999872</v>
      </c>
      <c r="K229" s="3">
        <v>2</v>
      </c>
      <c r="L229" s="4"/>
      <c r="M229" s="4"/>
      <c r="N229" s="4"/>
      <c r="O229" s="4"/>
      <c r="P229" s="4"/>
      <c r="Q229" s="4"/>
      <c r="AA229" s="8"/>
      <c r="AB229" s="8"/>
      <c r="AC229" s="4"/>
      <c r="AD229" s="4"/>
      <c r="AE229" s="4"/>
    </row>
    <row r="230" spans="3:31" x14ac:dyDescent="0.25">
      <c r="C230" s="1">
        <v>41738</v>
      </c>
      <c r="D230" s="2">
        <v>22.62</v>
      </c>
      <c r="E230" s="3">
        <v>191.69</v>
      </c>
      <c r="F230" s="2">
        <f t="shared" si="14"/>
        <v>0.17999999999999972</v>
      </c>
      <c r="G230" s="2">
        <f t="shared" si="15"/>
        <v>3.2700000000000102</v>
      </c>
      <c r="H230" s="5">
        <f t="shared" si="12"/>
        <v>0.76494023904382469</v>
      </c>
      <c r="I230" s="5">
        <f t="shared" si="13"/>
        <v>0.95617529880478092</v>
      </c>
      <c r="J230" s="3">
        <v>0.35999999999999943</v>
      </c>
      <c r="K230" s="3">
        <v>2.1800000000000068</v>
      </c>
      <c r="L230" s="4"/>
      <c r="M230" s="4"/>
      <c r="N230" s="4"/>
      <c r="O230" s="4"/>
      <c r="P230" s="4"/>
      <c r="Q230" s="4"/>
      <c r="AA230" s="8"/>
      <c r="AB230" s="8"/>
      <c r="AC230" s="4"/>
      <c r="AD230" s="4"/>
      <c r="AE230" s="4"/>
    </row>
    <row r="231" spans="3:31" x14ac:dyDescent="0.25">
      <c r="C231" s="1">
        <v>41737</v>
      </c>
      <c r="D231" s="2">
        <v>22.44</v>
      </c>
      <c r="E231" s="3">
        <v>188.42</v>
      </c>
      <c r="F231" s="2">
        <f t="shared" si="14"/>
        <v>8.9999999999999858E-2</v>
      </c>
      <c r="G231" s="2">
        <f t="shared" si="15"/>
        <v>-1.2000000000000171</v>
      </c>
      <c r="H231" s="5">
        <f t="shared" si="12"/>
        <v>0.58565737051792832</v>
      </c>
      <c r="I231" s="5">
        <f t="shared" si="13"/>
        <v>0.24302788844621515</v>
      </c>
      <c r="J231" s="3">
        <v>0.36999999999999744</v>
      </c>
      <c r="K231" s="3">
        <v>2.210000000000008</v>
      </c>
      <c r="L231" s="4"/>
      <c r="M231" s="4"/>
      <c r="N231" s="4"/>
      <c r="O231" s="4"/>
      <c r="P231" s="4"/>
      <c r="Q231" s="4"/>
      <c r="AA231" s="8"/>
      <c r="AB231" s="8"/>
      <c r="AC231" s="4"/>
      <c r="AD231" s="4"/>
      <c r="AE231" s="4"/>
    </row>
    <row r="232" spans="3:31" x14ac:dyDescent="0.25">
      <c r="C232" s="1">
        <v>41736</v>
      </c>
      <c r="D232" s="2">
        <v>22.35</v>
      </c>
      <c r="E232" s="3">
        <v>189.62</v>
      </c>
      <c r="F232" s="2">
        <f t="shared" si="14"/>
        <v>0.14000000000000057</v>
      </c>
      <c r="G232" s="2">
        <f t="shared" si="15"/>
        <v>2.6800000000000068</v>
      </c>
      <c r="H232" s="5">
        <f t="shared" si="12"/>
        <v>0.68525896414342624</v>
      </c>
      <c r="I232" s="5">
        <f t="shared" si="13"/>
        <v>0.93625498007968122</v>
      </c>
      <c r="J232" s="3">
        <v>0.36999999999999744</v>
      </c>
      <c r="K232" s="3">
        <v>2.2999999999999829</v>
      </c>
      <c r="L232" s="4"/>
      <c r="M232" s="4"/>
      <c r="N232" s="4"/>
      <c r="O232" s="4"/>
      <c r="P232" s="4"/>
      <c r="Q232" s="4"/>
      <c r="AA232" s="8"/>
      <c r="AB232" s="8"/>
      <c r="AC232" s="4"/>
      <c r="AD232" s="4"/>
      <c r="AE232" s="4"/>
    </row>
    <row r="233" spans="3:31" x14ac:dyDescent="0.25">
      <c r="C233" s="1">
        <v>41733</v>
      </c>
      <c r="D233" s="2">
        <v>22.21</v>
      </c>
      <c r="E233" s="3">
        <v>186.94</v>
      </c>
      <c r="F233" s="2">
        <f t="shared" si="14"/>
        <v>-0.37999999999999901</v>
      </c>
      <c r="G233" s="2">
        <f t="shared" si="15"/>
        <v>-0.90000000000000568</v>
      </c>
      <c r="H233" s="5">
        <f t="shared" si="12"/>
        <v>7.1713147410358571E-2</v>
      </c>
      <c r="I233" s="5">
        <f t="shared" si="13"/>
        <v>0.2908366533864542</v>
      </c>
      <c r="J233" s="3">
        <v>0.37999999999999901</v>
      </c>
      <c r="K233" s="3">
        <v>2.4399999999999977</v>
      </c>
      <c r="L233" s="4"/>
      <c r="M233" s="4"/>
      <c r="N233" s="4"/>
      <c r="O233" s="4"/>
      <c r="P233" s="4"/>
      <c r="Q233" s="4"/>
      <c r="AA233" s="8"/>
      <c r="AB233" s="8"/>
      <c r="AC233" s="4"/>
      <c r="AD233" s="4"/>
      <c r="AE233" s="4"/>
    </row>
    <row r="234" spans="3:31" x14ac:dyDescent="0.25">
      <c r="C234" s="1">
        <v>41732</v>
      </c>
      <c r="D234" s="2">
        <v>22.59</v>
      </c>
      <c r="E234" s="3">
        <v>187.84</v>
      </c>
      <c r="F234" s="2">
        <f t="shared" si="14"/>
        <v>0.10000000000000142</v>
      </c>
      <c r="G234" s="2">
        <f t="shared" si="15"/>
        <v>-0.82999999999998408</v>
      </c>
      <c r="H234" s="5">
        <f t="shared" si="12"/>
        <v>0.59760956175298807</v>
      </c>
      <c r="I234" s="5">
        <f t="shared" si="13"/>
        <v>0.29880478087649404</v>
      </c>
      <c r="J234" s="3">
        <v>0.38000000000000256</v>
      </c>
      <c r="K234" s="3">
        <v>2.5199999999999818</v>
      </c>
      <c r="L234" s="4"/>
      <c r="M234" s="4"/>
      <c r="N234" s="4"/>
      <c r="O234" s="4"/>
      <c r="P234" s="4"/>
      <c r="Q234" s="4"/>
      <c r="AA234" s="8"/>
      <c r="AB234" s="8"/>
      <c r="AC234" s="4"/>
      <c r="AD234" s="4"/>
      <c r="AE234" s="4"/>
    </row>
    <row r="235" spans="3:31" x14ac:dyDescent="0.25">
      <c r="C235" s="1">
        <v>41731</v>
      </c>
      <c r="D235" s="2">
        <v>22.49</v>
      </c>
      <c r="E235" s="3">
        <v>188.67</v>
      </c>
      <c r="F235" s="2">
        <f t="shared" si="14"/>
        <v>-0.11000000000000298</v>
      </c>
      <c r="G235" s="2">
        <f t="shared" si="15"/>
        <v>-0.93000000000000682</v>
      </c>
      <c r="H235" s="5">
        <f t="shared" si="12"/>
        <v>0.27091633466135456</v>
      </c>
      <c r="I235" s="5">
        <f t="shared" si="13"/>
        <v>0.28685258964143429</v>
      </c>
      <c r="J235" s="3">
        <v>0.39000000000000057</v>
      </c>
      <c r="K235" s="3">
        <v>2.5600000000000023</v>
      </c>
      <c r="L235" s="4"/>
      <c r="M235" s="4"/>
      <c r="N235" s="4"/>
      <c r="O235" s="4"/>
      <c r="P235" s="4"/>
      <c r="Q235" s="4"/>
      <c r="AA235" s="8"/>
      <c r="AB235" s="8"/>
      <c r="AC235" s="4"/>
      <c r="AD235" s="4"/>
      <c r="AE235" s="4"/>
    </row>
    <row r="236" spans="3:31" x14ac:dyDescent="0.25">
      <c r="C236" s="1">
        <v>41730</v>
      </c>
      <c r="D236" s="2">
        <v>22.6</v>
      </c>
      <c r="E236" s="3">
        <v>189.6</v>
      </c>
      <c r="F236" s="2">
        <f t="shared" si="14"/>
        <v>0.85000000000000142</v>
      </c>
      <c r="G236" s="2">
        <f t="shared" si="15"/>
        <v>1.960000000000008</v>
      </c>
      <c r="H236" s="5">
        <f t="shared" si="12"/>
        <v>0.99203187250996017</v>
      </c>
      <c r="I236" s="5">
        <f t="shared" si="13"/>
        <v>0.90039840637450197</v>
      </c>
      <c r="J236" s="3">
        <v>0.41000000000000014</v>
      </c>
      <c r="K236" s="3">
        <v>2.6800000000000068</v>
      </c>
      <c r="L236" s="4"/>
      <c r="M236" s="4"/>
      <c r="N236" s="4"/>
      <c r="O236" s="4"/>
      <c r="P236" s="4"/>
      <c r="Q236" s="4"/>
      <c r="AA236" s="8"/>
      <c r="AB236" s="8"/>
      <c r="AC236" s="4"/>
      <c r="AD236" s="4"/>
      <c r="AE236" s="4"/>
    </row>
    <row r="237" spans="3:31" x14ac:dyDescent="0.25">
      <c r="C237" s="1">
        <v>41729</v>
      </c>
      <c r="D237" s="2">
        <v>21.75</v>
      </c>
      <c r="E237" s="3">
        <v>187.64</v>
      </c>
      <c r="F237" s="2">
        <f t="shared" si="14"/>
        <v>8.9999999999999858E-2</v>
      </c>
      <c r="G237" s="2">
        <f t="shared" si="15"/>
        <v>1.9899999999999807</v>
      </c>
      <c r="H237" s="5">
        <f t="shared" si="12"/>
        <v>0.58565737051792832</v>
      </c>
      <c r="I237" s="5">
        <f t="shared" si="13"/>
        <v>0.90438247011952189</v>
      </c>
      <c r="J237" s="3">
        <v>0.42000000000000171</v>
      </c>
      <c r="K237" s="3">
        <v>2.8100000000000023</v>
      </c>
      <c r="L237" s="4"/>
      <c r="M237" s="4"/>
      <c r="N237" s="4"/>
      <c r="O237" s="4"/>
      <c r="P237" s="4"/>
      <c r="Q237" s="4"/>
      <c r="AA237" s="8"/>
      <c r="AB237" s="8"/>
      <c r="AC237" s="4"/>
      <c r="AD237" s="4"/>
      <c r="AE237" s="4"/>
    </row>
    <row r="238" spans="3:31" x14ac:dyDescent="0.25">
      <c r="C238" s="1">
        <v>41726</v>
      </c>
      <c r="D238" s="2">
        <v>21.66</v>
      </c>
      <c r="E238" s="3">
        <v>185.65</v>
      </c>
      <c r="F238" s="2">
        <f t="shared" si="14"/>
        <v>0.30000000000000071</v>
      </c>
      <c r="G238" s="2">
        <f t="shared" si="15"/>
        <v>0.59999999999999432</v>
      </c>
      <c r="H238" s="5">
        <f t="shared" si="12"/>
        <v>0.89641434262948205</v>
      </c>
      <c r="I238" s="5">
        <f t="shared" si="13"/>
        <v>0.6972111553784861</v>
      </c>
      <c r="J238" s="3">
        <v>0.42999999999999972</v>
      </c>
      <c r="K238" s="3">
        <v>2.9099999999999966</v>
      </c>
      <c r="L238" s="4"/>
      <c r="M238" s="4"/>
      <c r="N238" s="4"/>
      <c r="O238" s="4"/>
      <c r="P238" s="4"/>
      <c r="Q238" s="4"/>
      <c r="AA238" s="8"/>
      <c r="AB238" s="8"/>
      <c r="AC238" s="4"/>
      <c r="AD238" s="4"/>
      <c r="AE238" s="4"/>
    </row>
    <row r="239" spans="3:31" x14ac:dyDescent="0.25">
      <c r="C239" s="1">
        <v>41725</v>
      </c>
      <c r="D239" s="2">
        <v>21.36</v>
      </c>
      <c r="E239" s="3">
        <v>185.05</v>
      </c>
      <c r="F239" s="2">
        <f t="shared" si="14"/>
        <v>-0.28999999999999915</v>
      </c>
      <c r="G239" s="2">
        <f t="shared" si="15"/>
        <v>-2.7199999999999989</v>
      </c>
      <c r="H239" s="5">
        <f t="shared" si="12"/>
        <v>0.11553784860557768</v>
      </c>
      <c r="I239" s="5">
        <f t="shared" si="13"/>
        <v>4.7808764940239043E-2</v>
      </c>
      <c r="J239" s="3">
        <v>0.44999999999999929</v>
      </c>
      <c r="K239" s="3">
        <v>3.1099999999999852</v>
      </c>
      <c r="L239" s="4"/>
      <c r="M239" s="4"/>
      <c r="N239" s="4"/>
      <c r="O239" s="4"/>
      <c r="P239" s="4"/>
      <c r="Q239" s="4"/>
      <c r="AA239" s="8"/>
      <c r="AB239" s="8"/>
      <c r="AC239" s="4"/>
      <c r="AD239" s="4"/>
      <c r="AE239" s="4"/>
    </row>
    <row r="240" spans="3:31" x14ac:dyDescent="0.25">
      <c r="C240" s="1">
        <v>41724</v>
      </c>
      <c r="D240" s="2">
        <v>21.65</v>
      </c>
      <c r="E240" s="3">
        <v>187.77</v>
      </c>
      <c r="F240" s="2">
        <f t="shared" si="14"/>
        <v>-2.0000000000003126E-2</v>
      </c>
      <c r="G240" s="2">
        <f t="shared" si="15"/>
        <v>-2.3599999999999852</v>
      </c>
      <c r="H240" s="5">
        <f t="shared" si="12"/>
        <v>0.41035856573705182</v>
      </c>
      <c r="I240" s="5">
        <f t="shared" si="13"/>
        <v>8.7649402390438252E-2</v>
      </c>
      <c r="J240" s="3">
        <v>0.45000000000000284</v>
      </c>
      <c r="K240" s="3">
        <v>3.1700000000000159</v>
      </c>
      <c r="L240" s="4"/>
      <c r="M240" s="4"/>
      <c r="N240" s="4"/>
      <c r="O240" s="4"/>
      <c r="P240" s="4"/>
      <c r="Q240" s="4"/>
      <c r="AA240" s="8"/>
      <c r="AB240" s="8"/>
      <c r="AC240" s="4"/>
      <c r="AD240" s="4"/>
      <c r="AE240" s="4"/>
    </row>
    <row r="241" spans="3:31" x14ac:dyDescent="0.25">
      <c r="C241" s="1">
        <v>41723</v>
      </c>
      <c r="D241" s="2">
        <v>21.67</v>
      </c>
      <c r="E241" s="3">
        <v>190.13</v>
      </c>
      <c r="F241" s="2">
        <f t="shared" si="14"/>
        <v>0.75</v>
      </c>
      <c r="G241" s="2">
        <f t="shared" si="15"/>
        <v>6.6200000000000045</v>
      </c>
      <c r="H241" s="5">
        <f t="shared" si="12"/>
        <v>0.98406374501992033</v>
      </c>
      <c r="I241" s="5">
        <f t="shared" si="13"/>
        <v>1</v>
      </c>
      <c r="J241" s="3">
        <v>0.4599999999999973</v>
      </c>
      <c r="K241" s="3">
        <v>3.2700000000000102</v>
      </c>
      <c r="L241" s="4"/>
      <c r="M241" s="4"/>
      <c r="N241" s="4"/>
      <c r="O241" s="4"/>
      <c r="P241" s="4"/>
      <c r="Q241" s="4"/>
      <c r="AA241" s="8"/>
      <c r="AB241" s="8"/>
      <c r="AC241" s="4"/>
      <c r="AD241" s="4"/>
      <c r="AE241" s="4"/>
    </row>
    <row r="242" spans="3:31" x14ac:dyDescent="0.25">
      <c r="C242" s="1">
        <v>41722</v>
      </c>
      <c r="D242" s="2">
        <v>20.92</v>
      </c>
      <c r="E242" s="3">
        <v>183.51</v>
      </c>
      <c r="F242" s="2">
        <f t="shared" si="14"/>
        <v>-6.9999999999996732E-2</v>
      </c>
      <c r="G242" s="2">
        <f t="shared" si="15"/>
        <v>1.539999999999992</v>
      </c>
      <c r="H242" s="5">
        <f t="shared" si="12"/>
        <v>0.34262948207171312</v>
      </c>
      <c r="I242" s="5">
        <f t="shared" si="13"/>
        <v>0.84462151394422313</v>
      </c>
      <c r="J242" s="3">
        <v>0.55999999999999872</v>
      </c>
      <c r="K242" s="3">
        <v>3.2800000000000011</v>
      </c>
      <c r="L242" s="4"/>
      <c r="M242" s="4"/>
      <c r="N242" s="4"/>
      <c r="O242" s="4"/>
      <c r="P242" s="4"/>
      <c r="Q242" s="4"/>
      <c r="AA242" s="8"/>
      <c r="AB242" s="8"/>
      <c r="AC242" s="4"/>
      <c r="AD242" s="4"/>
      <c r="AE242" s="4"/>
    </row>
    <row r="243" spans="3:31" x14ac:dyDescent="0.25">
      <c r="C243" s="1">
        <v>41719</v>
      </c>
      <c r="D243" s="2">
        <v>20.99</v>
      </c>
      <c r="E243" s="3">
        <v>181.97</v>
      </c>
      <c r="F243" s="2">
        <f t="shared" si="14"/>
        <v>-0.18000000000000327</v>
      </c>
      <c r="G243" s="2">
        <f t="shared" si="15"/>
        <v>-1.1999999999999886</v>
      </c>
      <c r="H243" s="5">
        <f t="shared" si="12"/>
        <v>0.18725099601593626</v>
      </c>
      <c r="I243" s="5">
        <f t="shared" si="13"/>
        <v>0.25099601593625498</v>
      </c>
      <c r="J243" s="3">
        <v>0.57000000000000028</v>
      </c>
      <c r="K243" s="3">
        <v>3.3499999999999943</v>
      </c>
      <c r="L243" s="4"/>
      <c r="M243" s="4"/>
      <c r="N243" s="4"/>
      <c r="O243" s="4"/>
      <c r="P243" s="4"/>
      <c r="Q243" s="4"/>
      <c r="AA243" s="8"/>
      <c r="AB243" s="8"/>
      <c r="AC243" s="4"/>
      <c r="AD243" s="4"/>
      <c r="AE243" s="4"/>
    </row>
    <row r="244" spans="3:31" x14ac:dyDescent="0.25">
      <c r="C244" s="1">
        <v>41718</v>
      </c>
      <c r="D244" s="2">
        <v>21.17</v>
      </c>
      <c r="E244" s="3">
        <v>183.17</v>
      </c>
      <c r="F244" s="2">
        <f t="shared" si="14"/>
        <v>0.19000000000000128</v>
      </c>
      <c r="G244" s="2">
        <f t="shared" si="15"/>
        <v>3.1099999999999852</v>
      </c>
      <c r="H244" s="5">
        <f t="shared" si="12"/>
        <v>0.79282868525896411</v>
      </c>
      <c r="I244" s="5">
        <f t="shared" si="13"/>
        <v>0.94820717131474108</v>
      </c>
      <c r="J244" s="3">
        <v>0.58000000000000185</v>
      </c>
      <c r="K244" s="3">
        <v>3.4200000000000159</v>
      </c>
      <c r="L244" s="4"/>
      <c r="M244" s="4"/>
      <c r="N244" s="4"/>
      <c r="O244" s="4"/>
      <c r="P244" s="4"/>
      <c r="Q244" s="4"/>
      <c r="AA244" s="8"/>
      <c r="AB244" s="8"/>
      <c r="AC244" s="4"/>
      <c r="AD244" s="4"/>
      <c r="AE244" s="4"/>
    </row>
    <row r="245" spans="3:31" x14ac:dyDescent="0.25">
      <c r="C245" s="1">
        <v>41717</v>
      </c>
      <c r="D245" s="2">
        <v>20.98</v>
      </c>
      <c r="E245" s="3">
        <v>180.06</v>
      </c>
      <c r="F245" s="2">
        <f t="shared" si="14"/>
        <v>0</v>
      </c>
      <c r="G245" s="2">
        <f t="shared" si="15"/>
        <v>-2.039999999999992</v>
      </c>
      <c r="H245" s="5">
        <f t="shared" si="12"/>
        <v>0.47011952191235062</v>
      </c>
      <c r="I245" s="5">
        <f t="shared" si="13"/>
        <v>0.12350597609561753</v>
      </c>
      <c r="J245" s="3">
        <v>0.64000000000000057</v>
      </c>
      <c r="K245" s="3">
        <v>3.5099999999999909</v>
      </c>
      <c r="L245" s="4"/>
      <c r="M245" s="4"/>
      <c r="N245" s="4"/>
      <c r="O245" s="4"/>
      <c r="P245" s="4"/>
      <c r="Q245" s="4"/>
      <c r="AA245" s="8"/>
      <c r="AB245" s="8"/>
      <c r="AC245" s="4"/>
      <c r="AD245" s="4"/>
      <c r="AE245" s="4"/>
    </row>
    <row r="246" spans="3:31" x14ac:dyDescent="0.25">
      <c r="C246" s="1">
        <v>41716</v>
      </c>
      <c r="D246" s="2">
        <v>20.98</v>
      </c>
      <c r="E246" s="3">
        <v>182.1</v>
      </c>
      <c r="F246" s="2">
        <f t="shared" si="14"/>
        <v>0.12000000000000099</v>
      </c>
      <c r="G246" s="2">
        <f t="shared" si="15"/>
        <v>0.96999999999999886</v>
      </c>
      <c r="H246" s="5">
        <f t="shared" si="12"/>
        <v>0.64143426294820716</v>
      </c>
      <c r="I246" s="5">
        <f t="shared" si="13"/>
        <v>0.75298804780876494</v>
      </c>
      <c r="J246" s="3">
        <v>0.66000000000000014</v>
      </c>
      <c r="K246" s="3">
        <v>3.5999999999999943</v>
      </c>
      <c r="L246" s="4"/>
      <c r="M246" s="4"/>
      <c r="N246" s="4"/>
      <c r="O246" s="4"/>
      <c r="P246" s="4"/>
      <c r="Q246" s="4"/>
      <c r="AA246" s="8"/>
      <c r="AB246" s="8"/>
      <c r="AC246" s="4"/>
      <c r="AD246" s="4"/>
      <c r="AE246" s="4"/>
    </row>
    <row r="247" spans="3:31" x14ac:dyDescent="0.25">
      <c r="C247" s="1">
        <v>41715</v>
      </c>
      <c r="D247" s="2">
        <v>20.86</v>
      </c>
      <c r="E247" s="3">
        <v>181.13</v>
      </c>
      <c r="F247" s="2">
        <f t="shared" si="14"/>
        <v>0.14999999999999858</v>
      </c>
      <c r="G247" s="2">
        <f t="shared" si="15"/>
        <v>3.5099999999999909</v>
      </c>
      <c r="H247" s="5">
        <f t="shared" si="12"/>
        <v>0.70517928286852594</v>
      </c>
      <c r="I247" s="5">
        <f t="shared" si="13"/>
        <v>0.97211155378486058</v>
      </c>
      <c r="J247" s="3">
        <v>0.67999999999999972</v>
      </c>
      <c r="K247" s="3">
        <v>3.789999999999992</v>
      </c>
      <c r="L247" s="4"/>
      <c r="M247" s="4"/>
      <c r="N247" s="4"/>
      <c r="O247" s="4"/>
      <c r="P247" s="4"/>
      <c r="Q247" s="4"/>
      <c r="AA247" s="8"/>
      <c r="AB247" s="8"/>
      <c r="AC247" s="4"/>
      <c r="AD247" s="4"/>
      <c r="AE247" s="4"/>
    </row>
    <row r="248" spans="3:31" x14ac:dyDescent="0.25">
      <c r="C248" s="1">
        <v>41712</v>
      </c>
      <c r="D248" s="2">
        <v>20.71</v>
      </c>
      <c r="E248" s="3">
        <v>177.62</v>
      </c>
      <c r="F248" s="2">
        <f t="shared" si="14"/>
        <v>-0.16000000000000014</v>
      </c>
      <c r="G248" s="2">
        <f t="shared" si="15"/>
        <v>-1.6500000000000057</v>
      </c>
      <c r="H248" s="5">
        <f t="shared" si="12"/>
        <v>0.22709163346613545</v>
      </c>
      <c r="I248" s="5">
        <f t="shared" si="13"/>
        <v>0.16733067729083664</v>
      </c>
      <c r="J248" s="3">
        <v>0.75</v>
      </c>
      <c r="K248" s="3">
        <v>3.8000000000000114</v>
      </c>
      <c r="L248" s="4"/>
      <c r="M248" s="4"/>
      <c r="N248" s="4"/>
      <c r="O248" s="4"/>
      <c r="P248" s="4"/>
      <c r="Q248" s="4"/>
      <c r="AA248" s="8"/>
      <c r="AB248" s="8"/>
      <c r="AC248" s="4"/>
      <c r="AD248" s="4"/>
      <c r="AE248" s="4"/>
    </row>
    <row r="249" spans="3:31" x14ac:dyDescent="0.25">
      <c r="C249" s="1">
        <v>41711</v>
      </c>
      <c r="D249" s="2">
        <v>20.87</v>
      </c>
      <c r="E249" s="3">
        <v>179.27</v>
      </c>
      <c r="F249" s="2">
        <f t="shared" si="14"/>
        <v>-0.28999999999999915</v>
      </c>
      <c r="G249" s="2">
        <f t="shared" si="15"/>
        <v>-2.2599999999999909</v>
      </c>
      <c r="H249" s="5">
        <f t="shared" si="12"/>
        <v>0.11553784860557768</v>
      </c>
      <c r="I249" s="5">
        <f t="shared" si="13"/>
        <v>0.10358565737051793</v>
      </c>
      <c r="J249" s="3">
        <v>0.83000000000000185</v>
      </c>
      <c r="K249" s="3">
        <v>3.9099999999999966</v>
      </c>
      <c r="L249" s="4"/>
      <c r="M249" s="4"/>
      <c r="N249" s="4"/>
      <c r="O249" s="4"/>
      <c r="P249" s="4"/>
      <c r="Q249" s="4"/>
      <c r="AA249" s="8"/>
      <c r="AB249" s="8"/>
      <c r="AC249" s="4"/>
      <c r="AD249" s="4"/>
      <c r="AE249" s="4"/>
    </row>
    <row r="250" spans="3:31" x14ac:dyDescent="0.25">
      <c r="C250" s="1">
        <v>41710</v>
      </c>
      <c r="D250" s="2">
        <v>21.16</v>
      </c>
      <c r="E250" s="3">
        <v>181.53</v>
      </c>
      <c r="F250" s="2">
        <f t="shared" si="14"/>
        <v>0.19999999999999929</v>
      </c>
      <c r="G250" s="2">
        <f t="shared" si="15"/>
        <v>-0.53000000000000114</v>
      </c>
      <c r="H250" s="5">
        <f t="shared" si="12"/>
        <v>0.80079681274900394</v>
      </c>
      <c r="I250" s="5">
        <f t="shared" si="13"/>
        <v>0.37051792828685259</v>
      </c>
      <c r="J250" s="3">
        <v>0.85000000000000142</v>
      </c>
      <c r="K250" s="3">
        <v>4.9800000000000182</v>
      </c>
      <c r="L250" s="4"/>
      <c r="M250" s="4"/>
      <c r="N250" s="4"/>
      <c r="O250" s="4"/>
      <c r="P250" s="4"/>
      <c r="Q250" s="4"/>
      <c r="AA250" s="8"/>
      <c r="AB250" s="8"/>
      <c r="AC250" s="4"/>
      <c r="AD250" s="4"/>
      <c r="AE250" s="4"/>
    </row>
    <row r="251" spans="3:31" x14ac:dyDescent="0.25">
      <c r="C251" s="1">
        <v>41709</v>
      </c>
      <c r="D251" s="2">
        <v>20.96</v>
      </c>
      <c r="E251" s="3">
        <v>182.06</v>
      </c>
      <c r="F251" s="2">
        <f t="shared" si="14"/>
        <v>-7.9999999999998295E-2</v>
      </c>
      <c r="G251" s="2">
        <f t="shared" si="15"/>
        <v>0.37000000000000455</v>
      </c>
      <c r="H251" s="5">
        <f t="shared" si="12"/>
        <v>0.32270916334661354</v>
      </c>
      <c r="I251" s="5">
        <f t="shared" si="13"/>
        <v>0.61752988047808766</v>
      </c>
      <c r="J251" s="3">
        <v>1.3399999999999999</v>
      </c>
      <c r="K251" s="3">
        <v>5.710000000000008</v>
      </c>
      <c r="L251" s="4"/>
      <c r="M251" s="4"/>
      <c r="N251" s="4"/>
      <c r="O251" s="4"/>
      <c r="P251" s="4"/>
      <c r="Q251" s="4"/>
      <c r="AA251" s="8"/>
      <c r="AB251" s="8"/>
      <c r="AC251" s="4"/>
      <c r="AD251" s="4"/>
      <c r="AE251" s="4"/>
    </row>
    <row r="252" spans="3:31" x14ac:dyDescent="0.25">
      <c r="C252" s="1">
        <v>41708</v>
      </c>
      <c r="D252" s="2">
        <v>21.04</v>
      </c>
      <c r="E252" s="3">
        <v>181.69</v>
      </c>
      <c r="F252" s="2">
        <f t="shared" si="14"/>
        <v>-3.9999999999999147E-2</v>
      </c>
      <c r="G252" s="2">
        <f t="shared" si="15"/>
        <v>-1.2599999999999909</v>
      </c>
      <c r="H252" s="5">
        <f t="shared" si="12"/>
        <v>0.38247011952191234</v>
      </c>
      <c r="I252" s="5">
        <f t="shared" si="13"/>
        <v>0.22709163346613545</v>
      </c>
      <c r="J252" s="3">
        <v>2.5300000000000011</v>
      </c>
      <c r="K252" s="3">
        <v>6.6200000000000045</v>
      </c>
      <c r="L252" s="4"/>
      <c r="M252" s="4"/>
      <c r="N252" s="4"/>
      <c r="O252" s="4"/>
      <c r="P252" s="4"/>
      <c r="Q252" s="4"/>
      <c r="AA252" s="8"/>
      <c r="AB252" s="8"/>
      <c r="AC252" s="4"/>
      <c r="AD252" s="4"/>
    </row>
    <row r="253" spans="3:31" x14ac:dyDescent="0.25">
      <c r="C253" s="1">
        <v>41705</v>
      </c>
      <c r="D253" s="2">
        <v>21.08</v>
      </c>
      <c r="E253" s="3">
        <v>182.95</v>
      </c>
    </row>
  </sheetData>
  <sortState ref="K2:K252">
    <sortCondition ref="K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Roy DeMeo</dc:creator>
  <cp:lastModifiedBy>DeMeo, Roy E.</cp:lastModifiedBy>
  <dcterms:created xsi:type="dcterms:W3CDTF">2015-03-07T02:51:20Z</dcterms:created>
  <dcterms:modified xsi:type="dcterms:W3CDTF">2017-02-20T15:58:11Z</dcterms:modified>
</cp:coreProperties>
</file>