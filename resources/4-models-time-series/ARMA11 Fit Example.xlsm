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y\Documents\UNCC FINN 6216 Scribbles\"/>
    </mc:Choice>
  </mc:AlternateContent>
  <bookViews>
    <workbookView xWindow="0" yWindow="0" windowWidth="28800" windowHeight="12135"/>
  </bookViews>
  <sheets>
    <sheet name="Sheet1" sheetId="1" r:id="rId1"/>
    <sheet name="Sheet2" sheetId="2" r:id="rId2"/>
    <sheet name="Sheet3" sheetId="3" r:id="rId3"/>
  </sheets>
  <functionGroups builtInGroupCount="18"/>
  <definedNames>
    <definedName name="solver_adj" localSheetId="0" hidden="1">Sheet1!$I$1:$I$3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Sheet1!$I$1</definedName>
    <definedName name="solver_lhs2" localSheetId="0" hidden="1">Sheet1!$I$3</definedName>
    <definedName name="solver_lhs3" localSheetId="0" hidden="1">Sheet1!$I$3</definedName>
    <definedName name="solver_lhs4" localSheetId="0" hidden="1">Sheet1!$I$4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Sheet1!$I$5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1</definedName>
    <definedName name="solver_rel3" localSheetId="0" hidden="1">3</definedName>
    <definedName name="solver_rel4" localSheetId="0" hidden="1">3</definedName>
    <definedName name="solver_rhs1" localSheetId="0" hidden="1">0</definedName>
    <definedName name="solver_rhs2" localSheetId="0" hidden="1">0.999999</definedName>
    <definedName name="solver_rhs3" localSheetId="0" hidden="1">-0.999999</definedName>
    <definedName name="solver_rhs4" localSheetId="0" hidden="1">0.000001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</workbook>
</file>

<file path=xl/calcChain.xml><?xml version="1.0" encoding="utf-8"?>
<calcChain xmlns="http://schemas.openxmlformats.org/spreadsheetml/2006/main">
  <c r="I16" i="1" l="1"/>
  <c r="I17" i="1"/>
  <c r="I18" i="1"/>
  <c r="I19" i="1"/>
  <c r="I20" i="1"/>
  <c r="I21" i="1"/>
  <c r="I15" i="1"/>
  <c r="I14" i="1"/>
  <c r="I29" i="1"/>
  <c r="I28" i="1"/>
  <c r="I27" i="1"/>
  <c r="I26" i="1"/>
  <c r="I25" i="1"/>
  <c r="I24" i="1"/>
  <c r="I23" i="1"/>
  <c r="I22" i="1"/>
  <c r="J3" i="1"/>
  <c r="J4" i="1"/>
  <c r="K3" i="1" s="1"/>
  <c r="J5" i="1"/>
  <c r="J6" i="1"/>
  <c r="K5" i="1" s="1"/>
  <c r="J7" i="1"/>
  <c r="J8" i="1"/>
  <c r="K7" i="1" s="1"/>
  <c r="J9" i="1"/>
  <c r="J10" i="1"/>
  <c r="K9" i="1" s="1"/>
  <c r="J11" i="1"/>
  <c r="J12" i="1"/>
  <c r="K11" i="1" s="1"/>
  <c r="J13" i="1"/>
  <c r="J14" i="1"/>
  <c r="K13" i="1" s="1"/>
  <c r="J15" i="1"/>
  <c r="J16" i="1"/>
  <c r="K15" i="1" s="1"/>
  <c r="J17" i="1"/>
  <c r="J18" i="1"/>
  <c r="K17" i="1" s="1"/>
  <c r="J19" i="1"/>
  <c r="J20" i="1"/>
  <c r="K19" i="1" s="1"/>
  <c r="J21" i="1"/>
  <c r="J22" i="1"/>
  <c r="K21" i="1" s="1"/>
  <c r="J23" i="1"/>
  <c r="J24" i="1"/>
  <c r="K23" i="1" s="1"/>
  <c r="J25" i="1"/>
  <c r="J26" i="1"/>
  <c r="K25" i="1" s="1"/>
  <c r="J27" i="1"/>
  <c r="J28" i="1"/>
  <c r="K27" i="1" s="1"/>
  <c r="J29" i="1"/>
  <c r="J30" i="1"/>
  <c r="K29" i="1" s="1"/>
  <c r="J31" i="1"/>
  <c r="J32" i="1"/>
  <c r="K31" i="1" s="1"/>
  <c r="J33" i="1"/>
  <c r="J34" i="1"/>
  <c r="K33" i="1" s="1"/>
  <c r="J35" i="1"/>
  <c r="J36" i="1"/>
  <c r="K35" i="1" s="1"/>
  <c r="J37" i="1"/>
  <c r="J38" i="1"/>
  <c r="K37" i="1" s="1"/>
  <c r="J39" i="1"/>
  <c r="J40" i="1"/>
  <c r="K39" i="1" s="1"/>
  <c r="J41" i="1"/>
  <c r="J42" i="1"/>
  <c r="K41" i="1" s="1"/>
  <c r="J43" i="1"/>
  <c r="J44" i="1"/>
  <c r="K43" i="1" s="1"/>
  <c r="J45" i="1"/>
  <c r="J46" i="1"/>
  <c r="K45" i="1" s="1"/>
  <c r="J47" i="1"/>
  <c r="J48" i="1"/>
  <c r="K47" i="1" s="1"/>
  <c r="J49" i="1"/>
  <c r="J50" i="1"/>
  <c r="K49" i="1" s="1"/>
  <c r="J51" i="1"/>
  <c r="J52" i="1"/>
  <c r="K51" i="1" s="1"/>
  <c r="J53" i="1"/>
  <c r="J54" i="1"/>
  <c r="K53" i="1" s="1"/>
  <c r="J55" i="1"/>
  <c r="J56" i="1"/>
  <c r="K55" i="1" s="1"/>
  <c r="J57" i="1"/>
  <c r="J58" i="1"/>
  <c r="K57" i="1" s="1"/>
  <c r="J59" i="1"/>
  <c r="J60" i="1"/>
  <c r="K59" i="1" s="1"/>
  <c r="J61" i="1"/>
  <c r="J62" i="1"/>
  <c r="K61" i="1" s="1"/>
  <c r="J63" i="1"/>
  <c r="J64" i="1"/>
  <c r="K63" i="1" s="1"/>
  <c r="J65" i="1"/>
  <c r="J66" i="1"/>
  <c r="K65" i="1" s="1"/>
  <c r="J67" i="1"/>
  <c r="J68" i="1"/>
  <c r="K67" i="1" s="1"/>
  <c r="J69" i="1"/>
  <c r="J70" i="1"/>
  <c r="K69" i="1" s="1"/>
  <c r="J71" i="1"/>
  <c r="J72" i="1"/>
  <c r="K71" i="1" s="1"/>
  <c r="J73" i="1"/>
  <c r="J74" i="1"/>
  <c r="K73" i="1" s="1"/>
  <c r="J75" i="1"/>
  <c r="J76" i="1"/>
  <c r="K75" i="1" s="1"/>
  <c r="J77" i="1"/>
  <c r="J78" i="1"/>
  <c r="K77" i="1" s="1"/>
  <c r="J79" i="1"/>
  <c r="J80" i="1"/>
  <c r="K79" i="1" s="1"/>
  <c r="J81" i="1"/>
  <c r="J82" i="1"/>
  <c r="K81" i="1" s="1"/>
  <c r="J83" i="1"/>
  <c r="J84" i="1"/>
  <c r="K83" i="1" s="1"/>
  <c r="J85" i="1"/>
  <c r="J86" i="1"/>
  <c r="K85" i="1" s="1"/>
  <c r="J87" i="1"/>
  <c r="J88" i="1"/>
  <c r="K87" i="1" s="1"/>
  <c r="J89" i="1"/>
  <c r="J90" i="1"/>
  <c r="K89" i="1" s="1"/>
  <c r="J91" i="1"/>
  <c r="J92" i="1"/>
  <c r="K91" i="1" s="1"/>
  <c r="J93" i="1"/>
  <c r="J94" i="1"/>
  <c r="K93" i="1" s="1"/>
  <c r="J95" i="1"/>
  <c r="J96" i="1"/>
  <c r="K95" i="1" s="1"/>
  <c r="J97" i="1"/>
  <c r="J98" i="1"/>
  <c r="K97" i="1" s="1"/>
  <c r="J99" i="1"/>
  <c r="J100" i="1"/>
  <c r="K99" i="1" s="1"/>
  <c r="J101" i="1"/>
  <c r="J102" i="1"/>
  <c r="K101" i="1" s="1"/>
  <c r="J103" i="1"/>
  <c r="J104" i="1"/>
  <c r="K103" i="1" s="1"/>
  <c r="J105" i="1"/>
  <c r="J106" i="1"/>
  <c r="K105" i="1" s="1"/>
  <c r="J107" i="1"/>
  <c r="J108" i="1"/>
  <c r="K107" i="1" s="1"/>
  <c r="J109" i="1"/>
  <c r="J110" i="1"/>
  <c r="K109" i="1" s="1"/>
  <c r="J111" i="1"/>
  <c r="J112" i="1"/>
  <c r="K111" i="1" s="1"/>
  <c r="J113" i="1"/>
  <c r="J114" i="1"/>
  <c r="K113" i="1" s="1"/>
  <c r="J115" i="1"/>
  <c r="J116" i="1"/>
  <c r="K115" i="1" s="1"/>
  <c r="J117" i="1"/>
  <c r="J118" i="1"/>
  <c r="K117" i="1" s="1"/>
  <c r="J119" i="1"/>
  <c r="J120" i="1"/>
  <c r="K119" i="1" s="1"/>
  <c r="J121" i="1"/>
  <c r="J122" i="1"/>
  <c r="K121" i="1" s="1"/>
  <c r="J123" i="1"/>
  <c r="J124" i="1"/>
  <c r="K123" i="1" s="1"/>
  <c r="J125" i="1"/>
  <c r="J126" i="1"/>
  <c r="K125" i="1" s="1"/>
  <c r="J127" i="1"/>
  <c r="J128" i="1"/>
  <c r="K127" i="1" s="1"/>
  <c r="J129" i="1"/>
  <c r="J130" i="1"/>
  <c r="K129" i="1" s="1"/>
  <c r="J131" i="1"/>
  <c r="J132" i="1"/>
  <c r="K131" i="1" s="1"/>
  <c r="J133" i="1"/>
  <c r="J134" i="1"/>
  <c r="K133" i="1" s="1"/>
  <c r="J135" i="1"/>
  <c r="J136" i="1"/>
  <c r="K135" i="1" s="1"/>
  <c r="J137" i="1"/>
  <c r="J138" i="1"/>
  <c r="K137" i="1" s="1"/>
  <c r="J139" i="1"/>
  <c r="J140" i="1"/>
  <c r="K139" i="1" s="1"/>
  <c r="J141" i="1"/>
  <c r="J142" i="1"/>
  <c r="K141" i="1" s="1"/>
  <c r="J143" i="1"/>
  <c r="J144" i="1"/>
  <c r="K143" i="1" s="1"/>
  <c r="J145" i="1"/>
  <c r="J146" i="1"/>
  <c r="K145" i="1" s="1"/>
  <c r="J147" i="1"/>
  <c r="J148" i="1"/>
  <c r="K147" i="1" s="1"/>
  <c r="J149" i="1"/>
  <c r="J150" i="1"/>
  <c r="K149" i="1" s="1"/>
  <c r="J151" i="1"/>
  <c r="J152" i="1"/>
  <c r="K151" i="1" s="1"/>
  <c r="J153" i="1"/>
  <c r="J154" i="1"/>
  <c r="K153" i="1" s="1"/>
  <c r="J155" i="1"/>
  <c r="J156" i="1"/>
  <c r="K155" i="1" s="1"/>
  <c r="J157" i="1"/>
  <c r="J158" i="1"/>
  <c r="K157" i="1" s="1"/>
  <c r="J159" i="1"/>
  <c r="J160" i="1"/>
  <c r="K159" i="1" s="1"/>
  <c r="J161" i="1"/>
  <c r="J162" i="1"/>
  <c r="K161" i="1" s="1"/>
  <c r="J163" i="1"/>
  <c r="J164" i="1"/>
  <c r="K163" i="1" s="1"/>
  <c r="J165" i="1"/>
  <c r="J166" i="1"/>
  <c r="K165" i="1" s="1"/>
  <c r="J167" i="1"/>
  <c r="J168" i="1"/>
  <c r="K167" i="1" s="1"/>
  <c r="J169" i="1"/>
  <c r="J170" i="1"/>
  <c r="K169" i="1" s="1"/>
  <c r="J171" i="1"/>
  <c r="J172" i="1"/>
  <c r="K171" i="1" s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" i="1"/>
  <c r="H23" i="1"/>
  <c r="H24" i="1"/>
  <c r="H25" i="1"/>
  <c r="H26" i="1"/>
  <c r="H27" i="1"/>
  <c r="H28" i="1"/>
  <c r="H22" i="1"/>
  <c r="H21" i="1"/>
  <c r="H16" i="1"/>
  <c r="H17" i="1" s="1"/>
  <c r="H18" i="1" s="1"/>
  <c r="H19" i="1" s="1"/>
  <c r="H20" i="1" s="1"/>
  <c r="H15" i="1"/>
  <c r="I8" i="1"/>
  <c r="I9" i="1"/>
  <c r="I10" i="1"/>
  <c r="I11" i="1"/>
  <c r="I12" i="1"/>
  <c r="I13" i="1"/>
  <c r="I7" i="1"/>
  <c r="H9" i="1"/>
  <c r="H10" i="1"/>
  <c r="H11" i="1" s="1"/>
  <c r="H12" i="1" s="1"/>
  <c r="H13" i="1" s="1"/>
  <c r="H8" i="1"/>
  <c r="I4" i="1"/>
  <c r="K2" i="1"/>
  <c r="K4" i="1"/>
  <c r="K6" i="1"/>
  <c r="K8" i="1"/>
  <c r="K10" i="1"/>
  <c r="K12" i="1"/>
  <c r="K14" i="1"/>
  <c r="K16" i="1"/>
  <c r="K18" i="1"/>
  <c r="K20" i="1"/>
  <c r="K22" i="1"/>
  <c r="K24" i="1"/>
  <c r="K26" i="1"/>
  <c r="K28" i="1"/>
  <c r="K30" i="1"/>
  <c r="K32" i="1"/>
  <c r="K34" i="1"/>
  <c r="K36" i="1"/>
  <c r="K38" i="1"/>
  <c r="K40" i="1"/>
  <c r="K42" i="1"/>
  <c r="K44" i="1"/>
  <c r="K46" i="1"/>
  <c r="K48" i="1"/>
  <c r="K50" i="1"/>
  <c r="K52" i="1"/>
  <c r="K54" i="1"/>
  <c r="K56" i="1"/>
  <c r="K58" i="1"/>
  <c r="K60" i="1"/>
  <c r="K62" i="1"/>
  <c r="K64" i="1"/>
  <c r="K66" i="1"/>
  <c r="K68" i="1"/>
  <c r="K70" i="1"/>
  <c r="K72" i="1"/>
  <c r="K74" i="1"/>
  <c r="K76" i="1"/>
  <c r="K78" i="1"/>
  <c r="K80" i="1"/>
  <c r="K82" i="1"/>
  <c r="K84" i="1"/>
  <c r="K86" i="1"/>
  <c r="K88" i="1"/>
  <c r="K90" i="1"/>
  <c r="K92" i="1"/>
  <c r="K94" i="1"/>
  <c r="K96" i="1"/>
  <c r="K98" i="1"/>
  <c r="K100" i="1"/>
  <c r="K102" i="1"/>
  <c r="K104" i="1"/>
  <c r="K106" i="1"/>
  <c r="K108" i="1"/>
  <c r="K110" i="1"/>
  <c r="K112" i="1"/>
  <c r="K114" i="1"/>
  <c r="K116" i="1"/>
  <c r="K118" i="1"/>
  <c r="K120" i="1"/>
  <c r="K122" i="1"/>
  <c r="K124" i="1"/>
  <c r="K126" i="1"/>
  <c r="K128" i="1"/>
  <c r="K130" i="1"/>
  <c r="K132" i="1"/>
  <c r="K134" i="1"/>
  <c r="K136" i="1"/>
  <c r="K138" i="1"/>
  <c r="K140" i="1"/>
  <c r="K142" i="1"/>
  <c r="K144" i="1"/>
  <c r="K146" i="1"/>
  <c r="K148" i="1"/>
  <c r="K150" i="1"/>
  <c r="K152" i="1"/>
  <c r="K154" i="1"/>
  <c r="K156" i="1"/>
  <c r="K158" i="1"/>
  <c r="K160" i="1"/>
  <c r="K162" i="1"/>
  <c r="K164" i="1"/>
  <c r="K166" i="1"/>
  <c r="K168" i="1"/>
  <c r="K170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I5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" i="1"/>
</calcChain>
</file>

<file path=xl/sharedStrings.xml><?xml version="1.0" encoding="utf-8"?>
<sst xmlns="http://schemas.openxmlformats.org/spreadsheetml/2006/main" count="17" uniqueCount="17">
  <si>
    <t>Simple historical VaR example</t>
  </si>
  <si>
    <t>one year option on SPX</t>
  </si>
  <si>
    <t>Date</t>
  </si>
  <si>
    <t>prices</t>
  </si>
  <si>
    <t>normalized relative shifts</t>
  </si>
  <si>
    <t>pct shifts</t>
  </si>
  <si>
    <t>log diffs</t>
  </si>
  <si>
    <t>sigma</t>
  </si>
  <si>
    <t>theta</t>
  </si>
  <si>
    <t>phi</t>
  </si>
  <si>
    <t>total log likelihood</t>
  </si>
  <si>
    <t>abs(theta + phi)</t>
  </si>
  <si>
    <t>rho(h)</t>
  </si>
  <si>
    <t>gamma(h)</t>
  </si>
  <si>
    <t>correlogram</t>
  </si>
  <si>
    <t>number of points</t>
  </si>
  <si>
    <t>actual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</si>
</sst>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#,##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5001"/>
  <sheetViews>
    <sheetView tabSelected="1" workbookViewId="0">
      <selection activeCell="H11" sqref="H11"/>
    </sheetView>
  </sheetViews>
  <sheetFormatPr defaultRowHeight="15" x14ac:dyDescent="0.25"/>
  <cols>
    <col min="1" max="1" width="28.7109375" customWidth="1"/>
    <col min="3" max="3" width="20" customWidth="1"/>
    <col min="4" max="4" width="10.5703125" customWidth="1"/>
    <col min="5" max="6" width="13.7109375" customWidth="1"/>
    <col min="7" max="7" width="20.140625" customWidth="1"/>
    <col min="8" max="8" width="18.5703125" customWidth="1"/>
    <col min="9" max="9" width="13.140625" customWidth="1"/>
    <col min="10" max="10" width="25.28515625" customWidth="1"/>
    <col min="11" max="13" width="14.7109375" customWidth="1"/>
    <col min="14" max="14" width="16.28515625" customWidth="1"/>
    <col min="15" max="15" width="19" customWidth="1"/>
    <col min="16" max="16" width="11.42578125" customWidth="1"/>
    <col min="17" max="17" width="17.7109375" customWidth="1"/>
    <col min="19" max="19" width="12.140625" customWidth="1"/>
  </cols>
  <sheetData>
    <row r="1" spans="1:19" x14ac:dyDescent="0.25">
      <c r="A1" t="s">
        <v>0</v>
      </c>
      <c r="C1" t="s">
        <v>2</v>
      </c>
      <c r="D1" t="s">
        <v>3</v>
      </c>
      <c r="E1" t="s">
        <v>5</v>
      </c>
      <c r="F1" t="s">
        <v>6</v>
      </c>
      <c r="H1" t="s">
        <v>7</v>
      </c>
      <c r="I1" s="5">
        <v>4.254577182537397</v>
      </c>
      <c r="J1" t="s">
        <v>4</v>
      </c>
    </row>
    <row r="2" spans="1:19" x14ac:dyDescent="0.25">
      <c r="A2" t="s">
        <v>1</v>
      </c>
      <c r="C2" s="1">
        <v>42380</v>
      </c>
      <c r="D2" s="2">
        <v>1923.670044</v>
      </c>
      <c r="E2" s="3">
        <f>(D2-D3)/D3</f>
        <v>8.532723085774163E-4</v>
      </c>
      <c r="F2" s="3">
        <f>LN(D2/D3)</f>
        <v>8.529084787104222E-4</v>
      </c>
      <c r="G2" s="2"/>
      <c r="H2" s="2" t="s">
        <v>8</v>
      </c>
      <c r="I2" s="5">
        <v>4.3028997943933813</v>
      </c>
      <c r="J2" s="2">
        <f>E2*$D$2-$D$2*AVERAGE(E$2:E$252)</f>
        <v>1.9550531175247352</v>
      </c>
      <c r="K2" s="2">
        <f t="shared" ref="K2:K65" si="0">-LN($I$1)-0.5*LN(2*PI()*(1+$I$2^2))-0.5*(J2-$I$3*J3)^2/($I$1^2*(1+$I$2^2))</f>
        <v>-3.86887420762084</v>
      </c>
      <c r="L2" s="2"/>
      <c r="M2" s="2"/>
      <c r="O2" s="4"/>
      <c r="P2" s="4"/>
      <c r="Q2" s="4"/>
      <c r="R2" s="4"/>
      <c r="S2" s="4"/>
    </row>
    <row r="3" spans="1:19" x14ac:dyDescent="0.25">
      <c r="C3" s="1">
        <v>42377</v>
      </c>
      <c r="D3" s="2">
        <v>1922.030029</v>
      </c>
      <c r="E3" s="3">
        <f t="shared" ref="E3:E66" si="1">(D3-D4)/D4</f>
        <v>-1.0838374634476389E-2</v>
      </c>
      <c r="F3" s="3">
        <f t="shared" ref="F3:F66" si="2">LN(D3/D4)</f>
        <v>-1.0897537692782108E-2</v>
      </c>
      <c r="G3" s="2"/>
      <c r="H3" s="2" t="s">
        <v>9</v>
      </c>
      <c r="I3" s="5">
        <v>7.029917027911603E-2</v>
      </c>
      <c r="J3" s="2">
        <f t="shared" ref="J3:J66" si="3">E3*$D$2-$D$2*AVERAGE(E$2:E$252)</f>
        <v>-20.535817871852046</v>
      </c>
      <c r="K3" s="2">
        <f t="shared" si="0"/>
        <v>-4.2787393885380007</v>
      </c>
      <c r="L3" s="2"/>
      <c r="M3" s="2"/>
      <c r="O3" s="4"/>
      <c r="P3" s="4"/>
      <c r="Q3" s="4"/>
      <c r="R3" s="4"/>
      <c r="S3" s="4"/>
    </row>
    <row r="4" spans="1:19" x14ac:dyDescent="0.25">
      <c r="A4" t="s">
        <v>15</v>
      </c>
      <c r="B4" s="6">
        <v>251</v>
      </c>
      <c r="C4" s="1">
        <v>42376</v>
      </c>
      <c r="D4" s="2">
        <v>1943.089966</v>
      </c>
      <c r="E4" s="3">
        <f t="shared" si="1"/>
        <v>-2.3700443039098174E-2</v>
      </c>
      <c r="F4" s="3">
        <f t="shared" si="2"/>
        <v>-2.3985816544630535E-2</v>
      </c>
      <c r="G4" s="2"/>
      <c r="H4" s="2" t="s">
        <v>11</v>
      </c>
      <c r="I4" s="5">
        <f>ABS(I2+I3)</f>
        <v>4.3731989646724969</v>
      </c>
      <c r="J4" s="2">
        <f t="shared" si="3"/>
        <v>-45.278193565701841</v>
      </c>
      <c r="K4" s="2">
        <f t="shared" si="0"/>
        <v>-6.534158973378144</v>
      </c>
      <c r="L4" s="2"/>
      <c r="M4" s="2"/>
      <c r="O4" s="4"/>
      <c r="P4" s="4"/>
      <c r="Q4" s="4"/>
      <c r="R4" s="4"/>
      <c r="S4" s="4"/>
    </row>
    <row r="5" spans="1:19" x14ac:dyDescent="0.25">
      <c r="C5" s="1">
        <v>42375</v>
      </c>
      <c r="D5" s="2">
        <v>1990.26001</v>
      </c>
      <c r="E5" s="3">
        <f t="shared" si="1"/>
        <v>-1.31153966170151E-2</v>
      </c>
      <c r="F5" s="3">
        <f t="shared" si="2"/>
        <v>-1.3202162915856163E-2</v>
      </c>
      <c r="G5" s="2"/>
      <c r="H5" s="2" t="s">
        <v>10</v>
      </c>
      <c r="I5" s="2">
        <f>SUM(K2:K251)</f>
        <v>-1088.131063136447</v>
      </c>
      <c r="J5" s="2">
        <f t="shared" si="3"/>
        <v>-24.916056849191254</v>
      </c>
      <c r="K5" s="2">
        <f t="shared" si="0"/>
        <v>-4.752111349994121</v>
      </c>
      <c r="L5" s="2"/>
      <c r="M5" s="2"/>
      <c r="O5" s="4"/>
      <c r="P5" s="4"/>
      <c r="Q5" s="4"/>
      <c r="R5" s="4"/>
      <c r="S5" s="4"/>
    </row>
    <row r="6" spans="1:19" x14ac:dyDescent="0.25">
      <c r="C6" s="1">
        <v>42374</v>
      </c>
      <c r="D6" s="2">
        <v>2016.709961</v>
      </c>
      <c r="E6" s="3">
        <f t="shared" si="1"/>
        <v>2.012226074739071E-3</v>
      </c>
      <c r="F6" s="3">
        <f t="shared" si="2"/>
        <v>2.0102042596295308E-3</v>
      </c>
      <c r="G6" s="2"/>
      <c r="H6" s="2"/>
      <c r="I6" s="2"/>
      <c r="J6" s="2">
        <f t="shared" si="3"/>
        <v>4.1844977598708919</v>
      </c>
      <c r="K6" s="2">
        <f t="shared" si="0"/>
        <v>-3.9074968252439857</v>
      </c>
      <c r="L6" s="2"/>
      <c r="M6" s="2"/>
      <c r="O6" s="4"/>
      <c r="P6" s="4"/>
      <c r="Q6" s="4"/>
      <c r="R6" s="4"/>
      <c r="S6" s="4"/>
    </row>
    <row r="7" spans="1:19" x14ac:dyDescent="0.25">
      <c r="C7" s="1">
        <v>42373</v>
      </c>
      <c r="D7" s="2">
        <v>2012.660034</v>
      </c>
      <c r="E7" s="3">
        <f t="shared" si="1"/>
        <v>-1.530373098179018E-2</v>
      </c>
      <c r="F7" s="3">
        <f t="shared" si="2"/>
        <v>-1.5422041688326272E-2</v>
      </c>
      <c r="G7" s="2" t="s">
        <v>12</v>
      </c>
      <c r="H7" s="6">
        <v>1</v>
      </c>
      <c r="I7" s="2">
        <f>$I$3^(H7-1)*(I$2+I$3)*(1+I$2*I$3)/(1+I$2^2+2*I$2*I$3)</f>
        <v>0.28310485955208819</v>
      </c>
      <c r="J7" s="2">
        <f t="shared" si="3"/>
        <v>-29.125690112964843</v>
      </c>
      <c r="K7" s="2">
        <f t="shared" si="0"/>
        <v>-4.9523345939930685</v>
      </c>
      <c r="L7" s="2"/>
      <c r="M7" s="2"/>
      <c r="O7" s="4"/>
      <c r="P7" s="4"/>
      <c r="Q7" s="4"/>
      <c r="R7" s="4"/>
      <c r="S7" s="4"/>
    </row>
    <row r="8" spans="1:19" x14ac:dyDescent="0.25">
      <c r="C8" s="1">
        <v>42369</v>
      </c>
      <c r="D8" s="2">
        <v>2043.9399410000001</v>
      </c>
      <c r="E8" s="3">
        <f t="shared" si="1"/>
        <v>-9.4119130897784096E-3</v>
      </c>
      <c r="F8" s="3">
        <f t="shared" si="2"/>
        <v>-9.4564850357659186E-3</v>
      </c>
      <c r="G8" s="2"/>
      <c r="H8" s="6">
        <f>H7+1</f>
        <v>2</v>
      </c>
      <c r="I8" s="2">
        <f t="shared" ref="I8:I13" si="4">$I$3^(H8-1)*(I$2+I$3)*(1+I$2*I$3)/(1+I$2^2+2*I$2*I$3)</f>
        <v>1.9902036728497476E-2</v>
      </c>
      <c r="J8" s="2">
        <f t="shared" si="3"/>
        <v>-17.791776529398575</v>
      </c>
      <c r="K8" s="2">
        <f t="shared" si="0"/>
        <v>-4.2538173096318372</v>
      </c>
      <c r="L8" s="2"/>
      <c r="M8" s="2"/>
      <c r="O8" s="4"/>
      <c r="P8" s="4"/>
      <c r="Q8" s="4"/>
      <c r="R8" s="4"/>
      <c r="S8" s="4"/>
    </row>
    <row r="9" spans="1:19" x14ac:dyDescent="0.25">
      <c r="C9" s="1">
        <v>42368</v>
      </c>
      <c r="D9" s="2">
        <v>2063.360107</v>
      </c>
      <c r="E9" s="3">
        <f t="shared" si="1"/>
        <v>-7.2172285974309268E-3</v>
      </c>
      <c r="F9" s="3">
        <f t="shared" si="2"/>
        <v>-7.2433987852541376E-3</v>
      </c>
      <c r="G9" s="2"/>
      <c r="H9" s="6">
        <f t="shared" ref="H9:H13" si="5">H8+1</f>
        <v>3</v>
      </c>
      <c r="I9" s="2">
        <f t="shared" si="4"/>
        <v>1.3990966688778655E-3</v>
      </c>
      <c r="J9" s="2">
        <f t="shared" si="3"/>
        <v>-13.569927715438373</v>
      </c>
      <c r="K9" s="2">
        <f t="shared" si="0"/>
        <v>-4.1722494382168822</v>
      </c>
      <c r="L9" s="2"/>
      <c r="M9" s="2"/>
      <c r="O9" s="4"/>
      <c r="P9" s="4"/>
      <c r="Q9" s="4"/>
      <c r="R9" s="4"/>
      <c r="S9" s="4"/>
    </row>
    <row r="10" spans="1:19" x14ac:dyDescent="0.25">
      <c r="B10" s="2"/>
      <c r="C10" s="1">
        <v>42367</v>
      </c>
      <c r="D10" s="2">
        <v>2078.360107</v>
      </c>
      <c r="E10" s="3">
        <f t="shared" si="1"/>
        <v>1.0629762703622645E-2</v>
      </c>
      <c r="F10" s="3">
        <f t="shared" si="2"/>
        <v>1.0573663970038498E-2</v>
      </c>
      <c r="G10" s="2"/>
      <c r="H10" s="6">
        <f t="shared" si="5"/>
        <v>4</v>
      </c>
      <c r="I10" s="2">
        <f t="shared" si="4"/>
        <v>9.8355334962389087E-5</v>
      </c>
      <c r="J10" s="2">
        <f t="shared" si="3"/>
        <v>20.761794825926966</v>
      </c>
      <c r="K10" s="2">
        <f t="shared" si="0"/>
        <v>-4.4787751389471966</v>
      </c>
      <c r="L10" s="2"/>
      <c r="M10" s="2"/>
      <c r="O10" s="4"/>
      <c r="P10" s="4"/>
      <c r="Q10" s="4"/>
      <c r="R10" s="4"/>
      <c r="S10" s="4"/>
    </row>
    <row r="11" spans="1:19" x14ac:dyDescent="0.25">
      <c r="C11" s="1">
        <v>42366</v>
      </c>
      <c r="D11" s="2">
        <v>2056.5</v>
      </c>
      <c r="E11" s="3">
        <f t="shared" si="1"/>
        <v>-2.1785598289101996E-3</v>
      </c>
      <c r="F11" s="3">
        <f t="shared" si="2"/>
        <v>-2.1809363425864849E-3</v>
      </c>
      <c r="G11" s="2"/>
      <c r="H11" s="6">
        <f t="shared" si="5"/>
        <v>5</v>
      </c>
      <c r="I11" s="2">
        <f t="shared" si="4"/>
        <v>6.914298440380485E-6</v>
      </c>
      <c r="J11" s="2">
        <f t="shared" si="3"/>
        <v>-3.8771915437966809</v>
      </c>
      <c r="K11" s="2">
        <f t="shared" si="0"/>
        <v>-3.8717244505873234</v>
      </c>
      <c r="L11" s="2"/>
      <c r="M11" s="2"/>
      <c r="O11" s="4"/>
      <c r="P11" s="4"/>
      <c r="Q11" s="4"/>
      <c r="R11" s="4"/>
      <c r="S11" s="4"/>
    </row>
    <row r="12" spans="1:19" x14ac:dyDescent="0.25">
      <c r="C12" s="1">
        <v>42362</v>
      </c>
      <c r="D12" s="2">
        <v>2060.98999</v>
      </c>
      <c r="E12" s="3">
        <f t="shared" si="1"/>
        <v>-1.5986363048084951E-3</v>
      </c>
      <c r="F12" s="3">
        <f t="shared" si="2"/>
        <v>-1.5999154873061849E-3</v>
      </c>
      <c r="G12" s="2"/>
      <c r="H12" s="6">
        <f t="shared" si="5"/>
        <v>6</v>
      </c>
      <c r="I12" s="2">
        <f t="shared" si="4"/>
        <v>4.8606944342093408E-7</v>
      </c>
      <c r="J12" s="2">
        <f t="shared" si="3"/>
        <v>-2.76161003267132</v>
      </c>
      <c r="K12" s="2">
        <f t="shared" si="0"/>
        <v>-3.8807171992762304</v>
      </c>
      <c r="L12" s="2"/>
      <c r="M12" s="2"/>
      <c r="O12" s="4"/>
      <c r="P12" s="4"/>
      <c r="Q12" s="4"/>
      <c r="R12" s="4"/>
      <c r="S12" s="4"/>
    </row>
    <row r="13" spans="1:19" x14ac:dyDescent="0.25">
      <c r="C13" s="1">
        <v>42361</v>
      </c>
      <c r="D13" s="2">
        <v>2064.290039</v>
      </c>
      <c r="E13" s="3">
        <f t="shared" si="1"/>
        <v>1.2418068122691342E-2</v>
      </c>
      <c r="F13" s="3">
        <f t="shared" si="2"/>
        <v>1.2341596351676601E-2</v>
      </c>
      <c r="G13" s="2"/>
      <c r="H13" s="6">
        <f t="shared" si="5"/>
        <v>7</v>
      </c>
      <c r="I13" s="2">
        <f t="shared" si="4"/>
        <v>3.4170278570523406E-8</v>
      </c>
      <c r="J13" s="2">
        <f t="shared" si="3"/>
        <v>24.201904390112286</v>
      </c>
      <c r="K13" s="2">
        <f t="shared" si="0"/>
        <v>-4.6004786113816136</v>
      </c>
      <c r="L13" s="2"/>
      <c r="M13" s="2"/>
      <c r="O13" s="4"/>
      <c r="P13" s="4"/>
      <c r="Q13" s="4"/>
      <c r="R13" s="4"/>
      <c r="S13" s="4"/>
    </row>
    <row r="14" spans="1:19" x14ac:dyDescent="0.25">
      <c r="C14" s="1">
        <v>42360</v>
      </c>
      <c r="D14" s="2">
        <v>2038.969971</v>
      </c>
      <c r="E14" s="3">
        <f t="shared" si="1"/>
        <v>8.8167364066983073E-3</v>
      </c>
      <c r="F14" s="3">
        <f t="shared" si="2"/>
        <v>8.7780959420341153E-3</v>
      </c>
      <c r="G14" s="2" t="s">
        <v>13</v>
      </c>
      <c r="H14" s="6">
        <v>0</v>
      </c>
      <c r="I14" s="2">
        <f>I$1^2*(1-I$3^2+I$4^2)/(1-I$3^2)</f>
        <v>366.00819645354881</v>
      </c>
      <c r="J14" s="2">
        <f t="shared" si="3"/>
        <v>17.274130449549368</v>
      </c>
      <c r="K14" s="2">
        <f t="shared" si="0"/>
        <v>-4.2239996296032691</v>
      </c>
      <c r="L14" s="2"/>
      <c r="M14" s="2"/>
      <c r="O14" s="4"/>
      <c r="P14" s="4"/>
      <c r="Q14" s="4"/>
      <c r="R14" s="4"/>
      <c r="S14" s="4"/>
    </row>
    <row r="15" spans="1:19" x14ac:dyDescent="0.25">
      <c r="C15" s="1">
        <v>42359</v>
      </c>
      <c r="D15" s="2">
        <v>2021.150024</v>
      </c>
      <c r="E15" s="3">
        <f t="shared" si="1"/>
        <v>7.7784022432042963E-3</v>
      </c>
      <c r="F15" s="3">
        <f t="shared" si="2"/>
        <v>7.7483064365918945E-3</v>
      </c>
      <c r="G15" s="2"/>
      <c r="H15" s="6">
        <f>H14+1</f>
        <v>1</v>
      </c>
      <c r="I15" s="2">
        <f>I$14*I7</f>
        <v>103.61869905189504</v>
      </c>
      <c r="J15" s="2">
        <f t="shared" si="3"/>
        <v>15.276718123574144</v>
      </c>
      <c r="K15" s="2">
        <f t="shared" si="0"/>
        <v>-4.294035303160058</v>
      </c>
      <c r="L15" s="2"/>
      <c r="M15" s="2"/>
      <c r="O15" s="4"/>
      <c r="P15" s="4"/>
      <c r="Q15" s="4"/>
      <c r="R15" s="4"/>
      <c r="S15" s="4"/>
    </row>
    <row r="16" spans="1:19" x14ac:dyDescent="0.25">
      <c r="C16" s="1">
        <v>42356</v>
      </c>
      <c r="D16" s="2">
        <v>2005.5500489999999</v>
      </c>
      <c r="E16" s="3">
        <f t="shared" si="1"/>
        <v>-1.7797220091700192E-2</v>
      </c>
      <c r="F16" s="3">
        <f t="shared" si="2"/>
        <v>-1.7957495093582236E-2</v>
      </c>
      <c r="G16" s="2"/>
      <c r="H16" s="6">
        <f t="shared" ref="H16:H21" si="6">H15+1</f>
        <v>2</v>
      </c>
      <c r="I16" s="2">
        <f t="shared" ref="I16:I21" si="7">I$14*I8</f>
        <v>7.2843085687496476</v>
      </c>
      <c r="J16" s="2">
        <f t="shared" si="3"/>
        <v>-33.922340418738955</v>
      </c>
      <c r="K16" s="2">
        <f t="shared" si="0"/>
        <v>-5.2938261213389071</v>
      </c>
      <c r="L16" s="2"/>
      <c r="M16" s="2"/>
      <c r="O16" s="4"/>
      <c r="P16" s="4"/>
      <c r="Q16" s="4"/>
      <c r="R16" s="4"/>
      <c r="S16" s="4"/>
    </row>
    <row r="17" spans="2:19" x14ac:dyDescent="0.25">
      <c r="B17" s="3"/>
      <c r="C17" s="1">
        <v>42355</v>
      </c>
      <c r="D17" s="2">
        <v>2041.8900149999999</v>
      </c>
      <c r="E17" s="3">
        <f t="shared" si="1"/>
        <v>-1.5040520569611564E-2</v>
      </c>
      <c r="F17" s="3">
        <f t="shared" si="2"/>
        <v>-1.5154776290347281E-2</v>
      </c>
      <c r="G17" s="2"/>
      <c r="H17" s="6">
        <f t="shared" si="6"/>
        <v>3</v>
      </c>
      <c r="I17" s="2">
        <f t="shared" si="7"/>
        <v>0.51208084844015556</v>
      </c>
      <c r="J17" s="2">
        <f t="shared" si="3"/>
        <v>-28.619360127787949</v>
      </c>
      <c r="K17" s="2">
        <f t="shared" si="0"/>
        <v>-5.1782534082399723</v>
      </c>
      <c r="L17" s="2"/>
      <c r="M17" s="2"/>
      <c r="O17" s="4"/>
      <c r="P17" s="4"/>
      <c r="Q17" s="4"/>
      <c r="R17" s="4"/>
      <c r="S17" s="4"/>
    </row>
    <row r="18" spans="2:19" x14ac:dyDescent="0.25">
      <c r="C18" s="1">
        <v>42354</v>
      </c>
      <c r="D18" s="2">
        <v>2073.070068</v>
      </c>
      <c r="E18" s="3">
        <f t="shared" si="1"/>
        <v>1.4514969343641774E-2</v>
      </c>
      <c r="F18" s="3">
        <f t="shared" si="2"/>
        <v>1.4410635565352437E-2</v>
      </c>
      <c r="G18" s="2"/>
      <c r="H18" s="6">
        <f t="shared" si="6"/>
        <v>4</v>
      </c>
      <c r="I18" s="2">
        <f t="shared" si="7"/>
        <v>3.5998858761168699E-2</v>
      </c>
      <c r="J18" s="2">
        <f t="shared" si="3"/>
        <v>28.235650454081657</v>
      </c>
      <c r="K18" s="2">
        <f t="shared" si="0"/>
        <v>-4.8674494657005036</v>
      </c>
      <c r="L18" s="2"/>
      <c r="M18" s="2"/>
      <c r="O18" s="4"/>
      <c r="P18" s="4"/>
      <c r="Q18" s="4"/>
      <c r="R18" s="4"/>
      <c r="S18" s="4"/>
    </row>
    <row r="19" spans="2:19" x14ac:dyDescent="0.25">
      <c r="C19" s="1">
        <v>42353</v>
      </c>
      <c r="D19" s="2">
        <v>2043.410034</v>
      </c>
      <c r="E19" s="3">
        <f t="shared" si="1"/>
        <v>1.0618561196917325E-2</v>
      </c>
      <c r="F19" s="3">
        <f t="shared" si="2"/>
        <v>1.0562580218900188E-2</v>
      </c>
      <c r="G19" s="2"/>
      <c r="H19" s="6">
        <f t="shared" si="6"/>
        <v>5</v>
      </c>
      <c r="I19" s="2">
        <f t="shared" si="7"/>
        <v>2.5306899019052467E-3</v>
      </c>
      <c r="J19" s="2">
        <f t="shared" si="3"/>
        <v>20.740246823030276</v>
      </c>
      <c r="K19" s="2">
        <f t="shared" si="0"/>
        <v>-4.4229576345228709</v>
      </c>
      <c r="L19" s="2"/>
      <c r="M19" s="2"/>
      <c r="O19" s="4"/>
      <c r="P19" s="4"/>
      <c r="Q19" s="4"/>
      <c r="R19" s="4"/>
      <c r="S19" s="4"/>
    </row>
    <row r="20" spans="2:19" x14ac:dyDescent="0.25">
      <c r="C20" s="1">
        <v>42352</v>
      </c>
      <c r="D20" s="2">
        <v>2021.9399410000001</v>
      </c>
      <c r="E20" s="3">
        <f t="shared" si="1"/>
        <v>4.7555598740678263E-3</v>
      </c>
      <c r="F20" s="3">
        <f t="shared" si="2"/>
        <v>4.7442879213808178E-3</v>
      </c>
      <c r="G20" s="2"/>
      <c r="H20" s="6">
        <f t="shared" si="6"/>
        <v>6</v>
      </c>
      <c r="I20" s="2">
        <f t="shared" si="7"/>
        <v>1.7790540033767638E-4</v>
      </c>
      <c r="J20" s="2">
        <f t="shared" si="3"/>
        <v>9.4617668103323247</v>
      </c>
      <c r="K20" s="2">
        <f t="shared" si="0"/>
        <v>-4.0586055042746549</v>
      </c>
      <c r="L20" s="2"/>
      <c r="M20" s="2"/>
      <c r="O20" s="4"/>
      <c r="P20" s="4"/>
      <c r="Q20" s="4"/>
      <c r="R20" s="4"/>
      <c r="S20" s="4"/>
    </row>
    <row r="21" spans="2:19" x14ac:dyDescent="0.25">
      <c r="C21" s="1">
        <v>42349</v>
      </c>
      <c r="D21" s="2">
        <v>2012.369995</v>
      </c>
      <c r="E21" s="3">
        <f t="shared" si="1"/>
        <v>-1.9422767130611768E-2</v>
      </c>
      <c r="F21" s="3">
        <f t="shared" si="2"/>
        <v>-1.961386758563884E-2</v>
      </c>
      <c r="G21" s="2"/>
      <c r="H21" s="6">
        <f t="shared" si="6"/>
        <v>7</v>
      </c>
      <c r="I21" s="2">
        <f t="shared" si="7"/>
        <v>1.2506602031912619E-5</v>
      </c>
      <c r="J21" s="2">
        <f t="shared" si="3"/>
        <v>-37.049356562606057</v>
      </c>
      <c r="K21" s="2">
        <f t="shared" si="0"/>
        <v>-5.8298232302291311</v>
      </c>
      <c r="L21" s="2"/>
      <c r="M21" s="2"/>
      <c r="O21" s="4"/>
      <c r="P21" s="4"/>
      <c r="Q21" s="4"/>
      <c r="R21" s="4"/>
      <c r="S21" s="4"/>
    </row>
    <row r="22" spans="2:19" x14ac:dyDescent="0.25">
      <c r="C22" s="1">
        <v>42348</v>
      </c>
      <c r="D22" s="2">
        <v>2052.2299800000001</v>
      </c>
      <c r="E22" s="3">
        <f t="shared" si="1"/>
        <v>2.2513869815966765E-3</v>
      </c>
      <c r="F22" s="3">
        <f t="shared" si="2"/>
        <v>2.2488564074157492E-3</v>
      </c>
      <c r="G22" s="2" t="s">
        <v>14</v>
      </c>
      <c r="H22" s="6">
        <f>H15</f>
        <v>1</v>
      </c>
      <c r="I22" s="2">
        <f>SUMPRODUCT(J$2:J$251,J$3:J$252)/SUMPRODUCT(J$2:J$252,J$2:J$252)</f>
        <v>7.0296148214607584E-2</v>
      </c>
      <c r="J22" s="2">
        <f t="shared" si="3"/>
        <v>4.6445644320887407</v>
      </c>
      <c r="K22" s="2">
        <f t="shared" si="0"/>
        <v>-3.8980141147886389</v>
      </c>
      <c r="L22" s="2"/>
      <c r="M22" s="2"/>
      <c r="O22" s="4"/>
      <c r="P22" s="4"/>
      <c r="Q22" s="4"/>
      <c r="R22" s="4"/>
      <c r="S22" s="4"/>
    </row>
    <row r="23" spans="2:19" x14ac:dyDescent="0.25">
      <c r="C23" s="1">
        <v>42347</v>
      </c>
      <c r="D23" s="2">
        <v>2047.619995</v>
      </c>
      <c r="E23" s="3">
        <f t="shared" si="1"/>
        <v>-7.7389851273601904E-3</v>
      </c>
      <c r="F23" s="3">
        <f t="shared" si="2"/>
        <v>-7.769086475925991E-3</v>
      </c>
      <c r="G23" s="2"/>
      <c r="H23" s="6">
        <f t="shared" ref="H23:H28" si="8">H16</f>
        <v>2</v>
      </c>
      <c r="I23" s="2">
        <f>SUMPRODUCT(J$2:J$250,J$4:J$252)/SUMPRODUCT(J$2:J$252,J$2:J$252)</f>
        <v>-7.8618386612867547E-2</v>
      </c>
      <c r="J23" s="2">
        <f t="shared" si="3"/>
        <v>-14.573615122324687</v>
      </c>
      <c r="K23" s="2">
        <f t="shared" si="0"/>
        <v>-4.1188864592638215</v>
      </c>
      <c r="L23" s="2"/>
      <c r="M23" s="2"/>
      <c r="O23" s="4"/>
      <c r="P23" s="4"/>
      <c r="Q23" s="4"/>
      <c r="R23" s="4"/>
      <c r="S23" s="4"/>
    </row>
    <row r="24" spans="2:19" x14ac:dyDescent="0.25">
      <c r="C24" s="1">
        <v>42346</v>
      </c>
      <c r="D24" s="2">
        <v>2063.5900879999999</v>
      </c>
      <c r="E24" s="3">
        <f t="shared" si="1"/>
        <v>-6.4899014278222552E-3</v>
      </c>
      <c r="F24" s="3">
        <f t="shared" si="2"/>
        <v>-6.5110523995720879E-3</v>
      </c>
      <c r="G24" s="2"/>
      <c r="H24" s="6">
        <f t="shared" si="8"/>
        <v>3</v>
      </c>
      <c r="I24" s="2">
        <f>SUMPRODUCT(J$2:J$249,J$5:J$252)/SUMPRODUCT(J$2:J$252,J$2:J$252)</f>
        <v>-4.1339874258692524E-2</v>
      </c>
      <c r="J24" s="2">
        <f t="shared" si="3"/>
        <v>-12.170790227074864</v>
      </c>
      <c r="K24" s="2">
        <f t="shared" si="0"/>
        <v>-4.0315897780627461</v>
      </c>
      <c r="L24" s="2"/>
      <c r="M24" s="2"/>
      <c r="O24" s="4"/>
      <c r="P24" s="4"/>
      <c r="Q24" s="4"/>
      <c r="R24" s="4"/>
      <c r="S24" s="4"/>
    </row>
    <row r="25" spans="2:19" x14ac:dyDescent="0.25">
      <c r="C25" s="1">
        <v>42345</v>
      </c>
      <c r="D25" s="2">
        <v>2077.070068</v>
      </c>
      <c r="E25" s="3">
        <f t="shared" si="1"/>
        <v>-6.989502943734861E-3</v>
      </c>
      <c r="F25" s="3">
        <f t="shared" si="2"/>
        <v>-7.0140439391970736E-3</v>
      </c>
      <c r="G25" s="2"/>
      <c r="H25" s="6">
        <f t="shared" si="8"/>
        <v>4</v>
      </c>
      <c r="I25" s="2">
        <f>SUMPRODUCT(J$2:J$248,J$6:J$252)/SUMPRODUCT(J$2:J$252,J$2:J$252)</f>
        <v>-0.14027500436656246</v>
      </c>
      <c r="J25" s="2">
        <f t="shared" si="3"/>
        <v>-13.131858697172934</v>
      </c>
      <c r="K25" s="2">
        <f t="shared" si="0"/>
        <v>-4.2116957818069301</v>
      </c>
      <c r="L25" s="2"/>
      <c r="M25" s="2"/>
      <c r="O25" s="4"/>
      <c r="P25" s="4"/>
      <c r="Q25" s="4"/>
      <c r="R25" s="4"/>
      <c r="S25" s="4"/>
    </row>
    <row r="26" spans="2:19" x14ac:dyDescent="0.25">
      <c r="C26" s="1">
        <v>42342</v>
      </c>
      <c r="D26" s="2">
        <v>2091.6899410000001</v>
      </c>
      <c r="E26" s="3">
        <f t="shared" si="1"/>
        <v>2.0525668952536026E-2</v>
      </c>
      <c r="F26" s="3">
        <f t="shared" si="2"/>
        <v>2.0317856261110587E-2</v>
      </c>
      <c r="G26" s="2"/>
      <c r="H26" s="6">
        <f t="shared" si="8"/>
        <v>5</v>
      </c>
      <c r="I26" s="2">
        <f>SUMPRODUCT(J$2:J$247,J$7:J$252)/SUMPRODUCT(J$2:J$252,J$2:J$252)</f>
        <v>1.6409089029131324E-2</v>
      </c>
      <c r="J26" s="2">
        <f t="shared" si="3"/>
        <v>39.798253235194046</v>
      </c>
      <c r="K26" s="2">
        <f t="shared" si="0"/>
        <v>-6.3161675388003093</v>
      </c>
      <c r="L26" s="2"/>
      <c r="M26" s="2"/>
      <c r="O26" s="4"/>
      <c r="P26" s="4"/>
      <c r="Q26" s="4"/>
      <c r="R26" s="4"/>
      <c r="S26" s="4"/>
    </row>
    <row r="27" spans="2:19" x14ac:dyDescent="0.25">
      <c r="C27" s="1">
        <v>42341</v>
      </c>
      <c r="D27" s="2">
        <v>2049.6201169999999</v>
      </c>
      <c r="E27" s="3">
        <f t="shared" si="1"/>
        <v>-1.4373526867514348E-2</v>
      </c>
      <c r="F27" s="3">
        <f t="shared" si="2"/>
        <v>-1.4477826648337327E-2</v>
      </c>
      <c r="G27" s="2"/>
      <c r="H27" s="6">
        <f t="shared" si="8"/>
        <v>6</v>
      </c>
      <c r="I27" s="2">
        <f>SUMPRODUCT(J$2:J$246,J$8:J$252)/SUMPRODUCT(J$2:J$252,J$2:J$252)</f>
        <v>5.7939183885062214E-3</v>
      </c>
      <c r="J27" s="2">
        <f t="shared" si="3"/>
        <v>-27.336284323526872</v>
      </c>
      <c r="K27" s="2">
        <f t="shared" si="0"/>
        <v>-4.7999131739684096</v>
      </c>
      <c r="L27" s="2"/>
      <c r="M27" s="2"/>
      <c r="O27" s="4"/>
      <c r="P27" s="4"/>
      <c r="Q27" s="4"/>
      <c r="R27" s="4"/>
      <c r="S27" s="4"/>
    </row>
    <row r="28" spans="2:19" x14ac:dyDescent="0.25">
      <c r="C28" s="1">
        <v>42340</v>
      </c>
      <c r="D28" s="2">
        <v>2079.51001</v>
      </c>
      <c r="E28" s="3">
        <f t="shared" si="1"/>
        <v>-1.099569314929217E-2</v>
      </c>
      <c r="F28" s="3">
        <f t="shared" si="2"/>
        <v>-1.1056592615916112E-2</v>
      </c>
      <c r="G28" s="2"/>
      <c r="H28" s="6">
        <f t="shared" si="8"/>
        <v>7</v>
      </c>
      <c r="I28" s="2">
        <f>SUMPRODUCT(J$2:J$245,J$9:J$252)/SUMPRODUCT(J$2:J$252,J$2:J$252)</f>
        <v>-3.457648852005716E-2</v>
      </c>
      <c r="J28" s="2">
        <f t="shared" si="3"/>
        <v>-20.838446786169733</v>
      </c>
      <c r="K28" s="2">
        <f t="shared" si="0"/>
        <v>-4.5567122728850817</v>
      </c>
      <c r="L28" s="2"/>
      <c r="M28" s="2"/>
      <c r="O28" s="4"/>
      <c r="P28" s="4"/>
      <c r="Q28" s="4"/>
      <c r="R28" s="4"/>
      <c r="S28" s="4"/>
    </row>
    <row r="29" spans="2:19" x14ac:dyDescent="0.25">
      <c r="C29" s="1">
        <v>42339</v>
      </c>
      <c r="D29" s="2">
        <v>2102.6298830000001</v>
      </c>
      <c r="E29" s="3">
        <f t="shared" si="1"/>
        <v>1.0680573511899315E-2</v>
      </c>
      <c r="F29" s="3">
        <f t="shared" si="2"/>
        <v>1.0623939088487118E-2</v>
      </c>
      <c r="G29" s="2" t="s">
        <v>16</v>
      </c>
      <c r="H29" s="2"/>
      <c r="I29" s="2">
        <f>COVAR(J2:J252,J2:J252)</f>
        <v>353.6748149054248</v>
      </c>
      <c r="J29" s="2">
        <f t="shared" si="3"/>
        <v>20.859538055720222</v>
      </c>
      <c r="K29" s="2">
        <f t="shared" si="0"/>
        <v>-4.5046866679233908</v>
      </c>
      <c r="L29" s="2"/>
      <c r="M29" s="2"/>
      <c r="O29" s="4"/>
      <c r="P29" s="4"/>
      <c r="Q29" s="4"/>
      <c r="R29" s="4"/>
      <c r="S29" s="4"/>
    </row>
    <row r="30" spans="2:19" x14ac:dyDescent="0.25">
      <c r="C30" s="1">
        <v>42338</v>
      </c>
      <c r="D30" s="2">
        <v>2080.4099120000001</v>
      </c>
      <c r="E30" s="3">
        <f t="shared" si="1"/>
        <v>-4.6409971261862784E-3</v>
      </c>
      <c r="F30" s="3">
        <f t="shared" si="2"/>
        <v>-4.6517999903487525E-3</v>
      </c>
      <c r="G30" s="2"/>
      <c r="H30" s="2"/>
      <c r="I30" s="2"/>
      <c r="J30" s="2">
        <f t="shared" si="3"/>
        <v>-8.6141084077949959</v>
      </c>
      <c r="K30" s="2">
        <f t="shared" si="0"/>
        <v>-3.9600636129765774</v>
      </c>
      <c r="L30" s="2"/>
      <c r="M30" s="2"/>
      <c r="O30" s="4"/>
      <c r="P30" s="4"/>
      <c r="Q30" s="4"/>
      <c r="R30" s="4"/>
      <c r="S30" s="4"/>
    </row>
    <row r="31" spans="2:19" x14ac:dyDescent="0.25">
      <c r="C31" s="1">
        <v>42335</v>
      </c>
      <c r="D31" s="2">
        <v>2090.110107</v>
      </c>
      <c r="E31" s="3">
        <f t="shared" si="1"/>
        <v>5.9361756861211026E-4</v>
      </c>
      <c r="F31" s="3">
        <f t="shared" si="2"/>
        <v>5.934414473988609E-4</v>
      </c>
      <c r="G31" s="2"/>
      <c r="H31" s="2"/>
      <c r="I31" s="2"/>
      <c r="J31" s="2">
        <f t="shared" si="3"/>
        <v>1.4555630724708664</v>
      </c>
      <c r="K31" s="2">
        <f t="shared" si="0"/>
        <v>-3.8555042187630422</v>
      </c>
      <c r="L31" s="2"/>
      <c r="M31" s="2"/>
      <c r="O31" s="4"/>
      <c r="P31" s="4"/>
      <c r="Q31" s="4"/>
      <c r="R31" s="4"/>
      <c r="S31" s="4"/>
    </row>
    <row r="32" spans="2:19" x14ac:dyDescent="0.25">
      <c r="C32" s="1">
        <v>42333</v>
      </c>
      <c r="D32" s="2">
        <v>2088.8701169999999</v>
      </c>
      <c r="E32" s="3">
        <f t="shared" si="1"/>
        <v>-1.2913256833782199E-4</v>
      </c>
      <c r="F32" s="3">
        <f t="shared" si="2"/>
        <v>-1.2914090666574113E-4</v>
      </c>
      <c r="G32" s="2"/>
      <c r="H32" s="2"/>
      <c r="I32" s="2"/>
      <c r="J32" s="2">
        <f t="shared" si="3"/>
        <v>6.5230284723384241E-2</v>
      </c>
      <c r="K32" s="2">
        <f t="shared" si="0"/>
        <v>-3.852545346024228</v>
      </c>
      <c r="L32" s="2"/>
      <c r="M32" s="2"/>
      <c r="O32" s="4"/>
      <c r="P32" s="4"/>
      <c r="Q32" s="4"/>
      <c r="R32" s="4"/>
      <c r="S32" s="4"/>
    </row>
    <row r="33" spans="3:19" x14ac:dyDescent="0.25">
      <c r="C33" s="1">
        <v>42332</v>
      </c>
      <c r="D33" s="2">
        <v>2089.139893</v>
      </c>
      <c r="E33" s="3">
        <f t="shared" si="1"/>
        <v>1.2219961240418323E-3</v>
      </c>
      <c r="F33" s="3">
        <f t="shared" si="2"/>
        <v>1.2212500944798874E-3</v>
      </c>
      <c r="G33" s="2"/>
      <c r="H33" s="2"/>
      <c r="I33" s="2"/>
      <c r="J33" s="2">
        <f t="shared" si="3"/>
        <v>2.664356075843016</v>
      </c>
      <c r="K33" s="2">
        <f t="shared" si="0"/>
        <v>-3.8636951056275088</v>
      </c>
      <c r="L33" s="2"/>
      <c r="M33" s="2"/>
      <c r="O33" s="4"/>
      <c r="P33" s="4"/>
      <c r="Q33" s="4"/>
      <c r="R33" s="4"/>
      <c r="S33" s="4"/>
    </row>
    <row r="34" spans="3:19" x14ac:dyDescent="0.25">
      <c r="C34" s="1">
        <v>42331</v>
      </c>
      <c r="D34" s="2">
        <v>2086.5900879999999</v>
      </c>
      <c r="E34" s="3">
        <f t="shared" si="1"/>
        <v>-1.2348607802712369E-3</v>
      </c>
      <c r="F34" s="3">
        <f t="shared" si="2"/>
        <v>-1.2356238490984315E-3</v>
      </c>
      <c r="G34" s="2"/>
      <c r="H34" s="2"/>
      <c r="I34" s="2"/>
      <c r="J34" s="2">
        <f t="shared" si="3"/>
        <v>-2.0618259533786092</v>
      </c>
      <c r="K34" s="2">
        <f t="shared" si="0"/>
        <v>-3.862086237306479</v>
      </c>
      <c r="L34" s="2"/>
      <c r="M34" s="2"/>
      <c r="O34" s="4"/>
      <c r="P34" s="4"/>
      <c r="Q34" s="4"/>
      <c r="R34" s="4"/>
      <c r="S34" s="4"/>
    </row>
    <row r="35" spans="3:19" x14ac:dyDescent="0.25">
      <c r="C35" s="1">
        <v>42328</v>
      </c>
      <c r="D35" s="2">
        <v>2089.169922</v>
      </c>
      <c r="E35" s="3">
        <f t="shared" si="1"/>
        <v>3.8101958630921791E-3</v>
      </c>
      <c r="F35" s="3">
        <f t="shared" si="2"/>
        <v>3.8029554525950086E-3</v>
      </c>
      <c r="G35" s="2"/>
      <c r="H35" s="2"/>
      <c r="I35" s="2"/>
      <c r="J35" s="2">
        <f t="shared" si="3"/>
        <v>7.6431983817427849</v>
      </c>
      <c r="K35" s="2">
        <f t="shared" si="0"/>
        <v>-3.9380448221942261</v>
      </c>
      <c r="L35" s="2"/>
      <c r="M35" s="2"/>
      <c r="O35" s="4"/>
      <c r="P35" s="4"/>
      <c r="Q35" s="4"/>
      <c r="R35" s="4"/>
      <c r="S35" s="4"/>
    </row>
    <row r="36" spans="3:19" x14ac:dyDescent="0.25">
      <c r="C36" s="1">
        <v>42327</v>
      </c>
      <c r="D36" s="2">
        <v>2081.23999</v>
      </c>
      <c r="E36" s="3">
        <f t="shared" si="1"/>
        <v>-1.1231092218188907E-3</v>
      </c>
      <c r="F36" s="3">
        <f t="shared" si="2"/>
        <v>-1.1237403815994775E-3</v>
      </c>
      <c r="G36" s="2"/>
      <c r="H36" s="2"/>
      <c r="I36" s="2"/>
      <c r="J36" s="2">
        <f t="shared" si="3"/>
        <v>-1.8468528280135157</v>
      </c>
      <c r="K36" s="2">
        <f t="shared" si="0"/>
        <v>-3.8757935597074882</v>
      </c>
      <c r="L36" s="2"/>
      <c r="M36" s="2"/>
      <c r="O36" s="4"/>
      <c r="P36" s="4"/>
      <c r="Q36" s="4"/>
      <c r="R36" s="4"/>
      <c r="S36" s="4"/>
    </row>
    <row r="37" spans="3:19" x14ac:dyDescent="0.25">
      <c r="C37" s="1">
        <v>42326</v>
      </c>
      <c r="D37" s="2">
        <v>2083.580078</v>
      </c>
      <c r="E37" s="3">
        <f t="shared" si="1"/>
        <v>1.6162451938893374E-2</v>
      </c>
      <c r="F37" s="3">
        <f t="shared" si="2"/>
        <v>1.6033230015307577E-2</v>
      </c>
      <c r="G37" s="2"/>
      <c r="H37" s="2"/>
      <c r="I37" s="2"/>
      <c r="J37" s="2">
        <f t="shared" si="3"/>
        <v>31.404863370578536</v>
      </c>
      <c r="K37" s="2">
        <f t="shared" si="0"/>
        <v>-5.2626969604748393</v>
      </c>
      <c r="L37" s="2"/>
      <c r="M37" s="2"/>
      <c r="O37" s="4"/>
      <c r="P37" s="4"/>
      <c r="Q37" s="4"/>
      <c r="R37" s="4"/>
      <c r="S37" s="4"/>
    </row>
    <row r="38" spans="3:19" x14ac:dyDescent="0.25">
      <c r="C38" s="1">
        <v>42325</v>
      </c>
      <c r="D38" s="2">
        <v>2050.4399410000001</v>
      </c>
      <c r="E38" s="3">
        <f t="shared" si="1"/>
        <v>-1.3393792484004772E-3</v>
      </c>
      <c r="F38" s="3">
        <f t="shared" si="2"/>
        <v>-1.3402770185119402E-3</v>
      </c>
      <c r="G38" s="2"/>
      <c r="H38" s="2"/>
      <c r="I38" s="2"/>
      <c r="J38" s="2">
        <f t="shared" si="3"/>
        <v>-2.2628849995635973</v>
      </c>
      <c r="K38" s="2">
        <f t="shared" si="0"/>
        <v>-3.8786997547503264</v>
      </c>
      <c r="L38" s="2"/>
      <c r="M38" s="2"/>
      <c r="O38" s="4"/>
      <c r="P38" s="4"/>
      <c r="Q38" s="4"/>
      <c r="R38" s="4"/>
      <c r="S38" s="4"/>
    </row>
    <row r="39" spans="3:19" x14ac:dyDescent="0.25">
      <c r="C39" s="1">
        <v>42324</v>
      </c>
      <c r="D39" s="2">
        <v>2053.1899410000001</v>
      </c>
      <c r="E39" s="3">
        <f t="shared" si="1"/>
        <v>1.4903265095486383E-2</v>
      </c>
      <c r="F39" s="3">
        <f t="shared" si="2"/>
        <v>1.4793302627265626E-2</v>
      </c>
      <c r="G39" s="2"/>
      <c r="H39" s="2"/>
      <c r="I39" s="2"/>
      <c r="J39" s="2">
        <f t="shared" si="3"/>
        <v>28.98260336011759</v>
      </c>
      <c r="K39" s="2">
        <f t="shared" si="0"/>
        <v>-5.1671742211542941</v>
      </c>
      <c r="L39" s="2"/>
      <c r="M39" s="2"/>
      <c r="O39" s="4"/>
      <c r="P39" s="4"/>
      <c r="Q39" s="4"/>
      <c r="R39" s="4"/>
      <c r="S39" s="4"/>
    </row>
    <row r="40" spans="3:19" x14ac:dyDescent="0.25">
      <c r="C40" s="1">
        <v>42321</v>
      </c>
      <c r="D40" s="2">
        <v>2023.040039</v>
      </c>
      <c r="E40" s="3">
        <f t="shared" si="1"/>
        <v>-1.1207364880723368E-2</v>
      </c>
      <c r="F40" s="3">
        <f t="shared" si="2"/>
        <v>-1.1270640608151911E-2</v>
      </c>
      <c r="G40" s="2"/>
      <c r="H40" s="2"/>
      <c r="I40" s="2"/>
      <c r="J40" s="2">
        <f t="shared" si="3"/>
        <v>-21.245633355085541</v>
      </c>
      <c r="K40" s="2">
        <f t="shared" si="0"/>
        <v>-4.3839051774583888</v>
      </c>
      <c r="L40" s="2"/>
      <c r="M40" s="2"/>
      <c r="O40" s="4"/>
      <c r="P40" s="4"/>
      <c r="Q40" s="4"/>
      <c r="R40" s="4"/>
      <c r="S40" s="4"/>
    </row>
    <row r="41" spans="3:19" x14ac:dyDescent="0.25">
      <c r="C41" s="1">
        <v>42320</v>
      </c>
      <c r="D41" s="2">
        <v>2045.969971</v>
      </c>
      <c r="E41" s="3">
        <f t="shared" si="1"/>
        <v>-1.3990375421686753E-2</v>
      </c>
      <c r="F41" s="3">
        <f t="shared" si="2"/>
        <v>-1.4089163191530417E-2</v>
      </c>
      <c r="G41" s="2"/>
      <c r="H41" s="2"/>
      <c r="I41" s="2"/>
      <c r="J41" s="2">
        <f t="shared" si="3"/>
        <v>-26.599227364873041</v>
      </c>
      <c r="K41" s="2">
        <f t="shared" si="0"/>
        <v>-4.823003289604312</v>
      </c>
      <c r="L41" s="2"/>
      <c r="M41" s="2"/>
      <c r="O41" s="4"/>
      <c r="P41" s="4"/>
      <c r="Q41" s="4"/>
      <c r="R41" s="4"/>
      <c r="S41" s="4"/>
    </row>
    <row r="42" spans="3:19" x14ac:dyDescent="0.25">
      <c r="C42" s="1">
        <v>42319</v>
      </c>
      <c r="D42" s="2">
        <v>2075</v>
      </c>
      <c r="E42" s="3">
        <f t="shared" si="1"/>
        <v>-3.2280859546982687E-3</v>
      </c>
      <c r="F42" s="3">
        <f t="shared" si="2"/>
        <v>-3.2333074641793741E-3</v>
      </c>
      <c r="G42" s="2"/>
      <c r="H42" s="2"/>
      <c r="I42" s="2"/>
      <c r="J42" s="2">
        <f t="shared" si="3"/>
        <v>-5.8961335123705645</v>
      </c>
      <c r="K42" s="2">
        <f t="shared" si="0"/>
        <v>-3.9055811975792909</v>
      </c>
      <c r="L42" s="2"/>
      <c r="M42" s="2"/>
      <c r="O42" s="4"/>
      <c r="P42" s="4"/>
      <c r="Q42" s="4"/>
      <c r="R42" s="4"/>
      <c r="S42" s="4"/>
    </row>
    <row r="43" spans="3:19" x14ac:dyDescent="0.25">
      <c r="C43" s="1">
        <v>42318</v>
      </c>
      <c r="D43" s="2">
        <v>2081.719971</v>
      </c>
      <c r="E43" s="3">
        <f t="shared" si="1"/>
        <v>1.5105951573543511E-3</v>
      </c>
      <c r="F43" s="3">
        <f t="shared" si="2"/>
        <v>1.5094553561973928E-3</v>
      </c>
      <c r="G43" s="2"/>
      <c r="H43" s="2"/>
      <c r="I43" s="2"/>
      <c r="J43" s="2">
        <f t="shared" si="3"/>
        <v>3.2195253909536667</v>
      </c>
      <c r="K43" s="2">
        <f t="shared" si="0"/>
        <v>-3.8815167728741415</v>
      </c>
      <c r="L43" s="2"/>
      <c r="M43" s="2"/>
      <c r="O43" s="4"/>
      <c r="P43" s="4"/>
      <c r="Q43" s="4"/>
      <c r="R43" s="4"/>
      <c r="S43" s="4"/>
    </row>
    <row r="44" spans="3:19" x14ac:dyDescent="0.25">
      <c r="C44" s="1">
        <v>42317</v>
      </c>
      <c r="D44" s="2">
        <v>2078.580078</v>
      </c>
      <c r="E44" s="3">
        <f t="shared" si="1"/>
        <v>-9.8227293641929472E-3</v>
      </c>
      <c r="F44" s="3">
        <f t="shared" si="2"/>
        <v>-9.871290634763304E-3</v>
      </c>
      <c r="G44" s="2"/>
      <c r="H44" s="2"/>
      <c r="I44" s="2"/>
      <c r="J44" s="2">
        <f t="shared" si="3"/>
        <v>-18.582051490077504</v>
      </c>
      <c r="K44" s="2">
        <f t="shared" si="0"/>
        <v>-4.3399512583914195</v>
      </c>
      <c r="L44" s="2"/>
      <c r="M44" s="2"/>
      <c r="O44" s="4"/>
      <c r="P44" s="4"/>
      <c r="Q44" s="4"/>
      <c r="R44" s="4"/>
      <c r="S44" s="4"/>
    </row>
    <row r="45" spans="3:19" x14ac:dyDescent="0.25">
      <c r="C45" s="1">
        <v>42314</v>
      </c>
      <c r="D45" s="2">
        <v>2099.1999510000001</v>
      </c>
      <c r="E45" s="3">
        <f t="shared" si="1"/>
        <v>-3.4762159864291725E-4</v>
      </c>
      <c r="F45" s="3">
        <f t="shared" si="2"/>
        <v>-3.4768203303673869E-4</v>
      </c>
      <c r="G45" s="2"/>
      <c r="H45" s="2"/>
      <c r="I45" s="2"/>
      <c r="J45" s="2">
        <f t="shared" si="3"/>
        <v>-0.35507051781713572</v>
      </c>
      <c r="K45" s="2">
        <f t="shared" si="0"/>
        <v>-3.8525952848468692</v>
      </c>
      <c r="L45" s="2"/>
      <c r="M45" s="2"/>
      <c r="O45" s="4"/>
      <c r="P45" s="4"/>
      <c r="Q45" s="4"/>
      <c r="R45" s="4"/>
      <c r="S45" s="4"/>
    </row>
    <row r="46" spans="3:19" x14ac:dyDescent="0.25">
      <c r="C46" s="1">
        <v>42313</v>
      </c>
      <c r="D46" s="2">
        <v>2099.929932</v>
      </c>
      <c r="E46" s="3">
        <f t="shared" si="1"/>
        <v>-1.1321484144598778E-3</v>
      </c>
      <c r="F46" s="3">
        <f t="shared" si="2"/>
        <v>-1.1327897786013324E-3</v>
      </c>
      <c r="G46" s="2"/>
      <c r="H46" s="2"/>
      <c r="I46" s="2"/>
      <c r="J46" s="2">
        <f t="shared" si="3"/>
        <v>-1.8642412521189282</v>
      </c>
      <c r="K46" s="2">
        <f t="shared" si="0"/>
        <v>-3.8553256855396278</v>
      </c>
      <c r="L46" s="2"/>
      <c r="M46" s="2"/>
      <c r="O46" s="4"/>
      <c r="P46" s="4"/>
      <c r="Q46" s="4"/>
      <c r="R46" s="4"/>
      <c r="S46" s="4"/>
    </row>
    <row r="47" spans="3:19" x14ac:dyDescent="0.25">
      <c r="C47" s="1">
        <v>42312</v>
      </c>
      <c r="D47" s="2">
        <v>2102.3100589999999</v>
      </c>
      <c r="E47" s="3">
        <f t="shared" si="1"/>
        <v>-3.5453670089111975E-3</v>
      </c>
      <c r="F47" s="3">
        <f t="shared" si="2"/>
        <v>-3.5516667167835828E-3</v>
      </c>
      <c r="G47" s="2"/>
      <c r="H47" s="2"/>
      <c r="I47" s="2"/>
      <c r="J47" s="2">
        <f t="shared" si="3"/>
        <v>-6.5064775718887162</v>
      </c>
      <c r="K47" s="2">
        <f t="shared" si="0"/>
        <v>-3.9198632823507276</v>
      </c>
      <c r="L47" s="2"/>
      <c r="M47" s="2"/>
      <c r="O47" s="4"/>
      <c r="P47" s="4"/>
      <c r="Q47" s="4"/>
      <c r="R47" s="4"/>
      <c r="S47" s="4"/>
    </row>
    <row r="48" spans="3:19" x14ac:dyDescent="0.25">
      <c r="C48" s="1">
        <v>42311</v>
      </c>
      <c r="D48" s="2">
        <v>2109.790039</v>
      </c>
      <c r="E48" s="3">
        <f t="shared" si="1"/>
        <v>2.7280672352485635E-3</v>
      </c>
      <c r="F48" s="3">
        <f t="shared" si="2"/>
        <v>2.7243528137560241E-3</v>
      </c>
      <c r="G48" s="2"/>
      <c r="H48" s="2"/>
      <c r="I48" s="2"/>
      <c r="J48" s="2">
        <f t="shared" si="3"/>
        <v>5.5615399566051984</v>
      </c>
      <c r="K48" s="2">
        <f t="shared" si="0"/>
        <v>-3.8744274242192076</v>
      </c>
      <c r="L48" s="2"/>
      <c r="M48" s="2"/>
      <c r="O48" s="4"/>
      <c r="P48" s="4"/>
      <c r="Q48" s="4"/>
      <c r="R48" s="4"/>
      <c r="S48" s="4"/>
    </row>
    <row r="49" spans="3:19" x14ac:dyDescent="0.25">
      <c r="C49" s="1">
        <v>42310</v>
      </c>
      <c r="D49" s="2">
        <v>2104.0500489999999</v>
      </c>
      <c r="E49" s="3">
        <f t="shared" si="1"/>
        <v>1.1873817294504811E-2</v>
      </c>
      <c r="F49" s="3">
        <f t="shared" si="2"/>
        <v>1.1803876623389281E-2</v>
      </c>
      <c r="G49" s="2"/>
      <c r="H49" s="2"/>
      <c r="I49" s="2"/>
      <c r="J49" s="2">
        <f t="shared" si="3"/>
        <v>23.154945375507666</v>
      </c>
      <c r="K49" s="2">
        <f t="shared" si="0"/>
        <v>-4.6531615330328631</v>
      </c>
      <c r="L49" s="2"/>
      <c r="M49" s="2"/>
      <c r="O49" s="4"/>
      <c r="P49" s="4"/>
      <c r="Q49" s="4"/>
      <c r="R49" s="4"/>
      <c r="S49" s="4"/>
    </row>
    <row r="50" spans="3:19" x14ac:dyDescent="0.25">
      <c r="C50" s="1">
        <v>42307</v>
      </c>
      <c r="D50" s="2">
        <v>2079.360107</v>
      </c>
      <c r="E50" s="3">
        <f t="shared" si="1"/>
        <v>-4.8098771534879677E-3</v>
      </c>
      <c r="F50" s="3">
        <f t="shared" si="2"/>
        <v>-4.8214818389651134E-3</v>
      </c>
      <c r="G50" s="2"/>
      <c r="H50" s="2"/>
      <c r="I50" s="2"/>
      <c r="J50" s="2">
        <f t="shared" si="3"/>
        <v>-8.9389778573451579</v>
      </c>
      <c r="K50" s="2">
        <f t="shared" si="0"/>
        <v>-3.9646459300571895</v>
      </c>
      <c r="L50" s="2"/>
      <c r="M50" s="2"/>
      <c r="O50" s="4"/>
      <c r="P50" s="4"/>
      <c r="Q50" s="4"/>
      <c r="R50" s="4"/>
      <c r="S50" s="4"/>
    </row>
    <row r="51" spans="3:19" x14ac:dyDescent="0.25">
      <c r="C51" s="1">
        <v>42306</v>
      </c>
      <c r="D51" s="2">
        <v>2089.4099120000001</v>
      </c>
      <c r="E51" s="3">
        <f t="shared" si="1"/>
        <v>-4.497744186006742E-4</v>
      </c>
      <c r="F51" s="3">
        <f t="shared" si="2"/>
        <v>-4.4987559745411469E-4</v>
      </c>
      <c r="G51" s="2"/>
      <c r="H51" s="2"/>
      <c r="I51" s="2"/>
      <c r="J51" s="2">
        <f t="shared" si="3"/>
        <v>-0.55157883747999803</v>
      </c>
      <c r="K51" s="2">
        <f t="shared" si="0"/>
        <v>-3.8592188120276076</v>
      </c>
      <c r="L51" s="2"/>
      <c r="M51" s="2"/>
      <c r="O51" s="4"/>
      <c r="P51" s="4"/>
      <c r="Q51" s="4"/>
      <c r="R51" s="4"/>
      <c r="S51" s="4"/>
    </row>
    <row r="52" spans="3:19" x14ac:dyDescent="0.25">
      <c r="C52" s="1">
        <v>42305</v>
      </c>
      <c r="D52" s="2">
        <v>2090.3500979999999</v>
      </c>
      <c r="E52" s="3">
        <f t="shared" si="1"/>
        <v>1.1840033238402537E-2</v>
      </c>
      <c r="F52" s="3">
        <f t="shared" si="2"/>
        <v>1.1770488448379798E-2</v>
      </c>
      <c r="G52" s="2"/>
      <c r="H52" s="2"/>
      <c r="I52" s="2"/>
      <c r="J52" s="2">
        <f t="shared" si="3"/>
        <v>23.089955998818905</v>
      </c>
      <c r="K52" s="2">
        <f t="shared" si="0"/>
        <v>-4.6284413917436806</v>
      </c>
      <c r="L52" s="2"/>
      <c r="M52" s="2"/>
      <c r="O52" s="4"/>
      <c r="P52" s="4"/>
      <c r="Q52" s="4"/>
      <c r="R52" s="4"/>
      <c r="S52" s="4"/>
    </row>
    <row r="53" spans="3:19" x14ac:dyDescent="0.25">
      <c r="C53" s="1">
        <v>42304</v>
      </c>
      <c r="D53" s="2">
        <v>2065.889893</v>
      </c>
      <c r="E53" s="3">
        <f t="shared" si="1"/>
        <v>-2.5541185091011104E-3</v>
      </c>
      <c r="F53" s="3">
        <f t="shared" si="2"/>
        <v>-2.5573858343901608E-3</v>
      </c>
      <c r="G53" s="2"/>
      <c r="H53" s="2"/>
      <c r="I53" s="2"/>
      <c r="J53" s="2">
        <f t="shared" si="3"/>
        <v>-4.5996425266441126</v>
      </c>
      <c r="K53" s="2">
        <f t="shared" si="0"/>
        <v>-3.8794678680200834</v>
      </c>
      <c r="L53" s="2"/>
      <c r="M53" s="2"/>
      <c r="O53" s="4"/>
      <c r="P53" s="4"/>
      <c r="Q53" s="4"/>
      <c r="R53" s="4"/>
      <c r="S53" s="4"/>
    </row>
    <row r="54" spans="3:19" x14ac:dyDescent="0.25">
      <c r="C54" s="1">
        <v>42303</v>
      </c>
      <c r="D54" s="2">
        <v>2071.179932</v>
      </c>
      <c r="E54" s="3">
        <f t="shared" si="1"/>
        <v>-1.9131003481598617E-3</v>
      </c>
      <c r="F54" s="3">
        <f t="shared" si="2"/>
        <v>-1.9149326619372631E-3</v>
      </c>
      <c r="G54" s="2"/>
      <c r="H54" s="2"/>
      <c r="I54" s="2"/>
      <c r="J54" s="2">
        <f t="shared" si="3"/>
        <v>-3.366535092781461</v>
      </c>
      <c r="K54" s="2">
        <f t="shared" si="0"/>
        <v>-3.8862353468678017</v>
      </c>
      <c r="L54" s="2"/>
      <c r="M54" s="2"/>
      <c r="O54" s="4"/>
      <c r="P54" s="4"/>
      <c r="Q54" s="4"/>
      <c r="R54" s="4"/>
      <c r="S54" s="4"/>
    </row>
    <row r="55" spans="3:19" x14ac:dyDescent="0.25">
      <c r="C55" s="1">
        <v>42300</v>
      </c>
      <c r="D55" s="2">
        <v>2075.1499020000001</v>
      </c>
      <c r="E55" s="3">
        <f t="shared" si="1"/>
        <v>1.1030344256396657E-2</v>
      </c>
      <c r="F55" s="3">
        <f t="shared" si="2"/>
        <v>1.0969953689202727E-2</v>
      </c>
      <c r="G55" s="2"/>
      <c r="H55" s="2"/>
      <c r="I55" s="2"/>
      <c r="J55" s="2">
        <f t="shared" si="3"/>
        <v>21.532381559177338</v>
      </c>
      <c r="K55" s="2">
        <f t="shared" si="0"/>
        <v>-4.3776715644400808</v>
      </c>
      <c r="L55" s="2"/>
      <c r="M55" s="2"/>
      <c r="O55" s="4"/>
      <c r="P55" s="4"/>
      <c r="Q55" s="4"/>
      <c r="R55" s="4"/>
      <c r="S55" s="4"/>
    </row>
    <row r="56" spans="3:19" x14ac:dyDescent="0.25">
      <c r="C56" s="1">
        <v>42299</v>
      </c>
      <c r="D56" s="2">
        <v>2052.51001</v>
      </c>
      <c r="E56" s="3">
        <f t="shared" si="1"/>
        <v>1.6627571884764589E-2</v>
      </c>
      <c r="F56" s="3">
        <f t="shared" si="2"/>
        <v>1.6490847328002923E-2</v>
      </c>
      <c r="G56" s="2"/>
      <c r="H56" s="2"/>
      <c r="I56" s="2"/>
      <c r="J56" s="2">
        <f t="shared" si="3"/>
        <v>32.299600677317898</v>
      </c>
      <c r="K56" s="2">
        <f t="shared" si="0"/>
        <v>-5.4000423351907019</v>
      </c>
      <c r="L56" s="2"/>
      <c r="M56" s="2"/>
      <c r="O56" s="4"/>
      <c r="P56" s="4"/>
      <c r="Q56" s="4"/>
      <c r="R56" s="4"/>
      <c r="S56" s="4"/>
    </row>
    <row r="57" spans="3:19" x14ac:dyDescent="0.25">
      <c r="C57" s="1">
        <v>42298</v>
      </c>
      <c r="D57" s="2">
        <v>2018.9399410000001</v>
      </c>
      <c r="E57" s="3">
        <f t="shared" si="1"/>
        <v>-5.8254154254255936E-3</v>
      </c>
      <c r="F57" s="3">
        <f t="shared" si="2"/>
        <v>-5.8424493431773871E-3</v>
      </c>
      <c r="G57" s="2"/>
      <c r="H57" s="2"/>
      <c r="I57" s="2"/>
      <c r="J57" s="2">
        <f t="shared" si="3"/>
        <v>-10.892538409607095</v>
      </c>
      <c r="K57" s="2">
        <f t="shared" si="0"/>
        <v>-4.0152568690878478</v>
      </c>
      <c r="L57" s="2"/>
      <c r="M57" s="2"/>
      <c r="O57" s="4"/>
      <c r="P57" s="4"/>
      <c r="Q57" s="4"/>
      <c r="R57" s="4"/>
      <c r="S57" s="4"/>
    </row>
    <row r="58" spans="3:19" x14ac:dyDescent="0.25">
      <c r="C58" s="1">
        <v>42297</v>
      </c>
      <c r="D58" s="2">
        <v>2030.7700199999999</v>
      </c>
      <c r="E58" s="3">
        <f t="shared" si="1"/>
        <v>-1.4210900306260651E-3</v>
      </c>
      <c r="F58" s="3">
        <f t="shared" si="2"/>
        <v>-1.4221007367133545E-3</v>
      </c>
      <c r="G58" s="2"/>
      <c r="H58" s="2"/>
      <c r="I58" s="2"/>
      <c r="J58" s="2">
        <f t="shared" si="3"/>
        <v>-2.4200695836027686</v>
      </c>
      <c r="K58" s="2">
        <f t="shared" si="0"/>
        <v>-3.8612206515667507</v>
      </c>
      <c r="L58" s="2"/>
      <c r="M58" s="2"/>
      <c r="O58" s="4"/>
      <c r="P58" s="4"/>
      <c r="Q58" s="4"/>
      <c r="R58" s="4"/>
      <c r="S58" s="4"/>
    </row>
    <row r="59" spans="3:19" x14ac:dyDescent="0.25">
      <c r="C59" s="1">
        <v>42296</v>
      </c>
      <c r="D59" s="2">
        <v>2033.660034</v>
      </c>
      <c r="E59" s="3">
        <f t="shared" si="1"/>
        <v>2.7054561930152761E-4</v>
      </c>
      <c r="F59" s="3">
        <f t="shared" si="2"/>
        <v>2.7050902843496526E-4</v>
      </c>
      <c r="G59" s="2"/>
      <c r="H59" s="2"/>
      <c r="I59" s="2"/>
      <c r="J59" s="2">
        <f t="shared" si="3"/>
        <v>0.83407924152541213</v>
      </c>
      <c r="K59" s="2">
        <f t="shared" si="0"/>
        <v>-3.8525775002016127</v>
      </c>
      <c r="L59" s="2"/>
      <c r="M59" s="2"/>
      <c r="O59" s="4"/>
      <c r="P59" s="4"/>
      <c r="Q59" s="4"/>
      <c r="R59" s="4"/>
      <c r="S59" s="4"/>
    </row>
    <row r="60" spans="3:19" x14ac:dyDescent="0.25">
      <c r="C60" s="1">
        <v>42293</v>
      </c>
      <c r="D60" s="2">
        <v>2033.1099850000001</v>
      </c>
      <c r="E60" s="3">
        <f t="shared" si="1"/>
        <v>4.5704742761639213E-3</v>
      </c>
      <c r="F60" s="3">
        <f t="shared" si="2"/>
        <v>4.5600613744872197E-3</v>
      </c>
      <c r="G60" s="2"/>
      <c r="H60" s="2"/>
      <c r="I60" s="2"/>
      <c r="J60" s="2">
        <f t="shared" si="3"/>
        <v>9.1057231900687547</v>
      </c>
      <c r="K60" s="2">
        <f t="shared" si="0"/>
        <v>-3.9233766890250545</v>
      </c>
      <c r="L60" s="2"/>
      <c r="M60" s="2"/>
      <c r="O60" s="4"/>
      <c r="P60" s="4"/>
      <c r="Q60" s="4"/>
      <c r="R60" s="4"/>
      <c r="S60" s="4"/>
    </row>
    <row r="61" spans="3:19" x14ac:dyDescent="0.25">
      <c r="C61" s="1">
        <v>42292</v>
      </c>
      <c r="D61" s="2">
        <v>2023.8599850000001</v>
      </c>
      <c r="E61" s="3">
        <f t="shared" si="1"/>
        <v>1.4852773562122789E-2</v>
      </c>
      <c r="F61" s="3">
        <f t="shared" si="2"/>
        <v>1.474355129517228E-2</v>
      </c>
      <c r="G61" s="2"/>
      <c r="H61" s="2"/>
      <c r="I61" s="2"/>
      <c r="J61" s="2">
        <f t="shared" si="3"/>
        <v>28.885474309910414</v>
      </c>
      <c r="K61" s="2">
        <f t="shared" si="0"/>
        <v>-5.0844080488768535</v>
      </c>
      <c r="L61" s="2"/>
      <c r="M61" s="2"/>
      <c r="O61" s="4"/>
      <c r="P61" s="4"/>
      <c r="Q61" s="4"/>
      <c r="R61" s="4"/>
      <c r="S61" s="4"/>
    </row>
    <row r="62" spans="3:19" x14ac:dyDescent="0.25">
      <c r="C62" s="1">
        <v>42291</v>
      </c>
      <c r="D62" s="2">
        <v>1994.23999</v>
      </c>
      <c r="E62" s="3">
        <f t="shared" si="1"/>
        <v>-4.7162741133909072E-3</v>
      </c>
      <c r="F62" s="3">
        <f t="shared" si="2"/>
        <v>-4.7274308267142729E-3</v>
      </c>
      <c r="G62" s="2"/>
      <c r="H62" s="2"/>
      <c r="I62" s="2"/>
      <c r="J62" s="2">
        <f t="shared" si="3"/>
        <v>-8.7589164930831114</v>
      </c>
      <c r="K62" s="2">
        <f t="shared" si="0"/>
        <v>-3.9399235544542339</v>
      </c>
      <c r="L62" s="2"/>
      <c r="M62" s="2"/>
      <c r="O62" s="4"/>
      <c r="P62" s="4"/>
      <c r="Q62" s="4"/>
      <c r="R62" s="4"/>
      <c r="S62" s="4"/>
    </row>
    <row r="63" spans="3:19" x14ac:dyDescent="0.25">
      <c r="C63" s="1">
        <v>42290</v>
      </c>
      <c r="D63" s="2">
        <v>2003.6899410000001</v>
      </c>
      <c r="E63" s="3">
        <f t="shared" si="1"/>
        <v>-6.8254241800042997E-3</v>
      </c>
      <c r="F63" s="3">
        <f t="shared" si="2"/>
        <v>-6.8488239238575872E-3</v>
      </c>
      <c r="G63" s="2"/>
      <c r="H63" s="2"/>
      <c r="I63" s="2"/>
      <c r="J63" s="2">
        <f t="shared" si="3"/>
        <v>-12.8162252945279</v>
      </c>
      <c r="K63" s="2">
        <f t="shared" si="0"/>
        <v>-4.0921288435479033</v>
      </c>
      <c r="L63" s="2"/>
      <c r="M63" s="2"/>
      <c r="O63" s="4"/>
      <c r="P63" s="4"/>
      <c r="Q63" s="4"/>
      <c r="R63" s="4"/>
      <c r="S63" s="4"/>
    </row>
    <row r="64" spans="3:19" x14ac:dyDescent="0.25">
      <c r="C64" s="1">
        <v>42289</v>
      </c>
      <c r="D64" s="2">
        <v>2017.459961</v>
      </c>
      <c r="E64" s="3">
        <f t="shared" si="1"/>
        <v>1.275477063694751E-3</v>
      </c>
      <c r="F64" s="3">
        <f t="shared" si="2"/>
        <v>1.2746643338301428E-3</v>
      </c>
      <c r="G64" s="2"/>
      <c r="H64" s="2"/>
      <c r="I64" s="2"/>
      <c r="J64" s="2">
        <f t="shared" si="3"/>
        <v>2.7672357573783075</v>
      </c>
      <c r="K64" s="2">
        <f t="shared" si="0"/>
        <v>-3.8624426151772271</v>
      </c>
      <c r="L64" s="2"/>
      <c r="M64" s="2"/>
      <c r="O64" s="4"/>
      <c r="P64" s="4"/>
      <c r="Q64" s="4"/>
      <c r="R64" s="4"/>
      <c r="S64" s="4"/>
    </row>
    <row r="65" spans="3:19" x14ac:dyDescent="0.25">
      <c r="C65" s="1">
        <v>42286</v>
      </c>
      <c r="D65" s="2">
        <v>2014.8900149999999</v>
      </c>
      <c r="E65" s="3">
        <f t="shared" si="1"/>
        <v>7.2511135765534833E-4</v>
      </c>
      <c r="F65" s="3">
        <f t="shared" si="2"/>
        <v>7.2484859143041565E-4</v>
      </c>
      <c r="G65" s="2"/>
      <c r="H65" s="2"/>
      <c r="I65" s="2"/>
      <c r="J65" s="2">
        <f t="shared" si="3"/>
        <v>1.708513735425399</v>
      </c>
      <c r="K65" s="2">
        <f t="shared" si="0"/>
        <v>-3.8528695687133259</v>
      </c>
      <c r="L65" s="2"/>
      <c r="M65" s="2"/>
      <c r="O65" s="4"/>
      <c r="P65" s="4"/>
      <c r="Q65" s="4"/>
      <c r="R65" s="4"/>
      <c r="S65" s="4"/>
    </row>
    <row r="66" spans="3:19" x14ac:dyDescent="0.25">
      <c r="C66" s="1">
        <v>42285</v>
      </c>
      <c r="D66" s="2">
        <v>2013.4300539999999</v>
      </c>
      <c r="E66" s="3">
        <f t="shared" si="1"/>
        <v>8.8184356322988707E-3</v>
      </c>
      <c r="F66" s="3">
        <f t="shared" si="2"/>
        <v>8.7797803155266266E-3</v>
      </c>
      <c r="G66" s="2"/>
      <c r="H66" s="2"/>
      <c r="I66" s="2"/>
      <c r="J66" s="2">
        <f t="shared" si="3"/>
        <v>17.277399198935171</v>
      </c>
      <c r="K66" s="2">
        <f t="shared" ref="K66:K129" si="9">-LN($I$1)-0.5*LN(2*PI()*(1+$I$2^2))-0.5*(J66-$I$3*J67)^2/($I$1^2*(1+$I$2^2))</f>
        <v>-4.2225556343247552</v>
      </c>
      <c r="L66" s="2"/>
      <c r="M66" s="2"/>
      <c r="O66" s="4"/>
      <c r="P66" s="4"/>
      <c r="Q66" s="4"/>
      <c r="R66" s="4"/>
      <c r="S66" s="4"/>
    </row>
    <row r="67" spans="3:19" x14ac:dyDescent="0.25">
      <c r="C67" s="1">
        <v>42284</v>
      </c>
      <c r="D67" s="2">
        <v>1995.829956</v>
      </c>
      <c r="E67" s="3">
        <f t="shared" ref="E67:E130" si="10">(D67-D68)/D68</f>
        <v>8.0356335844035103E-3</v>
      </c>
      <c r="F67" s="3">
        <f t="shared" ref="F67:F130" si="11">LN(D67/D68)</f>
        <v>8.0035198025308167E-3</v>
      </c>
      <c r="G67" s="2"/>
      <c r="H67" s="2"/>
      <c r="I67" s="2"/>
      <c r="J67" s="2">
        <f t="shared" ref="J67:J130" si="12">E67*$D$2-$D$2*AVERAGE(E$2:E$252)</f>
        <v>15.771546349017013</v>
      </c>
      <c r="K67" s="2">
        <f t="shared" si="9"/>
        <v>-4.2255859779306935</v>
      </c>
      <c r="L67" s="2"/>
      <c r="M67" s="2"/>
      <c r="O67" s="4"/>
      <c r="P67" s="4"/>
      <c r="Q67" s="4"/>
      <c r="R67" s="4"/>
      <c r="S67" s="4"/>
    </row>
    <row r="68" spans="3:19" x14ac:dyDescent="0.25">
      <c r="C68" s="1">
        <v>42283</v>
      </c>
      <c r="D68" s="2">
        <v>1979.920044</v>
      </c>
      <c r="E68" s="3">
        <f t="shared" si="10"/>
        <v>-3.588236241753558E-3</v>
      </c>
      <c r="F68" s="3">
        <f t="shared" si="11"/>
        <v>-3.5946894030197459E-3</v>
      </c>
      <c r="G68" s="2"/>
      <c r="H68" s="2"/>
      <c r="I68" s="2"/>
      <c r="J68" s="2">
        <f t="shared" si="12"/>
        <v>-6.5889438309168256</v>
      </c>
      <c r="K68" s="2">
        <f t="shared" si="9"/>
        <v>-3.9693341417827863</v>
      </c>
      <c r="L68" s="2"/>
      <c r="M68" s="2"/>
      <c r="O68" s="4"/>
      <c r="P68" s="4"/>
      <c r="Q68" s="4"/>
      <c r="R68" s="4"/>
      <c r="S68" s="4"/>
    </row>
    <row r="69" spans="3:19" x14ac:dyDescent="0.25">
      <c r="C69" s="1">
        <v>42282</v>
      </c>
      <c r="D69" s="2">
        <v>1987.0500489999999</v>
      </c>
      <c r="E69" s="3">
        <f t="shared" si="10"/>
        <v>1.8289841072045912E-2</v>
      </c>
      <c r="F69" s="3">
        <f t="shared" si="11"/>
        <v>1.8124593785162658E-2</v>
      </c>
      <c r="G69" s="2"/>
      <c r="H69" s="2"/>
      <c r="I69" s="2"/>
      <c r="J69" s="2">
        <f t="shared" si="12"/>
        <v>35.497258117955205</v>
      </c>
      <c r="K69" s="2">
        <f t="shared" si="9"/>
        <v>-5.4447267169767697</v>
      </c>
      <c r="L69" s="2"/>
      <c r="M69" s="2"/>
      <c r="O69" s="4"/>
      <c r="P69" s="4"/>
      <c r="Q69" s="4"/>
      <c r="R69" s="4"/>
      <c r="S69" s="4"/>
    </row>
    <row r="70" spans="3:19" x14ac:dyDescent="0.25">
      <c r="C70" s="1">
        <v>42279</v>
      </c>
      <c r="D70" s="2">
        <v>1951.3599850000001</v>
      </c>
      <c r="E70" s="3">
        <f t="shared" si="10"/>
        <v>1.4315289254205485E-2</v>
      </c>
      <c r="F70" s="3">
        <f t="shared" si="11"/>
        <v>1.4213792986497257E-2</v>
      </c>
      <c r="G70" s="2"/>
      <c r="H70" s="2"/>
      <c r="I70" s="2"/>
      <c r="J70" s="2">
        <f t="shared" si="12"/>
        <v>27.851531847649827</v>
      </c>
      <c r="K70" s="2">
        <f t="shared" si="9"/>
        <v>-4.9278217094233492</v>
      </c>
      <c r="L70" s="2"/>
      <c r="M70" s="2"/>
      <c r="O70" s="4"/>
      <c r="P70" s="4"/>
      <c r="Q70" s="4"/>
      <c r="R70" s="4"/>
      <c r="S70" s="4"/>
    </row>
    <row r="71" spans="3:19" x14ac:dyDescent="0.25">
      <c r="C71" s="1">
        <v>42278</v>
      </c>
      <c r="D71" s="2">
        <v>1923.8199460000001</v>
      </c>
      <c r="E71" s="3">
        <f t="shared" si="10"/>
        <v>1.9738842324116897E-3</v>
      </c>
      <c r="F71" s="3">
        <f t="shared" si="11"/>
        <v>1.9719386827028343E-3</v>
      </c>
      <c r="G71" s="2"/>
      <c r="H71" s="2"/>
      <c r="I71" s="2"/>
      <c r="J71" s="2">
        <f t="shared" si="12"/>
        <v>4.110740706353937</v>
      </c>
      <c r="K71" s="2">
        <f t="shared" si="9"/>
        <v>-3.8557475646117658</v>
      </c>
      <c r="L71" s="2"/>
      <c r="M71" s="2"/>
      <c r="O71" s="4"/>
      <c r="P71" s="4"/>
      <c r="Q71" s="4"/>
      <c r="R71" s="4"/>
      <c r="S71" s="4"/>
    </row>
    <row r="72" spans="3:19" x14ac:dyDescent="0.25">
      <c r="C72" s="1">
        <v>42277</v>
      </c>
      <c r="D72" s="2">
        <v>1920.030029</v>
      </c>
      <c r="E72" s="3">
        <f t="shared" si="10"/>
        <v>1.9075555652102023E-2</v>
      </c>
      <c r="F72" s="3">
        <f t="shared" si="11"/>
        <v>1.8895898353574289E-2</v>
      </c>
      <c r="G72" s="2"/>
      <c r="H72" s="2"/>
      <c r="I72" s="2"/>
      <c r="J72" s="2">
        <f t="shared" si="12"/>
        <v>37.008713718743181</v>
      </c>
      <c r="K72" s="2">
        <f t="shared" si="9"/>
        <v>-5.7714406692174247</v>
      </c>
      <c r="L72" s="2"/>
      <c r="M72" s="2"/>
      <c r="O72" s="4"/>
      <c r="P72" s="4"/>
      <c r="Q72" s="4"/>
      <c r="R72" s="4"/>
      <c r="S72" s="4"/>
    </row>
    <row r="73" spans="3:19" x14ac:dyDescent="0.25">
      <c r="C73" s="1">
        <v>42276</v>
      </c>
      <c r="D73" s="2">
        <v>1884.089966</v>
      </c>
      <c r="E73" s="3">
        <f t="shared" si="10"/>
        <v>1.2328530985949457E-3</v>
      </c>
      <c r="F73" s="3">
        <f t="shared" si="11"/>
        <v>1.2320937592521393E-3</v>
      </c>
      <c r="G73" s="2"/>
      <c r="H73" s="2"/>
      <c r="I73" s="2"/>
      <c r="J73" s="2">
        <f t="shared" si="12"/>
        <v>2.6852413125593109</v>
      </c>
      <c r="K73" s="2">
        <f t="shared" si="9"/>
        <v>-3.9057827243635859</v>
      </c>
      <c r="L73" s="2"/>
      <c r="M73" s="2"/>
      <c r="O73" s="4"/>
      <c r="P73" s="4"/>
      <c r="Q73" s="4"/>
      <c r="R73" s="4"/>
      <c r="S73" s="4"/>
    </row>
    <row r="74" spans="3:19" x14ac:dyDescent="0.25">
      <c r="C74" s="1">
        <v>42275</v>
      </c>
      <c r="D74" s="2">
        <v>1881.7700199999999</v>
      </c>
      <c r="E74" s="3">
        <f t="shared" si="10"/>
        <v>-2.5666090316902847E-2</v>
      </c>
      <c r="F74" s="3">
        <f t="shared" si="11"/>
        <v>-2.6001211006746214E-2</v>
      </c>
      <c r="G74" s="2"/>
      <c r="H74" s="2"/>
      <c r="I74" s="2"/>
      <c r="J74" s="2">
        <f t="shared" si="12"/>
        <v>-49.059450351084834</v>
      </c>
      <c r="K74" s="2">
        <f t="shared" si="9"/>
        <v>-7.2535507057665072</v>
      </c>
      <c r="L74" s="2"/>
      <c r="M74" s="2"/>
      <c r="O74" s="4"/>
      <c r="P74" s="4"/>
      <c r="Q74" s="4"/>
      <c r="R74" s="4"/>
      <c r="S74" s="4"/>
    </row>
    <row r="75" spans="3:19" x14ac:dyDescent="0.25">
      <c r="C75" s="1">
        <v>42272</v>
      </c>
      <c r="D75" s="2">
        <v>1931.339966</v>
      </c>
      <c r="E75" s="3">
        <f t="shared" si="10"/>
        <v>-4.6579307159460578E-4</v>
      </c>
      <c r="F75" s="3">
        <f t="shared" si="11"/>
        <v>-4.6590158688575067E-4</v>
      </c>
      <c r="G75" s="2"/>
      <c r="H75" s="2"/>
      <c r="I75" s="2"/>
      <c r="J75" s="2">
        <f t="shared" si="12"/>
        <v>-0.58239344038965513</v>
      </c>
      <c r="K75" s="2">
        <f t="shared" si="9"/>
        <v>-3.852555955914279</v>
      </c>
      <c r="L75" s="2"/>
      <c r="M75" s="2"/>
      <c r="O75" s="4"/>
      <c r="P75" s="4"/>
      <c r="Q75" s="4"/>
      <c r="R75" s="4"/>
      <c r="S75" s="4"/>
    </row>
    <row r="76" spans="3:19" x14ac:dyDescent="0.25">
      <c r="C76" s="1">
        <v>42271</v>
      </c>
      <c r="D76" s="2">
        <v>1932.23999</v>
      </c>
      <c r="E76" s="3">
        <f t="shared" si="10"/>
        <v>-3.3629845707411365E-3</v>
      </c>
      <c r="F76" s="3">
        <f t="shared" si="11"/>
        <v>-3.3686521134926087E-3</v>
      </c>
      <c r="G76" s="2"/>
      <c r="H76" s="2"/>
      <c r="I76" s="2"/>
      <c r="J76" s="2">
        <f t="shared" si="12"/>
        <v>-6.155633939029288</v>
      </c>
      <c r="K76" s="2">
        <f t="shared" si="9"/>
        <v>-3.9018062173950332</v>
      </c>
      <c r="L76" s="2"/>
      <c r="M76" s="2"/>
      <c r="O76" s="4"/>
      <c r="P76" s="4"/>
      <c r="Q76" s="4"/>
      <c r="R76" s="4"/>
      <c r="S76" s="4"/>
    </row>
    <row r="77" spans="3:19" x14ac:dyDescent="0.25">
      <c r="C77" s="1">
        <v>42270</v>
      </c>
      <c r="D77" s="2">
        <v>1938.76001</v>
      </c>
      <c r="E77" s="3">
        <f t="shared" si="10"/>
        <v>-2.0486426492924916E-3</v>
      </c>
      <c r="F77" s="3">
        <f t="shared" si="11"/>
        <v>-2.0507439880633901E-3</v>
      </c>
      <c r="G77" s="2"/>
      <c r="H77" s="2"/>
      <c r="I77" s="2"/>
      <c r="J77" s="2">
        <f t="shared" si="12"/>
        <v>-3.6272737571651286</v>
      </c>
      <c r="K77" s="2">
        <f t="shared" si="9"/>
        <v>-3.8580927986478915</v>
      </c>
      <c r="L77" s="2"/>
      <c r="M77" s="2"/>
      <c r="O77" s="4"/>
      <c r="P77" s="4"/>
      <c r="Q77" s="4"/>
      <c r="R77" s="4"/>
      <c r="S77" s="4"/>
    </row>
    <row r="78" spans="3:19" x14ac:dyDescent="0.25">
      <c r="C78" s="1">
        <v>42269</v>
      </c>
      <c r="D78" s="2">
        <v>1942.73999</v>
      </c>
      <c r="E78" s="3">
        <f t="shared" si="10"/>
        <v>-1.2318429542511786E-2</v>
      </c>
      <c r="F78" s="3">
        <f t="shared" si="11"/>
        <v>-1.2394930290949867E-2</v>
      </c>
      <c r="G78" s="2"/>
      <c r="H78" s="2"/>
      <c r="I78" s="2"/>
      <c r="J78" s="2">
        <f t="shared" si="12"/>
        <v>-23.382955161914914</v>
      </c>
      <c r="K78" s="2">
        <f t="shared" si="9"/>
        <v>-4.6693403027005624</v>
      </c>
      <c r="L78" s="2"/>
      <c r="M78" s="2"/>
      <c r="O78" s="4"/>
      <c r="P78" s="4"/>
      <c r="Q78" s="4"/>
      <c r="R78" s="4"/>
      <c r="S78" s="4"/>
    </row>
    <row r="79" spans="3:19" x14ac:dyDescent="0.25">
      <c r="C79" s="1">
        <v>42268</v>
      </c>
      <c r="D79" s="2">
        <v>1966.969971</v>
      </c>
      <c r="E79" s="3">
        <f t="shared" si="10"/>
        <v>4.5657839091291959E-3</v>
      </c>
      <c r="F79" s="3">
        <f t="shared" si="11"/>
        <v>4.5553923362219801E-3</v>
      </c>
      <c r="G79" s="2"/>
      <c r="H79" s="2"/>
      <c r="I79" s="2"/>
      <c r="J79" s="2">
        <f t="shared" si="12"/>
        <v>9.0967004715086883</v>
      </c>
      <c r="K79" s="2">
        <f t="shared" si="9"/>
        <v>-4.032002017355139</v>
      </c>
      <c r="L79" s="2"/>
      <c r="M79" s="2"/>
      <c r="O79" s="4"/>
      <c r="P79" s="4"/>
      <c r="Q79" s="4"/>
      <c r="R79" s="4"/>
      <c r="S79" s="4"/>
    </row>
    <row r="80" spans="3:19" x14ac:dyDescent="0.25">
      <c r="C80" s="1">
        <v>42265</v>
      </c>
      <c r="D80" s="2">
        <v>1958.030029</v>
      </c>
      <c r="E80" s="3">
        <f t="shared" si="10"/>
        <v>-1.6164165808483653E-2</v>
      </c>
      <c r="F80" s="3">
        <f t="shared" si="11"/>
        <v>-1.6296231019642143E-2</v>
      </c>
      <c r="G80" s="2"/>
      <c r="H80" s="2"/>
      <c r="I80" s="2"/>
      <c r="J80" s="2">
        <f t="shared" si="12"/>
        <v>-30.780882813889409</v>
      </c>
      <c r="K80" s="2">
        <f t="shared" si="9"/>
        <v>-5.1654871863583836</v>
      </c>
      <c r="L80" s="2"/>
      <c r="M80" s="2"/>
      <c r="O80" s="4"/>
      <c r="P80" s="4"/>
      <c r="Q80" s="4"/>
      <c r="R80" s="4"/>
      <c r="S80" s="4"/>
    </row>
    <row r="81" spans="3:19" x14ac:dyDescent="0.25">
      <c r="C81" s="1">
        <v>42264</v>
      </c>
      <c r="D81" s="2">
        <v>1990.1999510000001</v>
      </c>
      <c r="E81" s="3">
        <f t="shared" si="10"/>
        <v>-2.5610596092323188E-3</v>
      </c>
      <c r="F81" s="3">
        <f t="shared" si="11"/>
        <v>-2.5643447325231369E-3</v>
      </c>
      <c r="G81" s="2"/>
      <c r="H81" s="2"/>
      <c r="I81" s="2"/>
      <c r="J81" s="2">
        <f t="shared" si="12"/>
        <v>-4.6129949130389214</v>
      </c>
      <c r="K81" s="2">
        <f t="shared" si="9"/>
        <v>-3.9003416046740638</v>
      </c>
      <c r="L81" s="2"/>
      <c r="M81" s="2"/>
      <c r="O81" s="4"/>
      <c r="P81" s="4"/>
      <c r="Q81" s="4"/>
      <c r="R81" s="4"/>
      <c r="S81" s="4"/>
    </row>
    <row r="82" spans="3:19" x14ac:dyDescent="0.25">
      <c r="C82" s="1">
        <v>42263</v>
      </c>
      <c r="D82" s="2">
        <v>1995.3100589999999</v>
      </c>
      <c r="E82" s="3">
        <f t="shared" si="10"/>
        <v>8.7054144634389728E-3</v>
      </c>
      <c r="F82" s="3">
        <f t="shared" si="11"/>
        <v>8.6677408281392605E-3</v>
      </c>
      <c r="G82" s="2"/>
      <c r="H82" s="2"/>
      <c r="I82" s="2"/>
      <c r="J82" s="2">
        <f t="shared" si="12"/>
        <v>17.05998376206152</v>
      </c>
      <c r="K82" s="2">
        <f t="shared" si="9"/>
        <v>-4.1839814328848943</v>
      </c>
      <c r="L82" s="2"/>
      <c r="M82" s="2"/>
      <c r="O82" s="4"/>
      <c r="P82" s="4"/>
      <c r="Q82" s="4"/>
      <c r="R82" s="4"/>
      <c r="S82" s="4"/>
    </row>
    <row r="83" spans="3:19" x14ac:dyDescent="0.25">
      <c r="C83" s="1">
        <v>42262</v>
      </c>
      <c r="D83" s="2">
        <v>1978.089966</v>
      </c>
      <c r="E83" s="3">
        <f t="shared" si="10"/>
        <v>1.2831311668480234E-2</v>
      </c>
      <c r="F83" s="3">
        <f t="shared" si="11"/>
        <v>1.2749687874278685E-2</v>
      </c>
      <c r="G83" s="2"/>
      <c r="H83" s="2"/>
      <c r="I83" s="2"/>
      <c r="J83" s="2">
        <f t="shared" si="12"/>
        <v>24.996848620022721</v>
      </c>
      <c r="K83" s="2">
        <f t="shared" si="9"/>
        <v>-4.774922441669017</v>
      </c>
      <c r="L83" s="2"/>
      <c r="M83" s="2"/>
      <c r="O83" s="4"/>
      <c r="P83" s="4"/>
      <c r="Q83" s="4"/>
      <c r="R83" s="4"/>
      <c r="S83" s="4"/>
    </row>
    <row r="84" spans="3:19" x14ac:dyDescent="0.25">
      <c r="C84" s="1">
        <v>42261</v>
      </c>
      <c r="D84" s="2">
        <v>1953.030029</v>
      </c>
      <c r="E84" s="3">
        <f t="shared" si="10"/>
        <v>-4.0896559494183167E-3</v>
      </c>
      <c r="F84" s="3">
        <f t="shared" si="11"/>
        <v>-4.0980414626955409E-3</v>
      </c>
      <c r="G84" s="2"/>
      <c r="H84" s="2"/>
      <c r="I84" s="2"/>
      <c r="J84" s="2">
        <f t="shared" si="12"/>
        <v>-7.5535099020227605</v>
      </c>
      <c r="K84" s="2">
        <f t="shared" si="9"/>
        <v>-3.9472888580919365</v>
      </c>
      <c r="L84" s="2"/>
      <c r="M84" s="2"/>
      <c r="O84" s="4"/>
      <c r="P84" s="4"/>
      <c r="Q84" s="4"/>
      <c r="R84" s="4"/>
      <c r="S84" s="4"/>
    </row>
    <row r="85" spans="3:19" x14ac:dyDescent="0.25">
      <c r="C85" s="1">
        <v>42258</v>
      </c>
      <c r="D85" s="2">
        <v>1961.0500489999999</v>
      </c>
      <c r="E85" s="3">
        <f t="shared" si="10"/>
        <v>4.4870433311676424E-3</v>
      </c>
      <c r="F85" s="3">
        <f t="shared" si="11"/>
        <v>4.4770065646443351E-3</v>
      </c>
      <c r="G85" s="2"/>
      <c r="H85" s="2"/>
      <c r="I85" s="2"/>
      <c r="J85" s="2">
        <f t="shared" si="12"/>
        <v>8.9452295804368003</v>
      </c>
      <c r="K85" s="2">
        <f t="shared" si="9"/>
        <v>-3.9479171163361135</v>
      </c>
      <c r="L85" s="2"/>
      <c r="M85" s="2"/>
      <c r="O85" s="4"/>
      <c r="P85" s="4"/>
      <c r="Q85" s="4"/>
      <c r="R85" s="4"/>
      <c r="S85" s="4"/>
    </row>
    <row r="86" spans="3:19" x14ac:dyDescent="0.25">
      <c r="C86" s="1">
        <v>42257</v>
      </c>
      <c r="D86" s="2">
        <v>1952.290039</v>
      </c>
      <c r="E86" s="3">
        <f t="shared" si="10"/>
        <v>5.2779550339641578E-3</v>
      </c>
      <c r="F86" s="3">
        <f t="shared" si="11"/>
        <v>5.2640754451046302E-3</v>
      </c>
      <c r="G86" s="2"/>
      <c r="H86" s="2"/>
      <c r="I86" s="2"/>
      <c r="J86" s="2">
        <f t="shared" si="12"/>
        <v>10.466682730555489</v>
      </c>
      <c r="K86" s="2">
        <f t="shared" si="9"/>
        <v>-4.067503062433981</v>
      </c>
      <c r="L86" s="2"/>
      <c r="M86" s="2"/>
      <c r="O86" s="4"/>
      <c r="P86" s="4"/>
      <c r="Q86" s="4"/>
      <c r="R86" s="4"/>
      <c r="S86" s="4"/>
    </row>
    <row r="87" spans="3:19" x14ac:dyDescent="0.25">
      <c r="C87" s="1">
        <v>42256</v>
      </c>
      <c r="D87" s="2">
        <v>1942.040039</v>
      </c>
      <c r="E87" s="3">
        <f t="shared" si="10"/>
        <v>-1.3897560450837034E-2</v>
      </c>
      <c r="F87" s="3">
        <f t="shared" si="11"/>
        <v>-1.3995035710028114E-2</v>
      </c>
      <c r="G87" s="2"/>
      <c r="H87" s="2"/>
      <c r="I87" s="2"/>
      <c r="J87" s="2">
        <f t="shared" si="12"/>
        <v>-26.420681985814703</v>
      </c>
      <c r="K87" s="2">
        <f t="shared" si="9"/>
        <v>-5.1124219339297099</v>
      </c>
      <c r="L87" s="2"/>
      <c r="M87" s="2"/>
      <c r="O87" s="4"/>
      <c r="P87" s="4"/>
      <c r="Q87" s="4"/>
      <c r="R87" s="4"/>
      <c r="S87" s="4"/>
    </row>
    <row r="88" spans="3:19" x14ac:dyDescent="0.25">
      <c r="C88" s="1">
        <v>42255</v>
      </c>
      <c r="D88" s="2">
        <v>1969.410034</v>
      </c>
      <c r="E88" s="3">
        <f t="shared" si="10"/>
        <v>2.5083053334552293E-2</v>
      </c>
      <c r="F88" s="3">
        <f t="shared" si="11"/>
        <v>2.477363695127497E-2</v>
      </c>
      <c r="G88" s="2"/>
      <c r="H88" s="2"/>
      <c r="I88" s="2"/>
      <c r="J88" s="2">
        <f t="shared" si="12"/>
        <v>48.565157049872191</v>
      </c>
      <c r="K88" s="2">
        <f t="shared" si="9"/>
        <v>-7.4788626253470856</v>
      </c>
      <c r="L88" s="2"/>
      <c r="M88" s="2"/>
      <c r="O88" s="4"/>
      <c r="P88" s="4"/>
      <c r="Q88" s="4"/>
      <c r="R88" s="4"/>
      <c r="S88" s="4"/>
    </row>
    <row r="89" spans="3:19" x14ac:dyDescent="0.25">
      <c r="C89" s="1">
        <v>42251</v>
      </c>
      <c r="D89" s="2">
        <v>1921.219971</v>
      </c>
      <c r="E89" s="3">
        <f t="shared" si="10"/>
        <v>-1.5329595630917478E-2</v>
      </c>
      <c r="F89" s="3">
        <f t="shared" si="11"/>
        <v>-1.5448308659813455E-2</v>
      </c>
      <c r="G89" s="2"/>
      <c r="H89" s="2"/>
      <c r="I89" s="2"/>
      <c r="J89" s="2">
        <f t="shared" si="12"/>
        <v>-29.175445163689599</v>
      </c>
      <c r="K89" s="2">
        <f t="shared" si="9"/>
        <v>-5.0722279359805649</v>
      </c>
      <c r="L89" s="2"/>
      <c r="M89" s="2"/>
      <c r="O89" s="4"/>
      <c r="P89" s="4"/>
      <c r="Q89" s="4"/>
      <c r="R89" s="4"/>
      <c r="S89" s="4"/>
    </row>
    <row r="90" spans="3:19" x14ac:dyDescent="0.25">
      <c r="C90" s="1">
        <v>42250</v>
      </c>
      <c r="D90" s="2">
        <v>1951.130005</v>
      </c>
      <c r="E90" s="3">
        <f t="shared" si="10"/>
        <v>1.1647937858398438E-3</v>
      </c>
      <c r="F90" s="3">
        <f t="shared" si="11"/>
        <v>1.1641159398742432E-3</v>
      </c>
      <c r="G90" s="2"/>
      <c r="H90" s="2"/>
      <c r="I90" s="2"/>
      <c r="J90" s="2">
        <f t="shared" si="12"/>
        <v>2.5543176513970942</v>
      </c>
      <c r="K90" s="2">
        <f t="shared" si="9"/>
        <v>-3.8525290922716504</v>
      </c>
      <c r="L90" s="2"/>
      <c r="M90" s="2"/>
      <c r="O90" s="4"/>
      <c r="P90" s="4"/>
      <c r="Q90" s="4"/>
      <c r="R90" s="4"/>
      <c r="S90" s="4"/>
    </row>
    <row r="91" spans="3:19" x14ac:dyDescent="0.25">
      <c r="C91" s="1">
        <v>42249</v>
      </c>
      <c r="D91" s="2">
        <v>1948.8599850000001</v>
      </c>
      <c r="E91" s="3">
        <f t="shared" si="10"/>
        <v>1.8292974600429224E-2</v>
      </c>
      <c r="F91" s="3">
        <f t="shared" si="11"/>
        <v>1.8127671026470109E-2</v>
      </c>
      <c r="G91" s="2"/>
      <c r="H91" s="2"/>
      <c r="I91" s="2"/>
      <c r="J91" s="2">
        <f t="shared" si="12"/>
        <v>35.503285992638205</v>
      </c>
      <c r="K91" s="2">
        <f t="shared" si="9"/>
        <v>-6.0588244584517517</v>
      </c>
      <c r="L91" s="2"/>
      <c r="M91" s="2"/>
      <c r="O91" s="4"/>
      <c r="P91" s="4"/>
      <c r="Q91" s="4"/>
      <c r="R91" s="4"/>
      <c r="S91" s="4"/>
    </row>
    <row r="92" spans="3:19" x14ac:dyDescent="0.25">
      <c r="C92" s="1">
        <v>42248</v>
      </c>
      <c r="D92" s="2">
        <v>1913.849976</v>
      </c>
      <c r="E92" s="3">
        <f t="shared" si="10"/>
        <v>-2.9576446573270111E-2</v>
      </c>
      <c r="F92" s="3">
        <f t="shared" si="11"/>
        <v>-3.0022649772647417E-2</v>
      </c>
      <c r="G92" s="2"/>
      <c r="H92" s="2"/>
      <c r="I92" s="2"/>
      <c r="J92" s="2">
        <f t="shared" si="12"/>
        <v>-56.581685542826527</v>
      </c>
      <c r="K92" s="2">
        <f t="shared" si="9"/>
        <v>-8.2075332881866565</v>
      </c>
      <c r="L92" s="2"/>
      <c r="M92" s="2"/>
      <c r="O92" s="4"/>
      <c r="P92" s="4"/>
      <c r="Q92" s="4"/>
      <c r="R92" s="4"/>
      <c r="S92" s="4"/>
    </row>
    <row r="93" spans="3:19" x14ac:dyDescent="0.25">
      <c r="C93" s="1">
        <v>42247</v>
      </c>
      <c r="D93" s="2">
        <v>1972.1800539999999</v>
      </c>
      <c r="E93" s="3">
        <f t="shared" si="10"/>
        <v>-8.3916701654499493E-3</v>
      </c>
      <c r="F93" s="3">
        <f t="shared" si="11"/>
        <v>-8.4270784584924117E-3</v>
      </c>
      <c r="G93" s="2"/>
      <c r="H93" s="2"/>
      <c r="I93" s="2"/>
      <c r="J93" s="2">
        <f t="shared" si="12"/>
        <v>-15.829165778264956</v>
      </c>
      <c r="K93" s="2">
        <f t="shared" si="9"/>
        <v>-4.2118713269135455</v>
      </c>
      <c r="L93" s="2"/>
      <c r="M93" s="2"/>
      <c r="O93" s="4"/>
      <c r="P93" s="4"/>
      <c r="Q93" s="4"/>
      <c r="R93" s="4"/>
      <c r="S93" s="4"/>
    </row>
    <row r="94" spans="3:19" x14ac:dyDescent="0.25">
      <c r="C94" s="1">
        <v>42244</v>
      </c>
      <c r="D94" s="2">
        <v>1988.869995</v>
      </c>
      <c r="E94" s="3">
        <f t="shared" si="10"/>
        <v>6.0873639319752057E-4</v>
      </c>
      <c r="F94" s="3">
        <f t="shared" si="11"/>
        <v>6.0855118835607827E-4</v>
      </c>
      <c r="G94" s="2"/>
      <c r="H94" s="2"/>
      <c r="I94" s="2"/>
      <c r="J94" s="2">
        <f t="shared" si="12"/>
        <v>1.484646702426311</v>
      </c>
      <c r="K94" s="2">
        <f t="shared" si="9"/>
        <v>-3.8572294726904954</v>
      </c>
      <c r="L94" s="2"/>
      <c r="M94" s="2"/>
      <c r="O94" s="4"/>
      <c r="P94" s="4"/>
      <c r="Q94" s="4"/>
      <c r="R94" s="4"/>
      <c r="S94" s="4"/>
    </row>
    <row r="95" spans="3:19" x14ac:dyDescent="0.25">
      <c r="C95" s="1">
        <v>42243</v>
      </c>
      <c r="D95" s="2">
        <v>1987.660034</v>
      </c>
      <c r="E95" s="3">
        <f t="shared" si="10"/>
        <v>2.4297748404812421E-2</v>
      </c>
      <c r="F95" s="3">
        <f t="shared" si="11"/>
        <v>2.4007254278508312E-2</v>
      </c>
      <c r="G95" s="2"/>
      <c r="H95" s="2"/>
      <c r="I95" s="2"/>
      <c r="J95" s="2">
        <f t="shared" si="12"/>
        <v>47.054489481126076</v>
      </c>
      <c r="K95" s="2">
        <f t="shared" si="9"/>
        <v>-6.3201642360580568</v>
      </c>
      <c r="L95" s="2"/>
      <c r="M95" s="2"/>
      <c r="O95" s="4"/>
      <c r="P95" s="4"/>
      <c r="Q95" s="4"/>
      <c r="R95" s="4"/>
      <c r="S95" s="4"/>
    </row>
    <row r="96" spans="3:19" x14ac:dyDescent="0.25">
      <c r="C96" s="1">
        <v>42242</v>
      </c>
      <c r="D96" s="2">
        <v>1940.51001</v>
      </c>
      <c r="E96" s="3">
        <f t="shared" si="10"/>
        <v>3.9033859095586231E-2</v>
      </c>
      <c r="F96" s="3">
        <f t="shared" si="11"/>
        <v>3.8291299743553803E-2</v>
      </c>
      <c r="G96" s="2"/>
      <c r="H96" s="2"/>
      <c r="I96" s="2"/>
      <c r="J96" s="2">
        <f t="shared" si="12"/>
        <v>75.401904182035793</v>
      </c>
      <c r="K96" s="2">
        <f t="shared" si="9"/>
        <v>-12.290138937185294</v>
      </c>
      <c r="L96" s="2"/>
      <c r="M96" s="2"/>
      <c r="O96" s="4"/>
      <c r="P96" s="4"/>
      <c r="Q96" s="4"/>
      <c r="R96" s="4"/>
      <c r="S96" s="4"/>
    </row>
    <row r="97" spans="3:19" x14ac:dyDescent="0.25">
      <c r="C97" s="1">
        <v>42241</v>
      </c>
      <c r="D97" s="2">
        <v>1867.6099850000001</v>
      </c>
      <c r="E97" s="3">
        <f t="shared" si="10"/>
        <v>-1.3521995197235268E-2</v>
      </c>
      <c r="F97" s="3">
        <f t="shared" si="11"/>
        <v>-1.3614249963910554E-2</v>
      </c>
      <c r="G97" s="2"/>
      <c r="H97" s="2"/>
      <c r="I97" s="2"/>
      <c r="J97" s="2">
        <f t="shared" si="12"/>
        <v>-25.698218357893722</v>
      </c>
      <c r="K97" s="2">
        <f t="shared" si="9"/>
        <v>-4.4410090908813995</v>
      </c>
      <c r="L97" s="2"/>
      <c r="M97" s="2"/>
      <c r="O97" s="4"/>
      <c r="P97" s="4"/>
      <c r="Q97" s="4"/>
      <c r="R97" s="4"/>
      <c r="S97" s="4"/>
    </row>
    <row r="98" spans="3:19" x14ac:dyDescent="0.25">
      <c r="C98" s="1">
        <v>42240</v>
      </c>
      <c r="D98" s="2">
        <v>1893.209961</v>
      </c>
      <c r="E98" s="3">
        <f t="shared" si="10"/>
        <v>-3.9413693006101071E-2</v>
      </c>
      <c r="F98" s="3">
        <f t="shared" si="11"/>
        <v>-4.0211444491884053E-2</v>
      </c>
      <c r="G98" s="2"/>
      <c r="H98" s="2"/>
      <c r="I98" s="2"/>
      <c r="J98" s="2">
        <f t="shared" si="12"/>
        <v>-75.505301821109313</v>
      </c>
      <c r="K98" s="2">
        <f t="shared" si="9"/>
        <v>-11.032030644174711</v>
      </c>
      <c r="L98" s="2"/>
      <c r="M98" s="2"/>
      <c r="O98" s="4"/>
      <c r="P98" s="4"/>
      <c r="Q98" s="4"/>
      <c r="R98" s="4"/>
      <c r="S98" s="4"/>
    </row>
    <row r="99" spans="3:19" x14ac:dyDescent="0.25">
      <c r="C99" s="1">
        <v>42237</v>
      </c>
      <c r="D99" s="2">
        <v>1970.8900149999999</v>
      </c>
      <c r="E99" s="3">
        <f t="shared" si="10"/>
        <v>-3.1850965323014069E-2</v>
      </c>
      <c r="F99" s="3">
        <f t="shared" si="11"/>
        <v>-3.236924211323932E-2</v>
      </c>
      <c r="G99" s="2"/>
      <c r="H99" s="2"/>
      <c r="I99" s="2"/>
      <c r="J99" s="2">
        <f t="shared" si="12"/>
        <v>-60.957109126225312</v>
      </c>
      <c r="K99" s="2">
        <f t="shared" si="9"/>
        <v>-8.6347125940099652</v>
      </c>
      <c r="L99" s="2"/>
      <c r="M99" s="2"/>
      <c r="O99" s="4"/>
      <c r="P99" s="4"/>
      <c r="Q99" s="4"/>
      <c r="R99" s="4"/>
      <c r="S99" s="4"/>
    </row>
    <row r="100" spans="3:19" x14ac:dyDescent="0.25">
      <c r="C100" s="1">
        <v>42236</v>
      </c>
      <c r="D100" s="2">
        <v>2035.7299800000001</v>
      </c>
      <c r="E100" s="3">
        <f t="shared" si="10"/>
        <v>-2.1100170100298469E-2</v>
      </c>
      <c r="F100" s="3">
        <f t="shared" si="11"/>
        <v>-2.1325960481545045E-2</v>
      </c>
      <c r="G100" s="2"/>
      <c r="H100" s="2"/>
      <c r="I100" s="2"/>
      <c r="J100" s="2">
        <f t="shared" si="12"/>
        <v>-40.276126407109004</v>
      </c>
      <c r="K100" s="2">
        <f t="shared" si="9"/>
        <v>-6.0255239054939329</v>
      </c>
      <c r="L100" s="2"/>
      <c r="M100" s="2"/>
      <c r="O100" s="4"/>
      <c r="P100" s="4"/>
      <c r="Q100" s="4"/>
      <c r="R100" s="4"/>
      <c r="S100" s="4"/>
    </row>
    <row r="101" spans="3:19" x14ac:dyDescent="0.25">
      <c r="C101" s="1">
        <v>42235</v>
      </c>
      <c r="D101" s="2">
        <v>2079.610107</v>
      </c>
      <c r="E101" s="3">
        <f t="shared" si="10"/>
        <v>-8.2548765064382225E-3</v>
      </c>
      <c r="F101" s="3">
        <f t="shared" si="11"/>
        <v>-8.2891366720709101E-3</v>
      </c>
      <c r="G101" s="2"/>
      <c r="H101" s="2"/>
      <c r="I101" s="2"/>
      <c r="J101" s="2">
        <f t="shared" si="12"/>
        <v>-15.566019914214946</v>
      </c>
      <c r="K101" s="2">
        <f t="shared" si="9"/>
        <v>-4.1809682863612618</v>
      </c>
      <c r="L101" s="2"/>
      <c r="M101" s="2"/>
      <c r="O101" s="4"/>
      <c r="P101" s="4"/>
      <c r="Q101" s="4"/>
      <c r="R101" s="4"/>
      <c r="S101" s="4"/>
    </row>
    <row r="102" spans="3:19" x14ac:dyDescent="0.25">
      <c r="C102" s="1">
        <v>42234</v>
      </c>
      <c r="D102" s="2">
        <v>2096.919922</v>
      </c>
      <c r="E102" s="3">
        <f t="shared" si="10"/>
        <v>-2.6255299342222908E-3</v>
      </c>
      <c r="F102" s="3">
        <f t="shared" si="11"/>
        <v>-2.628982682793983E-3</v>
      </c>
      <c r="G102" s="2"/>
      <c r="H102" s="2"/>
      <c r="I102" s="2"/>
      <c r="J102" s="2">
        <f t="shared" si="12"/>
        <v>-4.7370145459490764</v>
      </c>
      <c r="K102" s="2">
        <f t="shared" si="9"/>
        <v>-3.8947796361770792</v>
      </c>
      <c r="L102" s="2"/>
      <c r="M102" s="2"/>
      <c r="O102" s="4"/>
      <c r="P102" s="4"/>
      <c r="Q102" s="4"/>
      <c r="R102" s="4"/>
      <c r="S102" s="4"/>
    </row>
    <row r="103" spans="3:19" x14ac:dyDescent="0.25">
      <c r="C103" s="1">
        <v>42233</v>
      </c>
      <c r="D103" s="2">
        <v>2102.4399410000001</v>
      </c>
      <c r="E103" s="3">
        <f t="shared" si="10"/>
        <v>5.211424020938913E-3</v>
      </c>
      <c r="F103" s="3">
        <f t="shared" si="11"/>
        <v>5.1978915460573353E-3</v>
      </c>
      <c r="G103" s="2"/>
      <c r="H103" s="2"/>
      <c r="I103" s="2"/>
      <c r="J103" s="2">
        <f t="shared" si="12"/>
        <v>10.33869901380185</v>
      </c>
      <c r="K103" s="2">
        <f t="shared" si="9"/>
        <v>-3.988119533357164</v>
      </c>
      <c r="L103" s="2"/>
      <c r="M103" s="2"/>
      <c r="O103" s="4"/>
      <c r="P103" s="4"/>
      <c r="Q103" s="4"/>
      <c r="R103" s="4"/>
      <c r="S103" s="4"/>
    </row>
    <row r="104" spans="3:19" x14ac:dyDescent="0.25">
      <c r="C104" s="1">
        <v>42230</v>
      </c>
      <c r="D104" s="2">
        <v>2091.540039</v>
      </c>
      <c r="E104" s="3">
        <f t="shared" si="10"/>
        <v>3.9119638755010268E-3</v>
      </c>
      <c r="F104" s="3">
        <f t="shared" si="11"/>
        <v>3.904332041982352E-3</v>
      </c>
      <c r="G104" s="2"/>
      <c r="H104" s="2"/>
      <c r="I104" s="2"/>
      <c r="J104" s="2">
        <f t="shared" si="12"/>
        <v>7.8389664586511056</v>
      </c>
      <c r="K104" s="2">
        <f t="shared" si="9"/>
        <v>-3.9428714468586512</v>
      </c>
      <c r="L104" s="2"/>
      <c r="M104" s="2"/>
      <c r="O104" s="4"/>
      <c r="P104" s="4"/>
      <c r="Q104" s="4"/>
      <c r="R104" s="4"/>
      <c r="S104" s="4"/>
    </row>
    <row r="105" spans="3:19" x14ac:dyDescent="0.25">
      <c r="C105" s="1">
        <v>42229</v>
      </c>
      <c r="D105" s="2">
        <v>2083.389893</v>
      </c>
      <c r="E105" s="3">
        <f t="shared" si="10"/>
        <v>-1.275211973593408E-3</v>
      </c>
      <c r="F105" s="3">
        <f t="shared" si="11"/>
        <v>-1.2760257482792195E-3</v>
      </c>
      <c r="G105" s="2"/>
      <c r="H105" s="2"/>
      <c r="I105" s="2"/>
      <c r="J105" s="2">
        <f t="shared" si="12"/>
        <v>-2.1394483352121227</v>
      </c>
      <c r="K105" s="2">
        <f t="shared" si="9"/>
        <v>-3.8599467732859543</v>
      </c>
      <c r="L105" s="2"/>
      <c r="M105" s="2"/>
      <c r="O105" s="4"/>
      <c r="P105" s="4"/>
      <c r="Q105" s="4"/>
      <c r="R105" s="4"/>
      <c r="S105" s="4"/>
    </row>
    <row r="106" spans="3:19" x14ac:dyDescent="0.25">
      <c r="C106" s="1">
        <v>42228</v>
      </c>
      <c r="D106" s="2">
        <v>2086.0500489999999</v>
      </c>
      <c r="E106" s="3">
        <f t="shared" si="10"/>
        <v>9.5005490957415957E-4</v>
      </c>
      <c r="F106" s="3">
        <f t="shared" si="11"/>
        <v>9.4960389304633061E-4</v>
      </c>
      <c r="G106" s="2"/>
      <c r="H106" s="2"/>
      <c r="I106" s="2"/>
      <c r="J106" s="2">
        <f t="shared" si="12"/>
        <v>2.1412309078425746</v>
      </c>
      <c r="K106" s="2">
        <f t="shared" si="9"/>
        <v>-3.8689986381190993</v>
      </c>
      <c r="L106" s="2"/>
      <c r="M106" s="2"/>
      <c r="O106" s="4"/>
      <c r="P106" s="4"/>
      <c r="Q106" s="4"/>
      <c r="R106" s="4"/>
      <c r="S106" s="4"/>
    </row>
    <row r="107" spans="3:19" x14ac:dyDescent="0.25">
      <c r="C107" s="1">
        <v>42227</v>
      </c>
      <c r="D107" s="2">
        <v>2084.070068</v>
      </c>
      <c r="E107" s="3">
        <f t="shared" si="10"/>
        <v>-9.5571028381046339E-3</v>
      </c>
      <c r="F107" s="3">
        <f t="shared" si="11"/>
        <v>-9.6030650234122886E-3</v>
      </c>
      <c r="G107" s="2"/>
      <c r="H107" s="2"/>
      <c r="I107" s="2"/>
      <c r="J107" s="2">
        <f t="shared" si="12"/>
        <v>-18.071073698949633</v>
      </c>
      <c r="K107" s="2">
        <f t="shared" si="9"/>
        <v>-4.4088447266510142</v>
      </c>
      <c r="L107" s="2"/>
      <c r="M107" s="2"/>
      <c r="O107" s="4"/>
      <c r="P107" s="4"/>
      <c r="Q107" s="4"/>
      <c r="R107" s="4"/>
      <c r="S107" s="4"/>
    </row>
    <row r="108" spans="3:19" x14ac:dyDescent="0.25">
      <c r="C108" s="1">
        <v>42226</v>
      </c>
      <c r="D108" s="2">
        <v>2104.179932</v>
      </c>
      <c r="E108" s="3">
        <f t="shared" si="10"/>
        <v>1.2808166814617401E-2</v>
      </c>
      <c r="F108" s="3">
        <f t="shared" si="11"/>
        <v>1.2726835975794628E-2</v>
      </c>
      <c r="G108" s="2"/>
      <c r="H108" s="2"/>
      <c r="I108" s="2"/>
      <c r="J108" s="2">
        <f t="shared" si="12"/>
        <v>24.952325557974028</v>
      </c>
      <c r="K108" s="2">
        <f t="shared" si="9"/>
        <v>-4.7598950236396762</v>
      </c>
      <c r="L108" s="2"/>
      <c r="M108" s="2"/>
      <c r="O108" s="4"/>
      <c r="P108" s="4"/>
      <c r="Q108" s="4"/>
      <c r="R108" s="4"/>
      <c r="S108" s="4"/>
    </row>
    <row r="109" spans="3:19" x14ac:dyDescent="0.25">
      <c r="C109" s="1">
        <v>42223</v>
      </c>
      <c r="D109" s="2">
        <v>2077.570068</v>
      </c>
      <c r="E109" s="3">
        <f t="shared" si="10"/>
        <v>-2.8748828113334063E-3</v>
      </c>
      <c r="F109" s="3">
        <f t="shared" si="11"/>
        <v>-2.8790232242949477E-3</v>
      </c>
      <c r="G109" s="2"/>
      <c r="H109" s="2"/>
      <c r="I109" s="2"/>
      <c r="J109" s="2">
        <f t="shared" si="12"/>
        <v>-5.2166872060329421</v>
      </c>
      <c r="K109" s="2">
        <f t="shared" si="9"/>
        <v>-3.8773770981257556</v>
      </c>
      <c r="L109" s="2"/>
      <c r="M109" s="2"/>
      <c r="O109" s="4"/>
      <c r="P109" s="4"/>
      <c r="Q109" s="4"/>
      <c r="R109" s="4"/>
      <c r="S109" s="4"/>
    </row>
    <row r="110" spans="3:19" x14ac:dyDescent="0.25">
      <c r="C110" s="1">
        <v>42222</v>
      </c>
      <c r="D110" s="2">
        <v>2083.5600589999999</v>
      </c>
      <c r="E110" s="3">
        <f t="shared" si="10"/>
        <v>-7.7529851406475357E-3</v>
      </c>
      <c r="F110" s="3">
        <f t="shared" si="11"/>
        <v>-7.7831957796706099E-3</v>
      </c>
      <c r="G110" s="2"/>
      <c r="H110" s="2"/>
      <c r="I110" s="2"/>
      <c r="J110" s="2">
        <f t="shared" si="12"/>
        <v>-14.600546528501155</v>
      </c>
      <c r="K110" s="2">
        <f t="shared" si="9"/>
        <v>-4.1728596726421419</v>
      </c>
      <c r="L110" s="2"/>
      <c r="M110" s="2"/>
      <c r="O110" s="4"/>
      <c r="P110" s="4"/>
      <c r="Q110" s="4"/>
      <c r="R110" s="4"/>
      <c r="S110" s="4"/>
    </row>
    <row r="111" spans="3:19" x14ac:dyDescent="0.25">
      <c r="C111" s="1">
        <v>42221</v>
      </c>
      <c r="D111" s="2">
        <v>2099.8400879999999</v>
      </c>
      <c r="E111" s="3">
        <f t="shared" si="10"/>
        <v>3.1146789732108618E-3</v>
      </c>
      <c r="F111" s="3">
        <f t="shared" si="11"/>
        <v>3.1098384092550632E-3</v>
      </c>
      <c r="G111" s="2"/>
      <c r="H111" s="2"/>
      <c r="I111" s="2"/>
      <c r="J111" s="2">
        <f t="shared" si="12"/>
        <v>6.3052533755820477</v>
      </c>
      <c r="K111" s="2">
        <f t="shared" si="9"/>
        <v>-3.9139461026467495</v>
      </c>
      <c r="L111" s="2"/>
      <c r="M111" s="2"/>
      <c r="O111" s="4"/>
      <c r="P111" s="4"/>
      <c r="Q111" s="4"/>
      <c r="R111" s="4"/>
      <c r="S111" s="4"/>
    </row>
    <row r="112" spans="3:19" x14ac:dyDescent="0.25">
      <c r="C112" s="1">
        <v>42220</v>
      </c>
      <c r="D112" s="2">
        <v>2093.320068</v>
      </c>
      <c r="E112" s="3">
        <f t="shared" si="10"/>
        <v>-2.2497049209078447E-3</v>
      </c>
      <c r="F112" s="3">
        <f t="shared" si="11"/>
        <v>-2.2522393088201631E-3</v>
      </c>
      <c r="G112" s="2"/>
      <c r="H112" s="2"/>
      <c r="I112" s="2"/>
      <c r="J112" s="2">
        <f t="shared" si="12"/>
        <v>-4.0140512260501744</v>
      </c>
      <c r="K112" s="2">
        <f t="shared" si="9"/>
        <v>-3.8715188425721481</v>
      </c>
      <c r="L112" s="2"/>
      <c r="M112" s="2"/>
      <c r="O112" s="4"/>
      <c r="P112" s="4"/>
      <c r="Q112" s="4"/>
      <c r="R112" s="4"/>
      <c r="S112" s="4"/>
    </row>
    <row r="113" spans="3:19" x14ac:dyDescent="0.25">
      <c r="C113" s="1">
        <v>42219</v>
      </c>
      <c r="D113" s="2">
        <v>2098.040039</v>
      </c>
      <c r="E113" s="3">
        <f t="shared" si="10"/>
        <v>-2.7568868152492132E-3</v>
      </c>
      <c r="F113" s="3">
        <f t="shared" si="11"/>
        <v>-2.7606940266825457E-3</v>
      </c>
      <c r="G113" s="2"/>
      <c r="H113" s="2"/>
      <c r="I113" s="2"/>
      <c r="J113" s="2">
        <f t="shared" si="12"/>
        <v>-4.9897018430538385</v>
      </c>
      <c r="K113" s="2">
        <f t="shared" si="9"/>
        <v>-3.8838520026886529</v>
      </c>
      <c r="L113" s="2"/>
      <c r="M113" s="2"/>
      <c r="O113" s="4"/>
      <c r="P113" s="4"/>
      <c r="Q113" s="4"/>
      <c r="R113" s="4"/>
      <c r="S113" s="4"/>
    </row>
    <row r="114" spans="3:19" x14ac:dyDescent="0.25">
      <c r="C114" s="1">
        <v>42216</v>
      </c>
      <c r="D114" s="2">
        <v>2103.8400879999999</v>
      </c>
      <c r="E114" s="3">
        <f t="shared" si="10"/>
        <v>-2.2715200228432598E-3</v>
      </c>
      <c r="F114" s="3">
        <f t="shared" si="11"/>
        <v>-2.2741038379837917E-3</v>
      </c>
      <c r="G114" s="2"/>
      <c r="H114" s="2"/>
      <c r="I114" s="2"/>
      <c r="J114" s="2">
        <f t="shared" si="12"/>
        <v>-4.0560162841501395</v>
      </c>
      <c r="K114" s="2">
        <f t="shared" si="9"/>
        <v>-3.8761081073110195</v>
      </c>
      <c r="L114" s="2"/>
      <c r="M114" s="2"/>
      <c r="O114" s="4"/>
      <c r="P114" s="4"/>
      <c r="Q114" s="4"/>
      <c r="R114" s="4"/>
      <c r="S114" s="4"/>
    </row>
    <row r="115" spans="3:19" x14ac:dyDescent="0.25">
      <c r="C115" s="1">
        <v>42215</v>
      </c>
      <c r="D115" s="2">
        <v>2108.6298830000001</v>
      </c>
      <c r="E115" s="3">
        <f t="shared" si="10"/>
        <v>2.836756572989134E-5</v>
      </c>
      <c r="F115" s="3">
        <f t="shared" si="11"/>
        <v>2.8367163378208414E-5</v>
      </c>
      <c r="G115" s="2"/>
      <c r="H115" s="2"/>
      <c r="I115" s="2"/>
      <c r="J115" s="2">
        <f t="shared" si="12"/>
        <v>0.36820857455542821</v>
      </c>
      <c r="K115" s="2">
        <f t="shared" si="9"/>
        <v>-3.8531105170096915</v>
      </c>
      <c r="L115" s="2"/>
      <c r="M115" s="2"/>
      <c r="O115" s="4"/>
      <c r="P115" s="4"/>
      <c r="Q115" s="4"/>
      <c r="R115" s="4"/>
      <c r="S115" s="4"/>
    </row>
    <row r="116" spans="3:19" x14ac:dyDescent="0.25">
      <c r="C116" s="1">
        <v>42214</v>
      </c>
      <c r="D116" s="2">
        <v>2108.570068</v>
      </c>
      <c r="E116" s="3">
        <f t="shared" si="10"/>
        <v>7.3187951749671522E-3</v>
      </c>
      <c r="F116" s="3">
        <f t="shared" si="11"/>
        <v>7.2921427569481731E-3</v>
      </c>
      <c r="G116" s="2"/>
      <c r="H116" s="2"/>
      <c r="I116" s="2"/>
      <c r="J116" s="2">
        <f t="shared" si="12"/>
        <v>14.392585774395684</v>
      </c>
      <c r="K116" s="2">
        <f t="shared" si="9"/>
        <v>-4.0806589501587283</v>
      </c>
      <c r="L116" s="2"/>
      <c r="M116" s="2"/>
      <c r="O116" s="4"/>
      <c r="P116" s="4"/>
      <c r="Q116" s="4"/>
      <c r="R116" s="4"/>
      <c r="S116" s="4"/>
    </row>
    <row r="117" spans="3:19" x14ac:dyDescent="0.25">
      <c r="C117" s="1">
        <v>42213</v>
      </c>
      <c r="D117" s="2">
        <v>2093.25</v>
      </c>
      <c r="E117" s="3">
        <f t="shared" si="10"/>
        <v>1.2386154420169127E-2</v>
      </c>
      <c r="F117" s="3">
        <f t="shared" si="11"/>
        <v>1.2310073597852267E-2</v>
      </c>
      <c r="G117" s="2"/>
      <c r="H117" s="2"/>
      <c r="I117" s="2"/>
      <c r="J117" s="2">
        <f t="shared" si="12"/>
        <v>24.140512956577172</v>
      </c>
      <c r="K117" s="2">
        <f t="shared" si="9"/>
        <v>-4.7300679650176738</v>
      </c>
      <c r="L117" s="2"/>
      <c r="M117" s="2"/>
      <c r="O117" s="4"/>
      <c r="P117" s="4"/>
      <c r="Q117" s="4"/>
      <c r="R117" s="4"/>
      <c r="S117" s="4"/>
    </row>
    <row r="118" spans="3:19" x14ac:dyDescent="0.25">
      <c r="C118" s="1">
        <v>42212</v>
      </c>
      <c r="D118" s="2">
        <v>2067.639893</v>
      </c>
      <c r="E118" s="3">
        <f t="shared" si="10"/>
        <v>-5.7750148178547034E-3</v>
      </c>
      <c r="F118" s="3">
        <f t="shared" si="11"/>
        <v>-5.7917546957350231E-3</v>
      </c>
      <c r="G118" s="2"/>
      <c r="H118" s="2"/>
      <c r="I118" s="2"/>
      <c r="J118" s="2">
        <f t="shared" si="12"/>
        <v>-10.795584270623573</v>
      </c>
      <c r="K118" s="2">
        <f t="shared" si="9"/>
        <v>-3.9768002270312857</v>
      </c>
      <c r="L118" s="2"/>
      <c r="M118" s="2"/>
      <c r="O118" s="4"/>
      <c r="P118" s="4"/>
      <c r="Q118" s="4"/>
      <c r="R118" s="4"/>
      <c r="S118" s="4"/>
    </row>
    <row r="119" spans="3:19" x14ac:dyDescent="0.25">
      <c r="C119" s="1">
        <v>42209</v>
      </c>
      <c r="D119" s="2">
        <v>2079.6499020000001</v>
      </c>
      <c r="E119" s="3">
        <f t="shared" si="10"/>
        <v>-1.070332804458585E-2</v>
      </c>
      <c r="F119" s="3">
        <f t="shared" si="11"/>
        <v>-1.0761020698430391E-2</v>
      </c>
      <c r="G119" s="2"/>
      <c r="H119" s="2"/>
      <c r="I119" s="2"/>
      <c r="J119" s="2">
        <f t="shared" si="12"/>
        <v>-20.276032792335261</v>
      </c>
      <c r="K119" s="2">
        <f t="shared" si="9"/>
        <v>-4.3924280755586249</v>
      </c>
      <c r="L119" s="2"/>
      <c r="M119" s="2"/>
      <c r="O119" s="4"/>
      <c r="P119" s="4"/>
      <c r="Q119" s="4"/>
      <c r="R119" s="4"/>
      <c r="S119" s="4"/>
    </row>
    <row r="120" spans="3:19" x14ac:dyDescent="0.25">
      <c r="C120" s="1">
        <v>42208</v>
      </c>
      <c r="D120" s="2">
        <v>2102.1499020000001</v>
      </c>
      <c r="E120" s="3">
        <f t="shared" si="10"/>
        <v>-5.6760402791911392E-3</v>
      </c>
      <c r="F120" s="3">
        <f t="shared" si="11"/>
        <v>-5.6922102123075392E-3</v>
      </c>
      <c r="G120" s="2"/>
      <c r="H120" s="2"/>
      <c r="I120" s="2"/>
      <c r="J120" s="2">
        <f t="shared" si="12"/>
        <v>-10.605189915477755</v>
      </c>
      <c r="K120" s="2">
        <f t="shared" si="9"/>
        <v>-4.0028143661000124</v>
      </c>
      <c r="L120" s="2"/>
      <c r="M120" s="2"/>
      <c r="O120" s="4"/>
      <c r="P120" s="4"/>
      <c r="Q120" s="4"/>
      <c r="R120" s="4"/>
      <c r="S120" s="4"/>
    </row>
    <row r="121" spans="3:19" x14ac:dyDescent="0.25">
      <c r="C121" s="1">
        <v>42207</v>
      </c>
      <c r="D121" s="2">
        <v>2114.1499020000001</v>
      </c>
      <c r="E121" s="3">
        <f t="shared" si="10"/>
        <v>-2.3877100868345295E-3</v>
      </c>
      <c r="F121" s="3">
        <f t="shared" si="11"/>
        <v>-2.3905652122773076E-3</v>
      </c>
      <c r="G121" s="2"/>
      <c r="H121" s="2"/>
      <c r="I121" s="2"/>
      <c r="J121" s="2">
        <f t="shared" si="12"/>
        <v>-4.2795276296605884</v>
      </c>
      <c r="K121" s="2">
        <f t="shared" si="9"/>
        <v>-3.8721670116636382</v>
      </c>
      <c r="L121" s="2"/>
      <c r="M121" s="2"/>
      <c r="O121" s="4"/>
      <c r="P121" s="4"/>
      <c r="Q121" s="4"/>
      <c r="R121" s="4"/>
      <c r="S121" s="4"/>
    </row>
    <row r="122" spans="3:19" x14ac:dyDescent="0.25">
      <c r="C122" s="1">
        <v>42206</v>
      </c>
      <c r="D122" s="2">
        <v>2119.209961</v>
      </c>
      <c r="E122" s="3">
        <f t="shared" si="10"/>
        <v>-4.2616891933443934E-3</v>
      </c>
      <c r="F122" s="3">
        <f t="shared" si="11"/>
        <v>-4.2707960737403163E-3</v>
      </c>
      <c r="G122" s="2"/>
      <c r="H122" s="2"/>
      <c r="I122" s="2"/>
      <c r="J122" s="2">
        <f t="shared" si="12"/>
        <v>-7.8844450999354976</v>
      </c>
      <c r="K122" s="2">
        <f t="shared" si="9"/>
        <v>-3.9433565835756692</v>
      </c>
      <c r="L122" s="2"/>
      <c r="M122" s="2"/>
      <c r="O122" s="4"/>
      <c r="P122" s="4"/>
      <c r="Q122" s="4"/>
      <c r="R122" s="4"/>
      <c r="S122" s="4"/>
    </row>
    <row r="123" spans="3:19" x14ac:dyDescent="0.25">
      <c r="C123" s="1">
        <v>42205</v>
      </c>
      <c r="D123" s="2">
        <v>2128.280029</v>
      </c>
      <c r="E123" s="3">
        <f t="shared" si="10"/>
        <v>7.7123353389476929E-4</v>
      </c>
      <c r="F123" s="3">
        <f t="shared" si="11"/>
        <v>7.7093628613465076E-4</v>
      </c>
      <c r="G123" s="2"/>
      <c r="H123" s="2"/>
      <c r="I123" s="2"/>
      <c r="J123" s="2">
        <f t="shared" si="12"/>
        <v>1.7972375842212616</v>
      </c>
      <c r="K123" s="2">
        <f t="shared" si="9"/>
        <v>-3.8562646338502469</v>
      </c>
      <c r="L123" s="2"/>
      <c r="M123" s="2"/>
      <c r="O123" s="4"/>
      <c r="P123" s="4"/>
      <c r="Q123" s="4"/>
      <c r="R123" s="4"/>
      <c r="S123" s="4"/>
    </row>
    <row r="124" spans="3:19" x14ac:dyDescent="0.25">
      <c r="C124" s="1">
        <v>42202</v>
      </c>
      <c r="D124" s="2">
        <v>2126.639893</v>
      </c>
      <c r="E124" s="3">
        <f t="shared" si="10"/>
        <v>1.1061832220925132E-3</v>
      </c>
      <c r="F124" s="3">
        <f t="shared" si="11"/>
        <v>1.1055718522485251E-3</v>
      </c>
      <c r="G124" s="2"/>
      <c r="H124" s="2"/>
      <c r="I124" s="2"/>
      <c r="J124" s="2">
        <f t="shared" si="12"/>
        <v>2.4415702656544016</v>
      </c>
      <c r="K124" s="2">
        <f t="shared" si="9"/>
        <v>-3.855049436759344</v>
      </c>
      <c r="L124" s="2"/>
      <c r="M124" s="2"/>
      <c r="O124" s="4"/>
      <c r="P124" s="4"/>
      <c r="Q124" s="4"/>
      <c r="R124" s="4"/>
      <c r="S124" s="4"/>
    </row>
    <row r="125" spans="3:19" x14ac:dyDescent="0.25">
      <c r="C125" s="1">
        <v>42201</v>
      </c>
      <c r="D125" s="2">
        <v>2124.290039</v>
      </c>
      <c r="E125" s="3">
        <f t="shared" si="10"/>
        <v>8.0146805473277783E-3</v>
      </c>
      <c r="F125" s="3">
        <f t="shared" si="11"/>
        <v>7.9827335781697557E-3</v>
      </c>
      <c r="G125" s="2"/>
      <c r="H125" s="2"/>
      <c r="I125" s="2"/>
      <c r="J125" s="2">
        <f t="shared" si="12"/>
        <v>15.731239619263606</v>
      </c>
      <c r="K125" s="2">
        <f t="shared" si="9"/>
        <v>-4.2062574528599086</v>
      </c>
      <c r="L125" s="2"/>
      <c r="M125" s="2"/>
      <c r="O125" s="4"/>
      <c r="P125" s="4"/>
      <c r="Q125" s="4"/>
      <c r="R125" s="4"/>
      <c r="S125" s="4"/>
    </row>
    <row r="126" spans="3:19" x14ac:dyDescent="0.25">
      <c r="C126" s="1">
        <v>42200</v>
      </c>
      <c r="D126" s="2">
        <v>2107.3999020000001</v>
      </c>
      <c r="E126" s="3">
        <f t="shared" si="10"/>
        <v>-7.3498614761576409E-4</v>
      </c>
      <c r="F126" s="3">
        <f t="shared" si="11"/>
        <v>-7.35256382355035E-4</v>
      </c>
      <c r="G126" s="2"/>
      <c r="H126" s="2"/>
      <c r="I126" s="2"/>
      <c r="J126" s="2">
        <f t="shared" si="12"/>
        <v>-1.1002320967837722</v>
      </c>
      <c r="K126" s="2">
        <f t="shared" si="9"/>
        <v>-3.8567335765602184</v>
      </c>
      <c r="L126" s="2"/>
      <c r="M126" s="2"/>
      <c r="O126" s="4"/>
      <c r="P126" s="4"/>
      <c r="Q126" s="4"/>
      <c r="R126" s="4"/>
      <c r="S126" s="4"/>
    </row>
    <row r="127" spans="3:19" x14ac:dyDescent="0.25">
      <c r="C127" s="1">
        <v>42199</v>
      </c>
      <c r="D127" s="2">
        <v>2108.9499510000001</v>
      </c>
      <c r="E127" s="3">
        <f t="shared" si="10"/>
        <v>4.4531589653222462E-3</v>
      </c>
      <c r="F127" s="3">
        <f t="shared" si="11"/>
        <v>4.4432729912807552E-3</v>
      </c>
      <c r="G127" s="2"/>
      <c r="H127" s="2"/>
      <c r="I127" s="2"/>
      <c r="J127" s="2">
        <f t="shared" si="12"/>
        <v>8.8800472409000761</v>
      </c>
      <c r="K127" s="2">
        <f t="shared" si="9"/>
        <v>-3.9292292508006832</v>
      </c>
      <c r="L127" s="2"/>
      <c r="M127" s="2"/>
      <c r="O127" s="4"/>
      <c r="P127" s="4"/>
      <c r="Q127" s="4"/>
      <c r="R127" s="4"/>
      <c r="S127" s="4"/>
    </row>
    <row r="128" spans="3:19" x14ac:dyDescent="0.25">
      <c r="C128" s="1">
        <v>42198</v>
      </c>
      <c r="D128" s="2">
        <v>2099.6000979999999</v>
      </c>
      <c r="E128" s="3">
        <f t="shared" si="10"/>
        <v>1.1066049496427928E-2</v>
      </c>
      <c r="F128" s="3">
        <f t="shared" si="11"/>
        <v>1.1005268761367724E-2</v>
      </c>
      <c r="G128" s="2"/>
      <c r="H128" s="2"/>
      <c r="I128" s="2"/>
      <c r="J128" s="2">
        <f t="shared" si="12"/>
        <v>21.601066659839322</v>
      </c>
      <c r="K128" s="2">
        <f t="shared" si="9"/>
        <v>-4.4136396653703258</v>
      </c>
      <c r="L128" s="2"/>
      <c r="M128" s="2"/>
      <c r="O128" s="4"/>
      <c r="P128" s="4"/>
      <c r="Q128" s="4"/>
      <c r="R128" s="4"/>
      <c r="S128" s="4"/>
    </row>
    <row r="129" spans="3:19" x14ac:dyDescent="0.25">
      <c r="C129" s="1">
        <v>42195</v>
      </c>
      <c r="D129" s="2">
        <v>2076.6201169999999</v>
      </c>
      <c r="E129" s="3">
        <f t="shared" si="10"/>
        <v>1.2338484808258832E-2</v>
      </c>
      <c r="F129" s="3">
        <f t="shared" si="11"/>
        <v>1.2262986096672604E-2</v>
      </c>
      <c r="G129" s="2"/>
      <c r="H129" s="2"/>
      <c r="I129" s="2"/>
      <c r="J129" s="2">
        <f t="shared" si="12"/>
        <v>24.048812352136231</v>
      </c>
      <c r="K129" s="2">
        <f t="shared" si="9"/>
        <v>-4.6489585931589898</v>
      </c>
      <c r="L129" s="2"/>
      <c r="M129" s="2"/>
      <c r="O129" s="4"/>
      <c r="P129" s="4"/>
      <c r="Q129" s="4"/>
      <c r="R129" s="4"/>
      <c r="S129" s="4"/>
    </row>
    <row r="130" spans="3:19" x14ac:dyDescent="0.25">
      <c r="C130" s="1">
        <v>42194</v>
      </c>
      <c r="D130" s="2">
        <v>2051.3100589999999</v>
      </c>
      <c r="E130" s="3">
        <f t="shared" si="10"/>
        <v>2.262202629546896E-3</v>
      </c>
      <c r="F130" s="3">
        <f t="shared" si="11"/>
        <v>2.259647701629263E-3</v>
      </c>
      <c r="G130" s="2"/>
      <c r="H130" s="2"/>
      <c r="I130" s="2"/>
      <c r="J130" s="2">
        <f t="shared" si="12"/>
        <v>4.6653701700570291</v>
      </c>
      <c r="K130" s="2">
        <f t="shared" ref="K130:K193" si="13">-LN($I$1)-0.5*LN(2*PI()*(1+$I$2^2))-0.5*(J130-$I$3*J131)^2/($I$1^2*(1+$I$2^2))</f>
        <v>-3.9198215769274771</v>
      </c>
      <c r="L130" s="2"/>
      <c r="M130" s="2"/>
      <c r="O130" s="4"/>
      <c r="P130" s="4"/>
      <c r="Q130" s="4"/>
      <c r="R130" s="4"/>
      <c r="S130" s="4"/>
    </row>
    <row r="131" spans="3:19" x14ac:dyDescent="0.25">
      <c r="C131" s="1">
        <v>42193</v>
      </c>
      <c r="D131" s="2">
        <v>2046.6800539999999</v>
      </c>
      <c r="E131" s="3">
        <f t="shared" ref="E131:E194" si="14">(D131-D132)/D132</f>
        <v>-1.6652748966799316E-2</v>
      </c>
      <c r="F131" s="3">
        <f t="shared" ref="F131:F194" si="15">LN(D131/D132)</f>
        <v>-1.6792964823456991E-2</v>
      </c>
      <c r="G131" s="2"/>
      <c r="H131" s="2"/>
      <c r="I131" s="2"/>
      <c r="J131" s="2">
        <f t="shared" ref="J131:J194" si="16">E131*$D$2-$D$2*AVERAGE(E$2:E$252)</f>
        <v>-31.720755599544159</v>
      </c>
      <c r="K131" s="2">
        <f t="shared" si="13"/>
        <v>-5.3535770342125124</v>
      </c>
      <c r="L131" s="2"/>
      <c r="M131" s="2"/>
      <c r="O131" s="4"/>
      <c r="P131" s="4"/>
      <c r="Q131" s="4"/>
      <c r="R131" s="4"/>
      <c r="S131" s="4"/>
    </row>
    <row r="132" spans="3:19" x14ac:dyDescent="0.25">
      <c r="C132" s="1">
        <v>42192</v>
      </c>
      <c r="D132" s="2">
        <v>2081.3400879999999</v>
      </c>
      <c r="E132" s="3">
        <f t="shared" si="14"/>
        <v>6.0809750474633151E-3</v>
      </c>
      <c r="F132" s="3">
        <f t="shared" si="15"/>
        <v>6.0625605331265549E-3</v>
      </c>
      <c r="G132" s="2"/>
      <c r="H132" s="2"/>
      <c r="I132" s="2"/>
      <c r="J132" s="2">
        <f t="shared" si="16"/>
        <v>12.011428275256293</v>
      </c>
      <c r="K132" s="2">
        <f t="shared" si="13"/>
        <v>-4.0740970936961212</v>
      </c>
      <c r="L132" s="2"/>
      <c r="M132" s="2"/>
      <c r="O132" s="4"/>
      <c r="P132" s="4"/>
      <c r="Q132" s="4"/>
      <c r="R132" s="4"/>
      <c r="S132" s="4"/>
    </row>
    <row r="133" spans="3:19" x14ac:dyDescent="0.25">
      <c r="C133" s="1">
        <v>42191</v>
      </c>
      <c r="D133" s="2">
        <v>2068.76001</v>
      </c>
      <c r="E133" s="3">
        <f t="shared" si="14"/>
        <v>-3.8617566078299609E-3</v>
      </c>
      <c r="F133" s="3">
        <f t="shared" si="15"/>
        <v>-3.8692324426552824E-3</v>
      </c>
      <c r="G133" s="2"/>
      <c r="H133" s="2"/>
      <c r="I133" s="2"/>
      <c r="J133" s="2">
        <f t="shared" si="16"/>
        <v>-7.1151067655619169</v>
      </c>
      <c r="K133" s="2">
        <f t="shared" si="13"/>
        <v>-3.9237859095405967</v>
      </c>
      <c r="L133" s="2"/>
      <c r="M133" s="2"/>
      <c r="O133" s="4"/>
      <c r="P133" s="4"/>
      <c r="Q133" s="4"/>
      <c r="R133" s="4"/>
      <c r="S133" s="4"/>
    </row>
    <row r="134" spans="3:19" x14ac:dyDescent="0.25">
      <c r="C134" s="1">
        <v>42187</v>
      </c>
      <c r="D134" s="2">
        <v>2076.780029</v>
      </c>
      <c r="E134" s="3">
        <f t="shared" si="14"/>
        <v>-3.0802294385623452E-4</v>
      </c>
      <c r="F134" s="3">
        <f t="shared" si="15"/>
        <v>-3.0807039266700365E-4</v>
      </c>
      <c r="G134" s="2"/>
      <c r="H134" s="2"/>
      <c r="I134" s="2"/>
      <c r="J134" s="2">
        <f t="shared" si="16"/>
        <v>-0.27889577182129688</v>
      </c>
      <c r="K134" s="2">
        <f t="shared" si="13"/>
        <v>-3.8546968429416424</v>
      </c>
      <c r="L134" s="2"/>
      <c r="M134" s="2"/>
      <c r="O134" s="4"/>
      <c r="P134" s="4"/>
      <c r="Q134" s="4"/>
      <c r="R134" s="4"/>
      <c r="S134" s="4"/>
    </row>
    <row r="135" spans="3:19" x14ac:dyDescent="0.25">
      <c r="C135" s="1">
        <v>42186</v>
      </c>
      <c r="D135" s="2">
        <v>2077.419922</v>
      </c>
      <c r="E135" s="3">
        <f t="shared" si="14"/>
        <v>6.9360403748921539E-3</v>
      </c>
      <c r="F135" s="3">
        <f t="shared" si="15"/>
        <v>6.9120966992928731E-3</v>
      </c>
      <c r="G135" s="2"/>
      <c r="H135" s="2"/>
      <c r="I135" s="2"/>
      <c r="J135" s="2">
        <f t="shared" si="16"/>
        <v>13.656291831294201</v>
      </c>
      <c r="K135" s="2">
        <f t="shared" si="13"/>
        <v>-4.1019499390549798</v>
      </c>
      <c r="L135" s="2"/>
      <c r="M135" s="2"/>
      <c r="O135" s="4"/>
      <c r="P135" s="4"/>
      <c r="Q135" s="4"/>
      <c r="R135" s="4"/>
      <c r="S135" s="4"/>
    </row>
    <row r="136" spans="3:19" x14ac:dyDescent="0.25">
      <c r="C136" s="1">
        <v>42185</v>
      </c>
      <c r="D136" s="2">
        <v>2063.110107</v>
      </c>
      <c r="E136" s="3">
        <f t="shared" si="14"/>
        <v>2.6584894755439801E-3</v>
      </c>
      <c r="F136" s="3">
        <f t="shared" si="15"/>
        <v>2.6549619429538794E-3</v>
      </c>
      <c r="G136" s="2"/>
      <c r="H136" s="2"/>
      <c r="I136" s="2"/>
      <c r="J136" s="2">
        <f t="shared" si="16"/>
        <v>5.4276953045328611</v>
      </c>
      <c r="K136" s="2">
        <f t="shared" si="13"/>
        <v>-3.9483359360304253</v>
      </c>
      <c r="L136" s="2"/>
      <c r="M136" s="2"/>
      <c r="O136" s="4"/>
      <c r="P136" s="4"/>
      <c r="Q136" s="4"/>
      <c r="R136" s="4"/>
      <c r="S136" s="4"/>
    </row>
    <row r="137" spans="3:19" x14ac:dyDescent="0.25">
      <c r="C137" s="1">
        <v>42184</v>
      </c>
      <c r="D137" s="2">
        <v>2057.639893</v>
      </c>
      <c r="E137" s="3">
        <f t="shared" si="14"/>
        <v>-2.0866193609611249E-2</v>
      </c>
      <c r="F137" s="3">
        <f t="shared" si="15"/>
        <v>-2.1086969192055022E-2</v>
      </c>
      <c r="G137" s="2"/>
      <c r="H137" s="2"/>
      <c r="I137" s="2"/>
      <c r="J137" s="2">
        <f t="shared" si="16"/>
        <v>-39.826032840973753</v>
      </c>
      <c r="K137" s="2">
        <f t="shared" si="13"/>
        <v>-6.0941032177500016</v>
      </c>
      <c r="L137" s="2"/>
      <c r="M137" s="2"/>
      <c r="O137" s="4"/>
      <c r="P137" s="4"/>
      <c r="Q137" s="4"/>
      <c r="R137" s="4"/>
      <c r="S137" s="4"/>
    </row>
    <row r="138" spans="3:19" x14ac:dyDescent="0.25">
      <c r="C138" s="1">
        <v>42181</v>
      </c>
      <c r="D138" s="2">
        <v>2101.48999</v>
      </c>
      <c r="E138" s="3">
        <f t="shared" si="14"/>
        <v>-3.9007994871601183E-4</v>
      </c>
      <c r="F138" s="3">
        <f t="shared" si="15"/>
        <v>-3.9015604969013028E-4</v>
      </c>
      <c r="G138" s="2"/>
      <c r="H138" s="2"/>
      <c r="I138" s="2"/>
      <c r="J138" s="2">
        <f t="shared" si="16"/>
        <v>-0.43674637397041294</v>
      </c>
      <c r="K138" s="2">
        <f t="shared" si="13"/>
        <v>-3.8525287997795115</v>
      </c>
      <c r="L138" s="2"/>
      <c r="M138" s="2"/>
      <c r="O138" s="4"/>
      <c r="P138" s="4"/>
      <c r="Q138" s="4"/>
      <c r="R138" s="4"/>
      <c r="S138" s="4"/>
    </row>
    <row r="139" spans="3:19" x14ac:dyDescent="0.25">
      <c r="C139" s="1">
        <v>42180</v>
      </c>
      <c r="D139" s="2">
        <v>2102.3100589999999</v>
      </c>
      <c r="E139" s="3">
        <f t="shared" si="14"/>
        <v>-2.9735740489150383E-3</v>
      </c>
      <c r="F139" s="3">
        <f t="shared" si="15"/>
        <v>-2.9780039040750291E-3</v>
      </c>
      <c r="G139" s="2"/>
      <c r="H139" s="2"/>
      <c r="I139" s="2"/>
      <c r="J139" s="2">
        <f t="shared" si="16"/>
        <v>-5.4065365833740149</v>
      </c>
      <c r="K139" s="2">
        <f t="shared" si="13"/>
        <v>-3.8803544759322839</v>
      </c>
      <c r="L139" s="2"/>
      <c r="M139" s="2"/>
      <c r="O139" s="4"/>
      <c r="P139" s="4"/>
      <c r="Q139" s="4"/>
      <c r="R139" s="4"/>
      <c r="S139" s="4"/>
    </row>
    <row r="140" spans="3:19" x14ac:dyDescent="0.25">
      <c r="C140" s="1">
        <v>42179</v>
      </c>
      <c r="D140" s="2">
        <v>2108.580078</v>
      </c>
      <c r="E140" s="3">
        <f t="shared" si="14"/>
        <v>-7.3532969401711923E-3</v>
      </c>
      <c r="F140" s="3">
        <f t="shared" si="15"/>
        <v>-7.3804656966740398E-3</v>
      </c>
      <c r="G140" s="2"/>
      <c r="H140" s="2"/>
      <c r="I140" s="2"/>
      <c r="J140" s="2">
        <f t="shared" si="16"/>
        <v>-13.831678310304547</v>
      </c>
      <c r="K140" s="2">
        <f t="shared" si="13"/>
        <v>-4.1275654369833941</v>
      </c>
      <c r="L140" s="2"/>
      <c r="M140" s="2"/>
      <c r="O140" s="4"/>
      <c r="P140" s="4"/>
      <c r="Q140" s="4"/>
      <c r="R140" s="4"/>
      <c r="S140" s="4"/>
    </row>
    <row r="141" spans="3:19" x14ac:dyDescent="0.25">
      <c r="C141" s="1">
        <v>42178</v>
      </c>
      <c r="D141" s="2">
        <v>2124.1999510000001</v>
      </c>
      <c r="E141" s="3">
        <f t="shared" si="14"/>
        <v>6.3586826091578631E-4</v>
      </c>
      <c r="F141" s="3">
        <f t="shared" si="15"/>
        <v>6.356661823521784E-4</v>
      </c>
      <c r="G141" s="2"/>
      <c r="H141" s="2"/>
      <c r="I141" s="2"/>
      <c r="J141" s="2">
        <f t="shared" si="16"/>
        <v>1.5368394635937095</v>
      </c>
      <c r="K141" s="2">
        <f t="shared" si="13"/>
        <v>-3.8531992511126378</v>
      </c>
      <c r="L141" s="2"/>
      <c r="M141" s="2"/>
      <c r="O141" s="4"/>
      <c r="P141" s="4"/>
      <c r="Q141" s="4"/>
      <c r="R141" s="4"/>
      <c r="S141" s="4"/>
    </row>
    <row r="142" spans="3:19" x14ac:dyDescent="0.25">
      <c r="C142" s="1">
        <v>42177</v>
      </c>
      <c r="D142" s="2">
        <v>2122.8500979999999</v>
      </c>
      <c r="E142" s="3">
        <f t="shared" si="14"/>
        <v>6.0948668292022815E-3</v>
      </c>
      <c r="F142" s="3">
        <f t="shared" si="15"/>
        <v>6.0763682545493542E-3</v>
      </c>
      <c r="G142" s="2"/>
      <c r="H142" s="2"/>
      <c r="I142" s="2"/>
      <c r="J142" s="2">
        <f t="shared" si="16"/>
        <v>12.038151479645329</v>
      </c>
      <c r="K142" s="2">
        <f t="shared" si="13"/>
        <v>-4.082018778440375</v>
      </c>
      <c r="L142" s="2"/>
      <c r="M142" s="2"/>
      <c r="O142" s="4"/>
      <c r="P142" s="4"/>
      <c r="Q142" s="4"/>
      <c r="R142" s="4"/>
      <c r="S142" s="4"/>
    </row>
    <row r="143" spans="3:19" x14ac:dyDescent="0.25">
      <c r="C143" s="1">
        <v>42174</v>
      </c>
      <c r="D143" s="2">
        <v>2109.98999</v>
      </c>
      <c r="E143" s="3">
        <f t="shared" si="14"/>
        <v>-5.3035017504077884E-3</v>
      </c>
      <c r="F143" s="3">
        <f t="shared" si="15"/>
        <v>-5.3176152385387195E-3</v>
      </c>
      <c r="G143" s="2"/>
      <c r="H143" s="2"/>
      <c r="I143" s="2"/>
      <c r="J143" s="2">
        <f t="shared" si="16"/>
        <v>-9.8885487074213909</v>
      </c>
      <c r="K143" s="2">
        <f t="shared" si="13"/>
        <v>-4.03165770689764</v>
      </c>
      <c r="L143" s="2"/>
      <c r="M143" s="2"/>
      <c r="O143" s="4"/>
      <c r="P143" s="4"/>
      <c r="Q143" s="4"/>
      <c r="R143" s="4"/>
      <c r="S143" s="4"/>
    </row>
    <row r="144" spans="3:19" x14ac:dyDescent="0.25">
      <c r="C144" s="1">
        <v>42173</v>
      </c>
      <c r="D144" s="2">
        <v>2121.23999</v>
      </c>
      <c r="E144" s="3">
        <f t="shared" si="14"/>
        <v>9.9027106626515746E-3</v>
      </c>
      <c r="F144" s="3">
        <f t="shared" si="15"/>
        <v>9.8540001369309162E-3</v>
      </c>
      <c r="G144" s="2"/>
      <c r="H144" s="2"/>
      <c r="I144" s="2"/>
      <c r="J144" s="2">
        <f t="shared" si="16"/>
        <v>19.363186594281856</v>
      </c>
      <c r="K144" s="2">
        <f t="shared" si="13"/>
        <v>-4.3674531447506357</v>
      </c>
      <c r="L144" s="2"/>
      <c r="M144" s="2"/>
      <c r="O144" s="4"/>
      <c r="P144" s="4"/>
      <c r="Q144" s="4"/>
      <c r="R144" s="4"/>
      <c r="S144" s="4"/>
    </row>
    <row r="145" spans="3:19" x14ac:dyDescent="0.25">
      <c r="C145" s="1">
        <v>42172</v>
      </c>
      <c r="D145" s="2">
        <v>2100.4399410000001</v>
      </c>
      <c r="E145" s="3">
        <f t="shared" si="14"/>
        <v>1.9796411387709269E-3</v>
      </c>
      <c r="F145" s="3">
        <f t="shared" si="15"/>
        <v>1.9776842314756056E-3</v>
      </c>
      <c r="G145" s="2"/>
      <c r="H145" s="2"/>
      <c r="I145" s="2"/>
      <c r="J145" s="2">
        <f t="shared" si="16"/>
        <v>4.1218150946633143</v>
      </c>
      <c r="K145" s="2">
        <f t="shared" si="13"/>
        <v>-3.8682228232897473</v>
      </c>
      <c r="L145" s="2"/>
      <c r="M145" s="2"/>
      <c r="O145" s="4"/>
      <c r="P145" s="4"/>
      <c r="Q145" s="4"/>
      <c r="R145" s="4"/>
      <c r="S145" s="4"/>
    </row>
    <row r="146" spans="3:19" x14ac:dyDescent="0.25">
      <c r="C146" s="1">
        <v>42171</v>
      </c>
      <c r="D146" s="2">
        <v>2096.290039</v>
      </c>
      <c r="E146" s="3">
        <f t="shared" si="14"/>
        <v>5.6898564053051463E-3</v>
      </c>
      <c r="F146" s="3">
        <f t="shared" si="15"/>
        <v>5.6737303135299989E-3</v>
      </c>
      <c r="G146" s="2"/>
      <c r="H146" s="2"/>
      <c r="I146" s="2"/>
      <c r="J146" s="2">
        <f t="shared" si="16"/>
        <v>11.259045059686668</v>
      </c>
      <c r="K146" s="2">
        <f t="shared" si="13"/>
        <v>-4.0516898444507117</v>
      </c>
      <c r="L146" s="2"/>
      <c r="M146" s="2"/>
      <c r="O146" s="4"/>
      <c r="P146" s="4"/>
      <c r="Q146" s="4"/>
      <c r="R146" s="4"/>
      <c r="S146" s="4"/>
    </row>
    <row r="147" spans="3:19" x14ac:dyDescent="0.25">
      <c r="C147" s="1">
        <v>42170</v>
      </c>
      <c r="D147" s="2">
        <v>2084.429932</v>
      </c>
      <c r="E147" s="3">
        <f t="shared" si="14"/>
        <v>-4.6225721215145078E-3</v>
      </c>
      <c r="F147" s="3">
        <f t="shared" si="15"/>
        <v>-4.6332892479042445E-3</v>
      </c>
      <c r="G147" s="2"/>
      <c r="H147" s="2"/>
      <c r="I147" s="2"/>
      <c r="J147" s="2">
        <f t="shared" si="16"/>
        <v>-8.5786647782473509</v>
      </c>
      <c r="K147" s="2">
        <f t="shared" si="13"/>
        <v>-3.9354642521531824</v>
      </c>
      <c r="L147" s="2"/>
      <c r="M147" s="2"/>
      <c r="O147" s="4"/>
      <c r="P147" s="4"/>
      <c r="Q147" s="4"/>
      <c r="R147" s="4"/>
      <c r="S147" s="4"/>
    </row>
    <row r="148" spans="3:19" x14ac:dyDescent="0.25">
      <c r="C148" s="1">
        <v>42167</v>
      </c>
      <c r="D148" s="2">
        <v>2094.110107</v>
      </c>
      <c r="E148" s="3">
        <f t="shared" si="14"/>
        <v>-6.9942998831643219E-3</v>
      </c>
      <c r="F148" s="3">
        <f t="shared" si="15"/>
        <v>-7.0188746545117725E-3</v>
      </c>
      <c r="G148" s="2"/>
      <c r="H148" s="2"/>
      <c r="I148" s="2"/>
      <c r="J148" s="2">
        <f t="shared" si="16"/>
        <v>-13.141086425856271</v>
      </c>
      <c r="K148" s="2">
        <f t="shared" si="13"/>
        <v>-4.1066134562614165</v>
      </c>
      <c r="L148" s="2"/>
      <c r="M148" s="2"/>
      <c r="O148" s="4"/>
      <c r="P148" s="4"/>
      <c r="Q148" s="4"/>
      <c r="R148" s="4"/>
      <c r="S148" s="4"/>
    </row>
    <row r="149" spans="3:19" x14ac:dyDescent="0.25">
      <c r="C149" s="1">
        <v>42166</v>
      </c>
      <c r="D149" s="2">
        <v>2108.860107</v>
      </c>
      <c r="E149" s="3">
        <f t="shared" si="14"/>
        <v>1.7386262992554644E-3</v>
      </c>
      <c r="F149" s="3">
        <f t="shared" si="15"/>
        <v>1.7371166381222091E-3</v>
      </c>
      <c r="G149" s="2"/>
      <c r="H149" s="2"/>
      <c r="I149" s="2"/>
      <c r="J149" s="2">
        <f t="shared" si="16"/>
        <v>3.6581820677279517</v>
      </c>
      <c r="K149" s="2">
        <f t="shared" si="13"/>
        <v>-3.858229145570292</v>
      </c>
      <c r="L149" s="2"/>
      <c r="M149" s="2"/>
      <c r="O149" s="4"/>
      <c r="P149" s="4"/>
      <c r="Q149" s="4"/>
      <c r="R149" s="4"/>
      <c r="S149" s="4"/>
    </row>
    <row r="150" spans="3:19" x14ac:dyDescent="0.25">
      <c r="C150" s="1">
        <v>42165</v>
      </c>
      <c r="D150" s="2">
        <v>2105.1999510000001</v>
      </c>
      <c r="E150" s="3">
        <f t="shared" si="14"/>
        <v>1.2042424911740781E-2</v>
      </c>
      <c r="F150" s="3">
        <f t="shared" si="15"/>
        <v>1.1970491836123859E-2</v>
      </c>
      <c r="G150" s="2"/>
      <c r="H150" s="2"/>
      <c r="I150" s="2"/>
      <c r="J150" s="2">
        <f t="shared" si="16"/>
        <v>23.47929079797472</v>
      </c>
      <c r="K150" s="2">
        <f t="shared" si="13"/>
        <v>-4.627603859850109</v>
      </c>
      <c r="L150" s="2"/>
      <c r="M150" s="2"/>
      <c r="O150" s="4"/>
      <c r="P150" s="4"/>
      <c r="Q150" s="4"/>
      <c r="R150" s="4"/>
      <c r="S150" s="4"/>
    </row>
    <row r="151" spans="3:19" x14ac:dyDescent="0.25">
      <c r="C151" s="1">
        <v>42164</v>
      </c>
      <c r="D151" s="2">
        <v>2080.1499020000001</v>
      </c>
      <c r="E151" s="3">
        <f t="shared" si="14"/>
        <v>4.1835298173784259E-4</v>
      </c>
      <c r="F151" s="3">
        <f t="shared" si="15"/>
        <v>4.1826549652815233E-4</v>
      </c>
      <c r="G151" s="2"/>
      <c r="H151" s="2"/>
      <c r="I151" s="2"/>
      <c r="J151" s="2">
        <f t="shared" si="16"/>
        <v>1.1184118369268021</v>
      </c>
      <c r="K151" s="2">
        <f t="shared" si="13"/>
        <v>-3.8580281652056381</v>
      </c>
      <c r="L151" s="2"/>
      <c r="M151" s="2"/>
      <c r="O151" s="4"/>
      <c r="P151" s="4"/>
      <c r="Q151" s="4"/>
      <c r="R151" s="4"/>
      <c r="S151" s="4"/>
    </row>
    <row r="152" spans="3:19" x14ac:dyDescent="0.25">
      <c r="C152" s="1">
        <v>42163</v>
      </c>
      <c r="D152" s="2">
        <v>2079.280029</v>
      </c>
      <c r="E152" s="3">
        <f t="shared" si="14"/>
        <v>-6.4745098717947352E-3</v>
      </c>
      <c r="F152" s="3">
        <f t="shared" si="15"/>
        <v>-6.4955604213555807E-3</v>
      </c>
      <c r="G152" s="2"/>
      <c r="H152" s="2"/>
      <c r="I152" s="2"/>
      <c r="J152" s="2">
        <f t="shared" si="16"/>
        <v>-12.141181951814177</v>
      </c>
      <c r="K152" s="2">
        <f t="shared" si="13"/>
        <v>-4.0552955270580648</v>
      </c>
      <c r="L152" s="2"/>
      <c r="M152" s="2"/>
      <c r="O152" s="4"/>
      <c r="P152" s="4"/>
      <c r="Q152" s="4"/>
      <c r="R152" s="4"/>
      <c r="S152" s="4"/>
    </row>
    <row r="153" spans="3:19" x14ac:dyDescent="0.25">
      <c r="C153" s="1">
        <v>42160</v>
      </c>
      <c r="D153" s="2">
        <v>2092.830078</v>
      </c>
      <c r="E153" s="3">
        <f t="shared" si="14"/>
        <v>-1.4361830452781976E-3</v>
      </c>
      <c r="F153" s="3">
        <f t="shared" si="15"/>
        <v>-1.4372153446468713E-3</v>
      </c>
      <c r="G153" s="2"/>
      <c r="H153" s="2"/>
      <c r="I153" s="2"/>
      <c r="J153" s="2">
        <f t="shared" si="16"/>
        <v>-2.449103563762729</v>
      </c>
      <c r="K153" s="2">
        <f t="shared" si="13"/>
        <v>-3.854934849947437</v>
      </c>
      <c r="L153" s="2"/>
      <c r="M153" s="2"/>
      <c r="O153" s="4"/>
      <c r="P153" s="4"/>
      <c r="Q153" s="4"/>
      <c r="R153" s="4"/>
      <c r="S153" s="4"/>
    </row>
    <row r="154" spans="3:19" x14ac:dyDescent="0.25">
      <c r="C154" s="1">
        <v>42159</v>
      </c>
      <c r="D154" s="2">
        <v>2095.8400879999999</v>
      </c>
      <c r="E154" s="3">
        <f t="shared" si="14"/>
        <v>-8.623167356627116E-3</v>
      </c>
      <c r="F154" s="3">
        <f t="shared" si="15"/>
        <v>-8.6605619929224897E-3</v>
      </c>
      <c r="G154" s="2"/>
      <c r="H154" s="2"/>
      <c r="I154" s="2"/>
      <c r="J154" s="2">
        <f t="shared" si="16"/>
        <v>-16.274489990202614</v>
      </c>
      <c r="K154" s="2">
        <f t="shared" si="13"/>
        <v>-4.2417666503638412</v>
      </c>
      <c r="L154" s="2"/>
      <c r="M154" s="2"/>
      <c r="O154" s="4"/>
      <c r="P154" s="4"/>
      <c r="Q154" s="4"/>
      <c r="R154" s="4"/>
      <c r="S154" s="4"/>
    </row>
    <row r="155" spans="3:19" x14ac:dyDescent="0.25">
      <c r="C155" s="1">
        <v>42158</v>
      </c>
      <c r="D155" s="2">
        <v>2114.070068</v>
      </c>
      <c r="E155" s="3">
        <f t="shared" si="14"/>
        <v>2.1188707775648308E-3</v>
      </c>
      <c r="F155" s="3">
        <f t="shared" si="15"/>
        <v>2.116629136818338E-3</v>
      </c>
      <c r="G155" s="2"/>
      <c r="H155" s="2"/>
      <c r="I155" s="2"/>
      <c r="J155" s="2">
        <f t="shared" si="16"/>
        <v>4.389646980048088</v>
      </c>
      <c r="K155" s="2">
        <f t="shared" si="13"/>
        <v>-3.8812376981402448</v>
      </c>
      <c r="L155" s="2"/>
      <c r="M155" s="2"/>
      <c r="O155" s="4"/>
      <c r="P155" s="4"/>
      <c r="Q155" s="4"/>
      <c r="R155" s="4"/>
      <c r="S155" s="4"/>
    </row>
    <row r="156" spans="3:19" x14ac:dyDescent="0.25">
      <c r="C156" s="1">
        <v>42157</v>
      </c>
      <c r="D156" s="2">
        <v>2109.6000979999999</v>
      </c>
      <c r="E156" s="3">
        <f t="shared" si="14"/>
        <v>-1.0085958054164574E-3</v>
      </c>
      <c r="F156" s="3">
        <f t="shared" si="15"/>
        <v>-1.0091047804279632E-3</v>
      </c>
      <c r="G156" s="2"/>
      <c r="H156" s="2"/>
      <c r="I156" s="2"/>
      <c r="J156" s="2">
        <f t="shared" si="16"/>
        <v>-1.6265667992440567</v>
      </c>
      <c r="K156" s="2">
        <f t="shared" si="13"/>
        <v>-3.8577808895867212</v>
      </c>
      <c r="L156" s="2"/>
      <c r="M156" s="2"/>
      <c r="O156" s="4"/>
      <c r="P156" s="4"/>
      <c r="Q156" s="4"/>
      <c r="R156" s="4"/>
      <c r="S156" s="4"/>
    </row>
    <row r="157" spans="3:19" x14ac:dyDescent="0.25">
      <c r="C157" s="1">
        <v>42156</v>
      </c>
      <c r="D157" s="2">
        <v>2111.7299800000001</v>
      </c>
      <c r="E157" s="3">
        <f t="shared" si="14"/>
        <v>2.0594608593389697E-3</v>
      </c>
      <c r="F157" s="3">
        <f t="shared" si="15"/>
        <v>2.0573430769848127E-3</v>
      </c>
      <c r="G157" s="2"/>
      <c r="H157" s="2"/>
      <c r="I157" s="2"/>
      <c r="J157" s="2">
        <f t="shared" si="16"/>
        <v>4.275361900040509</v>
      </c>
      <c r="K157" s="2">
        <f t="shared" si="13"/>
        <v>-3.889452047603891</v>
      </c>
      <c r="L157" s="2"/>
      <c r="M157" s="2"/>
      <c r="O157" s="4"/>
      <c r="P157" s="4"/>
      <c r="Q157" s="4"/>
      <c r="R157" s="4"/>
      <c r="S157" s="4"/>
    </row>
    <row r="158" spans="3:19" x14ac:dyDescent="0.25">
      <c r="C158" s="1">
        <v>42153</v>
      </c>
      <c r="D158" s="2">
        <v>2107.389893</v>
      </c>
      <c r="E158" s="3">
        <f t="shared" si="14"/>
        <v>-6.3184689448647254E-3</v>
      </c>
      <c r="F158" s="3">
        <f t="shared" si="15"/>
        <v>-6.3385149544391154E-3</v>
      </c>
      <c r="G158" s="2"/>
      <c r="H158" s="2"/>
      <c r="I158" s="2"/>
      <c r="J158" s="2">
        <f t="shared" si="16"/>
        <v>-11.841010695040923</v>
      </c>
      <c r="K158" s="2">
        <f t="shared" si="13"/>
        <v>-4.0460100205602805</v>
      </c>
      <c r="L158" s="2"/>
      <c r="M158" s="2"/>
      <c r="O158" s="4"/>
      <c r="P158" s="4"/>
      <c r="Q158" s="4"/>
      <c r="R158" s="4"/>
      <c r="S158" s="4"/>
    </row>
    <row r="159" spans="3:19" x14ac:dyDescent="0.25">
      <c r="C159" s="1">
        <v>42152</v>
      </c>
      <c r="D159" s="2">
        <v>2120.790039</v>
      </c>
      <c r="E159" s="3">
        <f t="shared" si="14"/>
        <v>-1.2667607066397159E-3</v>
      </c>
      <c r="F159" s="3">
        <f t="shared" si="15"/>
        <v>-1.2675637262110088E-3</v>
      </c>
      <c r="G159" s="2"/>
      <c r="H159" s="2"/>
      <c r="I159" s="2"/>
      <c r="J159" s="2">
        <f t="shared" si="16"/>
        <v>-2.1231908861394579</v>
      </c>
      <c r="K159" s="2">
        <f t="shared" si="13"/>
        <v>-3.8687361593928515</v>
      </c>
      <c r="L159" s="2"/>
      <c r="M159" s="2"/>
      <c r="O159" s="4"/>
      <c r="P159" s="4"/>
      <c r="Q159" s="4"/>
      <c r="R159" s="4"/>
      <c r="S159" s="4"/>
    </row>
    <row r="160" spans="3:19" x14ac:dyDescent="0.25">
      <c r="C160" s="1">
        <v>42151</v>
      </c>
      <c r="D160" s="2">
        <v>2123.4799800000001</v>
      </c>
      <c r="E160" s="3">
        <f t="shared" si="14"/>
        <v>9.1626411220271011E-3</v>
      </c>
      <c r="F160" s="3">
        <f t="shared" si="15"/>
        <v>9.1209187900458677E-3</v>
      </c>
      <c r="G160" s="2"/>
      <c r="H160" s="2"/>
      <c r="I160" s="2"/>
      <c r="J160" s="2">
        <f t="shared" si="16"/>
        <v>17.939536988505715</v>
      </c>
      <c r="K160" s="2">
        <f t="shared" si="13"/>
        <v>-4.3801937003729154</v>
      </c>
      <c r="L160" s="2"/>
      <c r="M160" s="2"/>
      <c r="O160" s="4"/>
      <c r="P160" s="4"/>
      <c r="Q160" s="4"/>
      <c r="R160" s="4"/>
      <c r="S160" s="4"/>
    </row>
    <row r="161" spans="3:19" x14ac:dyDescent="0.25">
      <c r="C161" s="1">
        <v>42150</v>
      </c>
      <c r="D161" s="2">
        <v>2104.1999510000001</v>
      </c>
      <c r="E161" s="3">
        <f t="shared" si="14"/>
        <v>-1.0281980467796303E-2</v>
      </c>
      <c r="F161" s="3">
        <f t="shared" si="15"/>
        <v>-1.0335205180265266E-2</v>
      </c>
      <c r="G161" s="2"/>
      <c r="H161" s="2"/>
      <c r="I161" s="2"/>
      <c r="J161" s="2">
        <f t="shared" si="16"/>
        <v>-19.465499080753222</v>
      </c>
      <c r="K161" s="2">
        <f t="shared" si="13"/>
        <v>-4.3735197602694162</v>
      </c>
      <c r="L161" s="2"/>
      <c r="M161" s="2"/>
      <c r="O161" s="4"/>
      <c r="P161" s="4"/>
      <c r="Q161" s="4"/>
      <c r="R161" s="4"/>
      <c r="S161" s="4"/>
    </row>
    <row r="162" spans="3:19" x14ac:dyDescent="0.25">
      <c r="C162" s="1">
        <v>42146</v>
      </c>
      <c r="D162" s="2">
        <v>2126.0600589999999</v>
      </c>
      <c r="E162" s="3">
        <f t="shared" si="14"/>
        <v>-2.2338859444231973E-3</v>
      </c>
      <c r="F162" s="3">
        <f t="shared" si="15"/>
        <v>-2.2363847897467698E-3</v>
      </c>
      <c r="G162" s="2"/>
      <c r="H162" s="2"/>
      <c r="I162" s="2"/>
      <c r="J162" s="2">
        <f t="shared" si="16"/>
        <v>-3.9836207348599184</v>
      </c>
      <c r="K162" s="2">
        <f t="shared" si="13"/>
        <v>-3.8789619925104626</v>
      </c>
      <c r="L162" s="2"/>
      <c r="M162" s="2"/>
      <c r="O162" s="4"/>
      <c r="P162" s="4"/>
      <c r="Q162" s="4"/>
      <c r="R162" s="4"/>
      <c r="S162" s="4"/>
    </row>
    <row r="163" spans="3:19" x14ac:dyDescent="0.25">
      <c r="C163" s="1">
        <v>42145</v>
      </c>
      <c r="D163" s="2">
        <v>2130.820068</v>
      </c>
      <c r="E163" s="3">
        <f t="shared" si="14"/>
        <v>2.3378741542857849E-3</v>
      </c>
      <c r="F163" s="3">
        <f t="shared" si="15"/>
        <v>2.3351455783891246E-3</v>
      </c>
      <c r="G163" s="2"/>
      <c r="H163" s="2"/>
      <c r="I163" s="2"/>
      <c r="J163" s="2">
        <f t="shared" si="16"/>
        <v>4.810937215381033</v>
      </c>
      <c r="K163" s="2">
        <f t="shared" si="13"/>
        <v>-3.8867133954344286</v>
      </c>
      <c r="L163" s="2"/>
      <c r="M163" s="2"/>
      <c r="O163" s="4"/>
      <c r="P163" s="4"/>
      <c r="Q163" s="4"/>
      <c r="R163" s="4"/>
      <c r="S163" s="4"/>
    </row>
    <row r="164" spans="3:19" x14ac:dyDescent="0.25">
      <c r="C164" s="1">
        <v>42144</v>
      </c>
      <c r="D164" s="2">
        <v>2125.8500979999999</v>
      </c>
      <c r="E164" s="3">
        <f t="shared" si="14"/>
        <v>-9.3051603155318719E-4</v>
      </c>
      <c r="F164" s="3">
        <f t="shared" si="15"/>
        <v>-9.3094923034876148E-4</v>
      </c>
      <c r="G164" s="2"/>
      <c r="H164" s="2"/>
      <c r="I164" s="2"/>
      <c r="J164" s="2">
        <f t="shared" si="16"/>
        <v>-1.4763670772209896</v>
      </c>
      <c r="K164" s="2">
        <f t="shared" si="13"/>
        <v>-3.8553439125404663</v>
      </c>
      <c r="L164" s="2"/>
      <c r="M164" s="2"/>
      <c r="O164" s="4"/>
      <c r="P164" s="4"/>
      <c r="Q164" s="4"/>
      <c r="R164" s="4"/>
      <c r="S164" s="4"/>
    </row>
    <row r="165" spans="3:19" x14ac:dyDescent="0.25">
      <c r="C165" s="1">
        <v>42143</v>
      </c>
      <c r="D165" s="2">
        <v>2127.830078</v>
      </c>
      <c r="E165" s="3">
        <f t="shared" si="14"/>
        <v>-6.4337452166327697E-4</v>
      </c>
      <c r="F165" s="3">
        <f t="shared" si="15"/>
        <v>-6.4358157586455564E-4</v>
      </c>
      <c r="G165" s="2"/>
      <c r="H165" s="2"/>
      <c r="I165" s="2"/>
      <c r="J165" s="2">
        <f t="shared" si="16"/>
        <v>-0.92400155625683977</v>
      </c>
      <c r="K165" s="2">
        <f t="shared" si="13"/>
        <v>-3.8551354374679581</v>
      </c>
      <c r="L165" s="2"/>
      <c r="M165" s="2"/>
      <c r="O165" s="4"/>
      <c r="P165" s="4"/>
      <c r="Q165" s="4"/>
      <c r="R165" s="4"/>
      <c r="S165" s="4"/>
    </row>
    <row r="166" spans="3:19" x14ac:dyDescent="0.25">
      <c r="C166" s="1">
        <v>42142</v>
      </c>
      <c r="D166" s="2">
        <v>2129.1999510000001</v>
      </c>
      <c r="E166" s="3">
        <f t="shared" si="14"/>
        <v>3.0479481898116815E-3</v>
      </c>
      <c r="F166" s="3">
        <f t="shared" si="15"/>
        <v>3.0433126126717365E-3</v>
      </c>
      <c r="G166" s="2"/>
      <c r="H166" s="2"/>
      <c r="I166" s="2"/>
      <c r="J166" s="2">
        <f t="shared" si="16"/>
        <v>6.1768853665443935</v>
      </c>
      <c r="K166" s="2">
        <f t="shared" si="13"/>
        <v>-3.9043484998244549</v>
      </c>
      <c r="L166" s="2"/>
      <c r="M166" s="2"/>
      <c r="O166" s="4"/>
      <c r="P166" s="4"/>
      <c r="Q166" s="4"/>
      <c r="R166" s="4"/>
      <c r="S166" s="4"/>
    </row>
    <row r="167" spans="3:19" x14ac:dyDescent="0.25">
      <c r="C167" s="1">
        <v>42139</v>
      </c>
      <c r="D167" s="2">
        <v>2122.7299800000001</v>
      </c>
      <c r="E167" s="3">
        <f t="shared" si="14"/>
        <v>7.6841352349990783E-4</v>
      </c>
      <c r="F167" s="3">
        <f t="shared" si="15"/>
        <v>7.6811844498031457E-4</v>
      </c>
      <c r="G167" s="2"/>
      <c r="H167" s="2"/>
      <c r="I167" s="2"/>
      <c r="J167" s="2">
        <f t="shared" si="16"/>
        <v>1.791812814700898</v>
      </c>
      <c r="K167" s="2">
        <f t="shared" si="13"/>
        <v>-3.8526620868582291</v>
      </c>
      <c r="L167" s="2"/>
      <c r="M167" s="2"/>
      <c r="O167" s="4"/>
      <c r="P167" s="4"/>
      <c r="Q167" s="4"/>
      <c r="R167" s="4"/>
      <c r="S167" s="4"/>
    </row>
    <row r="168" spans="3:19" x14ac:dyDescent="0.25">
      <c r="C168" s="1">
        <v>42138</v>
      </c>
      <c r="D168" s="2">
        <v>2121.1000979999999</v>
      </c>
      <c r="E168" s="3">
        <f t="shared" si="14"/>
        <v>1.0779287015166006E-2</v>
      </c>
      <c r="F168" s="3">
        <f t="shared" si="15"/>
        <v>1.0721604647198088E-2</v>
      </c>
      <c r="G168" s="2"/>
      <c r="H168" s="2"/>
      <c r="I168" s="2"/>
      <c r="J168" s="2">
        <f t="shared" si="16"/>
        <v>21.049430264892653</v>
      </c>
      <c r="K168" s="2">
        <f t="shared" si="13"/>
        <v>-4.4808170286949469</v>
      </c>
      <c r="L168" s="2"/>
      <c r="M168" s="2"/>
      <c r="O168" s="4"/>
      <c r="P168" s="4"/>
      <c r="Q168" s="4"/>
      <c r="R168" s="4"/>
      <c r="S168" s="4"/>
    </row>
    <row r="169" spans="3:19" x14ac:dyDescent="0.25">
      <c r="C169" s="1">
        <v>42137</v>
      </c>
      <c r="D169" s="2">
        <v>2098.4799800000001</v>
      </c>
      <c r="E169" s="3">
        <f t="shared" si="14"/>
        <v>-3.0495491649841012E-4</v>
      </c>
      <c r="F169" s="3">
        <f t="shared" si="15"/>
        <v>-3.0500142470446046E-4</v>
      </c>
      <c r="G169" s="2"/>
      <c r="H169" s="2"/>
      <c r="I169" s="2"/>
      <c r="J169" s="2">
        <f t="shared" si="16"/>
        <v>-0.27299389949887765</v>
      </c>
      <c r="K169" s="2">
        <f t="shared" si="13"/>
        <v>-3.8525395174092472</v>
      </c>
      <c r="L169" s="2"/>
      <c r="M169" s="2"/>
      <c r="O169" s="4"/>
      <c r="P169" s="4"/>
      <c r="Q169" s="4"/>
      <c r="R169" s="4"/>
      <c r="S169" s="4"/>
    </row>
    <row r="170" spans="3:19" x14ac:dyDescent="0.25">
      <c r="C170" s="1">
        <v>42136</v>
      </c>
      <c r="D170" s="2">
        <v>2099.1201169999999</v>
      </c>
      <c r="E170" s="3">
        <f t="shared" si="14"/>
        <v>-2.9496377147184903E-3</v>
      </c>
      <c r="F170" s="3">
        <f t="shared" si="15"/>
        <v>-2.9539964693172764E-3</v>
      </c>
      <c r="G170" s="2"/>
      <c r="H170" s="2"/>
      <c r="I170" s="2"/>
      <c r="J170" s="2">
        <f t="shared" si="16"/>
        <v>-5.3604909743169422</v>
      </c>
      <c r="K170" s="2">
        <f t="shared" si="13"/>
        <v>-3.8837149599958383</v>
      </c>
      <c r="L170" s="2"/>
      <c r="M170" s="2"/>
      <c r="O170" s="4"/>
      <c r="P170" s="4"/>
      <c r="Q170" s="4"/>
      <c r="R170" s="4"/>
      <c r="S170" s="4"/>
    </row>
    <row r="171" spans="3:19" x14ac:dyDescent="0.25">
      <c r="C171" s="1">
        <v>42135</v>
      </c>
      <c r="D171" s="2">
        <v>2105.330078</v>
      </c>
      <c r="E171" s="3">
        <f t="shared" si="14"/>
        <v>-5.0895607491247951E-3</v>
      </c>
      <c r="F171" s="3">
        <f t="shared" si="15"/>
        <v>-5.1025566779002406E-3</v>
      </c>
      <c r="G171" s="2"/>
      <c r="H171" s="2"/>
      <c r="I171" s="2"/>
      <c r="J171" s="2">
        <f t="shared" si="16"/>
        <v>-9.4769968120699311</v>
      </c>
      <c r="K171" s="2">
        <f t="shared" si="13"/>
        <v>-4.0338690748495907</v>
      </c>
      <c r="L171" s="2"/>
      <c r="M171" s="2"/>
      <c r="O171" s="4"/>
      <c r="P171" s="4"/>
      <c r="Q171" s="4"/>
      <c r="R171" s="4"/>
      <c r="S171" s="4"/>
    </row>
    <row r="172" spans="3:19" x14ac:dyDescent="0.25">
      <c r="C172" s="1">
        <v>42132</v>
      </c>
      <c r="D172" s="2">
        <v>2116.1000979999999</v>
      </c>
      <c r="E172" s="3">
        <f t="shared" si="14"/>
        <v>1.3457901340996115E-2</v>
      </c>
      <c r="F172" s="3">
        <f t="shared" si="15"/>
        <v>1.3368148149806192E-2</v>
      </c>
      <c r="G172" s="2"/>
      <c r="H172" s="2"/>
      <c r="I172" s="2"/>
      <c r="J172" s="2">
        <f t="shared" si="16"/>
        <v>26.202200402921289</v>
      </c>
      <c r="K172" s="2">
        <f t="shared" si="13"/>
        <v>-4.7852095495504967</v>
      </c>
      <c r="L172" s="2"/>
      <c r="M172" s="2"/>
      <c r="O172" s="4"/>
      <c r="P172" s="4"/>
      <c r="Q172" s="4"/>
      <c r="R172" s="4"/>
      <c r="S172" s="4"/>
    </row>
    <row r="173" spans="3:19" x14ac:dyDescent="0.25">
      <c r="C173" s="1">
        <v>42131</v>
      </c>
      <c r="D173" s="2">
        <v>2088</v>
      </c>
      <c r="E173" s="3">
        <f t="shared" si="14"/>
        <v>3.7738136047081325E-3</v>
      </c>
      <c r="F173" s="3">
        <f t="shared" si="15"/>
        <v>3.7667106347277534E-3</v>
      </c>
      <c r="G173" s="2"/>
      <c r="H173" s="2"/>
      <c r="I173" s="2"/>
      <c r="J173" s="2">
        <f t="shared" si="16"/>
        <v>7.5732109211563277</v>
      </c>
      <c r="K173" s="2">
        <f t="shared" si="13"/>
        <v>-3.9466268262976594</v>
      </c>
      <c r="L173" s="2"/>
      <c r="M173" s="2"/>
      <c r="O173" s="4"/>
      <c r="P173" s="4"/>
      <c r="Q173" s="4"/>
      <c r="R173" s="4"/>
      <c r="S173" s="4"/>
    </row>
    <row r="174" spans="3:19" x14ac:dyDescent="0.25">
      <c r="C174" s="1">
        <v>42130</v>
      </c>
      <c r="D174" s="2">
        <v>2080.1499020000001</v>
      </c>
      <c r="E174" s="3">
        <f t="shared" si="14"/>
        <v>-4.4557250073096327E-3</v>
      </c>
      <c r="F174" s="3">
        <f t="shared" si="15"/>
        <v>-4.46568133609649E-3</v>
      </c>
      <c r="G174" s="2"/>
      <c r="H174" s="2"/>
      <c r="I174" s="2"/>
      <c r="J174" s="2">
        <f t="shared" si="16"/>
        <v>-8.2577059827235857</v>
      </c>
      <c r="K174" s="2">
        <f t="shared" si="13"/>
        <v>-3.9156646165281797</v>
      </c>
      <c r="L174" s="2"/>
      <c r="M174" s="2"/>
      <c r="O174" s="4"/>
      <c r="P174" s="4"/>
      <c r="Q174" s="4"/>
      <c r="R174" s="4"/>
      <c r="S174" s="4"/>
    </row>
    <row r="175" spans="3:19" x14ac:dyDescent="0.25">
      <c r="C175" s="1">
        <v>42129</v>
      </c>
      <c r="D175" s="2">
        <v>2089.459961</v>
      </c>
      <c r="E175" s="3">
        <f t="shared" si="14"/>
        <v>-1.1837383538524111E-2</v>
      </c>
      <c r="F175" s="3">
        <f t="shared" si="15"/>
        <v>-1.1908003217775753E-2</v>
      </c>
      <c r="G175" s="2"/>
      <c r="H175" s="2"/>
      <c r="I175" s="2"/>
      <c r="J175" s="2">
        <f t="shared" si="16"/>
        <v>-22.457581374257916</v>
      </c>
      <c r="K175" s="2">
        <f t="shared" si="13"/>
        <v>-4.5933224319622861</v>
      </c>
      <c r="L175" s="2"/>
      <c r="M175" s="2"/>
      <c r="O175" s="4"/>
      <c r="P175" s="4"/>
      <c r="Q175" s="4"/>
      <c r="R175" s="4"/>
      <c r="S175" s="4"/>
    </row>
    <row r="176" spans="3:19" x14ac:dyDescent="0.25">
      <c r="C176" s="1">
        <v>42128</v>
      </c>
      <c r="D176" s="2">
        <v>2114.48999</v>
      </c>
      <c r="E176" s="3">
        <f t="shared" si="14"/>
        <v>2.9407486092097672E-3</v>
      </c>
      <c r="F176" s="3">
        <f t="shared" si="15"/>
        <v>2.9364330665656102E-3</v>
      </c>
      <c r="G176" s="2"/>
      <c r="H176" s="2"/>
      <c r="I176" s="2"/>
      <c r="J176" s="2">
        <f t="shared" si="16"/>
        <v>5.9706687446111264</v>
      </c>
      <c r="K176" s="2">
        <f t="shared" si="13"/>
        <v>-3.8808245975914253</v>
      </c>
      <c r="L176" s="2"/>
      <c r="M176" s="2"/>
      <c r="O176" s="4"/>
      <c r="P176" s="4"/>
      <c r="Q176" s="4"/>
      <c r="R176" s="4"/>
      <c r="S176" s="4"/>
    </row>
    <row r="177" spans="3:19" x14ac:dyDescent="0.25">
      <c r="C177" s="1">
        <v>42125</v>
      </c>
      <c r="D177" s="2">
        <v>2108.290039</v>
      </c>
      <c r="E177" s="3">
        <f t="shared" si="14"/>
        <v>1.0923001515586115E-2</v>
      </c>
      <c r="F177" s="3">
        <f t="shared" si="15"/>
        <v>1.0863776421427699E-2</v>
      </c>
      <c r="G177" s="2"/>
      <c r="H177" s="2"/>
      <c r="I177" s="2"/>
      <c r="J177" s="2">
        <f t="shared" si="16"/>
        <v>21.325889544239242</v>
      </c>
      <c r="K177" s="2">
        <f t="shared" si="13"/>
        <v>-4.5801879134783254</v>
      </c>
      <c r="L177" s="2"/>
      <c r="M177" s="2"/>
      <c r="O177" s="4"/>
      <c r="P177" s="4"/>
      <c r="Q177" s="4"/>
      <c r="R177" s="4"/>
      <c r="S177" s="4"/>
    </row>
    <row r="178" spans="3:19" x14ac:dyDescent="0.25">
      <c r="C178" s="1">
        <v>42124</v>
      </c>
      <c r="D178" s="2">
        <v>2085.51001</v>
      </c>
      <c r="E178" s="3">
        <f t="shared" si="14"/>
        <v>-1.0128906665100539E-2</v>
      </c>
      <c r="F178" s="3">
        <f t="shared" si="15"/>
        <v>-1.0180553084023857E-2</v>
      </c>
      <c r="G178" s="2"/>
      <c r="H178" s="2"/>
      <c r="I178" s="2"/>
      <c r="J178" s="2">
        <f t="shared" si="16"/>
        <v>-19.171035591986211</v>
      </c>
      <c r="K178" s="2">
        <f t="shared" si="13"/>
        <v>-4.3468139111964206</v>
      </c>
      <c r="L178" s="2"/>
      <c r="M178" s="2"/>
      <c r="O178" s="4"/>
      <c r="P178" s="4"/>
      <c r="Q178" s="4"/>
      <c r="R178" s="4"/>
      <c r="S178" s="4"/>
    </row>
    <row r="179" spans="3:19" x14ac:dyDescent="0.25">
      <c r="C179" s="1">
        <v>42123</v>
      </c>
      <c r="D179" s="2">
        <v>2106.8500979999999</v>
      </c>
      <c r="E179" s="3">
        <f t="shared" si="14"/>
        <v>-3.7403355286636411E-3</v>
      </c>
      <c r="F179" s="3">
        <f t="shared" si="15"/>
        <v>-3.7473480752430819E-3</v>
      </c>
      <c r="G179" s="2"/>
      <c r="H179" s="2"/>
      <c r="I179" s="2"/>
      <c r="J179" s="2">
        <f t="shared" si="16"/>
        <v>-6.8815326728595139</v>
      </c>
      <c r="K179" s="2">
        <f t="shared" si="13"/>
        <v>-3.9275002786145525</v>
      </c>
      <c r="L179" s="2"/>
      <c r="M179" s="2"/>
      <c r="O179" s="4"/>
      <c r="P179" s="4"/>
      <c r="Q179" s="4"/>
      <c r="R179" s="4"/>
      <c r="S179" s="4"/>
    </row>
    <row r="180" spans="3:19" x14ac:dyDescent="0.25">
      <c r="C180" s="1">
        <v>42122</v>
      </c>
      <c r="D180" s="2">
        <v>2114.76001</v>
      </c>
      <c r="E180" s="3">
        <f t="shared" si="14"/>
        <v>2.7692317470553647E-3</v>
      </c>
      <c r="F180" s="3">
        <f t="shared" si="15"/>
        <v>2.7654044889026041E-3</v>
      </c>
      <c r="G180" s="2"/>
      <c r="H180" s="2"/>
      <c r="I180" s="2"/>
      <c r="J180" s="2">
        <f t="shared" si="16"/>
        <v>5.6407268948438247</v>
      </c>
      <c r="K180" s="2">
        <f t="shared" si="13"/>
        <v>-3.9065606780452078</v>
      </c>
      <c r="L180" s="2"/>
      <c r="M180" s="2"/>
      <c r="O180" s="4"/>
      <c r="P180" s="4"/>
      <c r="Q180" s="4"/>
      <c r="R180" s="4"/>
      <c r="S180" s="4"/>
    </row>
    <row r="181" spans="3:19" x14ac:dyDescent="0.25">
      <c r="C181" s="1">
        <v>42121</v>
      </c>
      <c r="D181" s="2">
        <v>2108.919922</v>
      </c>
      <c r="E181" s="3">
        <f t="shared" si="14"/>
        <v>-4.141313999847746E-3</v>
      </c>
      <c r="F181" s="3">
        <f t="shared" si="15"/>
        <v>-4.1499129896262112E-3</v>
      </c>
      <c r="G181" s="2"/>
      <c r="H181" s="2"/>
      <c r="I181" s="2"/>
      <c r="J181" s="2">
        <f t="shared" si="16"/>
        <v>-7.6528829461652936</v>
      </c>
      <c r="K181" s="2">
        <f t="shared" si="13"/>
        <v>-3.9426502806258021</v>
      </c>
      <c r="L181" s="2"/>
      <c r="M181" s="2"/>
      <c r="O181" s="4"/>
      <c r="P181" s="4"/>
      <c r="Q181" s="4"/>
      <c r="R181" s="4"/>
      <c r="S181" s="4"/>
    </row>
    <row r="182" spans="3:19" x14ac:dyDescent="0.25">
      <c r="C182" s="1">
        <v>42118</v>
      </c>
      <c r="D182" s="2">
        <v>2117.6899410000001</v>
      </c>
      <c r="E182" s="3">
        <f t="shared" si="14"/>
        <v>2.2528002125912815E-3</v>
      </c>
      <c r="F182" s="3">
        <f t="shared" si="15"/>
        <v>2.2502664628334234E-3</v>
      </c>
      <c r="G182" s="2"/>
      <c r="H182" s="2"/>
      <c r="I182" s="2"/>
      <c r="J182" s="2">
        <f t="shared" si="16"/>
        <v>4.6472830222183159</v>
      </c>
      <c r="K182" s="2">
        <f t="shared" si="13"/>
        <v>-3.8787735414575946</v>
      </c>
      <c r="L182" s="2"/>
      <c r="M182" s="2"/>
      <c r="O182" s="4"/>
      <c r="P182" s="4"/>
      <c r="Q182" s="4"/>
      <c r="R182" s="4"/>
      <c r="S182" s="4"/>
    </row>
    <row r="183" spans="3:19" x14ac:dyDescent="0.25">
      <c r="C183" s="1">
        <v>42117</v>
      </c>
      <c r="D183" s="2">
        <v>2112.929932</v>
      </c>
      <c r="E183" s="3">
        <f t="shared" si="14"/>
        <v>2.3577160344365701E-3</v>
      </c>
      <c r="F183" s="3">
        <f t="shared" si="15"/>
        <v>2.3549409829866624E-3</v>
      </c>
      <c r="G183" s="2"/>
      <c r="H183" s="2"/>
      <c r="I183" s="2"/>
      <c r="J183" s="2">
        <f t="shared" si="16"/>
        <v>4.8491064458437378</v>
      </c>
      <c r="K183" s="2">
        <f t="shared" si="13"/>
        <v>-3.8767732887788631</v>
      </c>
      <c r="L183" s="2"/>
      <c r="M183" s="2"/>
      <c r="O183" s="4"/>
      <c r="P183" s="4"/>
      <c r="Q183" s="4"/>
      <c r="R183" s="4"/>
      <c r="S183" s="4"/>
    </row>
    <row r="184" spans="3:19" x14ac:dyDescent="0.25">
      <c r="C184" s="1">
        <v>42116</v>
      </c>
      <c r="D184" s="2">
        <v>2107.959961</v>
      </c>
      <c r="E184" s="3">
        <f t="shared" si="14"/>
        <v>5.0874804159597893E-3</v>
      </c>
      <c r="F184" s="3">
        <f t="shared" si="15"/>
        <v>5.0745829128360466E-3</v>
      </c>
      <c r="G184" s="2"/>
      <c r="H184" s="2"/>
      <c r="I184" s="2"/>
      <c r="J184" s="2">
        <f t="shared" si="16"/>
        <v>10.100272413758141</v>
      </c>
      <c r="K184" s="2">
        <f t="shared" si="13"/>
        <v>-4.0020600099229897</v>
      </c>
      <c r="L184" s="2"/>
      <c r="M184" s="2"/>
      <c r="O184" s="4"/>
      <c r="P184" s="4"/>
      <c r="Q184" s="4"/>
      <c r="R184" s="4"/>
      <c r="S184" s="4"/>
    </row>
    <row r="185" spans="3:19" x14ac:dyDescent="0.25">
      <c r="C185" s="1">
        <v>42115</v>
      </c>
      <c r="D185" s="2">
        <v>2097.290039</v>
      </c>
      <c r="E185" s="3">
        <f t="shared" si="14"/>
        <v>-1.4806051919155593E-3</v>
      </c>
      <c r="F185" s="3">
        <f t="shared" si="15"/>
        <v>-1.4817023709090096E-3</v>
      </c>
      <c r="G185" s="2"/>
      <c r="H185" s="2"/>
      <c r="I185" s="2"/>
      <c r="J185" s="2">
        <f t="shared" si="16"/>
        <v>-2.5345571165391969</v>
      </c>
      <c r="K185" s="2">
        <f t="shared" si="13"/>
        <v>-3.8730222812303068</v>
      </c>
      <c r="L185" s="2"/>
      <c r="M185" s="2"/>
      <c r="O185" s="4"/>
      <c r="P185" s="4"/>
      <c r="Q185" s="4"/>
      <c r="R185" s="4"/>
      <c r="S185" s="4"/>
    </row>
    <row r="186" spans="3:19" x14ac:dyDescent="0.25">
      <c r="C186" s="1">
        <v>42114</v>
      </c>
      <c r="D186" s="2">
        <v>2100.3999020000001</v>
      </c>
      <c r="E186" s="3">
        <f t="shared" si="14"/>
        <v>9.235131333180711E-3</v>
      </c>
      <c r="F186" s="3">
        <f t="shared" si="15"/>
        <v>9.1927482501988188E-3</v>
      </c>
      <c r="G186" s="2"/>
      <c r="H186" s="2"/>
      <c r="I186" s="2"/>
      <c r="J186" s="2">
        <f t="shared" si="16"/>
        <v>18.07898423618515</v>
      </c>
      <c r="K186" s="2">
        <f t="shared" si="13"/>
        <v>-4.3955334202111738</v>
      </c>
      <c r="L186" s="2"/>
      <c r="M186" s="2"/>
      <c r="O186" s="4"/>
      <c r="P186" s="4"/>
      <c r="Q186" s="4"/>
      <c r="R186" s="4"/>
      <c r="S186" s="4"/>
    </row>
    <row r="187" spans="3:19" x14ac:dyDescent="0.25">
      <c r="C187" s="1">
        <v>42111</v>
      </c>
      <c r="D187" s="2">
        <v>2081.179932</v>
      </c>
      <c r="E187" s="3">
        <f t="shared" si="14"/>
        <v>-1.1311245237798032E-2</v>
      </c>
      <c r="F187" s="3">
        <f t="shared" si="15"/>
        <v>-1.1375703905032222E-2</v>
      </c>
      <c r="G187" s="2"/>
      <c r="H187" s="2"/>
      <c r="I187" s="2"/>
      <c r="J187" s="2">
        <f t="shared" si="16"/>
        <v>-21.445464886150098</v>
      </c>
      <c r="K187" s="2">
        <f t="shared" si="13"/>
        <v>-4.4984513578652745</v>
      </c>
      <c r="L187" s="2"/>
      <c r="M187" s="2"/>
      <c r="O187" s="4"/>
      <c r="P187" s="4"/>
      <c r="Q187" s="4"/>
      <c r="R187" s="4"/>
      <c r="S187" s="4"/>
    </row>
    <row r="188" spans="3:19" x14ac:dyDescent="0.25">
      <c r="C188" s="1">
        <v>42110</v>
      </c>
      <c r="D188" s="2">
        <v>2104.98999</v>
      </c>
      <c r="E188" s="3">
        <f t="shared" si="14"/>
        <v>-7.7844381361603856E-4</v>
      </c>
      <c r="F188" s="3">
        <f t="shared" si="15"/>
        <v>-7.7874695833246642E-4</v>
      </c>
      <c r="G188" s="2"/>
      <c r="H188" s="2"/>
      <c r="I188" s="2"/>
      <c r="J188" s="2">
        <f t="shared" si="16"/>
        <v>-1.1838303070506573</v>
      </c>
      <c r="K188" s="2">
        <f t="shared" si="13"/>
        <v>-3.8576451761727015</v>
      </c>
      <c r="L188" s="2"/>
      <c r="M188" s="2"/>
      <c r="O188" s="4"/>
      <c r="P188" s="4"/>
      <c r="Q188" s="4"/>
      <c r="R188" s="4"/>
      <c r="S188" s="4"/>
    </row>
    <row r="189" spans="3:19" x14ac:dyDescent="0.25">
      <c r="C189" s="1">
        <v>42109</v>
      </c>
      <c r="D189" s="2">
        <v>2106.6298830000001</v>
      </c>
      <c r="E189" s="3">
        <f t="shared" si="14"/>
        <v>5.1481957339104684E-3</v>
      </c>
      <c r="F189" s="3">
        <f t="shared" si="15"/>
        <v>5.134989081813774E-3</v>
      </c>
      <c r="G189" s="2"/>
      <c r="H189" s="2"/>
      <c r="I189" s="2"/>
      <c r="J189" s="2">
        <f t="shared" si="16"/>
        <v>10.217068652111799</v>
      </c>
      <c r="K189" s="2">
        <f t="shared" si="13"/>
        <v>-3.993350266375391</v>
      </c>
      <c r="L189" s="2"/>
      <c r="M189" s="2"/>
      <c r="O189" s="4"/>
      <c r="P189" s="4"/>
      <c r="Q189" s="4"/>
      <c r="R189" s="4"/>
      <c r="S189" s="4"/>
    </row>
    <row r="190" spans="3:19" x14ac:dyDescent="0.25">
      <c r="C190" s="1">
        <v>42108</v>
      </c>
      <c r="D190" s="2">
        <v>2095.8400879999999</v>
      </c>
      <c r="E190" s="3">
        <f t="shared" si="14"/>
        <v>1.6297587545693335E-3</v>
      </c>
      <c r="F190" s="3">
        <f t="shared" si="15"/>
        <v>1.6284321389502543E-3</v>
      </c>
      <c r="G190" s="2"/>
      <c r="H190" s="2"/>
      <c r="I190" s="2"/>
      <c r="J190" s="2">
        <f t="shared" si="16"/>
        <v>3.44875683325141</v>
      </c>
      <c r="K190" s="2">
        <f t="shared" si="13"/>
        <v>-3.8756978998646607</v>
      </c>
      <c r="L190" s="2"/>
      <c r="M190" s="2"/>
      <c r="O190" s="4"/>
      <c r="P190" s="4"/>
      <c r="Q190" s="4"/>
      <c r="R190" s="4"/>
      <c r="S190" s="4"/>
    </row>
    <row r="191" spans="3:19" x14ac:dyDescent="0.25">
      <c r="C191" s="1">
        <v>42107</v>
      </c>
      <c r="D191" s="2">
        <v>2092.429932</v>
      </c>
      <c r="E191" s="3">
        <f t="shared" si="14"/>
        <v>-4.5812806150653867E-3</v>
      </c>
      <c r="F191" s="3">
        <f t="shared" si="15"/>
        <v>-4.5918068424737933E-3</v>
      </c>
      <c r="G191" s="2"/>
      <c r="H191" s="2"/>
      <c r="I191" s="2"/>
      <c r="J191" s="2">
        <f t="shared" si="16"/>
        <v>-8.4992335442195444</v>
      </c>
      <c r="K191" s="2">
        <f t="shared" si="13"/>
        <v>-3.9729754427895316</v>
      </c>
      <c r="L191" s="2"/>
      <c r="M191" s="2"/>
      <c r="O191" s="4"/>
      <c r="P191" s="4"/>
      <c r="Q191" s="4"/>
      <c r="R191" s="4"/>
      <c r="S191" s="4"/>
    </row>
    <row r="192" spans="3:19" x14ac:dyDescent="0.25">
      <c r="C192" s="1">
        <v>42104</v>
      </c>
      <c r="D192" s="2">
        <v>2102.0600589999999</v>
      </c>
      <c r="E192" s="3">
        <f t="shared" si="14"/>
        <v>5.2028650588637638E-3</v>
      </c>
      <c r="F192" s="3">
        <f t="shared" si="15"/>
        <v>5.1893769208662789E-3</v>
      </c>
      <c r="G192" s="2"/>
      <c r="H192" s="2"/>
      <c r="I192" s="2"/>
      <c r="J192" s="2">
        <f t="shared" si="16"/>
        <v>10.322234394850154</v>
      </c>
      <c r="K192" s="2">
        <f t="shared" si="13"/>
        <v>-3.9856308382950791</v>
      </c>
      <c r="L192" s="2"/>
      <c r="M192" s="2"/>
      <c r="O192" s="4"/>
      <c r="P192" s="4"/>
      <c r="Q192" s="4"/>
      <c r="R192" s="4"/>
      <c r="S192" s="4"/>
    </row>
    <row r="193" spans="3:19" x14ac:dyDescent="0.25">
      <c r="C193" s="1">
        <v>42103</v>
      </c>
      <c r="D193" s="2">
        <v>2091.179932</v>
      </c>
      <c r="E193" s="3">
        <f t="shared" si="14"/>
        <v>4.4574813568533881E-3</v>
      </c>
      <c r="F193" s="3">
        <f t="shared" si="15"/>
        <v>4.4475762105921478E-3</v>
      </c>
      <c r="G193" s="2"/>
      <c r="H193" s="2"/>
      <c r="I193" s="2"/>
      <c r="J193" s="2">
        <f t="shared" si="16"/>
        <v>8.888362096006972</v>
      </c>
      <c r="K193" s="2">
        <f t="shared" si="13"/>
        <v>-3.9548748022207953</v>
      </c>
      <c r="L193" s="2"/>
      <c r="M193" s="2"/>
      <c r="O193" s="4"/>
      <c r="P193" s="4"/>
      <c r="Q193" s="4"/>
      <c r="R193" s="4"/>
      <c r="S193" s="4"/>
    </row>
    <row r="194" spans="3:19" x14ac:dyDescent="0.25">
      <c r="C194" s="1">
        <v>42102</v>
      </c>
      <c r="D194" s="2">
        <v>2081.8999020000001</v>
      </c>
      <c r="E194" s="3">
        <f t="shared" si="14"/>
        <v>2.6825330225747246E-3</v>
      </c>
      <c r="F194" s="3">
        <f t="shared" si="15"/>
        <v>2.6789414524361062E-3</v>
      </c>
      <c r="G194" s="2"/>
      <c r="H194" s="2"/>
      <c r="I194" s="2"/>
      <c r="J194" s="2">
        <f t="shared" si="16"/>
        <v>5.4739471557074086</v>
      </c>
      <c r="K194" s="2">
        <f t="shared" ref="K194:K250" si="17">-LN($I$1)-0.5*LN(2*PI()*(1+$I$2^2))-0.5*(J194-$I$3*J195)^2/($I$1^2*(1+$I$2^2))</f>
        <v>-3.8990089990602668</v>
      </c>
      <c r="L194" s="2"/>
      <c r="M194" s="2"/>
      <c r="O194" s="4"/>
      <c r="P194" s="4"/>
      <c r="Q194" s="4"/>
      <c r="R194" s="4"/>
      <c r="S194" s="4"/>
    </row>
    <row r="195" spans="3:19" x14ac:dyDescent="0.25">
      <c r="C195" s="1">
        <v>42101</v>
      </c>
      <c r="D195" s="2">
        <v>2076.330078</v>
      </c>
      <c r="E195" s="3">
        <f t="shared" ref="E195:E252" si="18">(D195-D196)/D196</f>
        <v>-2.0619040280095394E-3</v>
      </c>
      <c r="F195" s="3">
        <f t="shared" ref="F195:F252" si="19">LN(D195/D196)</f>
        <v>-2.0640326786721432E-3</v>
      </c>
      <c r="G195" s="2"/>
      <c r="H195" s="2"/>
      <c r="I195" s="2"/>
      <c r="J195" s="2">
        <f t="shared" ref="J195:J252" si="20">E195*$D$2-$D$2*AVERAGE(E$2:E$252)</f>
        <v>-3.6527842741452523</v>
      </c>
      <c r="K195" s="2">
        <f t="shared" si="17"/>
        <v>-3.8820668228549029</v>
      </c>
      <c r="L195" s="2"/>
      <c r="M195" s="2"/>
      <c r="O195" s="4"/>
      <c r="P195" s="4"/>
      <c r="Q195" s="4"/>
      <c r="R195" s="4"/>
      <c r="S195" s="4"/>
    </row>
    <row r="196" spans="3:19" x14ac:dyDescent="0.25">
      <c r="C196" s="1">
        <v>42100</v>
      </c>
      <c r="D196" s="2">
        <v>2080.6201169999999</v>
      </c>
      <c r="E196" s="3">
        <f t="shared" si="18"/>
        <v>6.6088150025852945E-3</v>
      </c>
      <c r="F196" s="3">
        <f t="shared" si="19"/>
        <v>6.5870725268106249E-3</v>
      </c>
      <c r="G196" s="2"/>
      <c r="H196" s="2"/>
      <c r="I196" s="2"/>
      <c r="J196" s="2">
        <f t="shared" si="20"/>
        <v>13.026818184950749</v>
      </c>
      <c r="K196" s="2">
        <f t="shared" si="17"/>
        <v>-4.0746581225650766</v>
      </c>
      <c r="L196" s="2"/>
      <c r="M196" s="2"/>
      <c r="O196" s="4"/>
      <c r="P196" s="4"/>
      <c r="Q196" s="4"/>
      <c r="R196" s="4"/>
      <c r="S196" s="4"/>
    </row>
    <row r="197" spans="3:19" x14ac:dyDescent="0.25">
      <c r="C197" s="1">
        <v>42096</v>
      </c>
      <c r="D197" s="2">
        <v>2066.959961</v>
      </c>
      <c r="E197" s="3">
        <f t="shared" si="18"/>
        <v>3.5296671869311865E-3</v>
      </c>
      <c r="F197" s="3">
        <f t="shared" si="19"/>
        <v>3.5234525311901902E-3</v>
      </c>
      <c r="G197" s="2"/>
      <c r="H197" s="2"/>
      <c r="I197" s="2"/>
      <c r="J197" s="2">
        <f t="shared" si="20"/>
        <v>7.1035537709289063</v>
      </c>
      <c r="K197" s="2">
        <f t="shared" si="17"/>
        <v>-3.9346621323691293</v>
      </c>
      <c r="L197" s="2"/>
      <c r="M197" s="2"/>
      <c r="O197" s="4"/>
      <c r="P197" s="4"/>
      <c r="Q197" s="4"/>
      <c r="R197" s="4"/>
      <c r="S197" s="4"/>
    </row>
    <row r="198" spans="3:19" x14ac:dyDescent="0.25">
      <c r="C198" s="1">
        <v>42095</v>
      </c>
      <c r="D198" s="2">
        <v>2059.6899410000001</v>
      </c>
      <c r="E198" s="3">
        <f t="shared" si="18"/>
        <v>-3.9653716707826374E-3</v>
      </c>
      <c r="F198" s="3">
        <f t="shared" si="19"/>
        <v>-3.9732546030981607E-3</v>
      </c>
      <c r="G198" s="2"/>
      <c r="H198" s="2"/>
      <c r="I198" s="2"/>
      <c r="J198" s="2">
        <f t="shared" si="20"/>
        <v>-7.3144279582711533</v>
      </c>
      <c r="K198" s="2">
        <f t="shared" si="17"/>
        <v>-3.9060073612035642</v>
      </c>
      <c r="L198" s="2"/>
      <c r="M198" s="2"/>
      <c r="O198" s="4"/>
      <c r="P198" s="4"/>
      <c r="Q198" s="4"/>
      <c r="R198" s="4"/>
      <c r="S198" s="4"/>
    </row>
    <row r="199" spans="3:19" x14ac:dyDescent="0.25">
      <c r="C199" s="1">
        <v>42094</v>
      </c>
      <c r="D199" s="2">
        <v>2067.889893</v>
      </c>
      <c r="E199" s="3">
        <f t="shared" si="18"/>
        <v>-8.795774737306231E-3</v>
      </c>
      <c r="F199" s="3">
        <f t="shared" si="19"/>
        <v>-8.834685901175145E-3</v>
      </c>
      <c r="G199" s="2"/>
      <c r="H199" s="2"/>
      <c r="I199" s="2"/>
      <c r="J199" s="2">
        <f t="shared" si="20"/>
        <v>-16.606529637788331</v>
      </c>
      <c r="K199" s="2">
        <f t="shared" si="17"/>
        <v>-4.3256779945469956</v>
      </c>
      <c r="L199" s="2"/>
      <c r="M199" s="2"/>
      <c r="O199" s="4"/>
      <c r="P199" s="4"/>
      <c r="Q199" s="4"/>
      <c r="R199" s="4"/>
      <c r="S199" s="4"/>
    </row>
    <row r="200" spans="3:19" x14ac:dyDescent="0.25">
      <c r="C200" s="1">
        <v>42093</v>
      </c>
      <c r="D200" s="2">
        <v>2086.23999</v>
      </c>
      <c r="E200" s="3">
        <f t="shared" si="18"/>
        <v>1.2236644843459649E-2</v>
      </c>
      <c r="F200" s="3">
        <f t="shared" si="19"/>
        <v>1.2162382307370311E-2</v>
      </c>
      <c r="G200" s="2"/>
      <c r="H200" s="2"/>
      <c r="I200" s="2"/>
      <c r="J200" s="2">
        <f t="shared" si="20"/>
        <v>23.852905862570029</v>
      </c>
      <c r="K200" s="2">
        <f t="shared" si="17"/>
        <v>-4.634900107441724</v>
      </c>
      <c r="L200" s="2"/>
      <c r="M200" s="2"/>
      <c r="O200" s="4"/>
      <c r="P200" s="4"/>
      <c r="Q200" s="4"/>
      <c r="R200" s="4"/>
      <c r="S200" s="4"/>
    </row>
    <row r="201" spans="3:19" x14ac:dyDescent="0.25">
      <c r="C201" s="1">
        <v>42090</v>
      </c>
      <c r="D201" s="2">
        <v>2061.0200199999999</v>
      </c>
      <c r="E201" s="3">
        <f t="shared" si="18"/>
        <v>2.3685617450666884E-3</v>
      </c>
      <c r="F201" s="3">
        <f t="shared" si="19"/>
        <v>2.3657611241204987E-3</v>
      </c>
      <c r="G201" s="2"/>
      <c r="H201" s="2"/>
      <c r="I201" s="2"/>
      <c r="J201" s="2">
        <f t="shared" si="20"/>
        <v>4.8699700144887892</v>
      </c>
      <c r="K201" s="2">
        <f t="shared" si="17"/>
        <v>-3.8903490192197818</v>
      </c>
      <c r="L201" s="2"/>
      <c r="M201" s="2"/>
      <c r="O201" s="4"/>
      <c r="P201" s="4"/>
      <c r="Q201" s="4"/>
      <c r="R201" s="4"/>
      <c r="S201" s="4"/>
    </row>
    <row r="202" spans="3:19" x14ac:dyDescent="0.25">
      <c r="C202" s="1">
        <v>42089</v>
      </c>
      <c r="D202" s="2">
        <v>2056.1499020000001</v>
      </c>
      <c r="E202" s="3">
        <f t="shared" si="18"/>
        <v>-2.3775002467200318E-3</v>
      </c>
      <c r="F202" s="3">
        <f t="shared" si="19"/>
        <v>-2.3803309880471176E-3</v>
      </c>
      <c r="G202" s="2"/>
      <c r="H202" s="2"/>
      <c r="I202" s="2"/>
      <c r="J202" s="2">
        <f t="shared" si="20"/>
        <v>-4.2598872660782998</v>
      </c>
      <c r="K202" s="2">
        <f t="shared" si="17"/>
        <v>-3.8600974398858634</v>
      </c>
      <c r="L202" s="2"/>
      <c r="M202" s="2"/>
      <c r="O202" s="4"/>
      <c r="P202" s="4"/>
      <c r="Q202" s="4"/>
      <c r="R202" s="4"/>
      <c r="S202" s="4"/>
    </row>
    <row r="203" spans="3:19" x14ac:dyDescent="0.25">
      <c r="C203" s="1">
        <v>42088</v>
      </c>
      <c r="D203" s="2">
        <v>2061.0500489999999</v>
      </c>
      <c r="E203" s="3">
        <f t="shared" si="18"/>
        <v>-1.455890557016498E-2</v>
      </c>
      <c r="F203" s="3">
        <f t="shared" si="19"/>
        <v>-1.4665926443847035E-2</v>
      </c>
      <c r="G203" s="2"/>
      <c r="H203" s="2"/>
      <c r="I203" s="2"/>
      <c r="J203" s="2">
        <f t="shared" si="20"/>
        <v>-27.692891780611479</v>
      </c>
      <c r="K203" s="2">
        <f t="shared" si="17"/>
        <v>-4.875581504545897</v>
      </c>
      <c r="L203" s="2"/>
      <c r="M203" s="2"/>
      <c r="O203" s="4"/>
      <c r="P203" s="4"/>
      <c r="Q203" s="4"/>
      <c r="R203" s="4"/>
      <c r="S203" s="4"/>
    </row>
    <row r="204" spans="3:19" x14ac:dyDescent="0.25">
      <c r="C204" s="1">
        <v>42087</v>
      </c>
      <c r="D204" s="2">
        <v>2091.5</v>
      </c>
      <c r="E204" s="3">
        <f t="shared" si="18"/>
        <v>-6.1394220159830069E-3</v>
      </c>
      <c r="F204" s="3">
        <f t="shared" si="19"/>
        <v>-6.1583457609898215E-3</v>
      </c>
      <c r="G204" s="2"/>
      <c r="H204" s="2"/>
      <c r="I204" s="2"/>
      <c r="J204" s="2">
        <f t="shared" si="20"/>
        <v>-11.496583481480963</v>
      </c>
      <c r="K204" s="2">
        <f t="shared" si="17"/>
        <v>-4.0327034133771678</v>
      </c>
      <c r="L204" s="2"/>
      <c r="M204" s="2"/>
      <c r="O204" s="4"/>
      <c r="P204" s="4"/>
      <c r="Q204" s="4"/>
      <c r="R204" s="4"/>
      <c r="S204" s="4"/>
    </row>
    <row r="205" spans="3:19" x14ac:dyDescent="0.25">
      <c r="C205" s="1">
        <v>42086</v>
      </c>
      <c r="D205" s="2">
        <v>2104.419922</v>
      </c>
      <c r="E205" s="3">
        <f t="shared" si="18"/>
        <v>-1.7457311460168847E-3</v>
      </c>
      <c r="F205" s="3">
        <f t="shared" si="19"/>
        <v>-1.7472567103759362E-3</v>
      </c>
      <c r="G205" s="2"/>
      <c r="H205" s="2"/>
      <c r="I205" s="2"/>
      <c r="J205" s="2">
        <f t="shared" si="20"/>
        <v>-3.0445719723308358</v>
      </c>
      <c r="K205" s="2">
        <f t="shared" si="17"/>
        <v>-3.8785186694785909</v>
      </c>
      <c r="L205" s="2"/>
      <c r="M205" s="2"/>
      <c r="O205" s="4"/>
      <c r="P205" s="4"/>
      <c r="Q205" s="4"/>
      <c r="R205" s="4"/>
      <c r="S205" s="4"/>
    </row>
    <row r="206" spans="3:19" x14ac:dyDescent="0.25">
      <c r="C206" s="1">
        <v>42083</v>
      </c>
      <c r="D206" s="2">
        <v>2108.1000979999999</v>
      </c>
      <c r="E206" s="3">
        <f t="shared" si="18"/>
        <v>9.0127546079467307E-3</v>
      </c>
      <c r="F206" s="3">
        <f t="shared" si="19"/>
        <v>8.9723821319605199E-3</v>
      </c>
      <c r="G206" s="2"/>
      <c r="H206" s="2"/>
      <c r="I206" s="2"/>
      <c r="J206" s="2">
        <f t="shared" si="20"/>
        <v>17.651204791369725</v>
      </c>
      <c r="K206" s="2">
        <f t="shared" si="17"/>
        <v>-4.3259222058199471</v>
      </c>
      <c r="L206" s="2"/>
      <c r="M206" s="2"/>
      <c r="O206" s="4"/>
      <c r="P206" s="4"/>
      <c r="Q206" s="4"/>
      <c r="R206" s="4"/>
      <c r="S206" s="4"/>
    </row>
    <row r="207" spans="3:19" x14ac:dyDescent="0.25">
      <c r="C207" s="1">
        <v>42082</v>
      </c>
      <c r="D207" s="2">
        <v>2089.2700199999999</v>
      </c>
      <c r="E207" s="3">
        <f t="shared" si="18"/>
        <v>-4.8725791855203943E-3</v>
      </c>
      <c r="F207" s="3">
        <f t="shared" si="19"/>
        <v>-4.8844889025895554E-3</v>
      </c>
      <c r="G207" s="2"/>
      <c r="H207" s="2"/>
      <c r="I207" s="2"/>
      <c r="J207" s="2">
        <f t="shared" si="20"/>
        <v>-9.059595878063865</v>
      </c>
      <c r="K207" s="2">
        <f t="shared" si="17"/>
        <v>-4.015361530987926</v>
      </c>
      <c r="L207" s="2"/>
      <c r="M207" s="2"/>
      <c r="O207" s="4"/>
      <c r="P207" s="4"/>
      <c r="Q207" s="4"/>
      <c r="R207" s="4"/>
      <c r="S207" s="4"/>
    </row>
    <row r="208" spans="3:19" x14ac:dyDescent="0.25">
      <c r="C208" s="1">
        <v>42081</v>
      </c>
      <c r="D208" s="2">
        <v>2099.5</v>
      </c>
      <c r="E208" s="3">
        <f t="shared" si="18"/>
        <v>1.2158421547431283E-2</v>
      </c>
      <c r="F208" s="3">
        <f t="shared" si="19"/>
        <v>1.2085101644750693E-2</v>
      </c>
      <c r="G208" s="2"/>
      <c r="H208" s="2"/>
      <c r="I208" s="2"/>
      <c r="J208" s="2">
        <f t="shared" si="20"/>
        <v>23.70243005125732</v>
      </c>
      <c r="K208" s="2">
        <f t="shared" si="17"/>
        <v>-4.6766282611356598</v>
      </c>
      <c r="L208" s="2"/>
      <c r="M208" s="2"/>
      <c r="O208" s="4"/>
      <c r="P208" s="4"/>
      <c r="Q208" s="4"/>
      <c r="R208" s="4"/>
      <c r="S208" s="4"/>
    </row>
    <row r="209" spans="3:19" x14ac:dyDescent="0.25">
      <c r="C209" s="1">
        <v>42080</v>
      </c>
      <c r="D209" s="2">
        <v>2074.280029</v>
      </c>
      <c r="E209" s="3">
        <f t="shared" si="18"/>
        <v>-3.3201736486771134E-3</v>
      </c>
      <c r="F209" s="3">
        <f t="shared" si="19"/>
        <v>-3.3256976557031678E-3</v>
      </c>
      <c r="G209" s="2"/>
      <c r="H209" s="2"/>
      <c r="I209" s="2"/>
      <c r="J209" s="2">
        <f t="shared" si="20"/>
        <v>-6.0732798506987073</v>
      </c>
      <c r="K209" s="2">
        <f t="shared" si="17"/>
        <v>-3.9414331631400219</v>
      </c>
      <c r="L209" s="2"/>
      <c r="M209" s="2"/>
      <c r="O209" s="4"/>
      <c r="P209" s="4"/>
      <c r="Q209" s="4"/>
      <c r="R209" s="4"/>
      <c r="S209" s="4"/>
    </row>
    <row r="210" spans="3:19" x14ac:dyDescent="0.25">
      <c r="C210" s="1">
        <v>42079</v>
      </c>
      <c r="D210" s="2">
        <v>2081.1899410000001</v>
      </c>
      <c r="E210" s="3">
        <f t="shared" si="18"/>
        <v>1.3533671143615344E-2</v>
      </c>
      <c r="F210" s="3">
        <f t="shared" si="19"/>
        <v>1.3442908996060394E-2</v>
      </c>
      <c r="G210" s="2"/>
      <c r="H210" s="2"/>
      <c r="I210" s="2"/>
      <c r="J210" s="2">
        <f t="shared" si="20"/>
        <v>26.347956502459692</v>
      </c>
      <c r="K210" s="2">
        <f t="shared" si="17"/>
        <v>-4.8956736030156609</v>
      </c>
      <c r="L210" s="2"/>
      <c r="M210" s="2"/>
      <c r="O210" s="4"/>
      <c r="P210" s="4"/>
      <c r="Q210" s="4"/>
      <c r="R210" s="4"/>
      <c r="S210" s="4"/>
    </row>
    <row r="211" spans="3:19" x14ac:dyDescent="0.25">
      <c r="C211" s="1">
        <v>42076</v>
      </c>
      <c r="D211" s="2">
        <v>2053.3999020000001</v>
      </c>
      <c r="E211" s="3">
        <f t="shared" si="18"/>
        <v>-6.0747110518941825E-3</v>
      </c>
      <c r="F211" s="3">
        <f t="shared" si="19"/>
        <v>-6.0932371744078879E-3</v>
      </c>
      <c r="G211" s="2"/>
      <c r="H211" s="2"/>
      <c r="I211" s="2"/>
      <c r="J211" s="2">
        <f t="shared" si="20"/>
        <v>-11.372100938344932</v>
      </c>
      <c r="K211" s="2">
        <f t="shared" si="17"/>
        <v>-4.0953629352139203</v>
      </c>
      <c r="L211" s="2"/>
      <c r="M211" s="2"/>
      <c r="O211" s="4"/>
      <c r="P211" s="4"/>
      <c r="Q211" s="4"/>
      <c r="R211" s="4"/>
      <c r="S211" s="4"/>
    </row>
    <row r="212" spans="3:19" x14ac:dyDescent="0.25">
      <c r="C212" s="1">
        <v>42075</v>
      </c>
      <c r="D212" s="2">
        <v>2065.9499510000001</v>
      </c>
      <c r="E212" s="3">
        <f t="shared" si="18"/>
        <v>1.2601439598289622E-2</v>
      </c>
      <c r="F212" s="3">
        <f t="shared" si="19"/>
        <v>1.2522702237719055E-2</v>
      </c>
      <c r="G212" s="2"/>
      <c r="H212" s="2"/>
      <c r="I212" s="2"/>
      <c r="J212" s="2">
        <f t="shared" si="20"/>
        <v>24.554650604644774</v>
      </c>
      <c r="K212" s="2">
        <f t="shared" si="17"/>
        <v>-4.7225070295657767</v>
      </c>
      <c r="L212" s="2"/>
      <c r="M212" s="2"/>
      <c r="O212" s="4"/>
      <c r="P212" s="4"/>
      <c r="Q212" s="4"/>
      <c r="R212" s="4"/>
      <c r="S212" s="4"/>
    </row>
    <row r="213" spans="3:19" x14ac:dyDescent="0.25">
      <c r="C213" s="1">
        <v>42074</v>
      </c>
      <c r="D213" s="2">
        <v>2040.23999</v>
      </c>
      <c r="E213" s="3">
        <f t="shared" si="18"/>
        <v>-1.9176796017918633E-3</v>
      </c>
      <c r="F213" s="3">
        <f t="shared" si="19"/>
        <v>-1.9195207034580692E-3</v>
      </c>
      <c r="G213" s="2"/>
      <c r="H213" s="2"/>
      <c r="I213" s="2"/>
      <c r="J213" s="2">
        <f t="shared" si="20"/>
        <v>-3.3753440658172207</v>
      </c>
      <c r="K213" s="2">
        <f t="shared" si="17"/>
        <v>-3.8542483804468839</v>
      </c>
      <c r="L213" s="2"/>
      <c r="M213" s="2"/>
      <c r="O213" s="4"/>
      <c r="P213" s="4"/>
      <c r="Q213" s="4"/>
      <c r="R213" s="4"/>
      <c r="S213" s="4"/>
    </row>
    <row r="214" spans="3:19" x14ac:dyDescent="0.25">
      <c r="C214" s="1">
        <v>42073</v>
      </c>
      <c r="D214" s="2">
        <v>2044.160034</v>
      </c>
      <c r="E214" s="3">
        <f t="shared" si="18"/>
        <v>-1.6961330342146873E-2</v>
      </c>
      <c r="F214" s="3">
        <f t="shared" si="19"/>
        <v>-1.7106821197868119E-2</v>
      </c>
      <c r="G214" s="2"/>
      <c r="H214" s="2"/>
      <c r="I214" s="2"/>
      <c r="J214" s="2">
        <f t="shared" si="20"/>
        <v>-32.314364347436573</v>
      </c>
      <c r="K214" s="2">
        <f t="shared" si="17"/>
        <v>-5.3817959325787212</v>
      </c>
      <c r="L214" s="2"/>
      <c r="M214" s="2"/>
      <c r="O214" s="4"/>
      <c r="P214" s="4"/>
      <c r="Q214" s="4"/>
      <c r="R214" s="4"/>
      <c r="S214" s="4"/>
    </row>
    <row r="215" spans="3:19" x14ac:dyDescent="0.25">
      <c r="C215" s="1">
        <v>42072</v>
      </c>
      <c r="D215" s="2">
        <v>2079.429932</v>
      </c>
      <c r="E215" s="3">
        <f t="shared" si="18"/>
        <v>3.9444212511011798E-3</v>
      </c>
      <c r="F215" s="3">
        <f t="shared" si="19"/>
        <v>3.9366624176442495E-3</v>
      </c>
      <c r="G215" s="2"/>
      <c r="H215" s="2"/>
      <c r="I215" s="2"/>
      <c r="J215" s="2">
        <f t="shared" si="20"/>
        <v>7.9014037397999761</v>
      </c>
      <c r="K215" s="2">
        <f t="shared" si="17"/>
        <v>-3.9883553137328227</v>
      </c>
      <c r="L215" s="2"/>
      <c r="M215" s="2"/>
      <c r="O215" s="4"/>
      <c r="P215" s="4"/>
      <c r="Q215" s="4"/>
      <c r="R215" s="4"/>
      <c r="S215" s="4"/>
    </row>
    <row r="216" spans="3:19" x14ac:dyDescent="0.25">
      <c r="C216" s="1">
        <v>42069</v>
      </c>
      <c r="D216" s="2">
        <v>2071.26001</v>
      </c>
      <c r="E216" s="3">
        <f t="shared" si="18"/>
        <v>-1.4173946449004351E-2</v>
      </c>
      <c r="F216" s="3">
        <f t="shared" si="19"/>
        <v>-1.4275356219564148E-2</v>
      </c>
      <c r="G216" s="2"/>
      <c r="H216" s="2"/>
      <c r="I216" s="2"/>
      <c r="J216" s="2">
        <f t="shared" si="20"/>
        <v>-26.95235745107021</v>
      </c>
      <c r="K216" s="2">
        <f t="shared" si="17"/>
        <v>-4.8948091360814541</v>
      </c>
      <c r="L216" s="2"/>
      <c r="M216" s="2"/>
      <c r="O216" s="4"/>
      <c r="P216" s="4"/>
      <c r="Q216" s="4"/>
      <c r="R216" s="4"/>
      <c r="S216" s="4"/>
    </row>
    <row r="217" spans="3:19" x14ac:dyDescent="0.25">
      <c r="C217" s="1">
        <v>42068</v>
      </c>
      <c r="D217" s="2">
        <v>2101.040039</v>
      </c>
      <c r="E217" s="3">
        <f t="shared" si="18"/>
        <v>1.1960800966932296E-3</v>
      </c>
      <c r="F217" s="3">
        <f t="shared" si="19"/>
        <v>1.1953653627569873E-3</v>
      </c>
      <c r="G217" s="2"/>
      <c r="H217" s="2"/>
      <c r="I217" s="2"/>
      <c r="J217" s="2">
        <f t="shared" si="20"/>
        <v>2.6145021903730243</v>
      </c>
      <c r="K217" s="2">
        <f t="shared" si="17"/>
        <v>-3.8668910515817236</v>
      </c>
      <c r="L217" s="2"/>
      <c r="M217" s="2"/>
      <c r="O217" s="4"/>
      <c r="P217" s="4"/>
      <c r="Q217" s="4"/>
      <c r="R217" s="4"/>
      <c r="S217" s="4"/>
    </row>
    <row r="218" spans="3:19" x14ac:dyDescent="0.25">
      <c r="C218" s="1">
        <v>42067</v>
      </c>
      <c r="D218" s="2">
        <v>2098.530029</v>
      </c>
      <c r="E218" s="3">
        <f t="shared" si="18"/>
        <v>-4.3885034836336802E-3</v>
      </c>
      <c r="F218" s="3">
        <f t="shared" si="19"/>
        <v>-4.3981612307754693E-3</v>
      </c>
      <c r="G218" s="2"/>
      <c r="H218" s="2"/>
      <c r="I218" s="2"/>
      <c r="J218" s="2">
        <f t="shared" si="20"/>
        <v>-8.1283939513161183</v>
      </c>
      <c r="K218" s="2">
        <f t="shared" si="17"/>
        <v>-3.9329232247239663</v>
      </c>
      <c r="L218" s="2"/>
      <c r="M218" s="2"/>
      <c r="O218" s="4"/>
      <c r="P218" s="4"/>
      <c r="Q218" s="4"/>
      <c r="R218" s="4"/>
      <c r="S218" s="4"/>
    </row>
    <row r="219" spans="3:19" x14ac:dyDescent="0.25">
      <c r="C219" s="1">
        <v>42066</v>
      </c>
      <c r="D219" s="2">
        <v>2107.780029</v>
      </c>
      <c r="E219" s="3">
        <f t="shared" si="18"/>
        <v>-4.5385424912859993E-3</v>
      </c>
      <c r="F219" s="3">
        <f t="shared" si="19"/>
        <v>-4.5488729439078276E-3</v>
      </c>
      <c r="G219" s="2"/>
      <c r="H219" s="2"/>
      <c r="I219" s="2"/>
      <c r="J219" s="2">
        <f t="shared" si="20"/>
        <v>-8.4170194957683719</v>
      </c>
      <c r="K219" s="2">
        <f t="shared" si="17"/>
        <v>-3.9740872744771827</v>
      </c>
      <c r="L219" s="2"/>
      <c r="M219" s="2"/>
      <c r="O219" s="4"/>
      <c r="P219" s="4"/>
      <c r="Q219" s="4"/>
      <c r="R219" s="4"/>
      <c r="S219" s="4"/>
    </row>
    <row r="220" spans="3:19" x14ac:dyDescent="0.25">
      <c r="C220" s="1">
        <v>42065</v>
      </c>
      <c r="D220" s="2">
        <v>2117.389893</v>
      </c>
      <c r="E220" s="3">
        <f t="shared" si="18"/>
        <v>6.1249194583036489E-3</v>
      </c>
      <c r="F220" s="3">
        <f t="shared" si="19"/>
        <v>6.1062383803760925E-3</v>
      </c>
      <c r="G220" s="2"/>
      <c r="H220" s="2"/>
      <c r="I220" s="2"/>
      <c r="J220" s="2">
        <f t="shared" si="20"/>
        <v>12.095962821991073</v>
      </c>
      <c r="K220" s="2">
        <f t="shared" si="17"/>
        <v>-4.0727563351208085</v>
      </c>
      <c r="L220" s="2"/>
      <c r="M220" s="2"/>
      <c r="O220" s="4"/>
      <c r="P220" s="4"/>
      <c r="Q220" s="4"/>
      <c r="R220" s="4"/>
      <c r="S220" s="4"/>
    </row>
    <row r="221" spans="3:19" x14ac:dyDescent="0.25">
      <c r="C221" s="1">
        <v>42062</v>
      </c>
      <c r="D221" s="2">
        <v>2104.5</v>
      </c>
      <c r="E221" s="3">
        <f t="shared" si="18"/>
        <v>-2.9563044380468834E-3</v>
      </c>
      <c r="F221" s="3">
        <f t="shared" si="19"/>
        <v>-2.9606829375931087E-3</v>
      </c>
      <c r="G221" s="2"/>
      <c r="H221" s="2"/>
      <c r="I221" s="2"/>
      <c r="J221" s="2">
        <f t="shared" si="20"/>
        <v>-5.3733155502754073</v>
      </c>
      <c r="K221" s="2">
        <f t="shared" si="17"/>
        <v>-3.8907351768934846</v>
      </c>
      <c r="L221" s="2"/>
      <c r="M221" s="2"/>
      <c r="O221" s="4"/>
      <c r="P221" s="4"/>
      <c r="Q221" s="4"/>
      <c r="R221" s="4"/>
      <c r="S221" s="4"/>
    </row>
    <row r="222" spans="3:19" x14ac:dyDescent="0.25">
      <c r="C222" s="1">
        <v>42061</v>
      </c>
      <c r="D222" s="2">
        <v>2110.73999</v>
      </c>
      <c r="E222" s="3">
        <f t="shared" si="18"/>
        <v>-1.4760281390749272E-3</v>
      </c>
      <c r="F222" s="3">
        <f t="shared" si="19"/>
        <v>-1.4771185417172892E-3</v>
      </c>
      <c r="G222" s="2"/>
      <c r="H222" s="2"/>
      <c r="I222" s="2"/>
      <c r="J222" s="2">
        <f t="shared" si="20"/>
        <v>-2.525752377099868</v>
      </c>
      <c r="K222" s="2">
        <f t="shared" si="17"/>
        <v>-3.8609805691959966</v>
      </c>
      <c r="L222" s="2"/>
      <c r="M222" s="2"/>
      <c r="O222" s="4"/>
      <c r="P222" s="4"/>
      <c r="Q222" s="4"/>
      <c r="R222" s="4"/>
      <c r="S222" s="4"/>
    </row>
    <row r="223" spans="3:19" x14ac:dyDescent="0.25">
      <c r="C223" s="1">
        <v>42060</v>
      </c>
      <c r="D223" s="2">
        <v>2113.860107</v>
      </c>
      <c r="E223" s="3">
        <f t="shared" si="18"/>
        <v>-7.657236255197734E-4</v>
      </c>
      <c r="F223" s="3">
        <f t="shared" si="19"/>
        <v>-7.6601694159734123E-4</v>
      </c>
      <c r="G223" s="2"/>
      <c r="H223" s="2"/>
      <c r="I223" s="2"/>
      <c r="J223" s="2">
        <f t="shared" si="20"/>
        <v>-1.1593608622558267</v>
      </c>
      <c r="K223" s="2">
        <f t="shared" si="17"/>
        <v>-3.8559445419239662</v>
      </c>
      <c r="L223" s="2"/>
      <c r="M223" s="2"/>
      <c r="O223" s="4"/>
      <c r="P223" s="4"/>
      <c r="Q223" s="4"/>
      <c r="R223" s="4"/>
      <c r="S223" s="4"/>
    </row>
    <row r="224" spans="3:19" x14ac:dyDescent="0.25">
      <c r="C224" s="1">
        <v>42059</v>
      </c>
      <c r="D224" s="2">
        <v>2115.4799800000001</v>
      </c>
      <c r="E224" s="3">
        <f t="shared" si="18"/>
        <v>2.7587707226623321E-3</v>
      </c>
      <c r="F224" s="3">
        <f t="shared" si="19"/>
        <v>2.7549722990950704E-3</v>
      </c>
      <c r="G224" s="2"/>
      <c r="H224" s="2"/>
      <c r="I224" s="2"/>
      <c r="J224" s="2">
        <f t="shared" si="20"/>
        <v>5.6206033355893954</v>
      </c>
      <c r="K224" s="2">
        <f t="shared" si="17"/>
        <v>-3.8975418961811981</v>
      </c>
      <c r="L224" s="2"/>
      <c r="M224" s="2"/>
      <c r="O224" s="4"/>
      <c r="P224" s="4"/>
      <c r="Q224" s="4"/>
      <c r="R224" s="4"/>
      <c r="S224" s="4"/>
    </row>
    <row r="225" spans="3:19" x14ac:dyDescent="0.25">
      <c r="C225" s="1">
        <v>42058</v>
      </c>
      <c r="D225" s="2">
        <v>2109.6599120000001</v>
      </c>
      <c r="E225" s="3">
        <f t="shared" si="18"/>
        <v>-3.0333932859604834E-4</v>
      </c>
      <c r="F225" s="3">
        <f t="shared" si="19"/>
        <v>-3.0338534527620388E-4</v>
      </c>
      <c r="G225" s="2"/>
      <c r="H225" s="2"/>
      <c r="I225" s="2"/>
      <c r="J225" s="2">
        <f t="shared" si="20"/>
        <v>-0.26988604144765549</v>
      </c>
      <c r="K225" s="2">
        <f t="shared" si="17"/>
        <v>-3.8543011720546696</v>
      </c>
      <c r="L225" s="2"/>
      <c r="M225" s="2"/>
      <c r="O225" s="4"/>
      <c r="P225" s="4"/>
      <c r="Q225" s="4"/>
      <c r="R225" s="4"/>
      <c r="S225" s="4"/>
    </row>
    <row r="226" spans="3:19" x14ac:dyDescent="0.25">
      <c r="C226" s="1">
        <v>42055</v>
      </c>
      <c r="D226" s="2">
        <v>2110.3000489999999</v>
      </c>
      <c r="E226" s="3">
        <f t="shared" si="18"/>
        <v>6.1265337911273424E-3</v>
      </c>
      <c r="F226" s="3">
        <f t="shared" si="19"/>
        <v>6.1078428844464306E-3</v>
      </c>
      <c r="G226" s="2"/>
      <c r="H226" s="2"/>
      <c r="I226" s="2"/>
      <c r="J226" s="2">
        <f t="shared" si="20"/>
        <v>12.099068265685057</v>
      </c>
      <c r="K226" s="2">
        <f t="shared" si="17"/>
        <v>-4.0639111354365545</v>
      </c>
      <c r="L226" s="2"/>
      <c r="M226" s="2"/>
      <c r="O226" s="4"/>
      <c r="P226" s="4"/>
      <c r="Q226" s="4"/>
      <c r="R226" s="4"/>
      <c r="S226" s="4"/>
    </row>
    <row r="227" spans="3:19" x14ac:dyDescent="0.25">
      <c r="C227" s="1">
        <v>42054</v>
      </c>
      <c r="D227" s="2">
        <v>2097.4499510000001</v>
      </c>
      <c r="E227" s="3">
        <f t="shared" si="18"/>
        <v>-1.0620575860225694E-3</v>
      </c>
      <c r="F227" s="3">
        <f t="shared" si="19"/>
        <v>-1.0626219688207137E-3</v>
      </c>
      <c r="G227" s="2"/>
      <c r="H227" s="2"/>
      <c r="I227" s="2"/>
      <c r="J227" s="2">
        <f t="shared" si="20"/>
        <v>-1.7294096250949345</v>
      </c>
      <c r="K227" s="2">
        <f t="shared" si="17"/>
        <v>-3.8566580615159989</v>
      </c>
      <c r="L227" s="2"/>
      <c r="M227" s="2"/>
      <c r="O227" s="4"/>
      <c r="P227" s="4"/>
      <c r="Q227" s="4"/>
      <c r="R227" s="4"/>
      <c r="S227" s="4"/>
    </row>
    <row r="228" spans="3:19" x14ac:dyDescent="0.25">
      <c r="C228" s="1">
        <v>42053</v>
      </c>
      <c r="D228" s="2">
        <v>2099.679932</v>
      </c>
      <c r="E228" s="3">
        <f t="shared" si="18"/>
        <v>-3.1430909868912401E-4</v>
      </c>
      <c r="F228" s="3">
        <f t="shared" si="19"/>
        <v>-3.1435850414654552E-4</v>
      </c>
      <c r="G228" s="2"/>
      <c r="H228" s="2"/>
      <c r="I228" s="2"/>
      <c r="J228" s="2">
        <f t="shared" si="20"/>
        <v>-0.2909882595652723</v>
      </c>
      <c r="K228" s="2">
        <f t="shared" si="17"/>
        <v>-3.8529204713694436</v>
      </c>
      <c r="L228" s="2"/>
      <c r="M228" s="2"/>
      <c r="O228" s="4"/>
      <c r="P228" s="4"/>
      <c r="Q228" s="4"/>
      <c r="R228" s="4"/>
      <c r="S228" s="4"/>
    </row>
    <row r="229" spans="3:19" x14ac:dyDescent="0.25">
      <c r="C229" s="1">
        <v>42052</v>
      </c>
      <c r="D229" s="2">
        <v>2100.3400879999999</v>
      </c>
      <c r="E229" s="3">
        <f t="shared" si="18"/>
        <v>1.597574626476824E-3</v>
      </c>
      <c r="F229" s="3">
        <f t="shared" si="19"/>
        <v>1.5962998616407095E-3</v>
      </c>
      <c r="G229" s="2"/>
      <c r="H229" s="2"/>
      <c r="I229" s="2"/>
      <c r="J229" s="2">
        <f t="shared" si="20"/>
        <v>3.3868451901475907</v>
      </c>
      <c r="K229" s="2">
        <f t="shared" si="17"/>
        <v>-3.8637305967663194</v>
      </c>
      <c r="L229" s="2"/>
      <c r="M229" s="2"/>
      <c r="O229" s="4"/>
      <c r="P229" s="4"/>
      <c r="Q229" s="4"/>
      <c r="R229" s="4"/>
      <c r="S229" s="4"/>
    </row>
    <row r="230" spans="3:19" x14ac:dyDescent="0.25">
      <c r="C230" s="1">
        <v>42048</v>
      </c>
      <c r="D230" s="2">
        <v>2096.98999</v>
      </c>
      <c r="E230" s="3">
        <f t="shared" si="18"/>
        <v>4.0747386048680077E-3</v>
      </c>
      <c r="F230" s="3">
        <f t="shared" si="19"/>
        <v>4.0664593404575655E-3</v>
      </c>
      <c r="G230" s="2"/>
      <c r="H230" s="2"/>
      <c r="I230" s="2"/>
      <c r="J230" s="2">
        <f t="shared" si="20"/>
        <v>8.1520913294545743</v>
      </c>
      <c r="K230" s="2">
        <f t="shared" si="17"/>
        <v>-3.9184714061415176</v>
      </c>
      <c r="L230" s="2"/>
      <c r="M230" s="2"/>
      <c r="O230" s="4"/>
      <c r="P230" s="4"/>
      <c r="Q230" s="4"/>
      <c r="R230" s="4"/>
      <c r="S230" s="4"/>
    </row>
    <row r="231" spans="3:19" x14ac:dyDescent="0.25">
      <c r="C231" s="1">
        <v>42047</v>
      </c>
      <c r="D231" s="2">
        <v>2088.4799800000001</v>
      </c>
      <c r="E231" s="3">
        <f t="shared" si="18"/>
        <v>9.6445063500695521E-3</v>
      </c>
      <c r="F231" s="3">
        <f t="shared" si="19"/>
        <v>9.598294984990317E-3</v>
      </c>
      <c r="G231" s="2"/>
      <c r="H231" s="2"/>
      <c r="I231" s="2"/>
      <c r="J231" s="2">
        <f t="shared" si="20"/>
        <v>18.86648669293621</v>
      </c>
      <c r="K231" s="2">
        <f t="shared" si="17"/>
        <v>-4.355372760513271</v>
      </c>
      <c r="L231" s="2"/>
      <c r="M231" s="2"/>
      <c r="O231" s="4"/>
      <c r="P231" s="4"/>
      <c r="Q231" s="4"/>
      <c r="R231" s="4"/>
      <c r="S231" s="4"/>
    </row>
    <row r="232" spans="3:19" x14ac:dyDescent="0.25">
      <c r="C232" s="1">
        <v>42046</v>
      </c>
      <c r="D232" s="2">
        <v>2068.530029</v>
      </c>
      <c r="E232" s="3">
        <f t="shared" si="18"/>
        <v>-2.903378506370865E-5</v>
      </c>
      <c r="F232" s="3">
        <f t="shared" si="19"/>
        <v>-2.9034206552188216E-5</v>
      </c>
      <c r="G232" s="2"/>
      <c r="H232" s="2"/>
      <c r="I232" s="2"/>
      <c r="J232" s="2">
        <f t="shared" si="20"/>
        <v>0.25778731554864431</v>
      </c>
      <c r="K232" s="2">
        <f t="shared" si="17"/>
        <v>-3.8545895520750784</v>
      </c>
      <c r="L232" s="2"/>
      <c r="M232" s="2"/>
      <c r="O232" s="4"/>
      <c r="P232" s="4"/>
      <c r="Q232" s="4"/>
      <c r="R232" s="4"/>
      <c r="S232" s="4"/>
    </row>
    <row r="233" spans="3:19" x14ac:dyDescent="0.25">
      <c r="C233" s="1">
        <v>42045</v>
      </c>
      <c r="D233" s="2">
        <v>2068.5900879999999</v>
      </c>
      <c r="E233" s="3">
        <f t="shared" si="18"/>
        <v>1.0675561188404731E-2</v>
      </c>
      <c r="F233" s="3">
        <f t="shared" si="19"/>
        <v>1.0618979721447666E-2</v>
      </c>
      <c r="G233" s="2"/>
      <c r="H233" s="2"/>
      <c r="I233" s="2"/>
      <c r="J233" s="2">
        <f t="shared" si="20"/>
        <v>20.849895999162854</v>
      </c>
      <c r="K233" s="2">
        <f t="shared" si="17"/>
        <v>-4.5008703424670484</v>
      </c>
      <c r="L233" s="2"/>
      <c r="M233" s="2"/>
      <c r="O233" s="4"/>
      <c r="P233" s="4"/>
      <c r="Q233" s="4"/>
      <c r="R233" s="4"/>
      <c r="S233" s="4"/>
    </row>
    <row r="234" spans="3:19" x14ac:dyDescent="0.25">
      <c r="C234" s="1">
        <v>42044</v>
      </c>
      <c r="D234" s="2">
        <v>2046.73999</v>
      </c>
      <c r="E234" s="3">
        <f t="shared" si="18"/>
        <v>-4.2471946188310196E-3</v>
      </c>
      <c r="F234" s="3">
        <f t="shared" si="19"/>
        <v>-4.2562395694247922E-3</v>
      </c>
      <c r="G234" s="2"/>
      <c r="H234" s="2"/>
      <c r="I234" s="2"/>
      <c r="J234" s="2">
        <f t="shared" si="20"/>
        <v>-7.8565623211435955</v>
      </c>
      <c r="K234" s="2">
        <f t="shared" si="17"/>
        <v>-3.9303766173078278</v>
      </c>
      <c r="L234" s="2"/>
      <c r="M234" s="2"/>
      <c r="O234" s="4"/>
      <c r="P234" s="4"/>
      <c r="Q234" s="4"/>
      <c r="R234" s="4"/>
      <c r="S234" s="4"/>
    </row>
    <row r="235" spans="3:19" x14ac:dyDescent="0.25">
      <c r="C235" s="1">
        <v>42041</v>
      </c>
      <c r="D235" s="2">
        <v>2055.469971</v>
      </c>
      <c r="E235" s="3">
        <f t="shared" si="18"/>
        <v>-3.4181723966974849E-3</v>
      </c>
      <c r="F235" s="3">
        <f t="shared" si="19"/>
        <v>-3.4240276947173063E-3</v>
      </c>
      <c r="G235" s="2"/>
      <c r="H235" s="2"/>
      <c r="I235" s="2"/>
      <c r="J235" s="2">
        <f t="shared" si="20"/>
        <v>-6.2617971066150009</v>
      </c>
      <c r="K235" s="2">
        <f t="shared" si="17"/>
        <v>-3.9359138616179958</v>
      </c>
      <c r="L235" s="2"/>
      <c r="M235" s="2"/>
      <c r="O235" s="4"/>
      <c r="P235" s="4"/>
      <c r="Q235" s="4"/>
      <c r="R235" s="4"/>
      <c r="S235" s="4"/>
    </row>
    <row r="236" spans="3:19" x14ac:dyDescent="0.25">
      <c r="C236" s="1">
        <v>42040</v>
      </c>
      <c r="D236" s="2">
        <v>2062.5200199999999</v>
      </c>
      <c r="E236" s="3">
        <f t="shared" si="18"/>
        <v>1.0291406800400634E-2</v>
      </c>
      <c r="F236" s="3">
        <f t="shared" si="19"/>
        <v>1.0238810823374916E-2</v>
      </c>
      <c r="G236" s="2"/>
      <c r="H236" s="2"/>
      <c r="I236" s="2"/>
      <c r="J236" s="2">
        <f t="shared" si="20"/>
        <v>20.110909710688219</v>
      </c>
      <c r="K236" s="2">
        <f t="shared" si="17"/>
        <v>-4.4561496552813882</v>
      </c>
      <c r="L236" s="2"/>
      <c r="M236" s="2"/>
      <c r="O236" s="4"/>
      <c r="P236" s="4"/>
      <c r="Q236" s="4"/>
      <c r="R236" s="4"/>
      <c r="S236" s="4"/>
    </row>
    <row r="237" spans="3:19" x14ac:dyDescent="0.25">
      <c r="C237" s="1">
        <v>42039</v>
      </c>
      <c r="D237" s="2">
        <v>2041.51001</v>
      </c>
      <c r="E237" s="3">
        <f t="shared" si="18"/>
        <v>-4.1560459502908327E-3</v>
      </c>
      <c r="F237" s="3">
        <f t="shared" si="19"/>
        <v>-4.1647063128333371E-3</v>
      </c>
      <c r="G237" s="2"/>
      <c r="H237" s="2"/>
      <c r="I237" s="2"/>
      <c r="J237" s="2">
        <f t="shared" si="20"/>
        <v>-7.6812223579223531</v>
      </c>
      <c r="K237" s="2">
        <f t="shared" si="17"/>
        <v>-3.9844958929484866</v>
      </c>
      <c r="L237" s="2"/>
      <c r="M237" s="2"/>
      <c r="O237" s="4"/>
      <c r="P237" s="4"/>
      <c r="Q237" s="4"/>
      <c r="R237" s="4"/>
      <c r="S237" s="4"/>
    </row>
    <row r="238" spans="3:19" x14ac:dyDescent="0.25">
      <c r="C238" s="1">
        <v>42038</v>
      </c>
      <c r="D238" s="2">
        <v>2050.030029</v>
      </c>
      <c r="E238" s="3">
        <f t="shared" si="18"/>
        <v>1.4439494938539686E-2</v>
      </c>
      <c r="F238" s="3">
        <f t="shared" si="19"/>
        <v>1.4336238227742741E-2</v>
      </c>
      <c r="G238" s="2"/>
      <c r="H238" s="2"/>
      <c r="I238" s="2"/>
      <c r="J238" s="2">
        <f t="shared" si="20"/>
        <v>28.090462601898047</v>
      </c>
      <c r="K238" s="2">
        <f t="shared" si="17"/>
        <v>-4.832718269078633</v>
      </c>
      <c r="L238" s="2"/>
      <c r="M238" s="2"/>
      <c r="O238" s="4"/>
      <c r="P238" s="4"/>
      <c r="Q238" s="4"/>
      <c r="R238" s="4"/>
      <c r="S238" s="4"/>
    </row>
    <row r="239" spans="3:19" x14ac:dyDescent="0.25">
      <c r="C239" s="1">
        <v>42037</v>
      </c>
      <c r="D239" s="2">
        <v>2020.849976</v>
      </c>
      <c r="E239" s="3">
        <f t="shared" si="18"/>
        <v>1.2962464037225537E-2</v>
      </c>
      <c r="F239" s="3">
        <f t="shared" si="19"/>
        <v>1.2879170322592387E-2</v>
      </c>
      <c r="G239" s="2"/>
      <c r="H239" s="2"/>
      <c r="I239" s="2"/>
      <c r="J239" s="2">
        <f t="shared" si="20"/>
        <v>25.249142502977701</v>
      </c>
      <c r="K239" s="2">
        <f t="shared" si="17"/>
        <v>-4.8831557344606056</v>
      </c>
      <c r="L239" s="2"/>
      <c r="M239" s="2"/>
      <c r="O239" s="4"/>
      <c r="P239" s="4"/>
      <c r="Q239" s="4"/>
      <c r="R239" s="4"/>
      <c r="S239" s="4"/>
    </row>
    <row r="240" spans="3:19" x14ac:dyDescent="0.25">
      <c r="C240" s="1">
        <v>42034</v>
      </c>
      <c r="D240" s="2">
        <v>1994.98999</v>
      </c>
      <c r="E240" s="3">
        <f t="shared" si="18"/>
        <v>-1.299196536796535E-2</v>
      </c>
      <c r="F240" s="3">
        <f t="shared" si="19"/>
        <v>-1.3077099123800286E-2</v>
      </c>
      <c r="G240" s="2"/>
      <c r="H240" s="2"/>
      <c r="I240" s="2"/>
      <c r="J240" s="2">
        <f t="shared" si="20"/>
        <v>-24.678615852900748</v>
      </c>
      <c r="K240" s="2">
        <f t="shared" si="17"/>
        <v>-4.8086268175844351</v>
      </c>
      <c r="L240" s="2"/>
      <c r="M240" s="2"/>
      <c r="O240" s="4"/>
      <c r="P240" s="4"/>
      <c r="Q240" s="4"/>
      <c r="R240" s="4"/>
      <c r="S240" s="4"/>
    </row>
    <row r="241" spans="3:19" x14ac:dyDescent="0.25">
      <c r="C241" s="1">
        <v>42033</v>
      </c>
      <c r="D241" s="2">
        <v>2021.25</v>
      </c>
      <c r="E241" s="3">
        <f t="shared" si="18"/>
        <v>9.5346853777024312E-3</v>
      </c>
      <c r="F241" s="3">
        <f t="shared" si="19"/>
        <v>9.4895171480104974E-3</v>
      </c>
      <c r="G241" s="2"/>
      <c r="H241" s="2"/>
      <c r="I241" s="2"/>
      <c r="J241" s="2">
        <f t="shared" si="20"/>
        <v>18.655227378190627</v>
      </c>
      <c r="K241" s="2">
        <f t="shared" si="17"/>
        <v>-4.444938676197502</v>
      </c>
      <c r="L241" s="2"/>
      <c r="M241" s="2"/>
      <c r="O241" s="4"/>
      <c r="P241" s="4"/>
      <c r="Q241" s="4"/>
      <c r="R241" s="4"/>
      <c r="S241" s="4"/>
    </row>
    <row r="242" spans="3:19" x14ac:dyDescent="0.25">
      <c r="C242" s="1">
        <v>42032</v>
      </c>
      <c r="D242" s="2">
        <v>2002.160034</v>
      </c>
      <c r="E242" s="3">
        <f t="shared" si="18"/>
        <v>-1.3495609538427277E-2</v>
      </c>
      <c r="F242" s="3">
        <f t="shared" si="19"/>
        <v>-1.358750298545512E-2</v>
      </c>
      <c r="G242" s="2"/>
      <c r="H242" s="2"/>
      <c r="I242" s="2"/>
      <c r="J242" s="2">
        <f t="shared" si="20"/>
        <v>-25.647461056453587</v>
      </c>
      <c r="K242" s="2">
        <f t="shared" si="17"/>
        <v>-4.6582655717624348</v>
      </c>
      <c r="L242" s="2"/>
      <c r="M242" s="2"/>
      <c r="O242" s="4"/>
      <c r="P242" s="4"/>
      <c r="Q242" s="4"/>
      <c r="R242" s="4"/>
      <c r="S242" s="4"/>
    </row>
    <row r="243" spans="3:19" x14ac:dyDescent="0.25">
      <c r="C243" s="1">
        <v>42031</v>
      </c>
      <c r="D243" s="2">
        <v>2029.5500489999999</v>
      </c>
      <c r="E243" s="3">
        <f t="shared" si="18"/>
        <v>-1.3387862379316457E-2</v>
      </c>
      <c r="F243" s="3">
        <f t="shared" si="19"/>
        <v>-1.3478287784341066E-2</v>
      </c>
      <c r="G243" s="2"/>
      <c r="H243" s="2"/>
      <c r="I243" s="2"/>
      <c r="J243" s="2">
        <f t="shared" si="20"/>
        <v>-25.440191074146</v>
      </c>
      <c r="K243" s="2">
        <f t="shared" si="17"/>
        <v>-4.795393905094393</v>
      </c>
      <c r="L243" s="2"/>
      <c r="M243" s="2"/>
      <c r="O243" s="4"/>
      <c r="P243" s="4"/>
      <c r="Q243" s="4"/>
      <c r="R243" s="4"/>
      <c r="S243" s="4"/>
    </row>
    <row r="244" spans="3:19" x14ac:dyDescent="0.25">
      <c r="C244" s="1">
        <v>42030</v>
      </c>
      <c r="D244" s="2">
        <v>2057.0900879999999</v>
      </c>
      <c r="E244" s="3">
        <f t="shared" si="18"/>
        <v>2.5684610859356949E-3</v>
      </c>
      <c r="F244" s="3">
        <f t="shared" si="19"/>
        <v>2.5651682269424068E-3</v>
      </c>
      <c r="G244" s="2"/>
      <c r="H244" s="2"/>
      <c r="I244" s="2"/>
      <c r="J244" s="2">
        <f t="shared" si="20"/>
        <v>5.2545103883338413</v>
      </c>
      <c r="K244" s="2">
        <f t="shared" si="17"/>
        <v>-3.9030577396003197</v>
      </c>
      <c r="L244" s="2"/>
      <c r="M244" s="2"/>
      <c r="O244" s="4"/>
      <c r="P244" s="4"/>
      <c r="Q244" s="4"/>
      <c r="R244" s="4"/>
      <c r="S244" s="4"/>
    </row>
    <row r="245" spans="3:19" x14ac:dyDescent="0.25">
      <c r="C245" s="1">
        <v>42027</v>
      </c>
      <c r="D245" s="2">
        <v>2051.820068</v>
      </c>
      <c r="E245" s="3">
        <f t="shared" si="18"/>
        <v>-5.4915224477955155E-3</v>
      </c>
      <c r="F245" s="3">
        <f t="shared" si="19"/>
        <v>-5.5066562878371269E-3</v>
      </c>
      <c r="G245" s="2"/>
      <c r="H245" s="2"/>
      <c r="I245" s="2"/>
      <c r="J245" s="2">
        <f t="shared" si="20"/>
        <v>-10.250238490638152</v>
      </c>
      <c r="K245" s="2">
        <f t="shared" si="17"/>
        <v>-4.0679642996675556</v>
      </c>
      <c r="L245" s="2"/>
      <c r="M245" s="2"/>
      <c r="O245" s="4"/>
      <c r="P245" s="4"/>
      <c r="Q245" s="4"/>
      <c r="R245" s="4"/>
      <c r="S245" s="4"/>
    </row>
    <row r="246" spans="3:19" x14ac:dyDescent="0.25">
      <c r="C246" s="1">
        <v>42026</v>
      </c>
      <c r="D246" s="2">
        <v>2063.1499020000001</v>
      </c>
      <c r="E246" s="3">
        <f t="shared" si="18"/>
        <v>1.5269721805970466E-2</v>
      </c>
      <c r="F246" s="3">
        <f t="shared" si="19"/>
        <v>1.5154312961683942E-2</v>
      </c>
      <c r="G246" s="2"/>
      <c r="H246" s="2"/>
      <c r="I246" s="2"/>
      <c r="J246" s="2">
        <f t="shared" si="20"/>
        <v>29.687545156498597</v>
      </c>
      <c r="K246" s="2">
        <f t="shared" si="17"/>
        <v>-5.0450096379709723</v>
      </c>
      <c r="L246" s="2"/>
      <c r="M246" s="2"/>
      <c r="O246" s="4"/>
      <c r="P246" s="4"/>
      <c r="Q246" s="4"/>
      <c r="R246" s="4"/>
      <c r="S246" s="4"/>
    </row>
    <row r="247" spans="3:19" x14ac:dyDescent="0.25">
      <c r="C247" s="1">
        <v>42025</v>
      </c>
      <c r="D247" s="2">
        <v>2032.119995</v>
      </c>
      <c r="E247" s="3">
        <f t="shared" si="18"/>
        <v>4.7316238254433785E-3</v>
      </c>
      <c r="F247" s="3">
        <f t="shared" si="19"/>
        <v>4.720464879542292E-3</v>
      </c>
      <c r="G247" s="2"/>
      <c r="H247" s="2"/>
      <c r="I247" s="2"/>
      <c r="J247" s="2">
        <f t="shared" si="20"/>
        <v>9.4157217506217474</v>
      </c>
      <c r="K247" s="2">
        <f t="shared" si="17"/>
        <v>-3.97191210560826</v>
      </c>
      <c r="L247" s="2"/>
      <c r="M247" s="2"/>
      <c r="O247" s="4"/>
      <c r="P247" s="4"/>
      <c r="Q247" s="4"/>
      <c r="R247" s="4"/>
      <c r="S247" s="4"/>
    </row>
    <row r="248" spans="3:19" x14ac:dyDescent="0.25">
      <c r="C248" s="1">
        <v>42024</v>
      </c>
      <c r="D248" s="2">
        <v>2022.5500489999999</v>
      </c>
      <c r="E248" s="3">
        <f t="shared" si="18"/>
        <v>1.5499524278268393E-3</v>
      </c>
      <c r="F248" s="3">
        <f t="shared" si="19"/>
        <v>1.5487524912989278E-3</v>
      </c>
      <c r="G248" s="2"/>
      <c r="H248" s="2"/>
      <c r="I248" s="2"/>
      <c r="J248" s="2">
        <f t="shared" si="20"/>
        <v>3.2952357931751979</v>
      </c>
      <c r="K248" s="2">
        <f t="shared" si="17"/>
        <v>-3.8555323103287753</v>
      </c>
      <c r="L248" s="2"/>
      <c r="M248" s="2"/>
      <c r="O248" s="4"/>
      <c r="P248" s="4"/>
      <c r="Q248" s="4"/>
      <c r="R248" s="4"/>
      <c r="S248" s="4"/>
    </row>
    <row r="249" spans="3:19" x14ac:dyDescent="0.25">
      <c r="C249" s="1">
        <v>42020</v>
      </c>
      <c r="D249" s="2">
        <v>2019.420044</v>
      </c>
      <c r="E249" s="3">
        <f t="shared" si="18"/>
        <v>1.3424199395451945E-2</v>
      </c>
      <c r="F249" s="3">
        <f t="shared" si="19"/>
        <v>1.3334893185903807E-2</v>
      </c>
      <c r="G249" s="2"/>
      <c r="H249" s="2"/>
      <c r="I249" s="2"/>
      <c r="J249" s="2">
        <f t="shared" si="20"/>
        <v>26.137368979853449</v>
      </c>
      <c r="K249" s="2">
        <f t="shared" si="17"/>
        <v>-4.9125351791596819</v>
      </c>
      <c r="L249" s="2"/>
      <c r="M249" s="2"/>
      <c r="O249" s="4"/>
      <c r="P249" s="4"/>
      <c r="Q249" s="4"/>
      <c r="R249" s="4"/>
      <c r="S249" s="4"/>
    </row>
    <row r="250" spans="3:19" x14ac:dyDescent="0.25">
      <c r="C250" s="1">
        <v>42019</v>
      </c>
      <c r="D250" s="2">
        <v>1992.670044</v>
      </c>
      <c r="E250" s="3">
        <f t="shared" si="18"/>
        <v>-9.2478761255537292E-3</v>
      </c>
      <c r="F250" s="3">
        <f t="shared" si="19"/>
        <v>-9.2909032101848917E-3</v>
      </c>
      <c r="G250" s="2"/>
      <c r="H250" s="2"/>
      <c r="I250" s="2"/>
      <c r="J250" s="2">
        <f t="shared" si="20"/>
        <v>-17.476223535210856</v>
      </c>
      <c r="K250" s="2">
        <f t="shared" si="17"/>
        <v>-4.2478497628245</v>
      </c>
      <c r="L250" s="2"/>
      <c r="M250" s="2"/>
      <c r="O250" s="4"/>
      <c r="P250" s="4"/>
      <c r="Q250" s="4"/>
      <c r="R250" s="4"/>
      <c r="S250" s="4"/>
    </row>
    <row r="251" spans="3:19" x14ac:dyDescent="0.25">
      <c r="C251" s="1">
        <v>42018</v>
      </c>
      <c r="D251" s="2">
        <v>2011.2700199999999</v>
      </c>
      <c r="E251" s="3">
        <f t="shared" si="18"/>
        <v>-5.8130669497838093E-3</v>
      </c>
      <c r="F251" s="3">
        <f t="shared" si="19"/>
        <v>-5.8300285881662875E-3</v>
      </c>
      <c r="G251" s="2"/>
      <c r="H251" s="2"/>
      <c r="I251" s="2"/>
      <c r="J251" s="2">
        <f t="shared" si="20"/>
        <v>-10.868784016925931</v>
      </c>
      <c r="K251" s="2">
        <f>-LN($I$1)-0.5*LN(2*PI()*(1+$I$2^2))-0.5*(J251-$I$3*J252)^2/($I$1^2*(1+$I$2^2))</f>
        <v>-4.0098306628636307</v>
      </c>
      <c r="L251" s="2"/>
      <c r="M251" s="2"/>
      <c r="O251" s="4"/>
      <c r="P251" s="4"/>
      <c r="Q251" s="4"/>
      <c r="R251" s="4"/>
      <c r="S251" s="4"/>
    </row>
    <row r="252" spans="3:19" x14ac:dyDescent="0.25">
      <c r="C252" s="1">
        <v>42017</v>
      </c>
      <c r="D252" s="2">
        <v>2023.030029</v>
      </c>
      <c r="E252" s="3">
        <f t="shared" si="18"/>
        <v>-2.578555497921567E-3</v>
      </c>
      <c r="F252" s="3">
        <f t="shared" si="19"/>
        <v>-2.5818856981186258E-3</v>
      </c>
      <c r="G252" s="2"/>
      <c r="H252" s="2"/>
      <c r="I252" s="2"/>
      <c r="J252" s="2">
        <f t="shared" si="20"/>
        <v>-4.646651230003588</v>
      </c>
      <c r="L252" s="2"/>
      <c r="M252" s="2"/>
      <c r="O252" s="4"/>
      <c r="P252" s="4"/>
      <c r="Q252" s="4"/>
      <c r="R252" s="4"/>
      <c r="S252" s="4"/>
    </row>
    <row r="253" spans="3:19" x14ac:dyDescent="0.25">
      <c r="C253" s="1">
        <v>42016</v>
      </c>
      <c r="D253" s="2">
        <v>2028.26001</v>
      </c>
      <c r="O253" s="4"/>
      <c r="P253" s="4"/>
      <c r="Q253" s="4"/>
      <c r="R253" s="4"/>
      <c r="S253" s="4"/>
    </row>
    <row r="254" spans="3:19" x14ac:dyDescent="0.25">
      <c r="C254" s="1"/>
      <c r="D254" s="2"/>
      <c r="O254" s="4"/>
      <c r="P254" s="4"/>
      <c r="Q254" s="4"/>
      <c r="R254" s="4"/>
      <c r="S254" s="4"/>
    </row>
    <row r="255" spans="3:19" x14ac:dyDescent="0.25">
      <c r="C255" s="1"/>
      <c r="D255" s="2"/>
      <c r="O255" s="4"/>
      <c r="P255" s="4"/>
      <c r="Q255" s="4"/>
      <c r="R255" s="4"/>
      <c r="S255" s="4"/>
    </row>
    <row r="256" spans="3:19" x14ac:dyDescent="0.25">
      <c r="C256" s="1"/>
      <c r="D256" s="2"/>
      <c r="O256" s="4"/>
      <c r="P256" s="4"/>
      <c r="Q256" s="4"/>
      <c r="R256" s="4"/>
      <c r="S256" s="4"/>
    </row>
    <row r="257" spans="3:19" x14ac:dyDescent="0.25">
      <c r="C257" s="1"/>
      <c r="D257" s="2"/>
      <c r="O257" s="4"/>
      <c r="P257" s="4"/>
      <c r="Q257" s="4"/>
      <c r="R257" s="4"/>
      <c r="S257" s="4"/>
    </row>
    <row r="258" spans="3:19" x14ac:dyDescent="0.25">
      <c r="C258" s="1"/>
      <c r="D258" s="2"/>
      <c r="O258" s="4"/>
      <c r="P258" s="4"/>
      <c r="Q258" s="4"/>
      <c r="R258" s="4"/>
      <c r="S258" s="4"/>
    </row>
    <row r="259" spans="3:19" x14ac:dyDescent="0.25">
      <c r="O259" s="4"/>
      <c r="P259" s="4"/>
      <c r="Q259" s="4"/>
      <c r="R259" s="4"/>
      <c r="S259" s="4"/>
    </row>
    <row r="260" spans="3:19" x14ac:dyDescent="0.25">
      <c r="O260" s="4"/>
      <c r="P260" s="4"/>
      <c r="Q260" s="4"/>
      <c r="R260" s="4"/>
      <c r="S260" s="4"/>
    </row>
    <row r="261" spans="3:19" x14ac:dyDescent="0.25">
      <c r="O261" s="4"/>
      <c r="P261" s="4"/>
      <c r="Q261" s="4"/>
      <c r="R261" s="4"/>
      <c r="S261" s="4"/>
    </row>
    <row r="262" spans="3:19" x14ac:dyDescent="0.25">
      <c r="O262" s="4"/>
      <c r="P262" s="4"/>
      <c r="Q262" s="4"/>
      <c r="R262" s="4"/>
      <c r="S262" s="4"/>
    </row>
    <row r="263" spans="3:19" x14ac:dyDescent="0.25">
      <c r="O263" s="4"/>
      <c r="P263" s="4"/>
      <c r="Q263" s="4"/>
      <c r="R263" s="4"/>
      <c r="S263" s="4"/>
    </row>
    <row r="264" spans="3:19" x14ac:dyDescent="0.25">
      <c r="O264" s="4"/>
      <c r="P264" s="4"/>
      <c r="Q264" s="4"/>
      <c r="R264" s="4"/>
      <c r="S264" s="4"/>
    </row>
    <row r="265" spans="3:19" x14ac:dyDescent="0.25">
      <c r="O265" s="4"/>
      <c r="P265" s="4"/>
      <c r="Q265" s="4"/>
      <c r="R265" s="4"/>
      <c r="S265" s="4"/>
    </row>
    <row r="266" spans="3:19" x14ac:dyDescent="0.25">
      <c r="O266" s="4"/>
      <c r="P266" s="4"/>
      <c r="Q266" s="4"/>
      <c r="R266" s="4"/>
      <c r="S266" s="4"/>
    </row>
    <row r="267" spans="3:19" x14ac:dyDescent="0.25">
      <c r="O267" s="4"/>
      <c r="P267" s="4"/>
      <c r="Q267" s="4"/>
      <c r="R267" s="4"/>
      <c r="S267" s="4"/>
    </row>
    <row r="268" spans="3:19" x14ac:dyDescent="0.25">
      <c r="O268" s="4"/>
      <c r="P268" s="4"/>
      <c r="Q268" s="4"/>
      <c r="R268" s="4"/>
      <c r="S268" s="4"/>
    </row>
    <row r="269" spans="3:19" x14ac:dyDescent="0.25">
      <c r="O269" s="4"/>
      <c r="P269" s="4"/>
      <c r="Q269" s="4"/>
      <c r="R269" s="4"/>
      <c r="S269" s="4"/>
    </row>
    <row r="270" spans="3:19" x14ac:dyDescent="0.25">
      <c r="O270" s="4"/>
      <c r="P270" s="4"/>
      <c r="Q270" s="4"/>
      <c r="R270" s="4"/>
      <c r="S270" s="4"/>
    </row>
    <row r="271" spans="3:19" x14ac:dyDescent="0.25">
      <c r="O271" s="4"/>
      <c r="P271" s="4"/>
      <c r="Q271" s="4"/>
      <c r="R271" s="4"/>
      <c r="S271" s="4"/>
    </row>
    <row r="272" spans="3:19" x14ac:dyDescent="0.25">
      <c r="O272" s="4"/>
      <c r="P272" s="4"/>
      <c r="Q272" s="4"/>
      <c r="R272" s="4"/>
      <c r="S272" s="4"/>
    </row>
    <row r="273" spans="15:19" x14ac:dyDescent="0.25">
      <c r="O273" s="4"/>
      <c r="P273" s="4"/>
      <c r="Q273" s="4"/>
      <c r="R273" s="4"/>
      <c r="S273" s="4"/>
    </row>
    <row r="274" spans="15:19" x14ac:dyDescent="0.25">
      <c r="O274" s="4"/>
      <c r="P274" s="4"/>
      <c r="Q274" s="4"/>
      <c r="R274" s="4"/>
      <c r="S274" s="4"/>
    </row>
    <row r="275" spans="15:19" x14ac:dyDescent="0.25">
      <c r="O275" s="4"/>
      <c r="P275" s="4"/>
      <c r="Q275" s="4"/>
      <c r="R275" s="4"/>
      <c r="S275" s="4"/>
    </row>
    <row r="276" spans="15:19" x14ac:dyDescent="0.25">
      <c r="O276" s="4"/>
      <c r="P276" s="4"/>
      <c r="Q276" s="4"/>
      <c r="R276" s="4"/>
      <c r="S276" s="4"/>
    </row>
    <row r="277" spans="15:19" x14ac:dyDescent="0.25">
      <c r="O277" s="4"/>
      <c r="P277" s="4"/>
      <c r="Q277" s="4"/>
      <c r="R277" s="4"/>
      <c r="S277" s="4"/>
    </row>
    <row r="278" spans="15:19" x14ac:dyDescent="0.25">
      <c r="O278" s="4"/>
      <c r="P278" s="4"/>
      <c r="Q278" s="4"/>
      <c r="R278" s="4"/>
      <c r="S278" s="4"/>
    </row>
    <row r="279" spans="15:19" x14ac:dyDescent="0.25">
      <c r="O279" s="4"/>
      <c r="P279" s="4"/>
      <c r="Q279" s="4"/>
      <c r="R279" s="4"/>
      <c r="S279" s="4"/>
    </row>
    <row r="280" spans="15:19" x14ac:dyDescent="0.25">
      <c r="O280" s="4"/>
      <c r="P280" s="4"/>
      <c r="Q280" s="4"/>
      <c r="R280" s="4"/>
      <c r="S280" s="4"/>
    </row>
    <row r="281" spans="15:19" x14ac:dyDescent="0.25">
      <c r="O281" s="4"/>
      <c r="P281" s="4"/>
      <c r="Q281" s="4"/>
      <c r="R281" s="4"/>
      <c r="S281" s="4"/>
    </row>
    <row r="282" spans="15:19" x14ac:dyDescent="0.25">
      <c r="O282" s="4"/>
      <c r="P282" s="4"/>
      <c r="Q282" s="4"/>
      <c r="R282" s="4"/>
      <c r="S282" s="4"/>
    </row>
    <row r="283" spans="15:19" x14ac:dyDescent="0.25">
      <c r="O283" s="4"/>
      <c r="P283" s="4"/>
      <c r="Q283" s="4"/>
      <c r="R283" s="4"/>
      <c r="S283" s="4"/>
    </row>
    <row r="284" spans="15:19" x14ac:dyDescent="0.25">
      <c r="O284" s="4"/>
      <c r="P284" s="4"/>
      <c r="Q284" s="4"/>
      <c r="R284" s="4"/>
      <c r="S284" s="4"/>
    </row>
    <row r="285" spans="15:19" x14ac:dyDescent="0.25">
      <c r="O285" s="4"/>
      <c r="P285" s="4"/>
      <c r="Q285" s="4"/>
      <c r="R285" s="4"/>
      <c r="S285" s="4"/>
    </row>
    <row r="286" spans="15:19" x14ac:dyDescent="0.25">
      <c r="O286" s="4"/>
      <c r="P286" s="4"/>
      <c r="Q286" s="4"/>
      <c r="R286" s="4"/>
      <c r="S286" s="4"/>
    </row>
    <row r="287" spans="15:19" x14ac:dyDescent="0.25">
      <c r="O287" s="4"/>
      <c r="P287" s="4"/>
      <c r="Q287" s="4"/>
      <c r="R287" s="4"/>
      <c r="S287" s="4"/>
    </row>
    <row r="288" spans="15:19" x14ac:dyDescent="0.25">
      <c r="O288" s="4"/>
      <c r="P288" s="4"/>
      <c r="Q288" s="4"/>
      <c r="R288" s="4"/>
      <c r="S288" s="4"/>
    </row>
    <row r="289" spans="15:19" x14ac:dyDescent="0.25">
      <c r="O289" s="4"/>
      <c r="P289" s="4"/>
      <c r="Q289" s="4"/>
      <c r="R289" s="4"/>
      <c r="S289" s="4"/>
    </row>
    <row r="290" spans="15:19" x14ac:dyDescent="0.25">
      <c r="O290" s="4"/>
      <c r="P290" s="4"/>
      <c r="Q290" s="4"/>
      <c r="R290" s="4"/>
      <c r="S290" s="4"/>
    </row>
    <row r="291" spans="15:19" x14ac:dyDescent="0.25">
      <c r="O291" s="4"/>
      <c r="P291" s="4"/>
      <c r="Q291" s="4"/>
      <c r="R291" s="4"/>
      <c r="S291" s="4"/>
    </row>
    <row r="292" spans="15:19" x14ac:dyDescent="0.25">
      <c r="O292" s="4"/>
      <c r="P292" s="4"/>
      <c r="Q292" s="4"/>
      <c r="R292" s="4"/>
      <c r="S292" s="4"/>
    </row>
    <row r="293" spans="15:19" x14ac:dyDescent="0.25">
      <c r="O293" s="4"/>
      <c r="P293" s="4"/>
      <c r="Q293" s="4"/>
      <c r="R293" s="4"/>
      <c r="S293" s="4"/>
    </row>
    <row r="294" spans="15:19" x14ac:dyDescent="0.25">
      <c r="O294" s="4"/>
      <c r="P294" s="4"/>
      <c r="Q294" s="4"/>
      <c r="R294" s="4"/>
      <c r="S294" s="4"/>
    </row>
    <row r="295" spans="15:19" x14ac:dyDescent="0.25">
      <c r="O295" s="4"/>
      <c r="P295" s="4"/>
      <c r="Q295" s="4"/>
      <c r="R295" s="4"/>
      <c r="S295" s="4"/>
    </row>
    <row r="296" spans="15:19" x14ac:dyDescent="0.25">
      <c r="O296" s="4"/>
      <c r="P296" s="4"/>
      <c r="Q296" s="4"/>
      <c r="R296" s="4"/>
      <c r="S296" s="4"/>
    </row>
    <row r="297" spans="15:19" x14ac:dyDescent="0.25">
      <c r="O297" s="4"/>
      <c r="P297" s="4"/>
      <c r="Q297" s="4"/>
      <c r="R297" s="4"/>
      <c r="S297" s="4"/>
    </row>
    <row r="298" spans="15:19" x14ac:dyDescent="0.25">
      <c r="O298" s="4"/>
      <c r="P298" s="4"/>
      <c r="Q298" s="4"/>
      <c r="R298" s="4"/>
      <c r="S298" s="4"/>
    </row>
    <row r="299" spans="15:19" x14ac:dyDescent="0.25">
      <c r="O299" s="4"/>
      <c r="P299" s="4"/>
      <c r="Q299" s="4"/>
      <c r="R299" s="4"/>
      <c r="S299" s="4"/>
    </row>
    <row r="300" spans="15:19" x14ac:dyDescent="0.25">
      <c r="O300" s="4"/>
      <c r="P300" s="4"/>
      <c r="Q300" s="4"/>
      <c r="R300" s="4"/>
      <c r="S300" s="4"/>
    </row>
    <row r="301" spans="15:19" x14ac:dyDescent="0.25">
      <c r="O301" s="4"/>
      <c r="P301" s="4"/>
      <c r="Q301" s="4"/>
      <c r="R301" s="4"/>
      <c r="S301" s="4"/>
    </row>
    <row r="302" spans="15:19" x14ac:dyDescent="0.25">
      <c r="O302" s="4"/>
      <c r="P302" s="4"/>
      <c r="Q302" s="4"/>
      <c r="R302" s="4"/>
      <c r="S302" s="4"/>
    </row>
    <row r="303" spans="15:19" x14ac:dyDescent="0.25">
      <c r="O303" s="4"/>
      <c r="P303" s="4"/>
      <c r="Q303" s="4"/>
      <c r="R303" s="4"/>
      <c r="S303" s="4"/>
    </row>
    <row r="304" spans="15:19" x14ac:dyDescent="0.25">
      <c r="O304" s="4"/>
      <c r="P304" s="4"/>
      <c r="Q304" s="4"/>
      <c r="R304" s="4"/>
      <c r="S304" s="4"/>
    </row>
    <row r="305" spans="15:19" x14ac:dyDescent="0.25">
      <c r="O305" s="4"/>
      <c r="P305" s="4"/>
      <c r="Q305" s="4"/>
      <c r="R305" s="4"/>
      <c r="S305" s="4"/>
    </row>
    <row r="306" spans="15:19" x14ac:dyDescent="0.25">
      <c r="O306" s="4"/>
      <c r="P306" s="4"/>
      <c r="Q306" s="4"/>
      <c r="R306" s="4"/>
      <c r="S306" s="4"/>
    </row>
    <row r="307" spans="15:19" x14ac:dyDescent="0.25">
      <c r="O307" s="4"/>
      <c r="P307" s="4"/>
      <c r="Q307" s="4"/>
      <c r="R307" s="4"/>
      <c r="S307" s="4"/>
    </row>
    <row r="308" spans="15:19" x14ac:dyDescent="0.25">
      <c r="O308" s="4"/>
      <c r="P308" s="4"/>
      <c r="Q308" s="4"/>
      <c r="R308" s="4"/>
      <c r="S308" s="4"/>
    </row>
    <row r="309" spans="15:19" x14ac:dyDescent="0.25">
      <c r="O309" s="4"/>
      <c r="P309" s="4"/>
      <c r="Q309" s="4"/>
      <c r="R309" s="4"/>
      <c r="S309" s="4"/>
    </row>
    <row r="310" spans="15:19" x14ac:dyDescent="0.25">
      <c r="O310" s="4"/>
      <c r="P310" s="4"/>
      <c r="Q310" s="4"/>
      <c r="R310" s="4"/>
      <c r="S310" s="4"/>
    </row>
    <row r="311" spans="15:19" x14ac:dyDescent="0.25">
      <c r="O311" s="4"/>
      <c r="P311" s="4"/>
      <c r="Q311" s="4"/>
      <c r="R311" s="4"/>
      <c r="S311" s="4"/>
    </row>
    <row r="312" spans="15:19" x14ac:dyDescent="0.25">
      <c r="O312" s="4"/>
      <c r="P312" s="4"/>
      <c r="Q312" s="4"/>
      <c r="R312" s="4"/>
      <c r="S312" s="4"/>
    </row>
    <row r="313" spans="15:19" x14ac:dyDescent="0.25">
      <c r="O313" s="4"/>
      <c r="P313" s="4"/>
      <c r="Q313" s="4"/>
      <c r="R313" s="4"/>
      <c r="S313" s="4"/>
    </row>
    <row r="314" spans="15:19" x14ac:dyDescent="0.25">
      <c r="O314" s="4"/>
      <c r="P314" s="4"/>
      <c r="Q314" s="4"/>
      <c r="R314" s="4"/>
      <c r="S314" s="4"/>
    </row>
    <row r="315" spans="15:19" x14ac:dyDescent="0.25">
      <c r="O315" s="4"/>
      <c r="P315" s="4"/>
      <c r="Q315" s="4"/>
      <c r="R315" s="4"/>
      <c r="S315" s="4"/>
    </row>
    <row r="316" spans="15:19" x14ac:dyDescent="0.25">
      <c r="O316" s="4"/>
      <c r="P316" s="4"/>
      <c r="Q316" s="4"/>
      <c r="R316" s="4"/>
      <c r="S316" s="4"/>
    </row>
    <row r="317" spans="15:19" x14ac:dyDescent="0.25">
      <c r="O317" s="4"/>
      <c r="P317" s="4"/>
      <c r="Q317" s="4"/>
      <c r="R317" s="4"/>
      <c r="S317" s="4"/>
    </row>
    <row r="318" spans="15:19" x14ac:dyDescent="0.25">
      <c r="O318" s="4"/>
      <c r="P318" s="4"/>
      <c r="Q318" s="4"/>
      <c r="R318" s="4"/>
      <c r="S318" s="4"/>
    </row>
    <row r="319" spans="15:19" x14ac:dyDescent="0.25">
      <c r="O319" s="4"/>
      <c r="P319" s="4"/>
      <c r="Q319" s="4"/>
      <c r="R319" s="4"/>
      <c r="S319" s="4"/>
    </row>
    <row r="320" spans="15:19" x14ac:dyDescent="0.25">
      <c r="O320" s="4"/>
      <c r="P320" s="4"/>
      <c r="Q320" s="4"/>
      <c r="R320" s="4"/>
      <c r="S320" s="4"/>
    </row>
    <row r="321" spans="15:19" x14ac:dyDescent="0.25">
      <c r="O321" s="4"/>
      <c r="P321" s="4"/>
      <c r="Q321" s="4"/>
      <c r="R321" s="4"/>
      <c r="S321" s="4"/>
    </row>
    <row r="322" spans="15:19" x14ac:dyDescent="0.25">
      <c r="O322" s="4"/>
      <c r="P322" s="4"/>
      <c r="Q322" s="4"/>
      <c r="R322" s="4"/>
      <c r="S322" s="4"/>
    </row>
    <row r="323" spans="15:19" x14ac:dyDescent="0.25">
      <c r="O323" s="4"/>
      <c r="P323" s="4"/>
      <c r="Q323" s="4"/>
      <c r="R323" s="4"/>
      <c r="S323" s="4"/>
    </row>
    <row r="324" spans="15:19" x14ac:dyDescent="0.25">
      <c r="O324" s="4"/>
      <c r="P324" s="4"/>
      <c r="Q324" s="4"/>
      <c r="R324" s="4"/>
      <c r="S324" s="4"/>
    </row>
    <row r="325" spans="15:19" x14ac:dyDescent="0.25">
      <c r="O325" s="4"/>
      <c r="P325" s="4"/>
      <c r="Q325" s="4"/>
      <c r="R325" s="4"/>
      <c r="S325" s="4"/>
    </row>
    <row r="326" spans="15:19" x14ac:dyDescent="0.25">
      <c r="O326" s="4"/>
      <c r="P326" s="4"/>
      <c r="Q326" s="4"/>
      <c r="R326" s="4"/>
      <c r="S326" s="4"/>
    </row>
    <row r="327" spans="15:19" x14ac:dyDescent="0.25">
      <c r="O327" s="4"/>
      <c r="P327" s="4"/>
      <c r="Q327" s="4"/>
      <c r="R327" s="4"/>
      <c r="S327" s="4"/>
    </row>
    <row r="328" spans="15:19" x14ac:dyDescent="0.25">
      <c r="O328" s="4"/>
      <c r="P328" s="4"/>
      <c r="Q328" s="4"/>
      <c r="R328" s="4"/>
      <c r="S328" s="4"/>
    </row>
    <row r="329" spans="15:19" x14ac:dyDescent="0.25">
      <c r="O329" s="4"/>
      <c r="P329" s="4"/>
      <c r="Q329" s="4"/>
      <c r="R329" s="4"/>
      <c r="S329" s="4"/>
    </row>
    <row r="330" spans="15:19" x14ac:dyDescent="0.25">
      <c r="O330" s="4"/>
      <c r="P330" s="4"/>
      <c r="Q330" s="4"/>
      <c r="R330" s="4"/>
      <c r="S330" s="4"/>
    </row>
    <row r="331" spans="15:19" x14ac:dyDescent="0.25">
      <c r="O331" s="4"/>
      <c r="P331" s="4"/>
      <c r="Q331" s="4"/>
      <c r="R331" s="4"/>
      <c r="S331" s="4"/>
    </row>
    <row r="332" spans="15:19" x14ac:dyDescent="0.25">
      <c r="O332" s="4"/>
      <c r="P332" s="4"/>
      <c r="Q332" s="4"/>
      <c r="R332" s="4"/>
      <c r="S332" s="4"/>
    </row>
    <row r="333" spans="15:19" x14ac:dyDescent="0.25">
      <c r="O333" s="4"/>
      <c r="P333" s="4"/>
      <c r="Q333" s="4"/>
      <c r="R333" s="4"/>
      <c r="S333" s="4"/>
    </row>
    <row r="334" spans="15:19" x14ac:dyDescent="0.25">
      <c r="O334" s="4"/>
      <c r="P334" s="4"/>
      <c r="Q334" s="4"/>
      <c r="R334" s="4"/>
      <c r="S334" s="4"/>
    </row>
    <row r="335" spans="15:19" x14ac:dyDescent="0.25">
      <c r="O335" s="4"/>
      <c r="P335" s="4"/>
      <c r="Q335" s="4"/>
      <c r="R335" s="4"/>
      <c r="S335" s="4"/>
    </row>
    <row r="336" spans="15:19" x14ac:dyDescent="0.25">
      <c r="O336" s="4"/>
      <c r="P336" s="4"/>
      <c r="Q336" s="4"/>
      <c r="R336" s="4"/>
      <c r="S336" s="4"/>
    </row>
    <row r="337" spans="15:19" x14ac:dyDescent="0.25">
      <c r="O337" s="4"/>
      <c r="P337" s="4"/>
      <c r="Q337" s="4"/>
      <c r="R337" s="4"/>
      <c r="S337" s="4"/>
    </row>
    <row r="338" spans="15:19" x14ac:dyDescent="0.25">
      <c r="O338" s="4"/>
      <c r="P338" s="4"/>
      <c r="Q338" s="4"/>
      <c r="R338" s="4"/>
      <c r="S338" s="4"/>
    </row>
    <row r="339" spans="15:19" x14ac:dyDescent="0.25">
      <c r="O339" s="4"/>
      <c r="P339" s="4"/>
      <c r="Q339" s="4"/>
      <c r="R339" s="4"/>
      <c r="S339" s="4"/>
    </row>
    <row r="340" spans="15:19" x14ac:dyDescent="0.25">
      <c r="O340" s="4"/>
      <c r="P340" s="4"/>
      <c r="Q340" s="4"/>
      <c r="R340" s="4"/>
      <c r="S340" s="4"/>
    </row>
    <row r="341" spans="15:19" x14ac:dyDescent="0.25">
      <c r="O341" s="4"/>
      <c r="P341" s="4"/>
      <c r="Q341" s="4"/>
      <c r="R341" s="4"/>
      <c r="S341" s="4"/>
    </row>
    <row r="342" spans="15:19" x14ac:dyDescent="0.25">
      <c r="O342" s="4"/>
      <c r="P342" s="4"/>
      <c r="Q342" s="4"/>
      <c r="R342" s="4"/>
      <c r="S342" s="4"/>
    </row>
    <row r="343" spans="15:19" x14ac:dyDescent="0.25">
      <c r="O343" s="4"/>
      <c r="P343" s="4"/>
      <c r="Q343" s="4"/>
      <c r="R343" s="4"/>
      <c r="S343" s="4"/>
    </row>
    <row r="344" spans="15:19" x14ac:dyDescent="0.25">
      <c r="O344" s="4"/>
      <c r="P344" s="4"/>
      <c r="Q344" s="4"/>
      <c r="R344" s="4"/>
      <c r="S344" s="4"/>
    </row>
    <row r="345" spans="15:19" x14ac:dyDescent="0.25">
      <c r="O345" s="4"/>
      <c r="P345" s="4"/>
      <c r="Q345" s="4"/>
      <c r="R345" s="4"/>
      <c r="S345" s="4"/>
    </row>
    <row r="346" spans="15:19" x14ac:dyDescent="0.25">
      <c r="O346" s="4"/>
      <c r="P346" s="4"/>
      <c r="Q346" s="4"/>
      <c r="R346" s="4"/>
      <c r="S346" s="4"/>
    </row>
    <row r="347" spans="15:19" x14ac:dyDescent="0.25">
      <c r="O347" s="4"/>
      <c r="P347" s="4"/>
      <c r="Q347" s="4"/>
      <c r="R347" s="4"/>
      <c r="S347" s="4"/>
    </row>
    <row r="348" spans="15:19" x14ac:dyDescent="0.25">
      <c r="O348" s="4"/>
      <c r="P348" s="4"/>
      <c r="Q348" s="4"/>
      <c r="R348" s="4"/>
      <c r="S348" s="4"/>
    </row>
    <row r="349" spans="15:19" x14ac:dyDescent="0.25">
      <c r="O349" s="4"/>
      <c r="P349" s="4"/>
      <c r="Q349" s="4"/>
      <c r="R349" s="4"/>
      <c r="S349" s="4"/>
    </row>
    <row r="350" spans="15:19" x14ac:dyDescent="0.25">
      <c r="O350" s="4"/>
      <c r="P350" s="4"/>
      <c r="Q350" s="4"/>
      <c r="R350" s="4"/>
      <c r="S350" s="4"/>
    </row>
    <row r="351" spans="15:19" x14ac:dyDescent="0.25">
      <c r="O351" s="4"/>
      <c r="P351" s="4"/>
      <c r="Q351" s="4"/>
      <c r="R351" s="4"/>
      <c r="S351" s="4"/>
    </row>
    <row r="352" spans="15:19" x14ac:dyDescent="0.25">
      <c r="O352" s="4"/>
      <c r="P352" s="4"/>
      <c r="Q352" s="4"/>
      <c r="R352" s="4"/>
      <c r="S352" s="4"/>
    </row>
    <row r="353" spans="15:19" x14ac:dyDescent="0.25">
      <c r="O353" s="4"/>
      <c r="P353" s="4"/>
      <c r="Q353" s="4"/>
      <c r="R353" s="4"/>
      <c r="S353" s="4"/>
    </row>
    <row r="354" spans="15:19" x14ac:dyDescent="0.25">
      <c r="O354" s="4"/>
      <c r="P354" s="4"/>
      <c r="Q354" s="4"/>
      <c r="R354" s="4"/>
      <c r="S354" s="4"/>
    </row>
    <row r="355" spans="15:19" x14ac:dyDescent="0.25">
      <c r="O355" s="4"/>
      <c r="P355" s="4"/>
      <c r="Q355" s="4"/>
      <c r="R355" s="4"/>
      <c r="S355" s="4"/>
    </row>
    <row r="356" spans="15:19" x14ac:dyDescent="0.25">
      <c r="O356" s="4"/>
      <c r="P356" s="4"/>
      <c r="Q356" s="4"/>
      <c r="R356" s="4"/>
      <c r="S356" s="4"/>
    </row>
    <row r="357" spans="15:19" x14ac:dyDescent="0.25">
      <c r="O357" s="4"/>
      <c r="P357" s="4"/>
      <c r="Q357" s="4"/>
      <c r="R357" s="4"/>
      <c r="S357" s="4"/>
    </row>
    <row r="358" spans="15:19" x14ac:dyDescent="0.25">
      <c r="O358" s="4"/>
      <c r="P358" s="4"/>
      <c r="Q358" s="4"/>
      <c r="R358" s="4"/>
      <c r="S358" s="4"/>
    </row>
    <row r="359" spans="15:19" x14ac:dyDescent="0.25">
      <c r="O359" s="4"/>
      <c r="P359" s="4"/>
      <c r="Q359" s="4"/>
      <c r="R359" s="4"/>
      <c r="S359" s="4"/>
    </row>
    <row r="360" spans="15:19" x14ac:dyDescent="0.25">
      <c r="O360" s="4"/>
      <c r="P360" s="4"/>
      <c r="Q360" s="4"/>
      <c r="R360" s="4"/>
      <c r="S360" s="4"/>
    </row>
    <row r="361" spans="15:19" x14ac:dyDescent="0.25">
      <c r="O361" s="4"/>
      <c r="P361" s="4"/>
      <c r="Q361" s="4"/>
      <c r="R361" s="4"/>
      <c r="S361" s="4"/>
    </row>
    <row r="362" spans="15:19" x14ac:dyDescent="0.25">
      <c r="O362" s="4"/>
      <c r="P362" s="4"/>
      <c r="Q362" s="4"/>
      <c r="R362" s="4"/>
      <c r="S362" s="4"/>
    </row>
    <row r="363" spans="15:19" x14ac:dyDescent="0.25">
      <c r="O363" s="4"/>
      <c r="P363" s="4"/>
      <c r="Q363" s="4"/>
      <c r="R363" s="4"/>
      <c r="S363" s="4"/>
    </row>
    <row r="364" spans="15:19" x14ac:dyDescent="0.25">
      <c r="O364" s="4"/>
      <c r="P364" s="4"/>
      <c r="Q364" s="4"/>
      <c r="R364" s="4"/>
      <c r="S364" s="4"/>
    </row>
    <row r="365" spans="15:19" x14ac:dyDescent="0.25">
      <c r="O365" s="4"/>
      <c r="P365" s="4"/>
      <c r="Q365" s="4"/>
      <c r="R365" s="4"/>
      <c r="S365" s="4"/>
    </row>
    <row r="366" spans="15:19" x14ac:dyDescent="0.25">
      <c r="O366" s="4"/>
      <c r="P366" s="4"/>
      <c r="Q366" s="4"/>
      <c r="R366" s="4"/>
      <c r="S366" s="4"/>
    </row>
    <row r="367" spans="15:19" x14ac:dyDescent="0.25">
      <c r="O367" s="4"/>
      <c r="P367" s="4"/>
      <c r="Q367" s="4"/>
      <c r="R367" s="4"/>
      <c r="S367" s="4"/>
    </row>
    <row r="368" spans="15:19" x14ac:dyDescent="0.25">
      <c r="O368" s="4"/>
      <c r="P368" s="4"/>
      <c r="Q368" s="4"/>
      <c r="R368" s="4"/>
      <c r="S368" s="4"/>
    </row>
    <row r="369" spans="15:19" x14ac:dyDescent="0.25">
      <c r="O369" s="4"/>
      <c r="P369" s="4"/>
      <c r="Q369" s="4"/>
      <c r="R369" s="4"/>
      <c r="S369" s="4"/>
    </row>
    <row r="370" spans="15:19" x14ac:dyDescent="0.25">
      <c r="O370" s="4"/>
      <c r="P370" s="4"/>
      <c r="Q370" s="4"/>
      <c r="R370" s="4"/>
      <c r="S370" s="4"/>
    </row>
    <row r="371" spans="15:19" x14ac:dyDescent="0.25">
      <c r="O371" s="4"/>
      <c r="P371" s="4"/>
      <c r="Q371" s="4"/>
      <c r="R371" s="4"/>
      <c r="S371" s="4"/>
    </row>
    <row r="372" spans="15:19" x14ac:dyDescent="0.25">
      <c r="O372" s="4"/>
      <c r="P372" s="4"/>
      <c r="Q372" s="4"/>
      <c r="R372" s="4"/>
      <c r="S372" s="4"/>
    </row>
    <row r="373" spans="15:19" x14ac:dyDescent="0.25">
      <c r="O373" s="4"/>
      <c r="P373" s="4"/>
      <c r="Q373" s="4"/>
      <c r="R373" s="4"/>
      <c r="S373" s="4"/>
    </row>
    <row r="374" spans="15:19" x14ac:dyDescent="0.25">
      <c r="O374" s="4"/>
      <c r="P374" s="4"/>
      <c r="Q374" s="4"/>
      <c r="R374" s="4"/>
      <c r="S374" s="4"/>
    </row>
    <row r="375" spans="15:19" x14ac:dyDescent="0.25">
      <c r="O375" s="4"/>
      <c r="P375" s="4"/>
      <c r="Q375" s="4"/>
      <c r="R375" s="4"/>
      <c r="S375" s="4"/>
    </row>
    <row r="376" spans="15:19" x14ac:dyDescent="0.25">
      <c r="O376" s="4"/>
      <c r="P376" s="4"/>
      <c r="Q376" s="4"/>
      <c r="R376" s="4"/>
      <c r="S376" s="4"/>
    </row>
    <row r="377" spans="15:19" x14ac:dyDescent="0.25">
      <c r="O377" s="4"/>
      <c r="P377" s="4"/>
      <c r="Q377" s="4"/>
      <c r="R377" s="4"/>
      <c r="S377" s="4"/>
    </row>
    <row r="378" spans="15:19" x14ac:dyDescent="0.25">
      <c r="O378" s="4"/>
      <c r="P378" s="4"/>
      <c r="Q378" s="4"/>
      <c r="R378" s="4"/>
      <c r="S378" s="4"/>
    </row>
    <row r="379" spans="15:19" x14ac:dyDescent="0.25">
      <c r="O379" s="4"/>
      <c r="P379" s="4"/>
      <c r="Q379" s="4"/>
      <c r="R379" s="4"/>
      <c r="S379" s="4"/>
    </row>
    <row r="380" spans="15:19" x14ac:dyDescent="0.25">
      <c r="O380" s="4"/>
      <c r="P380" s="4"/>
      <c r="Q380" s="4"/>
      <c r="R380" s="4"/>
      <c r="S380" s="4"/>
    </row>
    <row r="381" spans="15:19" x14ac:dyDescent="0.25">
      <c r="O381" s="4"/>
      <c r="P381" s="4"/>
      <c r="Q381" s="4"/>
      <c r="R381" s="4"/>
      <c r="S381" s="4"/>
    </row>
    <row r="382" spans="15:19" x14ac:dyDescent="0.25">
      <c r="O382" s="4"/>
      <c r="P382" s="4"/>
      <c r="Q382" s="4"/>
      <c r="R382" s="4"/>
      <c r="S382" s="4"/>
    </row>
    <row r="383" spans="15:19" x14ac:dyDescent="0.25">
      <c r="O383" s="4"/>
      <c r="P383" s="4"/>
      <c r="Q383" s="4"/>
      <c r="R383" s="4"/>
      <c r="S383" s="4"/>
    </row>
    <row r="384" spans="15:19" x14ac:dyDescent="0.25">
      <c r="O384" s="4"/>
      <c r="P384" s="4"/>
      <c r="Q384" s="4"/>
      <c r="R384" s="4"/>
      <c r="S384" s="4"/>
    </row>
    <row r="385" spans="15:19" x14ac:dyDescent="0.25">
      <c r="O385" s="4"/>
      <c r="P385" s="4"/>
      <c r="Q385" s="4"/>
      <c r="R385" s="4"/>
      <c r="S385" s="4"/>
    </row>
    <row r="386" spans="15:19" x14ac:dyDescent="0.25">
      <c r="O386" s="4"/>
      <c r="P386" s="4"/>
      <c r="Q386" s="4"/>
      <c r="R386" s="4"/>
      <c r="S386" s="4"/>
    </row>
    <row r="387" spans="15:19" x14ac:dyDescent="0.25">
      <c r="O387" s="4"/>
      <c r="P387" s="4"/>
      <c r="Q387" s="4"/>
      <c r="R387" s="4"/>
      <c r="S387" s="4"/>
    </row>
    <row r="388" spans="15:19" x14ac:dyDescent="0.25">
      <c r="O388" s="4"/>
      <c r="P388" s="4"/>
      <c r="Q388" s="4"/>
      <c r="R388" s="4"/>
      <c r="S388" s="4"/>
    </row>
    <row r="389" spans="15:19" x14ac:dyDescent="0.25">
      <c r="O389" s="4"/>
      <c r="P389" s="4"/>
      <c r="Q389" s="4"/>
      <c r="R389" s="4"/>
      <c r="S389" s="4"/>
    </row>
    <row r="390" spans="15:19" x14ac:dyDescent="0.25">
      <c r="O390" s="4"/>
      <c r="P390" s="4"/>
      <c r="Q390" s="4"/>
      <c r="R390" s="4"/>
      <c r="S390" s="4"/>
    </row>
    <row r="391" spans="15:19" x14ac:dyDescent="0.25">
      <c r="O391" s="4"/>
      <c r="P391" s="4"/>
      <c r="Q391" s="4"/>
      <c r="R391" s="4"/>
      <c r="S391" s="4"/>
    </row>
    <row r="392" spans="15:19" x14ac:dyDescent="0.25">
      <c r="O392" s="4"/>
      <c r="P392" s="4"/>
      <c r="Q392" s="4"/>
      <c r="R392" s="4"/>
      <c r="S392" s="4"/>
    </row>
    <row r="393" spans="15:19" x14ac:dyDescent="0.25">
      <c r="O393" s="4"/>
      <c r="P393" s="4"/>
      <c r="Q393" s="4"/>
      <c r="R393" s="4"/>
      <c r="S393" s="4"/>
    </row>
    <row r="394" spans="15:19" x14ac:dyDescent="0.25">
      <c r="O394" s="4"/>
      <c r="P394" s="4"/>
      <c r="Q394" s="4"/>
      <c r="R394" s="4"/>
      <c r="S394" s="4"/>
    </row>
    <row r="395" spans="15:19" x14ac:dyDescent="0.25">
      <c r="O395" s="4"/>
      <c r="P395" s="4"/>
      <c r="Q395" s="4"/>
      <c r="R395" s="4"/>
      <c r="S395" s="4"/>
    </row>
    <row r="396" spans="15:19" x14ac:dyDescent="0.25">
      <c r="O396" s="4"/>
      <c r="P396" s="4"/>
      <c r="Q396" s="4"/>
      <c r="R396" s="4"/>
      <c r="S396" s="4"/>
    </row>
    <row r="397" spans="15:19" x14ac:dyDescent="0.25">
      <c r="O397" s="4"/>
      <c r="P397" s="4"/>
      <c r="Q397" s="4"/>
      <c r="R397" s="4"/>
      <c r="S397" s="4"/>
    </row>
    <row r="398" spans="15:19" x14ac:dyDescent="0.25">
      <c r="O398" s="4"/>
      <c r="P398" s="4"/>
      <c r="Q398" s="4"/>
      <c r="R398" s="4"/>
      <c r="S398" s="4"/>
    </row>
    <row r="399" spans="15:19" x14ac:dyDescent="0.25">
      <c r="O399" s="4"/>
      <c r="P399" s="4"/>
      <c r="Q399" s="4"/>
      <c r="R399" s="4"/>
      <c r="S399" s="4"/>
    </row>
    <row r="400" spans="15:19" x14ac:dyDescent="0.25">
      <c r="O400" s="4"/>
      <c r="P400" s="4"/>
      <c r="Q400" s="4"/>
      <c r="R400" s="4"/>
      <c r="S400" s="4"/>
    </row>
    <row r="401" spans="15:19" x14ac:dyDescent="0.25">
      <c r="O401" s="4"/>
      <c r="P401" s="4"/>
      <c r="Q401" s="4"/>
      <c r="R401" s="4"/>
      <c r="S401" s="4"/>
    </row>
    <row r="402" spans="15:19" x14ac:dyDescent="0.25">
      <c r="O402" s="4"/>
      <c r="P402" s="4"/>
      <c r="Q402" s="4"/>
      <c r="R402" s="4"/>
      <c r="S402" s="4"/>
    </row>
    <row r="403" spans="15:19" x14ac:dyDescent="0.25">
      <c r="O403" s="4"/>
      <c r="P403" s="4"/>
      <c r="Q403" s="4"/>
      <c r="R403" s="4"/>
      <c r="S403" s="4"/>
    </row>
    <row r="404" spans="15:19" x14ac:dyDescent="0.25">
      <c r="O404" s="4"/>
      <c r="P404" s="4"/>
      <c r="Q404" s="4"/>
      <c r="R404" s="4"/>
      <c r="S404" s="4"/>
    </row>
    <row r="405" spans="15:19" x14ac:dyDescent="0.25">
      <c r="O405" s="4"/>
      <c r="P405" s="4"/>
      <c r="Q405" s="4"/>
      <c r="R405" s="4"/>
      <c r="S405" s="4"/>
    </row>
    <row r="406" spans="15:19" x14ac:dyDescent="0.25">
      <c r="O406" s="4"/>
      <c r="P406" s="4"/>
      <c r="Q406" s="4"/>
      <c r="R406" s="4"/>
      <c r="S406" s="4"/>
    </row>
    <row r="407" spans="15:19" x14ac:dyDescent="0.25">
      <c r="O407" s="4"/>
      <c r="P407" s="4"/>
      <c r="Q407" s="4"/>
      <c r="R407" s="4"/>
      <c r="S407" s="4"/>
    </row>
    <row r="408" spans="15:19" x14ac:dyDescent="0.25">
      <c r="O408" s="4"/>
      <c r="P408" s="4"/>
      <c r="Q408" s="4"/>
      <c r="R408" s="4"/>
      <c r="S408" s="4"/>
    </row>
    <row r="409" spans="15:19" x14ac:dyDescent="0.25">
      <c r="O409" s="4"/>
      <c r="P409" s="4"/>
      <c r="Q409" s="4"/>
      <c r="R409" s="4"/>
      <c r="S409" s="4"/>
    </row>
    <row r="410" spans="15:19" x14ac:dyDescent="0.25">
      <c r="O410" s="4"/>
      <c r="P410" s="4"/>
      <c r="Q410" s="4"/>
      <c r="R410" s="4"/>
      <c r="S410" s="4"/>
    </row>
    <row r="411" spans="15:19" x14ac:dyDescent="0.25">
      <c r="O411" s="4"/>
      <c r="P411" s="4"/>
      <c r="Q411" s="4"/>
      <c r="R411" s="4"/>
      <c r="S411" s="4"/>
    </row>
    <row r="412" spans="15:19" x14ac:dyDescent="0.25">
      <c r="O412" s="4"/>
      <c r="P412" s="4"/>
      <c r="Q412" s="4"/>
      <c r="R412" s="4"/>
      <c r="S412" s="4"/>
    </row>
    <row r="413" spans="15:19" x14ac:dyDescent="0.25">
      <c r="O413" s="4"/>
      <c r="P413" s="4"/>
      <c r="Q413" s="4"/>
      <c r="R413" s="4"/>
      <c r="S413" s="4"/>
    </row>
    <row r="414" spans="15:19" x14ac:dyDescent="0.25">
      <c r="O414" s="4"/>
      <c r="P414" s="4"/>
      <c r="Q414" s="4"/>
      <c r="R414" s="4"/>
      <c r="S414" s="4"/>
    </row>
    <row r="415" spans="15:19" x14ac:dyDescent="0.25">
      <c r="O415" s="4"/>
      <c r="P415" s="4"/>
      <c r="Q415" s="4"/>
      <c r="R415" s="4"/>
      <c r="S415" s="4"/>
    </row>
    <row r="416" spans="15:19" x14ac:dyDescent="0.25">
      <c r="O416" s="4"/>
      <c r="P416" s="4"/>
      <c r="Q416" s="4"/>
      <c r="R416" s="4"/>
      <c r="S416" s="4"/>
    </row>
    <row r="417" spans="15:19" x14ac:dyDescent="0.25">
      <c r="O417" s="4"/>
      <c r="P417" s="4"/>
      <c r="Q417" s="4"/>
      <c r="R417" s="4"/>
      <c r="S417" s="4"/>
    </row>
    <row r="418" spans="15:19" x14ac:dyDescent="0.25">
      <c r="O418" s="4"/>
      <c r="P418" s="4"/>
      <c r="Q418" s="4"/>
      <c r="R418" s="4"/>
      <c r="S418" s="4"/>
    </row>
    <row r="419" spans="15:19" x14ac:dyDescent="0.25">
      <c r="O419" s="4"/>
      <c r="P419" s="4"/>
      <c r="Q419" s="4"/>
      <c r="R419" s="4"/>
      <c r="S419" s="4"/>
    </row>
    <row r="420" spans="15:19" x14ac:dyDescent="0.25">
      <c r="O420" s="4"/>
      <c r="P420" s="4"/>
      <c r="Q420" s="4"/>
      <c r="R420" s="4"/>
      <c r="S420" s="4"/>
    </row>
    <row r="421" spans="15:19" x14ac:dyDescent="0.25">
      <c r="O421" s="4"/>
      <c r="P421" s="4"/>
      <c r="Q421" s="4"/>
      <c r="R421" s="4"/>
      <c r="S421" s="4"/>
    </row>
    <row r="422" spans="15:19" x14ac:dyDescent="0.25">
      <c r="O422" s="4"/>
      <c r="P422" s="4"/>
      <c r="Q422" s="4"/>
      <c r="R422" s="4"/>
      <c r="S422" s="4"/>
    </row>
    <row r="423" spans="15:19" x14ac:dyDescent="0.25">
      <c r="O423" s="4"/>
      <c r="P423" s="4"/>
      <c r="Q423" s="4"/>
      <c r="R423" s="4"/>
      <c r="S423" s="4"/>
    </row>
    <row r="424" spans="15:19" x14ac:dyDescent="0.25">
      <c r="O424" s="4"/>
      <c r="P424" s="4"/>
      <c r="Q424" s="4"/>
      <c r="R424" s="4"/>
      <c r="S424" s="4"/>
    </row>
    <row r="425" spans="15:19" x14ac:dyDescent="0.25">
      <c r="O425" s="4"/>
      <c r="P425" s="4"/>
      <c r="Q425" s="4"/>
      <c r="R425" s="4"/>
      <c r="S425" s="4"/>
    </row>
    <row r="426" spans="15:19" x14ac:dyDescent="0.25">
      <c r="O426" s="4"/>
      <c r="P426" s="4"/>
      <c r="Q426" s="4"/>
      <c r="R426" s="4"/>
      <c r="S426" s="4"/>
    </row>
    <row r="427" spans="15:19" x14ac:dyDescent="0.25">
      <c r="O427" s="4"/>
      <c r="P427" s="4"/>
      <c r="Q427" s="4"/>
      <c r="R427" s="4"/>
      <c r="S427" s="4"/>
    </row>
    <row r="428" spans="15:19" x14ac:dyDescent="0.25">
      <c r="O428" s="4"/>
      <c r="P428" s="4"/>
      <c r="Q428" s="4"/>
      <c r="R428" s="4"/>
      <c r="S428" s="4"/>
    </row>
    <row r="429" spans="15:19" x14ac:dyDescent="0.25">
      <c r="O429" s="4"/>
      <c r="P429" s="4"/>
      <c r="Q429" s="4"/>
      <c r="R429" s="4"/>
      <c r="S429" s="4"/>
    </row>
    <row r="430" spans="15:19" x14ac:dyDescent="0.25">
      <c r="O430" s="4"/>
      <c r="P430" s="4"/>
      <c r="Q430" s="4"/>
      <c r="R430" s="4"/>
      <c r="S430" s="4"/>
    </row>
    <row r="431" spans="15:19" x14ac:dyDescent="0.25">
      <c r="O431" s="4"/>
      <c r="P431" s="4"/>
      <c r="Q431" s="4"/>
      <c r="R431" s="4"/>
      <c r="S431" s="4"/>
    </row>
    <row r="432" spans="15:19" x14ac:dyDescent="0.25">
      <c r="O432" s="4"/>
      <c r="P432" s="4"/>
      <c r="Q432" s="4"/>
      <c r="R432" s="4"/>
      <c r="S432" s="4"/>
    </row>
    <row r="433" spans="15:19" x14ac:dyDescent="0.25">
      <c r="O433" s="4"/>
      <c r="P433" s="4"/>
      <c r="Q433" s="4"/>
      <c r="R433" s="4"/>
      <c r="S433" s="4"/>
    </row>
    <row r="434" spans="15:19" x14ac:dyDescent="0.25">
      <c r="O434" s="4"/>
      <c r="P434" s="4"/>
      <c r="Q434" s="4"/>
      <c r="R434" s="4"/>
      <c r="S434" s="4"/>
    </row>
    <row r="435" spans="15:19" x14ac:dyDescent="0.25">
      <c r="O435" s="4"/>
      <c r="P435" s="4"/>
      <c r="Q435" s="4"/>
      <c r="R435" s="4"/>
      <c r="S435" s="4"/>
    </row>
    <row r="436" spans="15:19" x14ac:dyDescent="0.25">
      <c r="O436" s="4"/>
      <c r="P436" s="4"/>
      <c r="Q436" s="4"/>
      <c r="R436" s="4"/>
      <c r="S436" s="4"/>
    </row>
    <row r="437" spans="15:19" x14ac:dyDescent="0.25">
      <c r="O437" s="4"/>
      <c r="P437" s="4"/>
      <c r="Q437" s="4"/>
      <c r="R437" s="4"/>
      <c r="S437" s="4"/>
    </row>
    <row r="438" spans="15:19" x14ac:dyDescent="0.25">
      <c r="O438" s="4"/>
      <c r="P438" s="4"/>
      <c r="Q438" s="4"/>
      <c r="R438" s="4"/>
      <c r="S438" s="4"/>
    </row>
    <row r="439" spans="15:19" x14ac:dyDescent="0.25">
      <c r="O439" s="4"/>
      <c r="P439" s="4"/>
      <c r="Q439" s="4"/>
      <c r="R439" s="4"/>
      <c r="S439" s="4"/>
    </row>
    <row r="440" spans="15:19" x14ac:dyDescent="0.25">
      <c r="O440" s="4"/>
      <c r="P440" s="4"/>
      <c r="Q440" s="4"/>
      <c r="R440" s="4"/>
      <c r="S440" s="4"/>
    </row>
    <row r="441" spans="15:19" x14ac:dyDescent="0.25">
      <c r="O441" s="4"/>
      <c r="P441" s="4"/>
      <c r="Q441" s="4"/>
      <c r="R441" s="4"/>
      <c r="S441" s="4"/>
    </row>
    <row r="442" spans="15:19" x14ac:dyDescent="0.25">
      <c r="O442" s="4"/>
      <c r="P442" s="4"/>
      <c r="Q442" s="4"/>
      <c r="R442" s="4"/>
      <c r="S442" s="4"/>
    </row>
    <row r="443" spans="15:19" x14ac:dyDescent="0.25">
      <c r="O443" s="4"/>
      <c r="P443" s="4"/>
      <c r="Q443" s="4"/>
      <c r="R443" s="4"/>
      <c r="S443" s="4"/>
    </row>
    <row r="444" spans="15:19" x14ac:dyDescent="0.25">
      <c r="O444" s="4"/>
      <c r="P444" s="4"/>
      <c r="Q444" s="4"/>
      <c r="R444" s="4"/>
      <c r="S444" s="4"/>
    </row>
    <row r="445" spans="15:19" x14ac:dyDescent="0.25">
      <c r="O445" s="4"/>
      <c r="P445" s="4"/>
      <c r="Q445" s="4"/>
      <c r="R445" s="4"/>
      <c r="S445" s="4"/>
    </row>
    <row r="446" spans="15:19" x14ac:dyDescent="0.25">
      <c r="O446" s="4"/>
      <c r="P446" s="4"/>
      <c r="Q446" s="4"/>
      <c r="R446" s="4"/>
      <c r="S446" s="4"/>
    </row>
    <row r="447" spans="15:19" x14ac:dyDescent="0.25">
      <c r="O447" s="4"/>
      <c r="P447" s="4"/>
      <c r="Q447" s="4"/>
      <c r="R447" s="4"/>
      <c r="S447" s="4"/>
    </row>
    <row r="448" spans="15:19" x14ac:dyDescent="0.25">
      <c r="O448" s="4"/>
      <c r="P448" s="4"/>
      <c r="Q448" s="4"/>
      <c r="R448" s="4"/>
      <c r="S448" s="4"/>
    </row>
    <row r="449" spans="15:19" x14ac:dyDescent="0.25">
      <c r="O449" s="4"/>
      <c r="P449" s="4"/>
      <c r="Q449" s="4"/>
      <c r="R449" s="4"/>
      <c r="S449" s="4"/>
    </row>
    <row r="450" spans="15:19" x14ac:dyDescent="0.25">
      <c r="O450" s="4"/>
      <c r="P450" s="4"/>
      <c r="Q450" s="4"/>
      <c r="R450" s="4"/>
      <c r="S450" s="4"/>
    </row>
    <row r="451" spans="15:19" x14ac:dyDescent="0.25">
      <c r="O451" s="4"/>
      <c r="P451" s="4"/>
      <c r="Q451" s="4"/>
      <c r="R451" s="4"/>
      <c r="S451" s="4"/>
    </row>
    <row r="452" spans="15:19" x14ac:dyDescent="0.25">
      <c r="O452" s="4"/>
      <c r="P452" s="4"/>
      <c r="Q452" s="4"/>
      <c r="R452" s="4"/>
      <c r="S452" s="4"/>
    </row>
    <row r="453" spans="15:19" x14ac:dyDescent="0.25">
      <c r="O453" s="4"/>
      <c r="P453" s="4"/>
      <c r="Q453" s="4"/>
      <c r="R453" s="4"/>
      <c r="S453" s="4"/>
    </row>
    <row r="454" spans="15:19" x14ac:dyDescent="0.25">
      <c r="O454" s="4"/>
      <c r="P454" s="4"/>
      <c r="Q454" s="4"/>
      <c r="R454" s="4"/>
      <c r="S454" s="4"/>
    </row>
    <row r="455" spans="15:19" x14ac:dyDescent="0.25">
      <c r="O455" s="4"/>
      <c r="P455" s="4"/>
      <c r="Q455" s="4"/>
      <c r="R455" s="4"/>
      <c r="S455" s="4"/>
    </row>
    <row r="456" spans="15:19" x14ac:dyDescent="0.25">
      <c r="O456" s="4"/>
      <c r="P456" s="4"/>
      <c r="Q456" s="4"/>
      <c r="R456" s="4"/>
      <c r="S456" s="4"/>
    </row>
    <row r="457" spans="15:19" x14ac:dyDescent="0.25">
      <c r="O457" s="4"/>
      <c r="P457" s="4"/>
      <c r="Q457" s="4"/>
      <c r="R457" s="4"/>
      <c r="S457" s="4"/>
    </row>
    <row r="458" spans="15:19" x14ac:dyDescent="0.25">
      <c r="O458" s="4"/>
      <c r="P458" s="4"/>
      <c r="Q458" s="4"/>
      <c r="R458" s="4"/>
      <c r="S458" s="4"/>
    </row>
    <row r="459" spans="15:19" x14ac:dyDescent="0.25">
      <c r="O459" s="4"/>
      <c r="P459" s="4"/>
      <c r="Q459" s="4"/>
      <c r="R459" s="4"/>
      <c r="S459" s="4"/>
    </row>
    <row r="460" spans="15:19" x14ac:dyDescent="0.25">
      <c r="O460" s="4"/>
      <c r="P460" s="4"/>
      <c r="Q460" s="4"/>
      <c r="R460" s="4"/>
      <c r="S460" s="4"/>
    </row>
    <row r="461" spans="15:19" x14ac:dyDescent="0.25">
      <c r="O461" s="4"/>
      <c r="P461" s="4"/>
      <c r="Q461" s="4"/>
      <c r="R461" s="4"/>
      <c r="S461" s="4"/>
    </row>
    <row r="462" spans="15:19" x14ac:dyDescent="0.25">
      <c r="O462" s="4"/>
      <c r="P462" s="4"/>
      <c r="Q462" s="4"/>
      <c r="R462" s="4"/>
      <c r="S462" s="4"/>
    </row>
    <row r="463" spans="15:19" x14ac:dyDescent="0.25">
      <c r="O463" s="4"/>
      <c r="P463" s="4"/>
      <c r="Q463" s="4"/>
      <c r="R463" s="4"/>
      <c r="S463" s="4"/>
    </row>
    <row r="464" spans="15:19" x14ac:dyDescent="0.25">
      <c r="O464" s="4"/>
      <c r="P464" s="4"/>
      <c r="Q464" s="4"/>
      <c r="R464" s="4"/>
      <c r="S464" s="4"/>
    </row>
    <row r="465" spans="15:19" x14ac:dyDescent="0.25">
      <c r="O465" s="4"/>
      <c r="P465" s="4"/>
      <c r="Q465" s="4"/>
      <c r="R465" s="4"/>
      <c r="S465" s="4"/>
    </row>
    <row r="466" spans="15:19" x14ac:dyDescent="0.25">
      <c r="O466" s="4"/>
      <c r="P466" s="4"/>
      <c r="Q466" s="4"/>
      <c r="R466" s="4"/>
      <c r="S466" s="4"/>
    </row>
    <row r="467" spans="15:19" x14ac:dyDescent="0.25">
      <c r="O467" s="4"/>
      <c r="P467" s="4"/>
      <c r="Q467" s="4"/>
      <c r="R467" s="4"/>
      <c r="S467" s="4"/>
    </row>
    <row r="468" spans="15:19" x14ac:dyDescent="0.25">
      <c r="O468" s="4"/>
      <c r="P468" s="4"/>
      <c r="Q468" s="4"/>
      <c r="R468" s="4"/>
      <c r="S468" s="4"/>
    </row>
    <row r="469" spans="15:19" x14ac:dyDescent="0.25">
      <c r="O469" s="4"/>
      <c r="P469" s="4"/>
      <c r="Q469" s="4"/>
      <c r="R469" s="4"/>
      <c r="S469" s="4"/>
    </row>
    <row r="470" spans="15:19" x14ac:dyDescent="0.25">
      <c r="O470" s="4"/>
      <c r="P470" s="4"/>
      <c r="Q470" s="4"/>
      <c r="R470" s="4"/>
      <c r="S470" s="4"/>
    </row>
    <row r="471" spans="15:19" x14ac:dyDescent="0.25">
      <c r="O471" s="4"/>
      <c r="P471" s="4"/>
      <c r="Q471" s="4"/>
      <c r="R471" s="4"/>
      <c r="S471" s="4"/>
    </row>
    <row r="472" spans="15:19" x14ac:dyDescent="0.25">
      <c r="O472" s="4"/>
      <c r="P472" s="4"/>
      <c r="Q472" s="4"/>
      <c r="R472" s="4"/>
      <c r="S472" s="4"/>
    </row>
    <row r="473" spans="15:19" x14ac:dyDescent="0.25">
      <c r="O473" s="4"/>
      <c r="P473" s="4"/>
      <c r="Q473" s="4"/>
      <c r="R473" s="4"/>
      <c r="S473" s="4"/>
    </row>
    <row r="474" spans="15:19" x14ac:dyDescent="0.25">
      <c r="O474" s="4"/>
      <c r="P474" s="4"/>
      <c r="Q474" s="4"/>
      <c r="R474" s="4"/>
      <c r="S474" s="4"/>
    </row>
    <row r="475" spans="15:19" x14ac:dyDescent="0.25">
      <c r="O475" s="4"/>
      <c r="P475" s="4"/>
      <c r="Q475" s="4"/>
      <c r="R475" s="4"/>
      <c r="S475" s="4"/>
    </row>
    <row r="476" spans="15:19" x14ac:dyDescent="0.25">
      <c r="O476" s="4"/>
      <c r="P476" s="4"/>
      <c r="Q476" s="4"/>
      <c r="R476" s="4"/>
      <c r="S476" s="4"/>
    </row>
    <row r="477" spans="15:19" x14ac:dyDescent="0.25">
      <c r="O477" s="4"/>
      <c r="P477" s="4"/>
      <c r="Q477" s="4"/>
      <c r="R477" s="4"/>
      <c r="S477" s="4"/>
    </row>
    <row r="478" spans="15:19" x14ac:dyDescent="0.25">
      <c r="O478" s="4"/>
      <c r="P478" s="4"/>
      <c r="Q478" s="4"/>
      <c r="R478" s="4"/>
      <c r="S478" s="4"/>
    </row>
    <row r="479" spans="15:19" x14ac:dyDescent="0.25">
      <c r="O479" s="4"/>
      <c r="P479" s="4"/>
      <c r="Q479" s="4"/>
      <c r="R479" s="4"/>
      <c r="S479" s="4"/>
    </row>
    <row r="480" spans="15:19" x14ac:dyDescent="0.25">
      <c r="O480" s="4"/>
      <c r="P480" s="4"/>
      <c r="Q480" s="4"/>
      <c r="R480" s="4"/>
      <c r="S480" s="4"/>
    </row>
    <row r="481" spans="15:19" x14ac:dyDescent="0.25">
      <c r="O481" s="4"/>
      <c r="P481" s="4"/>
      <c r="Q481" s="4"/>
      <c r="R481" s="4"/>
      <c r="S481" s="4"/>
    </row>
    <row r="482" spans="15:19" x14ac:dyDescent="0.25">
      <c r="O482" s="4"/>
      <c r="P482" s="4"/>
      <c r="Q482" s="4"/>
      <c r="R482" s="4"/>
      <c r="S482" s="4"/>
    </row>
    <row r="483" spans="15:19" x14ac:dyDescent="0.25">
      <c r="O483" s="4"/>
      <c r="P483" s="4"/>
      <c r="Q483" s="4"/>
      <c r="R483" s="4"/>
      <c r="S483" s="4"/>
    </row>
    <row r="484" spans="15:19" x14ac:dyDescent="0.25">
      <c r="O484" s="4"/>
      <c r="P484" s="4"/>
      <c r="Q484" s="4"/>
      <c r="R484" s="4"/>
      <c r="S484" s="4"/>
    </row>
    <row r="485" spans="15:19" x14ac:dyDescent="0.25">
      <c r="O485" s="4"/>
      <c r="P485" s="4"/>
      <c r="Q485" s="4"/>
      <c r="R485" s="4"/>
      <c r="S485" s="4"/>
    </row>
    <row r="486" spans="15:19" x14ac:dyDescent="0.25">
      <c r="O486" s="4"/>
      <c r="P486" s="4"/>
      <c r="Q486" s="4"/>
      <c r="R486" s="4"/>
      <c r="S486" s="4"/>
    </row>
    <row r="487" spans="15:19" x14ac:dyDescent="0.25">
      <c r="O487" s="4"/>
      <c r="P487" s="4"/>
      <c r="Q487" s="4"/>
      <c r="R487" s="4"/>
      <c r="S487" s="4"/>
    </row>
    <row r="488" spans="15:19" x14ac:dyDescent="0.25">
      <c r="O488" s="4"/>
      <c r="P488" s="4"/>
      <c r="Q488" s="4"/>
      <c r="R488" s="4"/>
      <c r="S488" s="4"/>
    </row>
    <row r="489" spans="15:19" x14ac:dyDescent="0.25">
      <c r="O489" s="4"/>
      <c r="P489" s="4"/>
      <c r="Q489" s="4"/>
      <c r="R489" s="4"/>
      <c r="S489" s="4"/>
    </row>
    <row r="490" spans="15:19" x14ac:dyDescent="0.25">
      <c r="O490" s="4"/>
      <c r="P490" s="4"/>
      <c r="Q490" s="4"/>
      <c r="R490" s="4"/>
      <c r="S490" s="4"/>
    </row>
    <row r="491" spans="15:19" x14ac:dyDescent="0.25">
      <c r="O491" s="4"/>
      <c r="P491" s="4"/>
      <c r="Q491" s="4"/>
      <c r="R491" s="4"/>
      <c r="S491" s="4"/>
    </row>
    <row r="492" spans="15:19" x14ac:dyDescent="0.25">
      <c r="O492" s="4"/>
      <c r="P492" s="4"/>
      <c r="Q492" s="4"/>
      <c r="R492" s="4"/>
      <c r="S492" s="4"/>
    </row>
    <row r="493" spans="15:19" x14ac:dyDescent="0.25">
      <c r="O493" s="4"/>
      <c r="P493" s="4"/>
      <c r="Q493" s="4"/>
      <c r="R493" s="4"/>
      <c r="S493" s="4"/>
    </row>
    <row r="494" spans="15:19" x14ac:dyDescent="0.25">
      <c r="O494" s="4"/>
      <c r="P494" s="4"/>
      <c r="Q494" s="4"/>
      <c r="R494" s="4"/>
      <c r="S494" s="4"/>
    </row>
    <row r="495" spans="15:19" x14ac:dyDescent="0.25">
      <c r="O495" s="4"/>
      <c r="P495" s="4"/>
      <c r="Q495" s="4"/>
      <c r="R495" s="4"/>
      <c r="S495" s="4"/>
    </row>
    <row r="496" spans="15:19" x14ac:dyDescent="0.25">
      <c r="O496" s="4"/>
      <c r="P496" s="4"/>
      <c r="Q496" s="4"/>
      <c r="R496" s="4"/>
      <c r="S496" s="4"/>
    </row>
    <row r="497" spans="15:19" x14ac:dyDescent="0.25">
      <c r="O497" s="4"/>
      <c r="P497" s="4"/>
      <c r="Q497" s="4"/>
      <c r="R497" s="4"/>
      <c r="S497" s="4"/>
    </row>
    <row r="498" spans="15:19" x14ac:dyDescent="0.25">
      <c r="O498" s="4"/>
      <c r="P498" s="4"/>
      <c r="Q498" s="4"/>
      <c r="R498" s="4"/>
      <c r="S498" s="4"/>
    </row>
    <row r="499" spans="15:19" x14ac:dyDescent="0.25">
      <c r="O499" s="4"/>
      <c r="P499" s="4"/>
      <c r="Q499" s="4"/>
      <c r="R499" s="4"/>
      <c r="S499" s="4"/>
    </row>
    <row r="500" spans="15:19" x14ac:dyDescent="0.25">
      <c r="O500" s="4"/>
      <c r="P500" s="4"/>
      <c r="Q500" s="4"/>
      <c r="R500" s="4"/>
      <c r="S500" s="4"/>
    </row>
    <row r="501" spans="15:19" x14ac:dyDescent="0.25">
      <c r="O501" s="4"/>
      <c r="P501" s="4"/>
      <c r="Q501" s="4"/>
      <c r="R501" s="4"/>
      <c r="S501" s="4"/>
    </row>
    <row r="502" spans="15:19" x14ac:dyDescent="0.25">
      <c r="O502" s="4"/>
      <c r="P502" s="4"/>
      <c r="Q502" s="4"/>
      <c r="R502" s="4"/>
      <c r="S502" s="4"/>
    </row>
    <row r="503" spans="15:19" x14ac:dyDescent="0.25">
      <c r="O503" s="4"/>
      <c r="P503" s="4"/>
      <c r="Q503" s="4"/>
      <c r="R503" s="4"/>
      <c r="S503" s="4"/>
    </row>
    <row r="504" spans="15:19" x14ac:dyDescent="0.25">
      <c r="O504" s="4"/>
      <c r="P504" s="4"/>
      <c r="Q504" s="4"/>
      <c r="R504" s="4"/>
      <c r="S504" s="4"/>
    </row>
    <row r="505" spans="15:19" x14ac:dyDescent="0.25">
      <c r="O505" s="4"/>
      <c r="P505" s="4"/>
      <c r="Q505" s="4"/>
      <c r="R505" s="4"/>
      <c r="S505" s="4"/>
    </row>
    <row r="506" spans="15:19" x14ac:dyDescent="0.25">
      <c r="O506" s="4"/>
      <c r="P506" s="4"/>
      <c r="Q506" s="4"/>
      <c r="R506" s="4"/>
      <c r="S506" s="4"/>
    </row>
    <row r="507" spans="15:19" x14ac:dyDescent="0.25">
      <c r="O507" s="4"/>
      <c r="P507" s="4"/>
      <c r="Q507" s="4"/>
      <c r="R507" s="4"/>
      <c r="S507" s="4"/>
    </row>
    <row r="508" spans="15:19" x14ac:dyDescent="0.25">
      <c r="O508" s="4"/>
      <c r="P508" s="4"/>
      <c r="Q508" s="4"/>
      <c r="R508" s="4"/>
      <c r="S508" s="4"/>
    </row>
    <row r="509" spans="15:19" x14ac:dyDescent="0.25">
      <c r="O509" s="4"/>
      <c r="P509" s="4"/>
      <c r="Q509" s="4"/>
      <c r="R509" s="4"/>
      <c r="S509" s="4"/>
    </row>
    <row r="510" spans="15:19" x14ac:dyDescent="0.25">
      <c r="O510" s="4"/>
      <c r="P510" s="4"/>
      <c r="Q510" s="4"/>
      <c r="R510" s="4"/>
      <c r="S510" s="4"/>
    </row>
    <row r="511" spans="15:19" x14ac:dyDescent="0.25">
      <c r="O511" s="4"/>
      <c r="P511" s="4"/>
      <c r="Q511" s="4"/>
      <c r="R511" s="4"/>
      <c r="S511" s="4"/>
    </row>
    <row r="512" spans="15:19" x14ac:dyDescent="0.25">
      <c r="O512" s="4"/>
      <c r="P512" s="4"/>
      <c r="Q512" s="4"/>
      <c r="R512" s="4"/>
      <c r="S512" s="4"/>
    </row>
    <row r="513" spans="15:19" x14ac:dyDescent="0.25">
      <c r="O513" s="4"/>
      <c r="P513" s="4"/>
      <c r="Q513" s="4"/>
      <c r="R513" s="4"/>
      <c r="S513" s="4"/>
    </row>
    <row r="514" spans="15:19" x14ac:dyDescent="0.25">
      <c r="O514" s="4"/>
      <c r="P514" s="4"/>
      <c r="Q514" s="4"/>
      <c r="R514" s="4"/>
      <c r="S514" s="4"/>
    </row>
    <row r="515" spans="15:19" x14ac:dyDescent="0.25">
      <c r="O515" s="4"/>
      <c r="P515" s="4"/>
      <c r="Q515" s="4"/>
      <c r="R515" s="4"/>
      <c r="S515" s="4"/>
    </row>
    <row r="516" spans="15:19" x14ac:dyDescent="0.25">
      <c r="O516" s="4"/>
      <c r="P516" s="4"/>
      <c r="Q516" s="4"/>
      <c r="R516" s="4"/>
      <c r="S516" s="4"/>
    </row>
    <row r="517" spans="15:19" x14ac:dyDescent="0.25">
      <c r="O517" s="4"/>
      <c r="P517" s="4"/>
      <c r="Q517" s="4"/>
      <c r="R517" s="4"/>
      <c r="S517" s="4"/>
    </row>
    <row r="518" spans="15:19" x14ac:dyDescent="0.25">
      <c r="O518" s="4"/>
      <c r="P518" s="4"/>
      <c r="Q518" s="4"/>
      <c r="R518" s="4"/>
      <c r="S518" s="4"/>
    </row>
    <row r="519" spans="15:19" x14ac:dyDescent="0.25">
      <c r="O519" s="4"/>
      <c r="P519" s="4"/>
      <c r="Q519" s="4"/>
      <c r="R519" s="4"/>
      <c r="S519" s="4"/>
    </row>
    <row r="520" spans="15:19" x14ac:dyDescent="0.25">
      <c r="O520" s="4"/>
      <c r="P520" s="4"/>
      <c r="Q520" s="4"/>
      <c r="R520" s="4"/>
      <c r="S520" s="4"/>
    </row>
    <row r="521" spans="15:19" x14ac:dyDescent="0.25">
      <c r="O521" s="4"/>
      <c r="P521" s="4"/>
      <c r="Q521" s="4"/>
      <c r="R521" s="4"/>
      <c r="S521" s="4"/>
    </row>
    <row r="522" spans="15:19" x14ac:dyDescent="0.25">
      <c r="O522" s="4"/>
      <c r="P522" s="4"/>
      <c r="Q522" s="4"/>
      <c r="R522" s="4"/>
      <c r="S522" s="4"/>
    </row>
    <row r="523" spans="15:19" x14ac:dyDescent="0.25">
      <c r="O523" s="4"/>
      <c r="P523" s="4"/>
      <c r="Q523" s="4"/>
      <c r="R523" s="4"/>
      <c r="S523" s="4"/>
    </row>
    <row r="524" spans="15:19" x14ac:dyDescent="0.25">
      <c r="O524" s="4"/>
      <c r="P524" s="4"/>
      <c r="Q524" s="4"/>
      <c r="R524" s="4"/>
      <c r="S524" s="4"/>
    </row>
    <row r="525" spans="15:19" x14ac:dyDescent="0.25">
      <c r="O525" s="4"/>
      <c r="P525" s="4"/>
      <c r="Q525" s="4"/>
      <c r="R525" s="4"/>
      <c r="S525" s="4"/>
    </row>
    <row r="526" spans="15:19" x14ac:dyDescent="0.25">
      <c r="O526" s="4"/>
      <c r="P526" s="4"/>
      <c r="Q526" s="4"/>
      <c r="R526" s="4"/>
      <c r="S526" s="4"/>
    </row>
    <row r="527" spans="15:19" x14ac:dyDescent="0.25">
      <c r="O527" s="4"/>
      <c r="P527" s="4"/>
      <c r="Q527" s="4"/>
      <c r="R527" s="4"/>
      <c r="S527" s="4"/>
    </row>
    <row r="528" spans="15:19" x14ac:dyDescent="0.25">
      <c r="O528" s="4"/>
      <c r="P528" s="4"/>
      <c r="Q528" s="4"/>
      <c r="R528" s="4"/>
      <c r="S528" s="4"/>
    </row>
    <row r="529" spans="15:19" x14ac:dyDescent="0.25">
      <c r="O529" s="4"/>
      <c r="P529" s="4"/>
      <c r="Q529" s="4"/>
      <c r="R529" s="4"/>
      <c r="S529" s="4"/>
    </row>
    <row r="530" spans="15:19" x14ac:dyDescent="0.25">
      <c r="O530" s="4"/>
      <c r="P530" s="4"/>
      <c r="Q530" s="4"/>
      <c r="R530" s="4"/>
      <c r="S530" s="4"/>
    </row>
    <row r="531" spans="15:19" x14ac:dyDescent="0.25">
      <c r="O531" s="4"/>
      <c r="P531" s="4"/>
      <c r="Q531" s="4"/>
      <c r="R531" s="4"/>
      <c r="S531" s="4"/>
    </row>
    <row r="532" spans="15:19" x14ac:dyDescent="0.25">
      <c r="O532" s="4"/>
      <c r="P532" s="4"/>
      <c r="Q532" s="4"/>
      <c r="R532" s="4"/>
      <c r="S532" s="4"/>
    </row>
    <row r="533" spans="15:19" x14ac:dyDescent="0.25">
      <c r="O533" s="4"/>
      <c r="P533" s="4"/>
      <c r="Q533" s="4"/>
      <c r="R533" s="4"/>
      <c r="S533" s="4"/>
    </row>
    <row r="534" spans="15:19" x14ac:dyDescent="0.25">
      <c r="O534" s="4"/>
      <c r="P534" s="4"/>
      <c r="Q534" s="4"/>
      <c r="R534" s="4"/>
      <c r="S534" s="4"/>
    </row>
    <row r="535" spans="15:19" x14ac:dyDescent="0.25">
      <c r="O535" s="4"/>
      <c r="P535" s="4"/>
      <c r="Q535" s="4"/>
      <c r="R535" s="4"/>
      <c r="S535" s="4"/>
    </row>
    <row r="536" spans="15:19" x14ac:dyDescent="0.25">
      <c r="O536" s="4"/>
      <c r="P536" s="4"/>
      <c r="Q536" s="4"/>
      <c r="R536" s="4"/>
      <c r="S536" s="4"/>
    </row>
    <row r="537" spans="15:19" x14ac:dyDescent="0.25">
      <c r="O537" s="4"/>
      <c r="P537" s="4"/>
      <c r="Q537" s="4"/>
      <c r="R537" s="4"/>
      <c r="S537" s="4"/>
    </row>
    <row r="538" spans="15:19" x14ac:dyDescent="0.25">
      <c r="O538" s="4"/>
      <c r="P538" s="4"/>
      <c r="Q538" s="4"/>
      <c r="R538" s="4"/>
      <c r="S538" s="4"/>
    </row>
    <row r="539" spans="15:19" x14ac:dyDescent="0.25">
      <c r="O539" s="4"/>
      <c r="P539" s="4"/>
      <c r="Q539" s="4"/>
      <c r="R539" s="4"/>
      <c r="S539" s="4"/>
    </row>
    <row r="540" spans="15:19" x14ac:dyDescent="0.25">
      <c r="O540" s="4"/>
      <c r="P540" s="4"/>
      <c r="Q540" s="4"/>
      <c r="R540" s="4"/>
      <c r="S540" s="4"/>
    </row>
    <row r="541" spans="15:19" x14ac:dyDescent="0.25">
      <c r="O541" s="4"/>
      <c r="P541" s="4"/>
      <c r="Q541" s="4"/>
      <c r="R541" s="4"/>
      <c r="S541" s="4"/>
    </row>
    <row r="542" spans="15:19" x14ac:dyDescent="0.25">
      <c r="O542" s="4"/>
      <c r="P542" s="4"/>
      <c r="Q542" s="4"/>
      <c r="R542" s="4"/>
      <c r="S542" s="4"/>
    </row>
    <row r="543" spans="15:19" x14ac:dyDescent="0.25">
      <c r="O543" s="4"/>
      <c r="P543" s="4"/>
      <c r="Q543" s="4"/>
      <c r="R543" s="4"/>
      <c r="S543" s="4"/>
    </row>
    <row r="544" spans="15:19" x14ac:dyDescent="0.25">
      <c r="O544" s="4"/>
      <c r="P544" s="4"/>
      <c r="Q544" s="4"/>
      <c r="R544" s="4"/>
      <c r="S544" s="4"/>
    </row>
    <row r="545" spans="15:19" x14ac:dyDescent="0.25">
      <c r="O545" s="4"/>
      <c r="P545" s="4"/>
      <c r="Q545" s="4"/>
      <c r="R545" s="4"/>
      <c r="S545" s="4"/>
    </row>
    <row r="546" spans="15:19" x14ac:dyDescent="0.25">
      <c r="O546" s="4"/>
      <c r="P546" s="4"/>
      <c r="Q546" s="4"/>
      <c r="R546" s="4"/>
      <c r="S546" s="4"/>
    </row>
    <row r="547" spans="15:19" x14ac:dyDescent="0.25">
      <c r="O547" s="4"/>
      <c r="P547" s="4"/>
      <c r="Q547" s="4"/>
      <c r="R547" s="4"/>
      <c r="S547" s="4"/>
    </row>
    <row r="548" spans="15:19" x14ac:dyDescent="0.25">
      <c r="O548" s="4"/>
      <c r="P548" s="4"/>
      <c r="Q548" s="4"/>
      <c r="R548" s="4"/>
      <c r="S548" s="4"/>
    </row>
    <row r="549" spans="15:19" x14ac:dyDescent="0.25">
      <c r="O549" s="4"/>
      <c r="P549" s="4"/>
      <c r="Q549" s="4"/>
      <c r="R549" s="4"/>
      <c r="S549" s="4"/>
    </row>
    <row r="550" spans="15:19" x14ac:dyDescent="0.25">
      <c r="O550" s="4"/>
      <c r="P550" s="4"/>
      <c r="Q550" s="4"/>
      <c r="R550" s="4"/>
      <c r="S550" s="4"/>
    </row>
    <row r="551" spans="15:19" x14ac:dyDescent="0.25">
      <c r="O551" s="4"/>
      <c r="P551" s="4"/>
      <c r="Q551" s="4"/>
      <c r="R551" s="4"/>
      <c r="S551" s="4"/>
    </row>
    <row r="552" spans="15:19" x14ac:dyDescent="0.25">
      <c r="O552" s="4"/>
      <c r="P552" s="4"/>
      <c r="Q552" s="4"/>
      <c r="R552" s="4"/>
      <c r="S552" s="4"/>
    </row>
    <row r="553" spans="15:19" x14ac:dyDescent="0.25">
      <c r="O553" s="4"/>
      <c r="P553" s="4"/>
      <c r="Q553" s="4"/>
      <c r="R553" s="4"/>
      <c r="S553" s="4"/>
    </row>
    <row r="554" spans="15:19" x14ac:dyDescent="0.25">
      <c r="O554" s="4"/>
      <c r="P554" s="4"/>
      <c r="Q554" s="4"/>
      <c r="R554" s="4"/>
      <c r="S554" s="4"/>
    </row>
    <row r="555" spans="15:19" x14ac:dyDescent="0.25">
      <c r="O555" s="4"/>
      <c r="P555" s="4"/>
      <c r="Q555" s="4"/>
      <c r="R555" s="4"/>
      <c r="S555" s="4"/>
    </row>
    <row r="556" spans="15:19" x14ac:dyDescent="0.25">
      <c r="O556" s="4"/>
      <c r="P556" s="4"/>
      <c r="Q556" s="4"/>
      <c r="R556" s="4"/>
      <c r="S556" s="4"/>
    </row>
    <row r="557" spans="15:19" x14ac:dyDescent="0.25">
      <c r="O557" s="4"/>
      <c r="P557" s="4"/>
      <c r="Q557" s="4"/>
      <c r="R557" s="4"/>
      <c r="S557" s="4"/>
    </row>
    <row r="558" spans="15:19" x14ac:dyDescent="0.25">
      <c r="O558" s="4"/>
      <c r="P558" s="4"/>
      <c r="Q558" s="4"/>
      <c r="R558" s="4"/>
      <c r="S558" s="4"/>
    </row>
    <row r="559" spans="15:19" x14ac:dyDescent="0.25">
      <c r="O559" s="4"/>
      <c r="P559" s="4"/>
      <c r="Q559" s="4"/>
      <c r="R559" s="4"/>
      <c r="S559" s="4"/>
    </row>
    <row r="560" spans="15:19" x14ac:dyDescent="0.25">
      <c r="O560" s="4"/>
      <c r="P560" s="4"/>
      <c r="Q560" s="4"/>
      <c r="R560" s="4"/>
      <c r="S560" s="4"/>
    </row>
    <row r="561" spans="15:19" x14ac:dyDescent="0.25">
      <c r="O561" s="4"/>
      <c r="P561" s="4"/>
      <c r="Q561" s="4"/>
      <c r="R561" s="4"/>
      <c r="S561" s="4"/>
    </row>
    <row r="562" spans="15:19" x14ac:dyDescent="0.25">
      <c r="O562" s="4"/>
      <c r="P562" s="4"/>
      <c r="Q562" s="4"/>
      <c r="R562" s="4"/>
      <c r="S562" s="4"/>
    </row>
    <row r="563" spans="15:19" x14ac:dyDescent="0.25">
      <c r="O563" s="4"/>
      <c r="P563" s="4"/>
      <c r="Q563" s="4"/>
      <c r="R563" s="4"/>
      <c r="S563" s="4"/>
    </row>
    <row r="564" spans="15:19" x14ac:dyDescent="0.25">
      <c r="O564" s="4"/>
      <c r="P564" s="4"/>
      <c r="Q564" s="4"/>
      <c r="R564" s="4"/>
      <c r="S564" s="4"/>
    </row>
    <row r="565" spans="15:19" x14ac:dyDescent="0.25">
      <c r="O565" s="4"/>
      <c r="P565" s="4"/>
      <c r="Q565" s="4"/>
      <c r="R565" s="4"/>
      <c r="S565" s="4"/>
    </row>
    <row r="566" spans="15:19" x14ac:dyDescent="0.25">
      <c r="O566" s="4"/>
      <c r="P566" s="4"/>
      <c r="Q566" s="4"/>
      <c r="R566" s="4"/>
      <c r="S566" s="4"/>
    </row>
    <row r="567" spans="15:19" x14ac:dyDescent="0.25">
      <c r="O567" s="4"/>
      <c r="P567" s="4"/>
      <c r="Q567" s="4"/>
      <c r="R567" s="4"/>
      <c r="S567" s="4"/>
    </row>
    <row r="568" spans="15:19" x14ac:dyDescent="0.25">
      <c r="O568" s="4"/>
      <c r="P568" s="4"/>
      <c r="Q568" s="4"/>
      <c r="R568" s="4"/>
      <c r="S568" s="4"/>
    </row>
    <row r="569" spans="15:19" x14ac:dyDescent="0.25">
      <c r="O569" s="4"/>
      <c r="P569" s="4"/>
      <c r="Q569" s="4"/>
      <c r="R569" s="4"/>
      <c r="S569" s="4"/>
    </row>
    <row r="570" spans="15:19" x14ac:dyDescent="0.25">
      <c r="O570" s="4"/>
      <c r="P570" s="4"/>
      <c r="Q570" s="4"/>
      <c r="R570" s="4"/>
      <c r="S570" s="4"/>
    </row>
    <row r="571" spans="15:19" x14ac:dyDescent="0.25">
      <c r="O571" s="4"/>
      <c r="P571" s="4"/>
      <c r="Q571" s="4"/>
      <c r="R571" s="4"/>
      <c r="S571" s="4"/>
    </row>
    <row r="572" spans="15:19" x14ac:dyDescent="0.25">
      <c r="O572" s="4"/>
      <c r="P572" s="4"/>
      <c r="Q572" s="4"/>
      <c r="R572" s="4"/>
      <c r="S572" s="4"/>
    </row>
    <row r="573" spans="15:19" x14ac:dyDescent="0.25">
      <c r="O573" s="4"/>
      <c r="P573" s="4"/>
      <c r="Q573" s="4"/>
      <c r="R573" s="4"/>
      <c r="S573" s="4"/>
    </row>
    <row r="574" spans="15:19" x14ac:dyDescent="0.25">
      <c r="O574" s="4"/>
      <c r="P574" s="4"/>
      <c r="Q574" s="4"/>
      <c r="R574" s="4"/>
      <c r="S574" s="4"/>
    </row>
    <row r="575" spans="15:19" x14ac:dyDescent="0.25">
      <c r="O575" s="4"/>
      <c r="P575" s="4"/>
      <c r="Q575" s="4"/>
      <c r="R575" s="4"/>
      <c r="S575" s="4"/>
    </row>
    <row r="576" spans="15:19" x14ac:dyDescent="0.25">
      <c r="O576" s="4"/>
      <c r="P576" s="4"/>
      <c r="Q576" s="4"/>
      <c r="R576" s="4"/>
      <c r="S576" s="4"/>
    </row>
    <row r="577" spans="15:19" x14ac:dyDescent="0.25">
      <c r="O577" s="4"/>
      <c r="P577" s="4"/>
      <c r="Q577" s="4"/>
      <c r="R577" s="4"/>
      <c r="S577" s="4"/>
    </row>
    <row r="578" spans="15:19" x14ac:dyDescent="0.25">
      <c r="O578" s="4"/>
      <c r="P578" s="4"/>
      <c r="Q578" s="4"/>
      <c r="R578" s="4"/>
      <c r="S578" s="4"/>
    </row>
    <row r="579" spans="15:19" x14ac:dyDescent="0.25">
      <c r="O579" s="4"/>
      <c r="P579" s="4"/>
      <c r="Q579" s="4"/>
      <c r="R579" s="4"/>
      <c r="S579" s="4"/>
    </row>
    <row r="580" spans="15:19" x14ac:dyDescent="0.25">
      <c r="O580" s="4"/>
      <c r="P580" s="4"/>
      <c r="Q580" s="4"/>
      <c r="R580" s="4"/>
      <c r="S580" s="4"/>
    </row>
    <row r="581" spans="15:19" x14ac:dyDescent="0.25">
      <c r="O581" s="4"/>
      <c r="P581" s="4"/>
      <c r="Q581" s="4"/>
      <c r="R581" s="4"/>
      <c r="S581" s="4"/>
    </row>
    <row r="582" spans="15:19" x14ac:dyDescent="0.25">
      <c r="O582" s="4"/>
      <c r="P582" s="4"/>
      <c r="Q582" s="4"/>
      <c r="R582" s="4"/>
      <c r="S582" s="4"/>
    </row>
    <row r="583" spans="15:19" x14ac:dyDescent="0.25">
      <c r="O583" s="4"/>
      <c r="P583" s="4"/>
      <c r="Q583" s="4"/>
      <c r="R583" s="4"/>
      <c r="S583" s="4"/>
    </row>
    <row r="584" spans="15:19" x14ac:dyDescent="0.25">
      <c r="O584" s="4"/>
      <c r="P584" s="4"/>
      <c r="Q584" s="4"/>
      <c r="R584" s="4"/>
      <c r="S584" s="4"/>
    </row>
    <row r="585" spans="15:19" x14ac:dyDescent="0.25">
      <c r="O585" s="4"/>
      <c r="P585" s="4"/>
      <c r="Q585" s="4"/>
      <c r="R585" s="4"/>
      <c r="S585" s="4"/>
    </row>
    <row r="586" spans="15:19" x14ac:dyDescent="0.25">
      <c r="O586" s="4"/>
      <c r="P586" s="4"/>
      <c r="Q586" s="4"/>
      <c r="R586" s="4"/>
      <c r="S586" s="4"/>
    </row>
    <row r="587" spans="15:19" x14ac:dyDescent="0.25">
      <c r="O587" s="4"/>
      <c r="P587" s="4"/>
      <c r="Q587" s="4"/>
      <c r="R587" s="4"/>
      <c r="S587" s="4"/>
    </row>
    <row r="588" spans="15:19" x14ac:dyDescent="0.25">
      <c r="O588" s="4"/>
      <c r="P588" s="4"/>
      <c r="Q588" s="4"/>
      <c r="R588" s="4"/>
      <c r="S588" s="4"/>
    </row>
    <row r="589" spans="15:19" x14ac:dyDescent="0.25">
      <c r="O589" s="4"/>
      <c r="P589" s="4"/>
      <c r="Q589" s="4"/>
      <c r="R589" s="4"/>
      <c r="S589" s="4"/>
    </row>
    <row r="590" spans="15:19" x14ac:dyDescent="0.25">
      <c r="O590" s="4"/>
      <c r="P590" s="4"/>
      <c r="Q590" s="4"/>
      <c r="R590" s="4"/>
      <c r="S590" s="4"/>
    </row>
    <row r="591" spans="15:19" x14ac:dyDescent="0.25">
      <c r="O591" s="4"/>
      <c r="P591" s="4"/>
      <c r="Q591" s="4"/>
      <c r="R591" s="4"/>
      <c r="S591" s="4"/>
    </row>
    <row r="592" spans="15:19" x14ac:dyDescent="0.25">
      <c r="O592" s="4"/>
      <c r="P592" s="4"/>
      <c r="Q592" s="4"/>
      <c r="R592" s="4"/>
      <c r="S592" s="4"/>
    </row>
    <row r="593" spans="15:19" x14ac:dyDescent="0.25">
      <c r="O593" s="4"/>
      <c r="P593" s="4"/>
      <c r="Q593" s="4"/>
      <c r="R593" s="4"/>
      <c r="S593" s="4"/>
    </row>
    <row r="594" spans="15:19" x14ac:dyDescent="0.25">
      <c r="O594" s="4"/>
      <c r="P594" s="4"/>
      <c r="Q594" s="4"/>
      <c r="R594" s="4"/>
      <c r="S594" s="4"/>
    </row>
    <row r="595" spans="15:19" x14ac:dyDescent="0.25">
      <c r="O595" s="4"/>
      <c r="P595" s="4"/>
      <c r="Q595" s="4"/>
      <c r="R595" s="4"/>
      <c r="S595" s="4"/>
    </row>
    <row r="596" spans="15:19" x14ac:dyDescent="0.25">
      <c r="O596" s="4"/>
      <c r="P596" s="4"/>
      <c r="Q596" s="4"/>
      <c r="R596" s="4"/>
      <c r="S596" s="4"/>
    </row>
    <row r="597" spans="15:19" x14ac:dyDescent="0.25">
      <c r="O597" s="4"/>
      <c r="P597" s="4"/>
      <c r="Q597" s="4"/>
      <c r="R597" s="4"/>
      <c r="S597" s="4"/>
    </row>
    <row r="598" spans="15:19" x14ac:dyDescent="0.25">
      <c r="O598" s="4"/>
      <c r="P598" s="4"/>
      <c r="Q598" s="4"/>
      <c r="R598" s="4"/>
      <c r="S598" s="4"/>
    </row>
    <row r="599" spans="15:19" x14ac:dyDescent="0.25">
      <c r="O599" s="4"/>
      <c r="P599" s="4"/>
      <c r="Q599" s="4"/>
      <c r="R599" s="4"/>
      <c r="S599" s="4"/>
    </row>
    <row r="600" spans="15:19" x14ac:dyDescent="0.25">
      <c r="O600" s="4"/>
      <c r="P600" s="4"/>
      <c r="Q600" s="4"/>
      <c r="R600" s="4"/>
      <c r="S600" s="4"/>
    </row>
    <row r="601" spans="15:19" x14ac:dyDescent="0.25">
      <c r="O601" s="4"/>
      <c r="P601" s="4"/>
      <c r="Q601" s="4"/>
      <c r="R601" s="4"/>
      <c r="S601" s="4"/>
    </row>
    <row r="602" spans="15:19" x14ac:dyDescent="0.25">
      <c r="O602" s="4"/>
      <c r="P602" s="4"/>
      <c r="Q602" s="4"/>
      <c r="R602" s="4"/>
      <c r="S602" s="4"/>
    </row>
    <row r="603" spans="15:19" x14ac:dyDescent="0.25">
      <c r="O603" s="4"/>
      <c r="P603" s="4"/>
      <c r="Q603" s="4"/>
      <c r="R603" s="4"/>
      <c r="S603" s="4"/>
    </row>
    <row r="604" spans="15:19" x14ac:dyDescent="0.25">
      <c r="O604" s="4"/>
      <c r="P604" s="4"/>
      <c r="Q604" s="4"/>
      <c r="R604" s="4"/>
      <c r="S604" s="4"/>
    </row>
    <row r="605" spans="15:19" x14ac:dyDescent="0.25">
      <c r="O605" s="4"/>
      <c r="P605" s="4"/>
      <c r="Q605" s="4"/>
      <c r="R605" s="4"/>
      <c r="S605" s="4"/>
    </row>
    <row r="606" spans="15:19" x14ac:dyDescent="0.25">
      <c r="O606" s="4"/>
      <c r="P606" s="4"/>
      <c r="Q606" s="4"/>
      <c r="R606" s="4"/>
      <c r="S606" s="4"/>
    </row>
    <row r="607" spans="15:19" x14ac:dyDescent="0.25">
      <c r="O607" s="4"/>
      <c r="P607" s="4"/>
      <c r="Q607" s="4"/>
      <c r="R607" s="4"/>
      <c r="S607" s="4"/>
    </row>
    <row r="608" spans="15:19" x14ac:dyDescent="0.25">
      <c r="O608" s="4"/>
      <c r="P608" s="4"/>
      <c r="Q608" s="4"/>
      <c r="R608" s="4"/>
      <c r="S608" s="4"/>
    </row>
    <row r="609" spans="15:19" x14ac:dyDescent="0.25">
      <c r="O609" s="4"/>
      <c r="P609" s="4"/>
      <c r="Q609" s="4"/>
      <c r="R609" s="4"/>
      <c r="S609" s="4"/>
    </row>
    <row r="610" spans="15:19" x14ac:dyDescent="0.25">
      <c r="O610" s="4"/>
      <c r="P610" s="4"/>
      <c r="Q610" s="4"/>
      <c r="R610" s="4"/>
      <c r="S610" s="4"/>
    </row>
    <row r="611" spans="15:19" x14ac:dyDescent="0.25">
      <c r="O611" s="4"/>
      <c r="P611" s="4"/>
      <c r="Q611" s="4"/>
      <c r="R611" s="4"/>
      <c r="S611" s="4"/>
    </row>
    <row r="612" spans="15:19" x14ac:dyDescent="0.25">
      <c r="O612" s="4"/>
      <c r="P612" s="4"/>
      <c r="Q612" s="4"/>
      <c r="R612" s="4"/>
      <c r="S612" s="4"/>
    </row>
    <row r="613" spans="15:19" x14ac:dyDescent="0.25">
      <c r="O613" s="4"/>
      <c r="P613" s="4"/>
      <c r="Q613" s="4"/>
      <c r="R613" s="4"/>
      <c r="S613" s="4"/>
    </row>
    <row r="614" spans="15:19" x14ac:dyDescent="0.25">
      <c r="O614" s="4"/>
      <c r="P614" s="4"/>
      <c r="Q614" s="4"/>
      <c r="R614" s="4"/>
      <c r="S614" s="4"/>
    </row>
    <row r="615" spans="15:19" x14ac:dyDescent="0.25">
      <c r="O615" s="4"/>
      <c r="P615" s="4"/>
      <c r="Q615" s="4"/>
      <c r="R615" s="4"/>
      <c r="S615" s="4"/>
    </row>
    <row r="616" spans="15:19" x14ac:dyDescent="0.25">
      <c r="O616" s="4"/>
      <c r="P616" s="4"/>
      <c r="Q616" s="4"/>
      <c r="R616" s="4"/>
      <c r="S616" s="4"/>
    </row>
    <row r="617" spans="15:19" x14ac:dyDescent="0.25">
      <c r="O617" s="4"/>
      <c r="P617" s="4"/>
      <c r="Q617" s="4"/>
      <c r="R617" s="4"/>
      <c r="S617" s="4"/>
    </row>
    <row r="618" spans="15:19" x14ac:dyDescent="0.25">
      <c r="O618" s="4"/>
      <c r="P618" s="4"/>
      <c r="Q618" s="4"/>
      <c r="R618" s="4"/>
      <c r="S618" s="4"/>
    </row>
    <row r="619" spans="15:19" x14ac:dyDescent="0.25">
      <c r="O619" s="4"/>
      <c r="P619" s="4"/>
      <c r="Q619" s="4"/>
      <c r="R619" s="4"/>
      <c r="S619" s="4"/>
    </row>
    <row r="620" spans="15:19" x14ac:dyDescent="0.25">
      <c r="O620" s="4"/>
      <c r="P620" s="4"/>
      <c r="Q620" s="4"/>
      <c r="R620" s="4"/>
      <c r="S620" s="4"/>
    </row>
    <row r="621" spans="15:19" x14ac:dyDescent="0.25">
      <c r="O621" s="4"/>
      <c r="P621" s="4"/>
      <c r="Q621" s="4"/>
      <c r="R621" s="4"/>
      <c r="S621" s="4"/>
    </row>
    <row r="622" spans="15:19" x14ac:dyDescent="0.25">
      <c r="O622" s="4"/>
      <c r="P622" s="4"/>
      <c r="Q622" s="4"/>
      <c r="R622" s="4"/>
      <c r="S622" s="4"/>
    </row>
    <row r="623" spans="15:19" x14ac:dyDescent="0.25">
      <c r="O623" s="4"/>
      <c r="P623" s="4"/>
      <c r="Q623" s="4"/>
      <c r="R623" s="4"/>
      <c r="S623" s="4"/>
    </row>
    <row r="624" spans="15:19" x14ac:dyDescent="0.25">
      <c r="O624" s="4"/>
      <c r="P624" s="4"/>
      <c r="Q624" s="4"/>
      <c r="R624" s="4"/>
      <c r="S624" s="4"/>
    </row>
    <row r="625" spans="15:19" x14ac:dyDescent="0.25">
      <c r="O625" s="4"/>
      <c r="P625" s="4"/>
      <c r="Q625" s="4"/>
      <c r="R625" s="4"/>
      <c r="S625" s="4"/>
    </row>
    <row r="626" spans="15:19" x14ac:dyDescent="0.25">
      <c r="O626" s="4"/>
      <c r="P626" s="4"/>
      <c r="Q626" s="4"/>
      <c r="R626" s="4"/>
      <c r="S626" s="4"/>
    </row>
    <row r="627" spans="15:19" x14ac:dyDescent="0.25">
      <c r="O627" s="4"/>
      <c r="P627" s="4"/>
      <c r="Q627" s="4"/>
      <c r="R627" s="4"/>
      <c r="S627" s="4"/>
    </row>
    <row r="628" spans="15:19" x14ac:dyDescent="0.25">
      <c r="O628" s="4"/>
      <c r="P628" s="4"/>
      <c r="Q628" s="4"/>
      <c r="R628" s="4"/>
      <c r="S628" s="4"/>
    </row>
    <row r="629" spans="15:19" x14ac:dyDescent="0.25">
      <c r="O629" s="4"/>
      <c r="P629" s="4"/>
      <c r="Q629" s="4"/>
      <c r="R629" s="4"/>
      <c r="S629" s="4"/>
    </row>
    <row r="630" spans="15:19" x14ac:dyDescent="0.25">
      <c r="O630" s="4"/>
      <c r="P630" s="4"/>
      <c r="Q630" s="4"/>
      <c r="R630" s="4"/>
      <c r="S630" s="4"/>
    </row>
    <row r="631" spans="15:19" x14ac:dyDescent="0.25">
      <c r="O631" s="4"/>
      <c r="P631" s="4"/>
      <c r="Q631" s="4"/>
      <c r="R631" s="4"/>
      <c r="S631" s="4"/>
    </row>
    <row r="632" spans="15:19" x14ac:dyDescent="0.25">
      <c r="O632" s="4"/>
      <c r="P632" s="4"/>
      <c r="Q632" s="4"/>
      <c r="R632" s="4"/>
      <c r="S632" s="4"/>
    </row>
    <row r="633" spans="15:19" x14ac:dyDescent="0.25">
      <c r="O633" s="4"/>
      <c r="P633" s="4"/>
      <c r="Q633" s="4"/>
      <c r="R633" s="4"/>
      <c r="S633" s="4"/>
    </row>
    <row r="634" spans="15:19" x14ac:dyDescent="0.25">
      <c r="O634" s="4"/>
      <c r="P634" s="4"/>
      <c r="Q634" s="4"/>
      <c r="R634" s="4"/>
      <c r="S634" s="4"/>
    </row>
    <row r="635" spans="15:19" x14ac:dyDescent="0.25">
      <c r="O635" s="4"/>
      <c r="P635" s="4"/>
      <c r="Q635" s="4"/>
      <c r="R635" s="4"/>
      <c r="S635" s="4"/>
    </row>
    <row r="636" spans="15:19" x14ac:dyDescent="0.25">
      <c r="O636" s="4"/>
      <c r="P636" s="4"/>
      <c r="Q636" s="4"/>
      <c r="R636" s="4"/>
      <c r="S636" s="4"/>
    </row>
    <row r="637" spans="15:19" x14ac:dyDescent="0.25">
      <c r="O637" s="4"/>
      <c r="P637" s="4"/>
      <c r="Q637" s="4"/>
      <c r="R637" s="4"/>
      <c r="S637" s="4"/>
    </row>
    <row r="638" spans="15:19" x14ac:dyDescent="0.25">
      <c r="O638" s="4"/>
      <c r="P638" s="4"/>
      <c r="Q638" s="4"/>
      <c r="R638" s="4"/>
      <c r="S638" s="4"/>
    </row>
    <row r="639" spans="15:19" x14ac:dyDescent="0.25">
      <c r="O639" s="4"/>
      <c r="P639" s="4"/>
      <c r="Q639" s="4"/>
      <c r="R639" s="4"/>
      <c r="S639" s="4"/>
    </row>
    <row r="640" spans="15:19" x14ac:dyDescent="0.25">
      <c r="O640" s="4"/>
      <c r="P640" s="4"/>
      <c r="Q640" s="4"/>
      <c r="R640" s="4"/>
      <c r="S640" s="4"/>
    </row>
    <row r="641" spans="15:19" x14ac:dyDescent="0.25">
      <c r="O641" s="4"/>
      <c r="P641" s="4"/>
      <c r="Q641" s="4"/>
      <c r="R641" s="4"/>
      <c r="S641" s="4"/>
    </row>
    <row r="642" spans="15:19" x14ac:dyDescent="0.25">
      <c r="O642" s="4"/>
      <c r="P642" s="4"/>
      <c r="Q642" s="4"/>
      <c r="R642" s="4"/>
      <c r="S642" s="4"/>
    </row>
    <row r="643" spans="15:19" x14ac:dyDescent="0.25">
      <c r="O643" s="4"/>
      <c r="P643" s="4"/>
      <c r="Q643" s="4"/>
      <c r="R643" s="4"/>
      <c r="S643" s="4"/>
    </row>
    <row r="644" spans="15:19" x14ac:dyDescent="0.25">
      <c r="O644" s="4"/>
      <c r="P644" s="4"/>
      <c r="Q644" s="4"/>
      <c r="R644" s="4"/>
      <c r="S644" s="4"/>
    </row>
    <row r="645" spans="15:19" x14ac:dyDescent="0.25">
      <c r="O645" s="4"/>
      <c r="P645" s="4"/>
      <c r="Q645" s="4"/>
      <c r="R645" s="4"/>
      <c r="S645" s="4"/>
    </row>
    <row r="646" spans="15:19" x14ac:dyDescent="0.25">
      <c r="O646" s="4"/>
      <c r="P646" s="4"/>
      <c r="Q646" s="4"/>
      <c r="R646" s="4"/>
      <c r="S646" s="4"/>
    </row>
    <row r="647" spans="15:19" x14ac:dyDescent="0.25">
      <c r="O647" s="4"/>
      <c r="P647" s="4"/>
      <c r="Q647" s="4"/>
      <c r="R647" s="4"/>
      <c r="S647" s="4"/>
    </row>
    <row r="648" spans="15:19" x14ac:dyDescent="0.25">
      <c r="O648" s="4"/>
      <c r="P648" s="4"/>
      <c r="Q648" s="4"/>
      <c r="R648" s="4"/>
      <c r="S648" s="4"/>
    </row>
    <row r="649" spans="15:19" x14ac:dyDescent="0.25">
      <c r="O649" s="4"/>
      <c r="P649" s="4"/>
      <c r="Q649" s="4"/>
      <c r="R649" s="4"/>
      <c r="S649" s="4"/>
    </row>
    <row r="650" spans="15:19" x14ac:dyDescent="0.25">
      <c r="O650" s="4"/>
      <c r="P650" s="4"/>
      <c r="Q650" s="4"/>
      <c r="R650" s="4"/>
      <c r="S650" s="4"/>
    </row>
    <row r="651" spans="15:19" x14ac:dyDescent="0.25">
      <c r="O651" s="4"/>
      <c r="P651" s="4"/>
      <c r="Q651" s="4"/>
      <c r="R651" s="4"/>
      <c r="S651" s="4"/>
    </row>
    <row r="652" spans="15:19" x14ac:dyDescent="0.25">
      <c r="O652" s="4"/>
      <c r="P652" s="4"/>
      <c r="Q652" s="4"/>
      <c r="R652" s="4"/>
      <c r="S652" s="4"/>
    </row>
    <row r="653" spans="15:19" x14ac:dyDescent="0.25">
      <c r="O653" s="4"/>
      <c r="P653" s="4"/>
      <c r="Q653" s="4"/>
      <c r="R653" s="4"/>
      <c r="S653" s="4"/>
    </row>
    <row r="654" spans="15:19" x14ac:dyDescent="0.25">
      <c r="O654" s="4"/>
      <c r="P654" s="4"/>
      <c r="Q654" s="4"/>
      <c r="R654" s="4"/>
      <c r="S654" s="4"/>
    </row>
    <row r="655" spans="15:19" x14ac:dyDescent="0.25">
      <c r="O655" s="4"/>
      <c r="P655" s="4"/>
      <c r="Q655" s="4"/>
      <c r="R655" s="4"/>
      <c r="S655" s="4"/>
    </row>
    <row r="656" spans="15:19" x14ac:dyDescent="0.25">
      <c r="O656" s="4"/>
      <c r="P656" s="4"/>
      <c r="Q656" s="4"/>
      <c r="R656" s="4"/>
      <c r="S656" s="4"/>
    </row>
    <row r="657" spans="15:19" x14ac:dyDescent="0.25">
      <c r="O657" s="4"/>
      <c r="P657" s="4"/>
      <c r="Q657" s="4"/>
      <c r="R657" s="4"/>
      <c r="S657" s="4"/>
    </row>
    <row r="658" spans="15:19" x14ac:dyDescent="0.25">
      <c r="O658" s="4"/>
      <c r="P658" s="4"/>
      <c r="Q658" s="4"/>
      <c r="R658" s="4"/>
      <c r="S658" s="4"/>
    </row>
    <row r="659" spans="15:19" x14ac:dyDescent="0.25">
      <c r="O659" s="4"/>
      <c r="P659" s="4"/>
      <c r="Q659" s="4"/>
      <c r="R659" s="4"/>
      <c r="S659" s="4"/>
    </row>
    <row r="660" spans="15:19" x14ac:dyDescent="0.25">
      <c r="O660" s="4"/>
      <c r="P660" s="4"/>
      <c r="Q660" s="4"/>
      <c r="R660" s="4"/>
      <c r="S660" s="4"/>
    </row>
    <row r="661" spans="15:19" x14ac:dyDescent="0.25">
      <c r="O661" s="4"/>
      <c r="P661" s="4"/>
      <c r="Q661" s="4"/>
      <c r="R661" s="4"/>
      <c r="S661" s="4"/>
    </row>
    <row r="662" spans="15:19" x14ac:dyDescent="0.25">
      <c r="O662" s="4"/>
      <c r="P662" s="4"/>
      <c r="Q662" s="4"/>
      <c r="R662" s="4"/>
      <c r="S662" s="4"/>
    </row>
    <row r="663" spans="15:19" x14ac:dyDescent="0.25">
      <c r="O663" s="4"/>
      <c r="P663" s="4"/>
      <c r="Q663" s="4"/>
      <c r="R663" s="4"/>
      <c r="S663" s="4"/>
    </row>
    <row r="664" spans="15:19" x14ac:dyDescent="0.25">
      <c r="O664" s="4"/>
      <c r="P664" s="4"/>
      <c r="Q664" s="4"/>
      <c r="R664" s="4"/>
      <c r="S664" s="4"/>
    </row>
    <row r="665" spans="15:19" x14ac:dyDescent="0.25">
      <c r="O665" s="4"/>
      <c r="P665" s="4"/>
      <c r="Q665" s="4"/>
      <c r="R665" s="4"/>
      <c r="S665" s="4"/>
    </row>
    <row r="666" spans="15:19" x14ac:dyDescent="0.25">
      <c r="O666" s="4"/>
      <c r="P666" s="4"/>
      <c r="Q666" s="4"/>
      <c r="R666" s="4"/>
      <c r="S666" s="4"/>
    </row>
    <row r="667" spans="15:19" x14ac:dyDescent="0.25">
      <c r="O667" s="4"/>
      <c r="P667" s="4"/>
      <c r="Q667" s="4"/>
      <c r="R667" s="4"/>
      <c r="S667" s="4"/>
    </row>
    <row r="668" spans="15:19" x14ac:dyDescent="0.25">
      <c r="O668" s="4"/>
      <c r="P668" s="4"/>
      <c r="Q668" s="4"/>
      <c r="R668" s="4"/>
      <c r="S668" s="4"/>
    </row>
    <row r="669" spans="15:19" x14ac:dyDescent="0.25">
      <c r="O669" s="4"/>
      <c r="P669" s="4"/>
      <c r="Q669" s="4"/>
      <c r="R669" s="4"/>
      <c r="S669" s="4"/>
    </row>
    <row r="670" spans="15:19" x14ac:dyDescent="0.25">
      <c r="O670" s="4"/>
      <c r="P670" s="4"/>
      <c r="Q670" s="4"/>
      <c r="R670" s="4"/>
      <c r="S670" s="4"/>
    </row>
    <row r="671" spans="15:19" x14ac:dyDescent="0.25">
      <c r="O671" s="4"/>
      <c r="P671" s="4"/>
      <c r="Q671" s="4"/>
      <c r="R671" s="4"/>
      <c r="S671" s="4"/>
    </row>
    <row r="672" spans="15:19" x14ac:dyDescent="0.25">
      <c r="O672" s="4"/>
      <c r="P672" s="4"/>
      <c r="Q672" s="4"/>
      <c r="R672" s="4"/>
      <c r="S672" s="4"/>
    </row>
    <row r="673" spans="15:19" x14ac:dyDescent="0.25">
      <c r="O673" s="4"/>
      <c r="P673" s="4"/>
      <c r="Q673" s="4"/>
      <c r="R673" s="4"/>
      <c r="S673" s="4"/>
    </row>
    <row r="674" spans="15:19" x14ac:dyDescent="0.25">
      <c r="O674" s="4"/>
      <c r="P674" s="4"/>
      <c r="Q674" s="4"/>
      <c r="R674" s="4"/>
      <c r="S674" s="4"/>
    </row>
    <row r="675" spans="15:19" x14ac:dyDescent="0.25">
      <c r="O675" s="4"/>
      <c r="P675" s="4"/>
      <c r="Q675" s="4"/>
      <c r="R675" s="4"/>
      <c r="S675" s="4"/>
    </row>
    <row r="676" spans="15:19" x14ac:dyDescent="0.25">
      <c r="O676" s="4"/>
      <c r="P676" s="4"/>
      <c r="Q676" s="4"/>
      <c r="R676" s="4"/>
      <c r="S676" s="4"/>
    </row>
    <row r="677" spans="15:19" x14ac:dyDescent="0.25">
      <c r="O677" s="4"/>
      <c r="P677" s="4"/>
      <c r="Q677" s="4"/>
      <c r="R677" s="4"/>
      <c r="S677" s="4"/>
    </row>
    <row r="678" spans="15:19" x14ac:dyDescent="0.25">
      <c r="O678" s="4"/>
      <c r="P678" s="4"/>
      <c r="Q678" s="4"/>
      <c r="R678" s="4"/>
      <c r="S678" s="4"/>
    </row>
    <row r="679" spans="15:19" x14ac:dyDescent="0.25">
      <c r="O679" s="4"/>
      <c r="P679" s="4"/>
      <c r="Q679" s="4"/>
      <c r="R679" s="4"/>
      <c r="S679" s="4"/>
    </row>
    <row r="680" spans="15:19" x14ac:dyDescent="0.25">
      <c r="O680" s="4"/>
      <c r="P680" s="4"/>
      <c r="Q680" s="4"/>
      <c r="R680" s="4"/>
      <c r="S680" s="4"/>
    </row>
    <row r="681" spans="15:19" x14ac:dyDescent="0.25">
      <c r="O681" s="4"/>
      <c r="P681" s="4"/>
      <c r="Q681" s="4"/>
      <c r="R681" s="4"/>
      <c r="S681" s="4"/>
    </row>
    <row r="682" spans="15:19" x14ac:dyDescent="0.25">
      <c r="O682" s="4"/>
      <c r="P682" s="4"/>
      <c r="Q682" s="4"/>
      <c r="R682" s="4"/>
      <c r="S682" s="4"/>
    </row>
    <row r="683" spans="15:19" x14ac:dyDescent="0.25">
      <c r="O683" s="4"/>
      <c r="P683" s="4"/>
      <c r="Q683" s="4"/>
      <c r="R683" s="4"/>
      <c r="S683" s="4"/>
    </row>
    <row r="684" spans="15:19" x14ac:dyDescent="0.25">
      <c r="O684" s="4"/>
      <c r="P684" s="4"/>
      <c r="Q684" s="4"/>
      <c r="R684" s="4"/>
      <c r="S684" s="4"/>
    </row>
    <row r="685" spans="15:19" x14ac:dyDescent="0.25">
      <c r="O685" s="4"/>
      <c r="P685" s="4"/>
      <c r="Q685" s="4"/>
      <c r="R685" s="4"/>
      <c r="S685" s="4"/>
    </row>
    <row r="686" spans="15:19" x14ac:dyDescent="0.25">
      <c r="O686" s="4"/>
      <c r="P686" s="4"/>
      <c r="Q686" s="4"/>
      <c r="R686" s="4"/>
      <c r="S686" s="4"/>
    </row>
    <row r="687" spans="15:19" x14ac:dyDescent="0.25">
      <c r="O687" s="4"/>
      <c r="P687" s="4"/>
      <c r="Q687" s="4"/>
      <c r="R687" s="4"/>
      <c r="S687" s="4"/>
    </row>
    <row r="688" spans="15:19" x14ac:dyDescent="0.25">
      <c r="O688" s="4"/>
      <c r="P688" s="4"/>
      <c r="Q688" s="4"/>
      <c r="R688" s="4"/>
      <c r="S688" s="4"/>
    </row>
    <row r="689" spans="15:19" x14ac:dyDescent="0.25">
      <c r="O689" s="4"/>
      <c r="P689" s="4"/>
      <c r="Q689" s="4"/>
      <c r="R689" s="4"/>
      <c r="S689" s="4"/>
    </row>
    <row r="690" spans="15:19" x14ac:dyDescent="0.25">
      <c r="O690" s="4"/>
      <c r="P690" s="4"/>
      <c r="Q690" s="4"/>
      <c r="R690" s="4"/>
      <c r="S690" s="4"/>
    </row>
    <row r="691" spans="15:19" x14ac:dyDescent="0.25">
      <c r="O691" s="4"/>
      <c r="P691" s="4"/>
      <c r="Q691" s="4"/>
      <c r="R691" s="4"/>
      <c r="S691" s="4"/>
    </row>
    <row r="692" spans="15:19" x14ac:dyDescent="0.25">
      <c r="O692" s="4"/>
      <c r="P692" s="4"/>
      <c r="Q692" s="4"/>
      <c r="R692" s="4"/>
      <c r="S692" s="4"/>
    </row>
    <row r="693" spans="15:19" x14ac:dyDescent="0.25">
      <c r="O693" s="4"/>
      <c r="P693" s="4"/>
      <c r="Q693" s="4"/>
      <c r="R693" s="4"/>
      <c r="S693" s="4"/>
    </row>
    <row r="694" spans="15:19" x14ac:dyDescent="0.25">
      <c r="O694" s="4"/>
      <c r="P694" s="4"/>
      <c r="Q694" s="4"/>
      <c r="R694" s="4"/>
      <c r="S694" s="4"/>
    </row>
    <row r="695" spans="15:19" x14ac:dyDescent="0.25">
      <c r="O695" s="4"/>
      <c r="P695" s="4"/>
      <c r="Q695" s="4"/>
      <c r="R695" s="4"/>
      <c r="S695" s="4"/>
    </row>
    <row r="696" spans="15:19" x14ac:dyDescent="0.25">
      <c r="O696" s="4"/>
      <c r="P696" s="4"/>
      <c r="Q696" s="4"/>
      <c r="R696" s="4"/>
      <c r="S696" s="4"/>
    </row>
    <row r="697" spans="15:19" x14ac:dyDescent="0.25">
      <c r="O697" s="4"/>
      <c r="P697" s="4"/>
      <c r="Q697" s="4"/>
      <c r="R697" s="4"/>
      <c r="S697" s="4"/>
    </row>
    <row r="698" spans="15:19" x14ac:dyDescent="0.25">
      <c r="O698" s="4"/>
      <c r="P698" s="4"/>
      <c r="Q698" s="4"/>
      <c r="R698" s="4"/>
      <c r="S698" s="4"/>
    </row>
    <row r="699" spans="15:19" x14ac:dyDescent="0.25">
      <c r="O699" s="4"/>
      <c r="P699" s="4"/>
      <c r="Q699" s="4"/>
      <c r="R699" s="4"/>
      <c r="S699" s="4"/>
    </row>
    <row r="700" spans="15:19" x14ac:dyDescent="0.25">
      <c r="O700" s="4"/>
      <c r="P700" s="4"/>
      <c r="Q700" s="4"/>
      <c r="R700" s="4"/>
      <c r="S700" s="4"/>
    </row>
    <row r="701" spans="15:19" x14ac:dyDescent="0.25">
      <c r="O701" s="4"/>
      <c r="P701" s="4"/>
      <c r="Q701" s="4"/>
      <c r="R701" s="4"/>
      <c r="S701" s="4"/>
    </row>
    <row r="702" spans="15:19" x14ac:dyDescent="0.25">
      <c r="O702" s="4"/>
      <c r="P702" s="4"/>
      <c r="Q702" s="4"/>
      <c r="R702" s="4"/>
      <c r="S702" s="4"/>
    </row>
    <row r="703" spans="15:19" x14ac:dyDescent="0.25">
      <c r="O703" s="4"/>
      <c r="P703" s="4"/>
      <c r="Q703" s="4"/>
      <c r="R703" s="4"/>
      <c r="S703" s="4"/>
    </row>
    <row r="704" spans="15:19" x14ac:dyDescent="0.25">
      <c r="O704" s="4"/>
      <c r="P704" s="4"/>
      <c r="Q704" s="4"/>
      <c r="R704" s="4"/>
      <c r="S704" s="4"/>
    </row>
    <row r="705" spans="15:19" x14ac:dyDescent="0.25">
      <c r="O705" s="4"/>
      <c r="P705" s="4"/>
      <c r="Q705" s="4"/>
      <c r="R705" s="4"/>
      <c r="S705" s="4"/>
    </row>
    <row r="706" spans="15:19" x14ac:dyDescent="0.25">
      <c r="O706" s="4"/>
      <c r="P706" s="4"/>
      <c r="Q706" s="4"/>
      <c r="R706" s="4"/>
      <c r="S706" s="4"/>
    </row>
    <row r="707" spans="15:19" x14ac:dyDescent="0.25">
      <c r="O707" s="4"/>
      <c r="P707" s="4"/>
      <c r="Q707" s="4"/>
      <c r="R707" s="4"/>
      <c r="S707" s="4"/>
    </row>
    <row r="708" spans="15:19" x14ac:dyDescent="0.25">
      <c r="O708" s="4"/>
      <c r="P708" s="4"/>
      <c r="Q708" s="4"/>
      <c r="R708" s="4"/>
      <c r="S708" s="4"/>
    </row>
    <row r="709" spans="15:19" x14ac:dyDescent="0.25">
      <c r="O709" s="4"/>
      <c r="P709" s="4"/>
      <c r="Q709" s="4"/>
      <c r="R709" s="4"/>
      <c r="S709" s="4"/>
    </row>
    <row r="710" spans="15:19" x14ac:dyDescent="0.25">
      <c r="O710" s="4"/>
      <c r="P710" s="4"/>
      <c r="Q710" s="4"/>
      <c r="R710" s="4"/>
      <c r="S710" s="4"/>
    </row>
    <row r="711" spans="15:19" x14ac:dyDescent="0.25">
      <c r="O711" s="4"/>
      <c r="P711" s="4"/>
      <c r="Q711" s="4"/>
      <c r="R711" s="4"/>
      <c r="S711" s="4"/>
    </row>
    <row r="712" spans="15:19" x14ac:dyDescent="0.25">
      <c r="O712" s="4"/>
      <c r="P712" s="4"/>
      <c r="Q712" s="4"/>
      <c r="R712" s="4"/>
      <c r="S712" s="4"/>
    </row>
    <row r="713" spans="15:19" x14ac:dyDescent="0.25">
      <c r="O713" s="4"/>
      <c r="P713" s="4"/>
      <c r="Q713" s="4"/>
      <c r="R713" s="4"/>
      <c r="S713" s="4"/>
    </row>
    <row r="714" spans="15:19" x14ac:dyDescent="0.25">
      <c r="O714" s="4"/>
      <c r="P714" s="4"/>
      <c r="Q714" s="4"/>
      <c r="R714" s="4"/>
      <c r="S714" s="4"/>
    </row>
    <row r="715" spans="15:19" x14ac:dyDescent="0.25">
      <c r="O715" s="4"/>
      <c r="P715" s="4"/>
      <c r="Q715" s="4"/>
      <c r="R715" s="4"/>
      <c r="S715" s="4"/>
    </row>
    <row r="716" spans="15:19" x14ac:dyDescent="0.25">
      <c r="O716" s="4"/>
      <c r="P716" s="4"/>
      <c r="Q716" s="4"/>
      <c r="R716" s="4"/>
      <c r="S716" s="4"/>
    </row>
    <row r="717" spans="15:19" x14ac:dyDescent="0.25">
      <c r="O717" s="4"/>
      <c r="P717" s="4"/>
      <c r="Q717" s="4"/>
      <c r="R717" s="4"/>
      <c r="S717" s="4"/>
    </row>
    <row r="718" spans="15:19" x14ac:dyDescent="0.25">
      <c r="O718" s="4"/>
      <c r="P718" s="4"/>
      <c r="Q718" s="4"/>
      <c r="R718" s="4"/>
      <c r="S718" s="4"/>
    </row>
    <row r="719" spans="15:19" x14ac:dyDescent="0.25">
      <c r="O719" s="4"/>
      <c r="P719" s="4"/>
      <c r="Q719" s="4"/>
      <c r="R719" s="4"/>
      <c r="S719" s="4"/>
    </row>
    <row r="720" spans="15:19" x14ac:dyDescent="0.25">
      <c r="O720" s="4"/>
      <c r="P720" s="4"/>
      <c r="Q720" s="4"/>
      <c r="R720" s="4"/>
      <c r="S720" s="4"/>
    </row>
    <row r="721" spans="15:19" x14ac:dyDescent="0.25">
      <c r="O721" s="4"/>
      <c r="P721" s="4"/>
      <c r="Q721" s="4"/>
      <c r="R721" s="4"/>
      <c r="S721" s="4"/>
    </row>
    <row r="722" spans="15:19" x14ac:dyDescent="0.25">
      <c r="O722" s="4"/>
      <c r="P722" s="4"/>
      <c r="Q722" s="4"/>
      <c r="R722" s="4"/>
      <c r="S722" s="4"/>
    </row>
    <row r="723" spans="15:19" x14ac:dyDescent="0.25">
      <c r="O723" s="4"/>
      <c r="P723" s="4"/>
      <c r="Q723" s="4"/>
      <c r="R723" s="4"/>
      <c r="S723" s="4"/>
    </row>
    <row r="724" spans="15:19" x14ac:dyDescent="0.25">
      <c r="O724" s="4"/>
      <c r="P724" s="4"/>
      <c r="Q724" s="4"/>
      <c r="R724" s="4"/>
      <c r="S724" s="4"/>
    </row>
    <row r="725" spans="15:19" x14ac:dyDescent="0.25">
      <c r="O725" s="4"/>
      <c r="P725" s="4"/>
      <c r="Q725" s="4"/>
      <c r="R725" s="4"/>
      <c r="S725" s="4"/>
    </row>
    <row r="726" spans="15:19" x14ac:dyDescent="0.25">
      <c r="O726" s="4"/>
      <c r="P726" s="4"/>
      <c r="Q726" s="4"/>
      <c r="R726" s="4"/>
      <c r="S726" s="4"/>
    </row>
    <row r="727" spans="15:19" x14ac:dyDescent="0.25">
      <c r="O727" s="4"/>
      <c r="P727" s="4"/>
      <c r="Q727" s="4"/>
      <c r="R727" s="4"/>
      <c r="S727" s="4"/>
    </row>
    <row r="728" spans="15:19" x14ac:dyDescent="0.25">
      <c r="O728" s="4"/>
      <c r="P728" s="4"/>
      <c r="Q728" s="4"/>
      <c r="R728" s="4"/>
      <c r="S728" s="4"/>
    </row>
    <row r="729" spans="15:19" x14ac:dyDescent="0.25">
      <c r="O729" s="4"/>
      <c r="P729" s="4"/>
      <c r="Q729" s="4"/>
      <c r="R729" s="4"/>
      <c r="S729" s="4"/>
    </row>
    <row r="730" spans="15:19" x14ac:dyDescent="0.25">
      <c r="O730" s="4"/>
      <c r="P730" s="4"/>
      <c r="Q730" s="4"/>
      <c r="R730" s="4"/>
      <c r="S730" s="4"/>
    </row>
    <row r="731" spans="15:19" x14ac:dyDescent="0.25">
      <c r="O731" s="4"/>
      <c r="P731" s="4"/>
      <c r="Q731" s="4"/>
      <c r="R731" s="4"/>
      <c r="S731" s="4"/>
    </row>
    <row r="732" spans="15:19" x14ac:dyDescent="0.25">
      <c r="O732" s="4"/>
      <c r="P732" s="4"/>
      <c r="Q732" s="4"/>
      <c r="R732" s="4"/>
      <c r="S732" s="4"/>
    </row>
    <row r="733" spans="15:19" x14ac:dyDescent="0.25">
      <c r="O733" s="4"/>
      <c r="P733" s="4"/>
      <c r="Q733" s="4"/>
      <c r="R733" s="4"/>
      <c r="S733" s="4"/>
    </row>
    <row r="734" spans="15:19" x14ac:dyDescent="0.25">
      <c r="O734" s="4"/>
      <c r="P734" s="4"/>
      <c r="Q734" s="4"/>
      <c r="R734" s="4"/>
      <c r="S734" s="4"/>
    </row>
    <row r="735" spans="15:19" x14ac:dyDescent="0.25">
      <c r="O735" s="4"/>
      <c r="P735" s="4"/>
      <c r="Q735" s="4"/>
      <c r="R735" s="4"/>
      <c r="S735" s="4"/>
    </row>
    <row r="736" spans="15:19" x14ac:dyDescent="0.25">
      <c r="O736" s="4"/>
      <c r="P736" s="4"/>
      <c r="Q736" s="4"/>
      <c r="R736" s="4"/>
      <c r="S736" s="4"/>
    </row>
    <row r="737" spans="15:19" x14ac:dyDescent="0.25">
      <c r="O737" s="4"/>
      <c r="P737" s="4"/>
      <c r="Q737" s="4"/>
      <c r="R737" s="4"/>
      <c r="S737" s="4"/>
    </row>
    <row r="738" spans="15:19" x14ac:dyDescent="0.25">
      <c r="O738" s="4"/>
      <c r="P738" s="4"/>
      <c r="Q738" s="4"/>
      <c r="R738" s="4"/>
      <c r="S738" s="4"/>
    </row>
    <row r="739" spans="15:19" x14ac:dyDescent="0.25">
      <c r="O739" s="4"/>
      <c r="P739" s="4"/>
      <c r="Q739" s="4"/>
      <c r="R739" s="4"/>
      <c r="S739" s="4"/>
    </row>
    <row r="740" spans="15:19" x14ac:dyDescent="0.25">
      <c r="O740" s="4"/>
      <c r="P740" s="4"/>
      <c r="Q740" s="4"/>
      <c r="R740" s="4"/>
      <c r="S740" s="4"/>
    </row>
    <row r="741" spans="15:19" x14ac:dyDescent="0.25">
      <c r="O741" s="4"/>
      <c r="P741" s="4"/>
      <c r="Q741" s="4"/>
      <c r="R741" s="4"/>
      <c r="S741" s="4"/>
    </row>
    <row r="742" spans="15:19" x14ac:dyDescent="0.25">
      <c r="O742" s="4"/>
      <c r="P742" s="4"/>
      <c r="Q742" s="4"/>
      <c r="R742" s="4"/>
      <c r="S742" s="4"/>
    </row>
    <row r="743" spans="15:19" x14ac:dyDescent="0.25">
      <c r="O743" s="4"/>
      <c r="P743" s="4"/>
      <c r="Q743" s="4"/>
      <c r="R743" s="4"/>
      <c r="S743" s="4"/>
    </row>
    <row r="744" spans="15:19" x14ac:dyDescent="0.25">
      <c r="O744" s="4"/>
      <c r="P744" s="4"/>
      <c r="Q744" s="4"/>
      <c r="R744" s="4"/>
      <c r="S744" s="4"/>
    </row>
    <row r="745" spans="15:19" x14ac:dyDescent="0.25">
      <c r="O745" s="4"/>
      <c r="P745" s="4"/>
      <c r="Q745" s="4"/>
      <c r="R745" s="4"/>
      <c r="S745" s="4"/>
    </row>
    <row r="746" spans="15:19" x14ac:dyDescent="0.25">
      <c r="O746" s="4"/>
      <c r="P746" s="4"/>
      <c r="Q746" s="4"/>
      <c r="R746" s="4"/>
      <c r="S746" s="4"/>
    </row>
    <row r="747" spans="15:19" x14ac:dyDescent="0.25">
      <c r="O747" s="4"/>
      <c r="P747" s="4"/>
      <c r="Q747" s="4"/>
      <c r="R747" s="4"/>
      <c r="S747" s="4"/>
    </row>
    <row r="748" spans="15:19" x14ac:dyDescent="0.25">
      <c r="O748" s="4"/>
      <c r="P748" s="4"/>
      <c r="Q748" s="4"/>
      <c r="R748" s="4"/>
      <c r="S748" s="4"/>
    </row>
    <row r="749" spans="15:19" x14ac:dyDescent="0.25">
      <c r="O749" s="4"/>
      <c r="P749" s="4"/>
      <c r="Q749" s="4"/>
      <c r="R749" s="4"/>
      <c r="S749" s="4"/>
    </row>
    <row r="750" spans="15:19" x14ac:dyDescent="0.25">
      <c r="O750" s="4"/>
      <c r="P750" s="4"/>
      <c r="Q750" s="4"/>
      <c r="R750" s="4"/>
      <c r="S750" s="4"/>
    </row>
    <row r="751" spans="15:19" x14ac:dyDescent="0.25">
      <c r="O751" s="4"/>
      <c r="P751" s="4"/>
      <c r="Q751" s="4"/>
      <c r="R751" s="4"/>
      <c r="S751" s="4"/>
    </row>
    <row r="752" spans="15:19" x14ac:dyDescent="0.25">
      <c r="O752" s="4"/>
      <c r="P752" s="4"/>
      <c r="Q752" s="4"/>
      <c r="R752" s="4"/>
      <c r="S752" s="4"/>
    </row>
    <row r="753" spans="15:19" x14ac:dyDescent="0.25">
      <c r="O753" s="4"/>
      <c r="P753" s="4"/>
      <c r="Q753" s="4"/>
      <c r="R753" s="4"/>
      <c r="S753" s="4"/>
    </row>
    <row r="754" spans="15:19" x14ac:dyDescent="0.25">
      <c r="O754" s="4"/>
      <c r="P754" s="4"/>
      <c r="Q754" s="4"/>
      <c r="R754" s="4"/>
      <c r="S754" s="4"/>
    </row>
    <row r="755" spans="15:19" x14ac:dyDescent="0.25">
      <c r="O755" s="4"/>
      <c r="P755" s="4"/>
      <c r="Q755" s="4"/>
      <c r="R755" s="4"/>
      <c r="S755" s="4"/>
    </row>
    <row r="756" spans="15:19" x14ac:dyDescent="0.25">
      <c r="O756" s="4"/>
      <c r="P756" s="4"/>
      <c r="Q756" s="4"/>
      <c r="R756" s="4"/>
      <c r="S756" s="4"/>
    </row>
    <row r="757" spans="15:19" x14ac:dyDescent="0.25">
      <c r="O757" s="4"/>
      <c r="P757" s="4"/>
      <c r="Q757" s="4"/>
      <c r="R757" s="4"/>
      <c r="S757" s="4"/>
    </row>
    <row r="758" spans="15:19" x14ac:dyDescent="0.25">
      <c r="O758" s="4"/>
      <c r="P758" s="4"/>
      <c r="Q758" s="4"/>
      <c r="R758" s="4"/>
      <c r="S758" s="4"/>
    </row>
    <row r="759" spans="15:19" x14ac:dyDescent="0.25">
      <c r="O759" s="4"/>
      <c r="P759" s="4"/>
      <c r="Q759" s="4"/>
      <c r="R759" s="4"/>
      <c r="S759" s="4"/>
    </row>
    <row r="760" spans="15:19" x14ac:dyDescent="0.25">
      <c r="O760" s="4"/>
      <c r="P760" s="4"/>
      <c r="Q760" s="4"/>
      <c r="R760" s="4"/>
      <c r="S760" s="4"/>
    </row>
    <row r="761" spans="15:19" x14ac:dyDescent="0.25">
      <c r="O761" s="4"/>
      <c r="P761" s="4"/>
      <c r="Q761" s="4"/>
      <c r="R761" s="4"/>
      <c r="S761" s="4"/>
    </row>
    <row r="762" spans="15:19" x14ac:dyDescent="0.25">
      <c r="O762" s="4"/>
      <c r="P762" s="4"/>
      <c r="Q762" s="4"/>
      <c r="R762" s="4"/>
      <c r="S762" s="4"/>
    </row>
    <row r="763" spans="15:19" x14ac:dyDescent="0.25">
      <c r="O763" s="4"/>
      <c r="P763" s="4"/>
      <c r="Q763" s="4"/>
      <c r="R763" s="4"/>
      <c r="S763" s="4"/>
    </row>
    <row r="764" spans="15:19" x14ac:dyDescent="0.25">
      <c r="O764" s="4"/>
      <c r="P764" s="4"/>
      <c r="Q764" s="4"/>
      <c r="R764" s="4"/>
      <c r="S764" s="4"/>
    </row>
    <row r="765" spans="15:19" x14ac:dyDescent="0.25">
      <c r="O765" s="4"/>
      <c r="P765" s="4"/>
      <c r="Q765" s="4"/>
      <c r="R765" s="4"/>
      <c r="S765" s="4"/>
    </row>
    <row r="766" spans="15:19" x14ac:dyDescent="0.25">
      <c r="O766" s="4"/>
      <c r="P766" s="4"/>
      <c r="Q766" s="4"/>
      <c r="R766" s="4"/>
      <c r="S766" s="4"/>
    </row>
    <row r="767" spans="15:19" x14ac:dyDescent="0.25">
      <c r="O767" s="4"/>
      <c r="P767" s="4"/>
      <c r="Q767" s="4"/>
      <c r="R767" s="4"/>
      <c r="S767" s="4"/>
    </row>
    <row r="768" spans="15:19" x14ac:dyDescent="0.25">
      <c r="O768" s="4"/>
      <c r="P768" s="4"/>
      <c r="Q768" s="4"/>
      <c r="R768" s="4"/>
      <c r="S768" s="4"/>
    </row>
    <row r="769" spans="15:19" x14ac:dyDescent="0.25">
      <c r="O769" s="4"/>
      <c r="P769" s="4"/>
      <c r="Q769" s="4"/>
      <c r="R769" s="4"/>
      <c r="S769" s="4"/>
    </row>
    <row r="770" spans="15:19" x14ac:dyDescent="0.25">
      <c r="O770" s="4"/>
      <c r="P770" s="4"/>
      <c r="Q770" s="4"/>
      <c r="R770" s="4"/>
      <c r="S770" s="4"/>
    </row>
    <row r="771" spans="15:19" x14ac:dyDescent="0.25">
      <c r="O771" s="4"/>
      <c r="P771" s="4"/>
      <c r="Q771" s="4"/>
      <c r="R771" s="4"/>
      <c r="S771" s="4"/>
    </row>
    <row r="772" spans="15:19" x14ac:dyDescent="0.25">
      <c r="O772" s="4"/>
      <c r="P772" s="4"/>
      <c r="Q772" s="4"/>
      <c r="R772" s="4"/>
      <c r="S772" s="4"/>
    </row>
    <row r="773" spans="15:19" x14ac:dyDescent="0.25">
      <c r="O773" s="4"/>
      <c r="P773" s="4"/>
      <c r="Q773" s="4"/>
      <c r="R773" s="4"/>
      <c r="S773" s="4"/>
    </row>
    <row r="774" spans="15:19" x14ac:dyDescent="0.25">
      <c r="O774" s="4"/>
      <c r="P774" s="4"/>
      <c r="Q774" s="4"/>
      <c r="R774" s="4"/>
      <c r="S774" s="4"/>
    </row>
    <row r="775" spans="15:19" x14ac:dyDescent="0.25">
      <c r="O775" s="4"/>
      <c r="P775" s="4"/>
      <c r="Q775" s="4"/>
      <c r="R775" s="4"/>
      <c r="S775" s="4"/>
    </row>
    <row r="776" spans="15:19" x14ac:dyDescent="0.25">
      <c r="O776" s="4"/>
      <c r="P776" s="4"/>
      <c r="Q776" s="4"/>
      <c r="R776" s="4"/>
      <c r="S776" s="4"/>
    </row>
    <row r="777" spans="15:19" x14ac:dyDescent="0.25">
      <c r="O777" s="4"/>
      <c r="P777" s="4"/>
      <c r="Q777" s="4"/>
      <c r="R777" s="4"/>
      <c r="S777" s="4"/>
    </row>
    <row r="778" spans="15:19" x14ac:dyDescent="0.25">
      <c r="O778" s="4"/>
      <c r="P778" s="4"/>
      <c r="Q778" s="4"/>
      <c r="R778" s="4"/>
      <c r="S778" s="4"/>
    </row>
    <row r="779" spans="15:19" x14ac:dyDescent="0.25">
      <c r="O779" s="4"/>
      <c r="P779" s="4"/>
      <c r="Q779" s="4"/>
      <c r="R779" s="4"/>
      <c r="S779" s="4"/>
    </row>
    <row r="780" spans="15:19" x14ac:dyDescent="0.25">
      <c r="O780" s="4"/>
      <c r="P780" s="4"/>
      <c r="Q780" s="4"/>
      <c r="R780" s="4"/>
      <c r="S780" s="4"/>
    </row>
    <row r="781" spans="15:19" x14ac:dyDescent="0.25">
      <c r="O781" s="4"/>
      <c r="P781" s="4"/>
      <c r="Q781" s="4"/>
      <c r="R781" s="4"/>
      <c r="S781" s="4"/>
    </row>
    <row r="782" spans="15:19" x14ac:dyDescent="0.25">
      <c r="O782" s="4"/>
      <c r="P782" s="4"/>
      <c r="Q782" s="4"/>
      <c r="R782" s="4"/>
      <c r="S782" s="4"/>
    </row>
    <row r="783" spans="15:19" x14ac:dyDescent="0.25">
      <c r="O783" s="4"/>
      <c r="P783" s="4"/>
      <c r="Q783" s="4"/>
      <c r="R783" s="4"/>
      <c r="S783" s="4"/>
    </row>
    <row r="784" spans="15:19" x14ac:dyDescent="0.25">
      <c r="O784" s="4"/>
      <c r="P784" s="4"/>
      <c r="Q784" s="4"/>
      <c r="R784" s="4"/>
      <c r="S784" s="4"/>
    </row>
    <row r="785" spans="15:19" x14ac:dyDescent="0.25">
      <c r="O785" s="4"/>
      <c r="P785" s="4"/>
      <c r="Q785" s="4"/>
      <c r="R785" s="4"/>
      <c r="S785" s="4"/>
    </row>
    <row r="786" spans="15:19" x14ac:dyDescent="0.25">
      <c r="O786" s="4"/>
      <c r="P786" s="4"/>
      <c r="Q786" s="4"/>
      <c r="R786" s="4"/>
      <c r="S786" s="4"/>
    </row>
    <row r="787" spans="15:19" x14ac:dyDescent="0.25">
      <c r="O787" s="4"/>
      <c r="P787" s="4"/>
      <c r="Q787" s="4"/>
      <c r="R787" s="4"/>
      <c r="S787" s="4"/>
    </row>
    <row r="788" spans="15:19" x14ac:dyDescent="0.25">
      <c r="O788" s="4"/>
      <c r="P788" s="4"/>
      <c r="Q788" s="4"/>
      <c r="R788" s="4"/>
      <c r="S788" s="4"/>
    </row>
    <row r="789" spans="15:19" x14ac:dyDescent="0.25">
      <c r="O789" s="4"/>
      <c r="P789" s="4"/>
      <c r="Q789" s="4"/>
      <c r="R789" s="4"/>
      <c r="S789" s="4"/>
    </row>
    <row r="790" spans="15:19" x14ac:dyDescent="0.25">
      <c r="O790" s="4"/>
      <c r="P790" s="4"/>
      <c r="Q790" s="4"/>
      <c r="R790" s="4"/>
      <c r="S790" s="4"/>
    </row>
    <row r="791" spans="15:19" x14ac:dyDescent="0.25">
      <c r="O791" s="4"/>
      <c r="P791" s="4"/>
      <c r="Q791" s="4"/>
      <c r="R791" s="4"/>
      <c r="S791" s="4"/>
    </row>
    <row r="792" spans="15:19" x14ac:dyDescent="0.25">
      <c r="O792" s="4"/>
      <c r="P792" s="4"/>
      <c r="Q792" s="4"/>
      <c r="R792" s="4"/>
      <c r="S792" s="4"/>
    </row>
    <row r="793" spans="15:19" x14ac:dyDescent="0.25">
      <c r="O793" s="4"/>
      <c r="P793" s="4"/>
      <c r="Q793" s="4"/>
      <c r="R793" s="4"/>
      <c r="S793" s="4"/>
    </row>
    <row r="794" spans="15:19" x14ac:dyDescent="0.25">
      <c r="O794" s="4"/>
      <c r="P794" s="4"/>
      <c r="Q794" s="4"/>
      <c r="R794" s="4"/>
      <c r="S794" s="4"/>
    </row>
    <row r="795" spans="15:19" x14ac:dyDescent="0.25">
      <c r="O795" s="4"/>
      <c r="P795" s="4"/>
      <c r="Q795" s="4"/>
      <c r="R795" s="4"/>
      <c r="S795" s="4"/>
    </row>
    <row r="796" spans="15:19" x14ac:dyDescent="0.25">
      <c r="O796" s="4"/>
      <c r="P796" s="4"/>
      <c r="Q796" s="4"/>
      <c r="R796" s="4"/>
      <c r="S796" s="4"/>
    </row>
    <row r="797" spans="15:19" x14ac:dyDescent="0.25">
      <c r="O797" s="4"/>
      <c r="P797" s="4"/>
      <c r="Q797" s="4"/>
      <c r="R797" s="4"/>
      <c r="S797" s="4"/>
    </row>
    <row r="798" spans="15:19" x14ac:dyDescent="0.25">
      <c r="O798" s="4"/>
      <c r="P798" s="4"/>
      <c r="Q798" s="4"/>
      <c r="R798" s="4"/>
      <c r="S798" s="4"/>
    </row>
    <row r="799" spans="15:19" x14ac:dyDescent="0.25">
      <c r="O799" s="4"/>
      <c r="P799" s="4"/>
      <c r="Q799" s="4"/>
      <c r="R799" s="4"/>
      <c r="S799" s="4"/>
    </row>
    <row r="800" spans="15:19" x14ac:dyDescent="0.25">
      <c r="O800" s="4"/>
      <c r="P800" s="4"/>
      <c r="Q800" s="4"/>
      <c r="R800" s="4"/>
      <c r="S800" s="4"/>
    </row>
    <row r="801" spans="15:19" x14ac:dyDescent="0.25">
      <c r="O801" s="4"/>
      <c r="P801" s="4"/>
      <c r="Q801" s="4"/>
      <c r="R801" s="4"/>
      <c r="S801" s="4"/>
    </row>
    <row r="802" spans="15:19" x14ac:dyDescent="0.25">
      <c r="O802" s="4"/>
      <c r="P802" s="4"/>
      <c r="Q802" s="4"/>
      <c r="R802" s="4"/>
      <c r="S802" s="4"/>
    </row>
    <row r="803" spans="15:19" x14ac:dyDescent="0.25">
      <c r="O803" s="4"/>
      <c r="P803" s="4"/>
      <c r="Q803" s="4"/>
      <c r="R803" s="4"/>
      <c r="S803" s="4"/>
    </row>
    <row r="804" spans="15:19" x14ac:dyDescent="0.25">
      <c r="O804" s="4"/>
      <c r="P804" s="4"/>
      <c r="Q804" s="4"/>
      <c r="R804" s="4"/>
      <c r="S804" s="4"/>
    </row>
    <row r="805" spans="15:19" x14ac:dyDescent="0.25">
      <c r="O805" s="4"/>
      <c r="P805" s="4"/>
      <c r="Q805" s="4"/>
      <c r="R805" s="4"/>
      <c r="S805" s="4"/>
    </row>
    <row r="806" spans="15:19" x14ac:dyDescent="0.25">
      <c r="O806" s="4"/>
      <c r="P806" s="4"/>
      <c r="Q806" s="4"/>
      <c r="R806" s="4"/>
      <c r="S806" s="4"/>
    </row>
    <row r="807" spans="15:19" x14ac:dyDescent="0.25">
      <c r="O807" s="4"/>
      <c r="P807" s="4"/>
      <c r="Q807" s="4"/>
      <c r="R807" s="4"/>
      <c r="S807" s="4"/>
    </row>
    <row r="808" spans="15:19" x14ac:dyDescent="0.25">
      <c r="O808" s="4"/>
      <c r="P808" s="4"/>
      <c r="Q808" s="4"/>
      <c r="R808" s="4"/>
      <c r="S808" s="4"/>
    </row>
    <row r="809" spans="15:19" x14ac:dyDescent="0.25">
      <c r="O809" s="4"/>
      <c r="P809" s="4"/>
      <c r="Q809" s="4"/>
      <c r="R809" s="4"/>
      <c r="S809" s="4"/>
    </row>
    <row r="810" spans="15:19" x14ac:dyDescent="0.25">
      <c r="O810" s="4"/>
      <c r="P810" s="4"/>
      <c r="Q810" s="4"/>
      <c r="R810" s="4"/>
      <c r="S810" s="4"/>
    </row>
    <row r="811" spans="15:19" x14ac:dyDescent="0.25">
      <c r="O811" s="4"/>
      <c r="P811" s="4"/>
      <c r="Q811" s="4"/>
      <c r="R811" s="4"/>
      <c r="S811" s="4"/>
    </row>
    <row r="812" spans="15:19" x14ac:dyDescent="0.25">
      <c r="O812" s="4"/>
      <c r="P812" s="4"/>
      <c r="Q812" s="4"/>
      <c r="R812" s="4"/>
      <c r="S812" s="4"/>
    </row>
    <row r="813" spans="15:19" x14ac:dyDescent="0.25">
      <c r="O813" s="4"/>
      <c r="P813" s="4"/>
      <c r="Q813" s="4"/>
      <c r="R813" s="4"/>
      <c r="S813" s="4"/>
    </row>
    <row r="814" spans="15:19" x14ac:dyDescent="0.25">
      <c r="O814" s="4"/>
      <c r="P814" s="4"/>
      <c r="Q814" s="4"/>
      <c r="R814" s="4"/>
      <c r="S814" s="4"/>
    </row>
    <row r="815" spans="15:19" x14ac:dyDescent="0.25">
      <c r="O815" s="4"/>
      <c r="P815" s="4"/>
      <c r="Q815" s="4"/>
      <c r="R815" s="4"/>
      <c r="S815" s="4"/>
    </row>
    <row r="816" spans="15:19" x14ac:dyDescent="0.25">
      <c r="O816" s="4"/>
      <c r="P816" s="4"/>
      <c r="Q816" s="4"/>
      <c r="R816" s="4"/>
      <c r="S816" s="4"/>
    </row>
    <row r="817" spans="15:19" x14ac:dyDescent="0.25">
      <c r="O817" s="4"/>
      <c r="P817" s="4"/>
      <c r="Q817" s="4"/>
      <c r="R817" s="4"/>
      <c r="S817" s="4"/>
    </row>
    <row r="818" spans="15:19" x14ac:dyDescent="0.25">
      <c r="O818" s="4"/>
      <c r="P818" s="4"/>
      <c r="Q818" s="4"/>
      <c r="R818" s="4"/>
      <c r="S818" s="4"/>
    </row>
    <row r="819" spans="15:19" x14ac:dyDescent="0.25">
      <c r="O819" s="4"/>
      <c r="P819" s="4"/>
      <c r="Q819" s="4"/>
      <c r="R819" s="4"/>
      <c r="S819" s="4"/>
    </row>
    <row r="820" spans="15:19" x14ac:dyDescent="0.25">
      <c r="O820" s="4"/>
      <c r="P820" s="4"/>
      <c r="Q820" s="4"/>
      <c r="R820" s="4"/>
      <c r="S820" s="4"/>
    </row>
    <row r="821" spans="15:19" x14ac:dyDescent="0.25">
      <c r="O821" s="4"/>
      <c r="P821" s="4"/>
      <c r="Q821" s="4"/>
      <c r="R821" s="4"/>
      <c r="S821" s="4"/>
    </row>
    <row r="822" spans="15:19" x14ac:dyDescent="0.25">
      <c r="O822" s="4"/>
      <c r="P822" s="4"/>
      <c r="Q822" s="4"/>
      <c r="R822" s="4"/>
      <c r="S822" s="4"/>
    </row>
    <row r="823" spans="15:19" x14ac:dyDescent="0.25">
      <c r="O823" s="4"/>
      <c r="P823" s="4"/>
      <c r="Q823" s="4"/>
      <c r="R823" s="4"/>
      <c r="S823" s="4"/>
    </row>
    <row r="824" spans="15:19" x14ac:dyDescent="0.25">
      <c r="O824" s="4"/>
      <c r="P824" s="4"/>
      <c r="Q824" s="4"/>
      <c r="R824" s="4"/>
      <c r="S824" s="4"/>
    </row>
    <row r="825" spans="15:19" x14ac:dyDescent="0.25">
      <c r="O825" s="4"/>
      <c r="P825" s="4"/>
      <c r="Q825" s="4"/>
      <c r="R825" s="4"/>
      <c r="S825" s="4"/>
    </row>
    <row r="826" spans="15:19" x14ac:dyDescent="0.25">
      <c r="O826" s="4"/>
      <c r="P826" s="4"/>
      <c r="Q826" s="4"/>
      <c r="R826" s="4"/>
      <c r="S826" s="4"/>
    </row>
    <row r="827" spans="15:19" x14ac:dyDescent="0.25">
      <c r="O827" s="4"/>
      <c r="P827" s="4"/>
      <c r="Q827" s="4"/>
      <c r="R827" s="4"/>
      <c r="S827" s="4"/>
    </row>
    <row r="828" spans="15:19" x14ac:dyDescent="0.25">
      <c r="O828" s="4"/>
      <c r="P828" s="4"/>
      <c r="Q828" s="4"/>
      <c r="R828" s="4"/>
      <c r="S828" s="4"/>
    </row>
    <row r="829" spans="15:19" x14ac:dyDescent="0.25">
      <c r="O829" s="4"/>
      <c r="P829" s="4"/>
      <c r="Q829" s="4"/>
      <c r="R829" s="4"/>
      <c r="S829" s="4"/>
    </row>
    <row r="830" spans="15:19" x14ac:dyDescent="0.25">
      <c r="O830" s="4"/>
      <c r="P830" s="4"/>
      <c r="Q830" s="4"/>
      <c r="R830" s="4"/>
      <c r="S830" s="4"/>
    </row>
    <row r="831" spans="15:19" x14ac:dyDescent="0.25">
      <c r="O831" s="4"/>
      <c r="P831" s="4"/>
      <c r="Q831" s="4"/>
      <c r="R831" s="4"/>
      <c r="S831" s="4"/>
    </row>
    <row r="832" spans="15:19" x14ac:dyDescent="0.25">
      <c r="O832" s="4"/>
      <c r="P832" s="4"/>
      <c r="Q832" s="4"/>
      <c r="R832" s="4"/>
      <c r="S832" s="4"/>
    </row>
    <row r="833" spans="15:19" x14ac:dyDescent="0.25">
      <c r="O833" s="4"/>
      <c r="P833" s="4"/>
      <c r="Q833" s="4"/>
      <c r="R833" s="4"/>
      <c r="S833" s="4"/>
    </row>
    <row r="834" spans="15:19" x14ac:dyDescent="0.25">
      <c r="O834" s="4"/>
      <c r="P834" s="4"/>
      <c r="Q834" s="4"/>
      <c r="R834" s="4"/>
      <c r="S834" s="4"/>
    </row>
    <row r="835" spans="15:19" x14ac:dyDescent="0.25">
      <c r="O835" s="4"/>
      <c r="P835" s="4"/>
      <c r="Q835" s="4"/>
      <c r="R835" s="4"/>
      <c r="S835" s="4"/>
    </row>
    <row r="836" spans="15:19" x14ac:dyDescent="0.25">
      <c r="O836" s="4"/>
      <c r="P836" s="4"/>
      <c r="Q836" s="4"/>
      <c r="R836" s="4"/>
      <c r="S836" s="4"/>
    </row>
    <row r="837" spans="15:19" x14ac:dyDescent="0.25">
      <c r="O837" s="4"/>
      <c r="P837" s="4"/>
      <c r="Q837" s="4"/>
      <c r="R837" s="4"/>
      <c r="S837" s="4"/>
    </row>
    <row r="838" spans="15:19" x14ac:dyDescent="0.25">
      <c r="O838" s="4"/>
      <c r="P838" s="4"/>
      <c r="Q838" s="4"/>
      <c r="R838" s="4"/>
      <c r="S838" s="4"/>
    </row>
    <row r="839" spans="15:19" x14ac:dyDescent="0.25">
      <c r="O839" s="4"/>
      <c r="P839" s="4"/>
      <c r="Q839" s="4"/>
      <c r="R839" s="4"/>
      <c r="S839" s="4"/>
    </row>
    <row r="840" spans="15:19" x14ac:dyDescent="0.25">
      <c r="O840" s="4"/>
      <c r="P840" s="4"/>
      <c r="Q840" s="4"/>
      <c r="R840" s="4"/>
      <c r="S840" s="4"/>
    </row>
    <row r="841" spans="15:19" x14ac:dyDescent="0.25">
      <c r="O841" s="4"/>
      <c r="P841" s="4"/>
      <c r="Q841" s="4"/>
      <c r="R841" s="4"/>
      <c r="S841" s="4"/>
    </row>
    <row r="842" spans="15:19" x14ac:dyDescent="0.25">
      <c r="O842" s="4"/>
      <c r="P842" s="4"/>
      <c r="Q842" s="4"/>
      <c r="R842" s="4"/>
      <c r="S842" s="4"/>
    </row>
    <row r="843" spans="15:19" x14ac:dyDescent="0.25">
      <c r="O843" s="4"/>
      <c r="P843" s="4"/>
      <c r="Q843" s="4"/>
      <c r="R843" s="4"/>
      <c r="S843" s="4"/>
    </row>
    <row r="844" spans="15:19" x14ac:dyDescent="0.25">
      <c r="O844" s="4"/>
      <c r="P844" s="4"/>
      <c r="Q844" s="4"/>
      <c r="R844" s="4"/>
      <c r="S844" s="4"/>
    </row>
    <row r="845" spans="15:19" x14ac:dyDescent="0.25">
      <c r="O845" s="4"/>
      <c r="P845" s="4"/>
      <c r="Q845" s="4"/>
      <c r="R845" s="4"/>
      <c r="S845" s="4"/>
    </row>
    <row r="846" spans="15:19" x14ac:dyDescent="0.25">
      <c r="O846" s="4"/>
      <c r="P846" s="4"/>
      <c r="Q846" s="4"/>
      <c r="R846" s="4"/>
      <c r="S846" s="4"/>
    </row>
    <row r="847" spans="15:19" x14ac:dyDescent="0.25">
      <c r="O847" s="4"/>
      <c r="P847" s="4"/>
      <c r="Q847" s="4"/>
      <c r="R847" s="4"/>
      <c r="S847" s="4"/>
    </row>
    <row r="848" spans="15:19" x14ac:dyDescent="0.25">
      <c r="O848" s="4"/>
      <c r="P848" s="4"/>
      <c r="Q848" s="4"/>
      <c r="R848" s="4"/>
      <c r="S848" s="4"/>
    </row>
    <row r="849" spans="15:19" x14ac:dyDescent="0.25">
      <c r="O849" s="4"/>
      <c r="P849" s="4"/>
      <c r="Q849" s="4"/>
      <c r="R849" s="4"/>
      <c r="S849" s="4"/>
    </row>
    <row r="850" spans="15:19" x14ac:dyDescent="0.25">
      <c r="O850" s="4"/>
      <c r="P850" s="4"/>
      <c r="Q850" s="4"/>
      <c r="R850" s="4"/>
      <c r="S850" s="4"/>
    </row>
    <row r="851" spans="15:19" x14ac:dyDescent="0.25">
      <c r="O851" s="4"/>
      <c r="P851" s="4"/>
      <c r="Q851" s="4"/>
      <c r="R851" s="4"/>
      <c r="S851" s="4"/>
    </row>
    <row r="852" spans="15:19" x14ac:dyDescent="0.25">
      <c r="O852" s="4"/>
      <c r="P852" s="4"/>
      <c r="Q852" s="4"/>
      <c r="R852" s="4"/>
      <c r="S852" s="4"/>
    </row>
    <row r="853" spans="15:19" x14ac:dyDescent="0.25">
      <c r="O853" s="4"/>
      <c r="P853" s="4"/>
      <c r="Q853" s="4"/>
      <c r="R853" s="4"/>
      <c r="S853" s="4"/>
    </row>
    <row r="854" spans="15:19" x14ac:dyDescent="0.25">
      <c r="O854" s="4"/>
      <c r="P854" s="4"/>
      <c r="Q854" s="4"/>
      <c r="R854" s="4"/>
      <c r="S854" s="4"/>
    </row>
    <row r="855" spans="15:19" x14ac:dyDescent="0.25">
      <c r="O855" s="4"/>
      <c r="P855" s="4"/>
      <c r="Q855" s="4"/>
      <c r="R855" s="4"/>
      <c r="S855" s="4"/>
    </row>
    <row r="856" spans="15:19" x14ac:dyDescent="0.25">
      <c r="O856" s="4"/>
      <c r="P856" s="4"/>
      <c r="Q856" s="4"/>
      <c r="R856" s="4"/>
      <c r="S856" s="4"/>
    </row>
    <row r="857" spans="15:19" x14ac:dyDescent="0.25">
      <c r="O857" s="4"/>
      <c r="P857" s="4"/>
      <c r="Q857" s="4"/>
      <c r="R857" s="4"/>
      <c r="S857" s="4"/>
    </row>
    <row r="858" spans="15:19" x14ac:dyDescent="0.25">
      <c r="O858" s="4"/>
      <c r="P858" s="4"/>
      <c r="Q858" s="4"/>
      <c r="R858" s="4"/>
      <c r="S858" s="4"/>
    </row>
    <row r="859" spans="15:19" x14ac:dyDescent="0.25">
      <c r="O859" s="4"/>
      <c r="P859" s="4"/>
      <c r="Q859" s="4"/>
      <c r="R859" s="4"/>
      <c r="S859" s="4"/>
    </row>
    <row r="860" spans="15:19" x14ac:dyDescent="0.25">
      <c r="O860" s="4"/>
      <c r="P860" s="4"/>
      <c r="Q860" s="4"/>
      <c r="R860" s="4"/>
      <c r="S860" s="4"/>
    </row>
    <row r="861" spans="15:19" x14ac:dyDescent="0.25">
      <c r="O861" s="4"/>
      <c r="P861" s="4"/>
      <c r="Q861" s="4"/>
      <c r="R861" s="4"/>
      <c r="S861" s="4"/>
    </row>
    <row r="862" spans="15:19" x14ac:dyDescent="0.25">
      <c r="O862" s="4"/>
      <c r="P862" s="4"/>
      <c r="Q862" s="4"/>
      <c r="R862" s="4"/>
      <c r="S862" s="4"/>
    </row>
    <row r="863" spans="15:19" x14ac:dyDescent="0.25">
      <c r="O863" s="4"/>
      <c r="P863" s="4"/>
      <c r="Q863" s="4"/>
      <c r="R863" s="4"/>
      <c r="S863" s="4"/>
    </row>
    <row r="864" spans="15:19" x14ac:dyDescent="0.25">
      <c r="O864" s="4"/>
      <c r="P864" s="4"/>
      <c r="Q864" s="4"/>
      <c r="R864" s="4"/>
      <c r="S864" s="4"/>
    </row>
    <row r="865" spans="15:19" x14ac:dyDescent="0.25">
      <c r="O865" s="4"/>
      <c r="P865" s="4"/>
      <c r="Q865" s="4"/>
      <c r="R865" s="4"/>
      <c r="S865" s="4"/>
    </row>
    <row r="866" spans="15:19" x14ac:dyDescent="0.25">
      <c r="O866" s="4"/>
      <c r="P866" s="4"/>
      <c r="Q866" s="4"/>
      <c r="R866" s="4"/>
      <c r="S866" s="4"/>
    </row>
    <row r="867" spans="15:19" x14ac:dyDescent="0.25">
      <c r="O867" s="4"/>
      <c r="P867" s="4"/>
      <c r="Q867" s="4"/>
      <c r="R867" s="4"/>
      <c r="S867" s="4"/>
    </row>
    <row r="868" spans="15:19" x14ac:dyDescent="0.25">
      <c r="O868" s="4"/>
      <c r="P868" s="4"/>
      <c r="Q868" s="4"/>
      <c r="R868" s="4"/>
      <c r="S868" s="4"/>
    </row>
    <row r="869" spans="15:19" x14ac:dyDescent="0.25">
      <c r="O869" s="4"/>
      <c r="P869" s="4"/>
      <c r="Q869" s="4"/>
      <c r="R869" s="4"/>
      <c r="S869" s="4"/>
    </row>
    <row r="870" spans="15:19" x14ac:dyDescent="0.25">
      <c r="O870" s="4"/>
      <c r="P870" s="4"/>
      <c r="Q870" s="4"/>
      <c r="R870" s="4"/>
      <c r="S870" s="4"/>
    </row>
    <row r="871" spans="15:19" x14ac:dyDescent="0.25">
      <c r="O871" s="4"/>
      <c r="P871" s="4"/>
      <c r="Q871" s="4"/>
      <c r="R871" s="4"/>
      <c r="S871" s="4"/>
    </row>
    <row r="872" spans="15:19" x14ac:dyDescent="0.25">
      <c r="O872" s="4"/>
      <c r="P872" s="4"/>
      <c r="Q872" s="4"/>
      <c r="R872" s="4"/>
      <c r="S872" s="4"/>
    </row>
    <row r="873" spans="15:19" x14ac:dyDescent="0.25">
      <c r="O873" s="4"/>
      <c r="P873" s="4"/>
      <c r="Q873" s="4"/>
      <c r="R873" s="4"/>
      <c r="S873" s="4"/>
    </row>
    <row r="874" spans="15:19" x14ac:dyDescent="0.25">
      <c r="O874" s="4"/>
      <c r="P874" s="4"/>
      <c r="Q874" s="4"/>
      <c r="R874" s="4"/>
      <c r="S874" s="4"/>
    </row>
    <row r="875" spans="15:19" x14ac:dyDescent="0.25">
      <c r="O875" s="4"/>
      <c r="P875" s="4"/>
      <c r="Q875" s="4"/>
      <c r="R875" s="4"/>
      <c r="S875" s="4"/>
    </row>
    <row r="876" spans="15:19" x14ac:dyDescent="0.25">
      <c r="O876" s="4"/>
      <c r="P876" s="4"/>
      <c r="Q876" s="4"/>
      <c r="R876" s="4"/>
      <c r="S876" s="4"/>
    </row>
    <row r="877" spans="15:19" x14ac:dyDescent="0.25">
      <c r="O877" s="4"/>
      <c r="P877" s="4"/>
      <c r="Q877" s="4"/>
      <c r="R877" s="4"/>
      <c r="S877" s="4"/>
    </row>
    <row r="878" spans="15:19" x14ac:dyDescent="0.25">
      <c r="O878" s="4"/>
      <c r="P878" s="4"/>
      <c r="Q878" s="4"/>
      <c r="R878" s="4"/>
      <c r="S878" s="4"/>
    </row>
    <row r="879" spans="15:19" x14ac:dyDescent="0.25">
      <c r="O879" s="4"/>
      <c r="P879" s="4"/>
      <c r="Q879" s="4"/>
      <c r="R879" s="4"/>
      <c r="S879" s="4"/>
    </row>
    <row r="880" spans="15:19" x14ac:dyDescent="0.25">
      <c r="O880" s="4"/>
      <c r="P880" s="4"/>
      <c r="Q880" s="4"/>
      <c r="R880" s="4"/>
      <c r="S880" s="4"/>
    </row>
    <row r="881" spans="15:19" x14ac:dyDescent="0.25">
      <c r="O881" s="4"/>
      <c r="P881" s="4"/>
      <c r="Q881" s="4"/>
      <c r="R881" s="4"/>
      <c r="S881" s="4"/>
    </row>
    <row r="882" spans="15:19" x14ac:dyDescent="0.25">
      <c r="O882" s="4"/>
      <c r="P882" s="4"/>
      <c r="Q882" s="4"/>
      <c r="R882" s="4"/>
      <c r="S882" s="4"/>
    </row>
    <row r="883" spans="15:19" x14ac:dyDescent="0.25">
      <c r="O883" s="4"/>
      <c r="P883" s="4"/>
      <c r="Q883" s="4"/>
      <c r="R883" s="4"/>
      <c r="S883" s="4"/>
    </row>
    <row r="884" spans="15:19" x14ac:dyDescent="0.25">
      <c r="O884" s="4"/>
      <c r="P884" s="4"/>
      <c r="Q884" s="4"/>
      <c r="R884" s="4"/>
      <c r="S884" s="4"/>
    </row>
    <row r="885" spans="15:19" x14ac:dyDescent="0.25">
      <c r="O885" s="4"/>
      <c r="P885" s="4"/>
      <c r="Q885" s="4"/>
      <c r="R885" s="4"/>
      <c r="S885" s="4"/>
    </row>
    <row r="886" spans="15:19" x14ac:dyDescent="0.25">
      <c r="O886" s="4"/>
      <c r="P886" s="4"/>
      <c r="Q886" s="4"/>
      <c r="R886" s="4"/>
      <c r="S886" s="4"/>
    </row>
    <row r="887" spans="15:19" x14ac:dyDescent="0.25">
      <c r="O887" s="4"/>
      <c r="P887" s="4"/>
      <c r="Q887" s="4"/>
      <c r="R887" s="4"/>
      <c r="S887" s="4"/>
    </row>
    <row r="888" spans="15:19" x14ac:dyDescent="0.25">
      <c r="O888" s="4"/>
      <c r="P888" s="4"/>
      <c r="Q888" s="4"/>
      <c r="R888" s="4"/>
      <c r="S888" s="4"/>
    </row>
    <row r="889" spans="15:19" x14ac:dyDescent="0.25">
      <c r="O889" s="4"/>
      <c r="P889" s="4"/>
      <c r="Q889" s="4"/>
      <c r="R889" s="4"/>
      <c r="S889" s="4"/>
    </row>
    <row r="890" spans="15:19" x14ac:dyDescent="0.25">
      <c r="O890" s="4"/>
      <c r="P890" s="4"/>
      <c r="Q890" s="4"/>
      <c r="R890" s="4"/>
      <c r="S890" s="4"/>
    </row>
    <row r="891" spans="15:19" x14ac:dyDescent="0.25">
      <c r="O891" s="4"/>
      <c r="P891" s="4"/>
      <c r="Q891" s="4"/>
      <c r="R891" s="4"/>
      <c r="S891" s="4"/>
    </row>
    <row r="892" spans="15:19" x14ac:dyDescent="0.25">
      <c r="O892" s="4"/>
      <c r="P892" s="4"/>
      <c r="Q892" s="4"/>
      <c r="R892" s="4"/>
      <c r="S892" s="4"/>
    </row>
    <row r="893" spans="15:19" x14ac:dyDescent="0.25">
      <c r="O893" s="4"/>
      <c r="P893" s="4"/>
      <c r="Q893" s="4"/>
      <c r="R893" s="4"/>
      <c r="S893" s="4"/>
    </row>
    <row r="894" spans="15:19" x14ac:dyDescent="0.25">
      <c r="O894" s="4"/>
      <c r="P894" s="4"/>
      <c r="Q894" s="4"/>
      <c r="R894" s="4"/>
      <c r="S894" s="4"/>
    </row>
    <row r="895" spans="15:19" x14ac:dyDescent="0.25">
      <c r="O895" s="4"/>
      <c r="P895" s="4"/>
      <c r="Q895" s="4"/>
      <c r="R895" s="4"/>
      <c r="S895" s="4"/>
    </row>
    <row r="896" spans="15:19" x14ac:dyDescent="0.25">
      <c r="O896" s="4"/>
      <c r="P896" s="4"/>
      <c r="Q896" s="4"/>
      <c r="R896" s="4"/>
      <c r="S896" s="4"/>
    </row>
    <row r="897" spans="15:19" x14ac:dyDescent="0.25">
      <c r="O897" s="4"/>
      <c r="P897" s="4"/>
      <c r="Q897" s="4"/>
      <c r="R897" s="4"/>
      <c r="S897" s="4"/>
    </row>
    <row r="898" spans="15:19" x14ac:dyDescent="0.25">
      <c r="O898" s="4"/>
      <c r="P898" s="4"/>
      <c r="Q898" s="4"/>
      <c r="R898" s="4"/>
      <c r="S898" s="4"/>
    </row>
    <row r="899" spans="15:19" x14ac:dyDescent="0.25">
      <c r="O899" s="4"/>
      <c r="P899" s="4"/>
      <c r="Q899" s="4"/>
      <c r="R899" s="4"/>
      <c r="S899" s="4"/>
    </row>
    <row r="900" spans="15:19" x14ac:dyDescent="0.25">
      <c r="O900" s="4"/>
      <c r="P900" s="4"/>
      <c r="Q900" s="4"/>
      <c r="R900" s="4"/>
      <c r="S900" s="4"/>
    </row>
    <row r="901" spans="15:19" x14ac:dyDescent="0.25">
      <c r="O901" s="4"/>
      <c r="P901" s="4"/>
      <c r="Q901" s="4"/>
      <c r="R901" s="4"/>
      <c r="S901" s="4"/>
    </row>
    <row r="902" spans="15:19" x14ac:dyDescent="0.25">
      <c r="O902" s="4"/>
      <c r="P902" s="4"/>
      <c r="Q902" s="4"/>
      <c r="R902" s="4"/>
      <c r="S902" s="4"/>
    </row>
    <row r="903" spans="15:19" x14ac:dyDescent="0.25">
      <c r="O903" s="4"/>
      <c r="P903" s="4"/>
      <c r="Q903" s="4"/>
      <c r="R903" s="4"/>
      <c r="S903" s="4"/>
    </row>
    <row r="904" spans="15:19" x14ac:dyDescent="0.25">
      <c r="O904" s="4"/>
      <c r="P904" s="4"/>
      <c r="Q904" s="4"/>
      <c r="R904" s="4"/>
      <c r="S904" s="4"/>
    </row>
    <row r="905" spans="15:19" x14ac:dyDescent="0.25">
      <c r="O905" s="4"/>
      <c r="P905" s="4"/>
      <c r="Q905" s="4"/>
      <c r="R905" s="4"/>
      <c r="S905" s="4"/>
    </row>
    <row r="906" spans="15:19" x14ac:dyDescent="0.25">
      <c r="O906" s="4"/>
      <c r="P906" s="4"/>
      <c r="Q906" s="4"/>
      <c r="R906" s="4"/>
      <c r="S906" s="4"/>
    </row>
    <row r="907" spans="15:19" x14ac:dyDescent="0.25">
      <c r="O907" s="4"/>
      <c r="P907" s="4"/>
      <c r="Q907" s="4"/>
      <c r="R907" s="4"/>
      <c r="S907" s="4"/>
    </row>
    <row r="908" spans="15:19" x14ac:dyDescent="0.25">
      <c r="O908" s="4"/>
      <c r="P908" s="4"/>
      <c r="Q908" s="4"/>
      <c r="R908" s="4"/>
      <c r="S908" s="4"/>
    </row>
    <row r="909" spans="15:19" x14ac:dyDescent="0.25">
      <c r="O909" s="4"/>
      <c r="P909" s="4"/>
      <c r="Q909" s="4"/>
      <c r="R909" s="4"/>
      <c r="S909" s="4"/>
    </row>
    <row r="910" spans="15:19" x14ac:dyDescent="0.25">
      <c r="O910" s="4"/>
      <c r="P910" s="4"/>
      <c r="Q910" s="4"/>
      <c r="R910" s="4"/>
      <c r="S910" s="4"/>
    </row>
    <row r="911" spans="15:19" x14ac:dyDescent="0.25">
      <c r="O911" s="4"/>
      <c r="P911" s="4"/>
      <c r="Q911" s="4"/>
      <c r="R911" s="4"/>
      <c r="S911" s="4"/>
    </row>
    <row r="912" spans="15:19" x14ac:dyDescent="0.25">
      <c r="O912" s="4"/>
      <c r="P912" s="4"/>
      <c r="Q912" s="4"/>
      <c r="R912" s="4"/>
      <c r="S912" s="4"/>
    </row>
    <row r="913" spans="15:19" x14ac:dyDescent="0.25">
      <c r="O913" s="4"/>
      <c r="P913" s="4"/>
      <c r="Q913" s="4"/>
      <c r="R913" s="4"/>
      <c r="S913" s="4"/>
    </row>
    <row r="914" spans="15:19" x14ac:dyDescent="0.25">
      <c r="O914" s="4"/>
      <c r="P914" s="4"/>
      <c r="Q914" s="4"/>
      <c r="R914" s="4"/>
      <c r="S914" s="4"/>
    </row>
    <row r="915" spans="15:19" x14ac:dyDescent="0.25">
      <c r="O915" s="4"/>
      <c r="P915" s="4"/>
      <c r="Q915" s="4"/>
      <c r="R915" s="4"/>
      <c r="S915" s="4"/>
    </row>
    <row r="916" spans="15:19" x14ac:dyDescent="0.25">
      <c r="O916" s="4"/>
      <c r="P916" s="4"/>
      <c r="Q916" s="4"/>
      <c r="R916" s="4"/>
      <c r="S916" s="4"/>
    </row>
    <row r="917" spans="15:19" x14ac:dyDescent="0.25">
      <c r="O917" s="4"/>
      <c r="P917" s="4"/>
      <c r="Q917" s="4"/>
      <c r="R917" s="4"/>
      <c r="S917" s="4"/>
    </row>
    <row r="918" spans="15:19" x14ac:dyDescent="0.25">
      <c r="O918" s="4"/>
      <c r="P918" s="4"/>
      <c r="Q918" s="4"/>
      <c r="R918" s="4"/>
      <c r="S918" s="4"/>
    </row>
    <row r="919" spans="15:19" x14ac:dyDescent="0.25">
      <c r="O919" s="4"/>
      <c r="P919" s="4"/>
      <c r="Q919" s="4"/>
      <c r="R919" s="4"/>
      <c r="S919" s="4"/>
    </row>
    <row r="920" spans="15:19" x14ac:dyDescent="0.25">
      <c r="O920" s="4"/>
      <c r="P920" s="4"/>
      <c r="Q920" s="4"/>
      <c r="R920" s="4"/>
      <c r="S920" s="4"/>
    </row>
    <row r="921" spans="15:19" x14ac:dyDescent="0.25">
      <c r="O921" s="4"/>
      <c r="P921" s="4"/>
      <c r="Q921" s="4"/>
      <c r="R921" s="4"/>
      <c r="S921" s="4"/>
    </row>
    <row r="922" spans="15:19" x14ac:dyDescent="0.25">
      <c r="O922" s="4"/>
      <c r="P922" s="4"/>
      <c r="Q922" s="4"/>
      <c r="R922" s="4"/>
      <c r="S922" s="4"/>
    </row>
    <row r="923" spans="15:19" x14ac:dyDescent="0.25">
      <c r="O923" s="4"/>
      <c r="P923" s="4"/>
      <c r="Q923" s="4"/>
      <c r="R923" s="4"/>
      <c r="S923" s="4"/>
    </row>
    <row r="924" spans="15:19" x14ac:dyDescent="0.25">
      <c r="O924" s="4"/>
      <c r="P924" s="4"/>
      <c r="Q924" s="4"/>
      <c r="R924" s="4"/>
      <c r="S924" s="4"/>
    </row>
    <row r="925" spans="15:19" x14ac:dyDescent="0.25">
      <c r="O925" s="4"/>
      <c r="P925" s="4"/>
      <c r="Q925" s="4"/>
      <c r="R925" s="4"/>
      <c r="S925" s="4"/>
    </row>
    <row r="926" spans="15:19" x14ac:dyDescent="0.25">
      <c r="O926" s="4"/>
      <c r="P926" s="4"/>
      <c r="Q926" s="4"/>
      <c r="R926" s="4"/>
      <c r="S926" s="4"/>
    </row>
    <row r="927" spans="15:19" x14ac:dyDescent="0.25">
      <c r="O927" s="4"/>
      <c r="P927" s="4"/>
      <c r="Q927" s="4"/>
      <c r="R927" s="4"/>
      <c r="S927" s="4"/>
    </row>
    <row r="928" spans="15:19" x14ac:dyDescent="0.25">
      <c r="O928" s="4"/>
      <c r="P928" s="4"/>
      <c r="Q928" s="4"/>
      <c r="R928" s="4"/>
      <c r="S928" s="4"/>
    </row>
    <row r="929" spans="15:19" x14ac:dyDescent="0.25">
      <c r="O929" s="4"/>
      <c r="P929" s="4"/>
      <c r="Q929" s="4"/>
      <c r="R929" s="4"/>
      <c r="S929" s="4"/>
    </row>
    <row r="930" spans="15:19" x14ac:dyDescent="0.25">
      <c r="O930" s="4"/>
      <c r="P930" s="4"/>
      <c r="Q930" s="4"/>
      <c r="R930" s="4"/>
      <c r="S930" s="4"/>
    </row>
    <row r="931" spans="15:19" x14ac:dyDescent="0.25">
      <c r="O931" s="4"/>
      <c r="P931" s="4"/>
      <c r="Q931" s="4"/>
      <c r="R931" s="4"/>
      <c r="S931" s="4"/>
    </row>
    <row r="932" spans="15:19" x14ac:dyDescent="0.25">
      <c r="O932" s="4"/>
      <c r="P932" s="4"/>
      <c r="Q932" s="4"/>
      <c r="R932" s="4"/>
      <c r="S932" s="4"/>
    </row>
    <row r="933" spans="15:19" x14ac:dyDescent="0.25">
      <c r="O933" s="4"/>
      <c r="P933" s="4"/>
      <c r="Q933" s="4"/>
      <c r="R933" s="4"/>
      <c r="S933" s="4"/>
    </row>
    <row r="934" spans="15:19" x14ac:dyDescent="0.25">
      <c r="O934" s="4"/>
      <c r="P934" s="4"/>
      <c r="Q934" s="4"/>
      <c r="R934" s="4"/>
      <c r="S934" s="4"/>
    </row>
    <row r="935" spans="15:19" x14ac:dyDescent="0.25">
      <c r="O935" s="4"/>
      <c r="P935" s="4"/>
      <c r="Q935" s="4"/>
      <c r="R935" s="4"/>
      <c r="S935" s="4"/>
    </row>
    <row r="936" spans="15:19" x14ac:dyDescent="0.25">
      <c r="O936" s="4"/>
      <c r="P936" s="4"/>
      <c r="Q936" s="4"/>
      <c r="R936" s="4"/>
      <c r="S936" s="4"/>
    </row>
    <row r="937" spans="15:19" x14ac:dyDescent="0.25">
      <c r="O937" s="4"/>
      <c r="P937" s="4"/>
      <c r="Q937" s="4"/>
      <c r="R937" s="4"/>
      <c r="S937" s="4"/>
    </row>
    <row r="938" spans="15:19" x14ac:dyDescent="0.25">
      <c r="O938" s="4"/>
      <c r="P938" s="4"/>
      <c r="Q938" s="4"/>
      <c r="R938" s="4"/>
      <c r="S938" s="4"/>
    </row>
    <row r="939" spans="15:19" x14ac:dyDescent="0.25">
      <c r="O939" s="4"/>
      <c r="P939" s="4"/>
      <c r="Q939" s="4"/>
      <c r="R939" s="4"/>
      <c r="S939" s="4"/>
    </row>
    <row r="940" spans="15:19" x14ac:dyDescent="0.25">
      <c r="O940" s="4"/>
      <c r="P940" s="4"/>
      <c r="Q940" s="4"/>
      <c r="R940" s="4"/>
      <c r="S940" s="4"/>
    </row>
    <row r="941" spans="15:19" x14ac:dyDescent="0.25">
      <c r="O941" s="4"/>
      <c r="P941" s="4"/>
      <c r="Q941" s="4"/>
      <c r="R941" s="4"/>
      <c r="S941" s="4"/>
    </row>
    <row r="942" spans="15:19" x14ac:dyDescent="0.25">
      <c r="O942" s="4"/>
      <c r="P942" s="4"/>
      <c r="Q942" s="4"/>
      <c r="R942" s="4"/>
      <c r="S942" s="4"/>
    </row>
    <row r="943" spans="15:19" x14ac:dyDescent="0.25">
      <c r="O943" s="4"/>
      <c r="P943" s="4"/>
      <c r="Q943" s="4"/>
      <c r="R943" s="4"/>
      <c r="S943" s="4"/>
    </row>
    <row r="944" spans="15:19" x14ac:dyDescent="0.25">
      <c r="O944" s="4"/>
      <c r="P944" s="4"/>
      <c r="Q944" s="4"/>
      <c r="R944" s="4"/>
      <c r="S944" s="4"/>
    </row>
    <row r="945" spans="15:19" x14ac:dyDescent="0.25">
      <c r="O945" s="4"/>
      <c r="P945" s="4"/>
      <c r="Q945" s="4"/>
      <c r="R945" s="4"/>
      <c r="S945" s="4"/>
    </row>
    <row r="946" spans="15:19" x14ac:dyDescent="0.25">
      <c r="O946" s="4"/>
      <c r="P946" s="4"/>
      <c r="Q946" s="4"/>
      <c r="R946" s="4"/>
      <c r="S946" s="4"/>
    </row>
    <row r="947" spans="15:19" x14ac:dyDescent="0.25">
      <c r="O947" s="4"/>
      <c r="P947" s="4"/>
      <c r="Q947" s="4"/>
      <c r="R947" s="4"/>
      <c r="S947" s="4"/>
    </row>
    <row r="948" spans="15:19" x14ac:dyDescent="0.25">
      <c r="O948" s="4"/>
      <c r="P948" s="4"/>
      <c r="Q948" s="4"/>
      <c r="R948" s="4"/>
      <c r="S948" s="4"/>
    </row>
    <row r="949" spans="15:19" x14ac:dyDescent="0.25">
      <c r="O949" s="4"/>
      <c r="P949" s="4"/>
      <c r="Q949" s="4"/>
      <c r="R949" s="4"/>
      <c r="S949" s="4"/>
    </row>
    <row r="950" spans="15:19" x14ac:dyDescent="0.25">
      <c r="O950" s="4"/>
      <c r="P950" s="4"/>
      <c r="Q950" s="4"/>
      <c r="R950" s="4"/>
      <c r="S950" s="4"/>
    </row>
    <row r="951" spans="15:19" x14ac:dyDescent="0.25">
      <c r="O951" s="4"/>
      <c r="P951" s="4"/>
      <c r="Q951" s="4"/>
      <c r="R951" s="4"/>
      <c r="S951" s="4"/>
    </row>
    <row r="952" spans="15:19" x14ac:dyDescent="0.25">
      <c r="O952" s="4"/>
      <c r="P952" s="4"/>
      <c r="Q952" s="4"/>
      <c r="R952" s="4"/>
      <c r="S952" s="4"/>
    </row>
    <row r="953" spans="15:19" x14ac:dyDescent="0.25">
      <c r="O953" s="4"/>
      <c r="P953" s="4"/>
      <c r="Q953" s="4"/>
      <c r="R953" s="4"/>
      <c r="S953" s="4"/>
    </row>
    <row r="954" spans="15:19" x14ac:dyDescent="0.25">
      <c r="O954" s="4"/>
      <c r="P954" s="4"/>
      <c r="Q954" s="4"/>
      <c r="R954" s="4"/>
      <c r="S954" s="4"/>
    </row>
    <row r="955" spans="15:19" x14ac:dyDescent="0.25">
      <c r="O955" s="4"/>
      <c r="P955" s="4"/>
      <c r="Q955" s="4"/>
      <c r="R955" s="4"/>
      <c r="S955" s="4"/>
    </row>
    <row r="956" spans="15:19" x14ac:dyDescent="0.25">
      <c r="O956" s="4"/>
      <c r="P956" s="4"/>
      <c r="Q956" s="4"/>
      <c r="R956" s="4"/>
      <c r="S956" s="4"/>
    </row>
    <row r="957" spans="15:19" x14ac:dyDescent="0.25">
      <c r="O957" s="4"/>
      <c r="P957" s="4"/>
      <c r="Q957" s="4"/>
      <c r="R957" s="4"/>
      <c r="S957" s="4"/>
    </row>
    <row r="958" spans="15:19" x14ac:dyDescent="0.25">
      <c r="O958" s="4"/>
      <c r="P958" s="4"/>
      <c r="Q958" s="4"/>
      <c r="R958" s="4"/>
      <c r="S958" s="4"/>
    </row>
    <row r="959" spans="15:19" x14ac:dyDescent="0.25">
      <c r="O959" s="4"/>
      <c r="P959" s="4"/>
      <c r="Q959" s="4"/>
      <c r="R959" s="4"/>
      <c r="S959" s="4"/>
    </row>
    <row r="960" spans="15:19" x14ac:dyDescent="0.25">
      <c r="O960" s="4"/>
      <c r="P960" s="4"/>
      <c r="Q960" s="4"/>
      <c r="R960" s="4"/>
      <c r="S960" s="4"/>
    </row>
    <row r="961" spans="15:19" x14ac:dyDescent="0.25">
      <c r="O961" s="4"/>
      <c r="P961" s="4"/>
      <c r="Q961" s="4"/>
      <c r="R961" s="4"/>
      <c r="S961" s="4"/>
    </row>
    <row r="962" spans="15:19" x14ac:dyDescent="0.25">
      <c r="O962" s="4"/>
      <c r="P962" s="4"/>
      <c r="Q962" s="4"/>
      <c r="R962" s="4"/>
      <c r="S962" s="4"/>
    </row>
    <row r="963" spans="15:19" x14ac:dyDescent="0.25">
      <c r="O963" s="4"/>
      <c r="P963" s="4"/>
      <c r="Q963" s="4"/>
      <c r="R963" s="4"/>
      <c r="S963" s="4"/>
    </row>
    <row r="964" spans="15:19" x14ac:dyDescent="0.25">
      <c r="O964" s="4"/>
      <c r="P964" s="4"/>
      <c r="Q964" s="4"/>
      <c r="R964" s="4"/>
      <c r="S964" s="4"/>
    </row>
    <row r="965" spans="15:19" x14ac:dyDescent="0.25">
      <c r="O965" s="4"/>
      <c r="P965" s="4"/>
      <c r="Q965" s="4"/>
      <c r="R965" s="4"/>
      <c r="S965" s="4"/>
    </row>
    <row r="966" spans="15:19" x14ac:dyDescent="0.25">
      <c r="O966" s="4"/>
      <c r="P966" s="4"/>
      <c r="Q966" s="4"/>
      <c r="R966" s="4"/>
      <c r="S966" s="4"/>
    </row>
    <row r="967" spans="15:19" x14ac:dyDescent="0.25">
      <c r="O967" s="4"/>
      <c r="P967" s="4"/>
      <c r="Q967" s="4"/>
      <c r="R967" s="4"/>
      <c r="S967" s="4"/>
    </row>
    <row r="968" spans="15:19" x14ac:dyDescent="0.25">
      <c r="O968" s="4"/>
      <c r="P968" s="4"/>
      <c r="Q968" s="4"/>
      <c r="R968" s="4"/>
      <c r="S968" s="4"/>
    </row>
    <row r="969" spans="15:19" x14ac:dyDescent="0.25">
      <c r="O969" s="4"/>
      <c r="P969" s="4"/>
      <c r="Q969" s="4"/>
      <c r="R969" s="4"/>
      <c r="S969" s="4"/>
    </row>
    <row r="970" spans="15:19" x14ac:dyDescent="0.25">
      <c r="O970" s="4"/>
      <c r="P970" s="4"/>
      <c r="Q970" s="4"/>
      <c r="R970" s="4"/>
      <c r="S970" s="4"/>
    </row>
    <row r="971" spans="15:19" x14ac:dyDescent="0.25">
      <c r="O971" s="4"/>
      <c r="P971" s="4"/>
      <c r="Q971" s="4"/>
      <c r="R971" s="4"/>
      <c r="S971" s="4"/>
    </row>
    <row r="972" spans="15:19" x14ac:dyDescent="0.25">
      <c r="O972" s="4"/>
      <c r="P972" s="4"/>
      <c r="Q972" s="4"/>
      <c r="R972" s="4"/>
      <c r="S972" s="4"/>
    </row>
    <row r="973" spans="15:19" x14ac:dyDescent="0.25">
      <c r="O973" s="4"/>
      <c r="P973" s="4"/>
      <c r="Q973" s="4"/>
      <c r="R973" s="4"/>
      <c r="S973" s="4"/>
    </row>
    <row r="974" spans="15:19" x14ac:dyDescent="0.25">
      <c r="O974" s="4"/>
      <c r="P974" s="4"/>
      <c r="Q974" s="4"/>
      <c r="R974" s="4"/>
      <c r="S974" s="4"/>
    </row>
    <row r="975" spans="15:19" x14ac:dyDescent="0.25">
      <c r="O975" s="4"/>
      <c r="P975" s="4"/>
      <c r="Q975" s="4"/>
      <c r="R975" s="4"/>
      <c r="S975" s="4"/>
    </row>
    <row r="976" spans="15:19" x14ac:dyDescent="0.25">
      <c r="O976" s="4"/>
      <c r="P976" s="4"/>
      <c r="Q976" s="4"/>
      <c r="R976" s="4"/>
      <c r="S976" s="4"/>
    </row>
    <row r="977" spans="15:19" x14ac:dyDescent="0.25">
      <c r="O977" s="4"/>
      <c r="P977" s="4"/>
      <c r="Q977" s="4"/>
      <c r="R977" s="4"/>
      <c r="S977" s="4"/>
    </row>
    <row r="978" spans="15:19" x14ac:dyDescent="0.25">
      <c r="O978" s="4"/>
      <c r="P978" s="4"/>
      <c r="Q978" s="4"/>
      <c r="R978" s="4"/>
      <c r="S978" s="4"/>
    </row>
    <row r="979" spans="15:19" x14ac:dyDescent="0.25">
      <c r="O979" s="4"/>
      <c r="P979" s="4"/>
      <c r="Q979" s="4"/>
      <c r="R979" s="4"/>
      <c r="S979" s="4"/>
    </row>
    <row r="980" spans="15:19" x14ac:dyDescent="0.25">
      <c r="O980" s="4"/>
      <c r="P980" s="4"/>
      <c r="Q980" s="4"/>
      <c r="R980" s="4"/>
      <c r="S980" s="4"/>
    </row>
    <row r="981" spans="15:19" x14ac:dyDescent="0.25">
      <c r="O981" s="4"/>
      <c r="P981" s="4"/>
      <c r="Q981" s="4"/>
      <c r="R981" s="4"/>
      <c r="S981" s="4"/>
    </row>
    <row r="982" spans="15:19" x14ac:dyDescent="0.25">
      <c r="O982" s="4"/>
      <c r="P982" s="4"/>
      <c r="Q982" s="4"/>
      <c r="R982" s="4"/>
      <c r="S982" s="4"/>
    </row>
    <row r="983" spans="15:19" x14ac:dyDescent="0.25">
      <c r="O983" s="4"/>
      <c r="P983" s="4"/>
      <c r="Q983" s="4"/>
      <c r="R983" s="4"/>
      <c r="S983" s="4"/>
    </row>
    <row r="984" spans="15:19" x14ac:dyDescent="0.25">
      <c r="O984" s="4"/>
      <c r="P984" s="4"/>
      <c r="Q984" s="4"/>
      <c r="R984" s="4"/>
      <c r="S984" s="4"/>
    </row>
    <row r="985" spans="15:19" x14ac:dyDescent="0.25">
      <c r="O985" s="4"/>
      <c r="P985" s="4"/>
      <c r="Q985" s="4"/>
      <c r="R985" s="4"/>
      <c r="S985" s="4"/>
    </row>
    <row r="986" spans="15:19" x14ac:dyDescent="0.25">
      <c r="O986" s="4"/>
      <c r="P986" s="4"/>
      <c r="Q986" s="4"/>
      <c r="R986" s="4"/>
      <c r="S986" s="4"/>
    </row>
    <row r="987" spans="15:19" x14ac:dyDescent="0.25">
      <c r="O987" s="4"/>
      <c r="P987" s="4"/>
      <c r="Q987" s="4"/>
      <c r="R987" s="4"/>
      <c r="S987" s="4"/>
    </row>
    <row r="988" spans="15:19" x14ac:dyDescent="0.25">
      <c r="O988" s="4"/>
      <c r="P988" s="4"/>
      <c r="Q988" s="4"/>
      <c r="R988" s="4"/>
      <c r="S988" s="4"/>
    </row>
    <row r="989" spans="15:19" x14ac:dyDescent="0.25">
      <c r="O989" s="4"/>
      <c r="P989" s="4"/>
      <c r="Q989" s="4"/>
      <c r="R989" s="4"/>
      <c r="S989" s="4"/>
    </row>
    <row r="990" spans="15:19" x14ac:dyDescent="0.25">
      <c r="O990" s="4"/>
      <c r="P990" s="4"/>
      <c r="Q990" s="4"/>
      <c r="R990" s="4"/>
      <c r="S990" s="4"/>
    </row>
    <row r="991" spans="15:19" x14ac:dyDescent="0.25">
      <c r="O991" s="4"/>
      <c r="P991" s="4"/>
      <c r="Q991" s="4"/>
      <c r="R991" s="4"/>
      <c r="S991" s="4"/>
    </row>
    <row r="992" spans="15:19" x14ac:dyDescent="0.25">
      <c r="O992" s="4"/>
      <c r="P992" s="4"/>
      <c r="Q992" s="4"/>
      <c r="R992" s="4"/>
      <c r="S992" s="4"/>
    </row>
    <row r="993" spans="15:19" x14ac:dyDescent="0.25">
      <c r="O993" s="4"/>
      <c r="P993" s="4"/>
      <c r="Q993" s="4"/>
      <c r="R993" s="4"/>
      <c r="S993" s="4"/>
    </row>
    <row r="994" spans="15:19" x14ac:dyDescent="0.25">
      <c r="O994" s="4"/>
      <c r="P994" s="4"/>
      <c r="Q994" s="4"/>
      <c r="R994" s="4"/>
      <c r="S994" s="4"/>
    </row>
    <row r="995" spans="15:19" x14ac:dyDescent="0.25">
      <c r="O995" s="4"/>
      <c r="P995" s="4"/>
      <c r="Q995" s="4"/>
      <c r="R995" s="4"/>
      <c r="S995" s="4"/>
    </row>
    <row r="996" spans="15:19" x14ac:dyDescent="0.25">
      <c r="O996" s="4"/>
      <c r="P996" s="4"/>
      <c r="Q996" s="4"/>
      <c r="R996" s="4"/>
      <c r="S996" s="4"/>
    </row>
    <row r="997" spans="15:19" x14ac:dyDescent="0.25">
      <c r="O997" s="4"/>
      <c r="P997" s="4"/>
      <c r="Q997" s="4"/>
      <c r="R997" s="4"/>
      <c r="S997" s="4"/>
    </row>
    <row r="998" spans="15:19" x14ac:dyDescent="0.25">
      <c r="O998" s="4"/>
      <c r="P998" s="4"/>
      <c r="Q998" s="4"/>
      <c r="R998" s="4"/>
      <c r="S998" s="4"/>
    </row>
    <row r="999" spans="15:19" x14ac:dyDescent="0.25">
      <c r="O999" s="4"/>
      <c r="P999" s="4"/>
      <c r="Q999" s="4"/>
      <c r="R999" s="4"/>
      <c r="S999" s="4"/>
    </row>
    <row r="1000" spans="15:19" x14ac:dyDescent="0.25">
      <c r="O1000" s="4"/>
      <c r="P1000" s="4"/>
      <c r="Q1000" s="4"/>
      <c r="R1000" s="4"/>
      <c r="S1000" s="4"/>
    </row>
    <row r="1001" spans="15:19" x14ac:dyDescent="0.25">
      <c r="O1001" s="4"/>
      <c r="P1001" s="4"/>
      <c r="Q1001" s="4"/>
      <c r="R1001" s="4"/>
      <c r="S1001" s="4"/>
    </row>
    <row r="1002" spans="15:19" x14ac:dyDescent="0.25">
      <c r="O1002" s="4"/>
      <c r="P1002" s="4"/>
      <c r="Q1002" s="4"/>
      <c r="R1002" s="4"/>
      <c r="S1002" s="4"/>
    </row>
    <row r="1003" spans="15:19" x14ac:dyDescent="0.25">
      <c r="O1003" s="4"/>
      <c r="P1003" s="4"/>
      <c r="Q1003" s="4"/>
      <c r="R1003" s="4"/>
      <c r="S1003" s="4"/>
    </row>
    <row r="1004" spans="15:19" x14ac:dyDescent="0.25">
      <c r="O1004" s="4"/>
      <c r="P1004" s="4"/>
      <c r="Q1004" s="4"/>
      <c r="R1004" s="4"/>
      <c r="S1004" s="4"/>
    </row>
    <row r="1005" spans="15:19" x14ac:dyDescent="0.25">
      <c r="O1005" s="4"/>
      <c r="P1005" s="4"/>
      <c r="Q1005" s="4"/>
      <c r="R1005" s="4"/>
      <c r="S1005" s="4"/>
    </row>
    <row r="1006" spans="15:19" x14ac:dyDescent="0.25">
      <c r="O1006" s="4"/>
      <c r="P1006" s="4"/>
      <c r="Q1006" s="4"/>
      <c r="R1006" s="4"/>
      <c r="S1006" s="4"/>
    </row>
    <row r="1007" spans="15:19" x14ac:dyDescent="0.25">
      <c r="O1007" s="4"/>
      <c r="P1007" s="4"/>
      <c r="Q1007" s="4"/>
      <c r="R1007" s="4"/>
      <c r="S1007" s="4"/>
    </row>
    <row r="1008" spans="15:19" x14ac:dyDescent="0.25">
      <c r="O1008" s="4"/>
      <c r="P1008" s="4"/>
      <c r="Q1008" s="4"/>
      <c r="R1008" s="4"/>
      <c r="S1008" s="4"/>
    </row>
    <row r="1009" spans="15:19" x14ac:dyDescent="0.25">
      <c r="O1009" s="4"/>
      <c r="P1009" s="4"/>
      <c r="Q1009" s="4"/>
      <c r="R1009" s="4"/>
      <c r="S1009" s="4"/>
    </row>
    <row r="1010" spans="15:19" x14ac:dyDescent="0.25">
      <c r="O1010" s="4"/>
      <c r="P1010" s="4"/>
      <c r="Q1010" s="4"/>
      <c r="R1010" s="4"/>
      <c r="S1010" s="4"/>
    </row>
    <row r="1011" spans="15:19" x14ac:dyDescent="0.25">
      <c r="O1011" s="4"/>
      <c r="P1011" s="4"/>
      <c r="Q1011" s="4"/>
      <c r="R1011" s="4"/>
      <c r="S1011" s="4"/>
    </row>
    <row r="1012" spans="15:19" x14ac:dyDescent="0.25">
      <c r="O1012" s="4"/>
      <c r="P1012" s="4"/>
      <c r="Q1012" s="4"/>
      <c r="R1012" s="4"/>
      <c r="S1012" s="4"/>
    </row>
    <row r="1013" spans="15:19" x14ac:dyDescent="0.25">
      <c r="O1013" s="4"/>
      <c r="P1013" s="4"/>
      <c r="Q1013" s="4"/>
      <c r="R1013" s="4"/>
      <c r="S1013" s="4"/>
    </row>
    <row r="1014" spans="15:19" x14ac:dyDescent="0.25">
      <c r="O1014" s="4"/>
      <c r="P1014" s="4"/>
      <c r="Q1014" s="4"/>
      <c r="R1014" s="4"/>
      <c r="S1014" s="4"/>
    </row>
    <row r="1015" spans="15:19" x14ac:dyDescent="0.25">
      <c r="O1015" s="4"/>
      <c r="P1015" s="4"/>
      <c r="Q1015" s="4"/>
      <c r="R1015" s="4"/>
      <c r="S1015" s="4"/>
    </row>
    <row r="1016" spans="15:19" x14ac:dyDescent="0.25">
      <c r="O1016" s="4"/>
      <c r="P1016" s="4"/>
      <c r="Q1016" s="4"/>
      <c r="R1016" s="4"/>
      <c r="S1016" s="4"/>
    </row>
    <row r="1017" spans="15:19" x14ac:dyDescent="0.25">
      <c r="O1017" s="4"/>
      <c r="P1017" s="4"/>
      <c r="Q1017" s="4"/>
      <c r="R1017" s="4"/>
      <c r="S1017" s="4"/>
    </row>
    <row r="1018" spans="15:19" x14ac:dyDescent="0.25">
      <c r="O1018" s="4"/>
      <c r="P1018" s="4"/>
      <c r="Q1018" s="4"/>
      <c r="R1018" s="4"/>
      <c r="S1018" s="4"/>
    </row>
    <row r="1019" spans="15:19" x14ac:dyDescent="0.25">
      <c r="O1019" s="4"/>
      <c r="P1019" s="4"/>
      <c r="Q1019" s="4"/>
      <c r="R1019" s="4"/>
      <c r="S1019" s="4"/>
    </row>
    <row r="1020" spans="15:19" x14ac:dyDescent="0.25">
      <c r="O1020" s="4"/>
      <c r="P1020" s="4"/>
      <c r="Q1020" s="4"/>
      <c r="R1020" s="4"/>
      <c r="S1020" s="4"/>
    </row>
    <row r="1021" spans="15:19" x14ac:dyDescent="0.25">
      <c r="O1021" s="4"/>
      <c r="P1021" s="4"/>
      <c r="Q1021" s="4"/>
      <c r="R1021" s="4"/>
      <c r="S1021" s="4"/>
    </row>
    <row r="1022" spans="15:19" x14ac:dyDescent="0.25">
      <c r="O1022" s="4"/>
      <c r="P1022" s="4"/>
      <c r="Q1022" s="4"/>
      <c r="R1022" s="4"/>
      <c r="S1022" s="4"/>
    </row>
    <row r="1023" spans="15:19" x14ac:dyDescent="0.25">
      <c r="O1023" s="4"/>
      <c r="P1023" s="4"/>
      <c r="Q1023" s="4"/>
      <c r="R1023" s="4"/>
      <c r="S1023" s="4"/>
    </row>
    <row r="1024" spans="15:19" x14ac:dyDescent="0.25">
      <c r="O1024" s="4"/>
      <c r="P1024" s="4"/>
      <c r="Q1024" s="4"/>
      <c r="R1024" s="4"/>
      <c r="S1024" s="4"/>
    </row>
    <row r="1025" spans="15:19" x14ac:dyDescent="0.25">
      <c r="O1025" s="4"/>
      <c r="P1025" s="4"/>
      <c r="Q1025" s="4"/>
      <c r="R1025" s="4"/>
      <c r="S1025" s="4"/>
    </row>
    <row r="1026" spans="15:19" x14ac:dyDescent="0.25">
      <c r="O1026" s="4"/>
      <c r="P1026" s="4"/>
      <c r="Q1026" s="4"/>
      <c r="R1026" s="4"/>
      <c r="S1026" s="4"/>
    </row>
    <row r="1027" spans="15:19" x14ac:dyDescent="0.25">
      <c r="O1027" s="4"/>
      <c r="P1027" s="4"/>
      <c r="Q1027" s="4"/>
      <c r="R1027" s="4"/>
      <c r="S1027" s="4"/>
    </row>
    <row r="1028" spans="15:19" x14ac:dyDescent="0.25">
      <c r="O1028" s="4"/>
      <c r="P1028" s="4"/>
      <c r="Q1028" s="4"/>
      <c r="R1028" s="4"/>
      <c r="S1028" s="4"/>
    </row>
    <row r="1029" spans="15:19" x14ac:dyDescent="0.25">
      <c r="O1029" s="4"/>
      <c r="P1029" s="4"/>
      <c r="Q1029" s="4"/>
      <c r="R1029" s="4"/>
      <c r="S1029" s="4"/>
    </row>
    <row r="1030" spans="15:19" x14ac:dyDescent="0.25">
      <c r="O1030" s="4"/>
      <c r="P1030" s="4"/>
      <c r="Q1030" s="4"/>
      <c r="R1030" s="4"/>
      <c r="S1030" s="4"/>
    </row>
    <row r="1031" spans="15:19" x14ac:dyDescent="0.25">
      <c r="O1031" s="4"/>
      <c r="P1031" s="4"/>
      <c r="Q1031" s="4"/>
      <c r="R1031" s="4"/>
      <c r="S1031" s="4"/>
    </row>
    <row r="1032" spans="15:19" x14ac:dyDescent="0.25">
      <c r="O1032" s="4"/>
      <c r="P1032" s="4"/>
      <c r="Q1032" s="4"/>
      <c r="R1032" s="4"/>
      <c r="S1032" s="4"/>
    </row>
    <row r="1033" spans="15:19" x14ac:dyDescent="0.25">
      <c r="O1033" s="4"/>
      <c r="P1033" s="4"/>
      <c r="Q1033" s="4"/>
      <c r="R1033" s="4"/>
      <c r="S1033" s="4"/>
    </row>
    <row r="1034" spans="15:19" x14ac:dyDescent="0.25">
      <c r="O1034" s="4"/>
      <c r="P1034" s="4"/>
      <c r="Q1034" s="4"/>
      <c r="R1034" s="4"/>
      <c r="S1034" s="4"/>
    </row>
    <row r="1035" spans="15:19" x14ac:dyDescent="0.25">
      <c r="O1035" s="4"/>
      <c r="P1035" s="4"/>
      <c r="Q1035" s="4"/>
      <c r="R1035" s="4"/>
      <c r="S1035" s="4"/>
    </row>
    <row r="1036" spans="15:19" x14ac:dyDescent="0.25">
      <c r="O1036" s="4"/>
      <c r="P1036" s="4"/>
      <c r="Q1036" s="4"/>
      <c r="R1036" s="4"/>
      <c r="S1036" s="4"/>
    </row>
    <row r="1037" spans="15:19" x14ac:dyDescent="0.25">
      <c r="O1037" s="4"/>
      <c r="P1037" s="4"/>
      <c r="Q1037" s="4"/>
      <c r="R1037" s="4"/>
      <c r="S1037" s="4"/>
    </row>
    <row r="1038" spans="15:19" x14ac:dyDescent="0.25">
      <c r="O1038" s="4"/>
      <c r="P1038" s="4"/>
      <c r="Q1038" s="4"/>
      <c r="R1038" s="4"/>
      <c r="S1038" s="4"/>
    </row>
    <row r="1039" spans="15:19" x14ac:dyDescent="0.25">
      <c r="O1039" s="4"/>
      <c r="P1039" s="4"/>
      <c r="Q1039" s="4"/>
      <c r="R1039" s="4"/>
      <c r="S1039" s="4"/>
    </row>
    <row r="1040" spans="15:19" x14ac:dyDescent="0.25">
      <c r="O1040" s="4"/>
      <c r="P1040" s="4"/>
      <c r="Q1040" s="4"/>
      <c r="R1040" s="4"/>
      <c r="S1040" s="4"/>
    </row>
    <row r="1041" spans="15:19" x14ac:dyDescent="0.25">
      <c r="O1041" s="4"/>
      <c r="P1041" s="4"/>
      <c r="Q1041" s="4"/>
      <c r="R1041" s="4"/>
      <c r="S1041" s="4"/>
    </row>
    <row r="1042" spans="15:19" x14ac:dyDescent="0.25">
      <c r="O1042" s="4"/>
      <c r="P1042" s="4"/>
      <c r="Q1042" s="4"/>
      <c r="R1042" s="4"/>
      <c r="S1042" s="4"/>
    </row>
    <row r="1043" spans="15:19" x14ac:dyDescent="0.25">
      <c r="O1043" s="4"/>
      <c r="P1043" s="4"/>
      <c r="Q1043" s="4"/>
      <c r="R1043" s="4"/>
      <c r="S1043" s="4"/>
    </row>
    <row r="1044" spans="15:19" x14ac:dyDescent="0.25">
      <c r="O1044" s="4"/>
      <c r="P1044" s="4"/>
      <c r="Q1044" s="4"/>
      <c r="R1044" s="4"/>
      <c r="S1044" s="4"/>
    </row>
    <row r="1045" spans="15:19" x14ac:dyDescent="0.25">
      <c r="O1045" s="4"/>
      <c r="P1045" s="4"/>
      <c r="Q1045" s="4"/>
      <c r="R1045" s="4"/>
      <c r="S1045" s="4"/>
    </row>
    <row r="1046" spans="15:19" x14ac:dyDescent="0.25">
      <c r="O1046" s="4"/>
      <c r="P1046" s="4"/>
      <c r="Q1046" s="4"/>
      <c r="R1046" s="4"/>
      <c r="S1046" s="4"/>
    </row>
    <row r="1047" spans="15:19" x14ac:dyDescent="0.25">
      <c r="O1047" s="4"/>
      <c r="P1047" s="4"/>
      <c r="Q1047" s="4"/>
      <c r="R1047" s="4"/>
      <c r="S1047" s="4"/>
    </row>
    <row r="1048" spans="15:19" x14ac:dyDescent="0.25">
      <c r="O1048" s="4"/>
      <c r="P1048" s="4"/>
      <c r="Q1048" s="4"/>
      <c r="R1048" s="4"/>
      <c r="S1048" s="4"/>
    </row>
    <row r="1049" spans="15:19" x14ac:dyDescent="0.25">
      <c r="O1049" s="4"/>
      <c r="P1049" s="4"/>
      <c r="Q1049" s="4"/>
      <c r="R1049" s="4"/>
      <c r="S1049" s="4"/>
    </row>
    <row r="1050" spans="15:19" x14ac:dyDescent="0.25">
      <c r="O1050" s="4"/>
      <c r="P1050" s="4"/>
      <c r="Q1050" s="4"/>
      <c r="R1050" s="4"/>
      <c r="S1050" s="4"/>
    </row>
    <row r="1051" spans="15:19" x14ac:dyDescent="0.25">
      <c r="O1051" s="4"/>
      <c r="P1051" s="4"/>
      <c r="Q1051" s="4"/>
      <c r="R1051" s="4"/>
      <c r="S1051" s="4"/>
    </row>
    <row r="1052" spans="15:19" x14ac:dyDescent="0.25">
      <c r="O1052" s="4"/>
      <c r="P1052" s="4"/>
      <c r="Q1052" s="4"/>
      <c r="R1052" s="4"/>
      <c r="S1052" s="4"/>
    </row>
    <row r="1053" spans="15:19" x14ac:dyDescent="0.25">
      <c r="O1053" s="4"/>
      <c r="P1053" s="4"/>
      <c r="Q1053" s="4"/>
      <c r="R1053" s="4"/>
      <c r="S1053" s="4"/>
    </row>
    <row r="1054" spans="15:19" x14ac:dyDescent="0.25">
      <c r="O1054" s="4"/>
      <c r="P1054" s="4"/>
      <c r="Q1054" s="4"/>
      <c r="R1054" s="4"/>
      <c r="S1054" s="4"/>
    </row>
    <row r="1055" spans="15:19" x14ac:dyDescent="0.25">
      <c r="O1055" s="4"/>
      <c r="P1055" s="4"/>
      <c r="Q1055" s="4"/>
      <c r="R1055" s="4"/>
      <c r="S1055" s="4"/>
    </row>
    <row r="1056" spans="15:19" x14ac:dyDescent="0.25">
      <c r="O1056" s="4"/>
      <c r="P1056" s="4"/>
      <c r="Q1056" s="4"/>
      <c r="R1056" s="4"/>
      <c r="S1056" s="4"/>
    </row>
    <row r="1057" spans="15:19" x14ac:dyDescent="0.25">
      <c r="O1057" s="4"/>
      <c r="P1057" s="4"/>
      <c r="Q1057" s="4"/>
      <c r="R1057" s="4"/>
      <c r="S1057" s="4"/>
    </row>
    <row r="1058" spans="15:19" x14ac:dyDescent="0.25">
      <c r="O1058" s="4"/>
      <c r="P1058" s="4"/>
      <c r="Q1058" s="4"/>
      <c r="R1058" s="4"/>
      <c r="S1058" s="4"/>
    </row>
    <row r="1059" spans="15:19" x14ac:dyDescent="0.25">
      <c r="O1059" s="4"/>
      <c r="P1059" s="4"/>
      <c r="Q1059" s="4"/>
      <c r="R1059" s="4"/>
      <c r="S1059" s="4"/>
    </row>
    <row r="1060" spans="15:19" x14ac:dyDescent="0.25">
      <c r="O1060" s="4"/>
      <c r="P1060" s="4"/>
      <c r="Q1060" s="4"/>
      <c r="R1060" s="4"/>
      <c r="S1060" s="4"/>
    </row>
    <row r="1061" spans="15:19" x14ac:dyDescent="0.25">
      <c r="O1061" s="4"/>
      <c r="P1061" s="4"/>
      <c r="Q1061" s="4"/>
      <c r="R1061" s="4"/>
      <c r="S1061" s="4"/>
    </row>
    <row r="1062" spans="15:19" x14ac:dyDescent="0.25">
      <c r="O1062" s="4"/>
      <c r="P1062" s="4"/>
      <c r="Q1062" s="4"/>
      <c r="R1062" s="4"/>
      <c r="S1062" s="4"/>
    </row>
    <row r="1063" spans="15:19" x14ac:dyDescent="0.25">
      <c r="O1063" s="4"/>
      <c r="P1063" s="4"/>
      <c r="Q1063" s="4"/>
      <c r="R1063" s="4"/>
      <c r="S1063" s="4"/>
    </row>
    <row r="1064" spans="15:19" x14ac:dyDescent="0.25">
      <c r="O1064" s="4"/>
      <c r="P1064" s="4"/>
      <c r="Q1064" s="4"/>
      <c r="R1064" s="4"/>
      <c r="S1064" s="4"/>
    </row>
    <row r="1065" spans="15:19" x14ac:dyDescent="0.25">
      <c r="O1065" s="4"/>
      <c r="P1065" s="4"/>
      <c r="Q1065" s="4"/>
      <c r="R1065" s="4"/>
      <c r="S1065" s="4"/>
    </row>
    <row r="1066" spans="15:19" x14ac:dyDescent="0.25">
      <c r="O1066" s="4"/>
      <c r="P1066" s="4"/>
      <c r="Q1066" s="4"/>
      <c r="R1066" s="4"/>
      <c r="S1066" s="4"/>
    </row>
    <row r="1067" spans="15:19" x14ac:dyDescent="0.25">
      <c r="O1067" s="4"/>
      <c r="P1067" s="4"/>
      <c r="Q1067" s="4"/>
      <c r="R1067" s="4"/>
      <c r="S1067" s="4"/>
    </row>
    <row r="1068" spans="15:19" x14ac:dyDescent="0.25">
      <c r="O1068" s="4"/>
      <c r="P1068" s="4"/>
      <c r="Q1068" s="4"/>
      <c r="R1068" s="4"/>
      <c r="S1068" s="4"/>
    </row>
    <row r="1069" spans="15:19" x14ac:dyDescent="0.25">
      <c r="O1069" s="4"/>
      <c r="P1069" s="4"/>
      <c r="Q1069" s="4"/>
      <c r="R1069" s="4"/>
      <c r="S1069" s="4"/>
    </row>
    <row r="1070" spans="15:19" x14ac:dyDescent="0.25">
      <c r="O1070" s="4"/>
      <c r="P1070" s="4"/>
      <c r="Q1070" s="4"/>
      <c r="R1070" s="4"/>
      <c r="S1070" s="4"/>
    </row>
    <row r="1071" spans="15:19" x14ac:dyDescent="0.25">
      <c r="O1071" s="4"/>
      <c r="P1071" s="4"/>
      <c r="Q1071" s="4"/>
      <c r="R1071" s="4"/>
      <c r="S1071" s="4"/>
    </row>
    <row r="1072" spans="15:19" x14ac:dyDescent="0.25">
      <c r="O1072" s="4"/>
      <c r="P1072" s="4"/>
      <c r="Q1072" s="4"/>
      <c r="R1072" s="4"/>
      <c r="S1072" s="4"/>
    </row>
    <row r="1073" spans="15:19" x14ac:dyDescent="0.25">
      <c r="O1073" s="4"/>
      <c r="P1073" s="4"/>
      <c r="Q1073" s="4"/>
      <c r="R1073" s="4"/>
      <c r="S1073" s="4"/>
    </row>
    <row r="1074" spans="15:19" x14ac:dyDescent="0.25">
      <c r="O1074" s="4"/>
      <c r="P1074" s="4"/>
      <c r="Q1074" s="4"/>
      <c r="R1074" s="4"/>
      <c r="S1074" s="4"/>
    </row>
    <row r="1075" spans="15:19" x14ac:dyDescent="0.25">
      <c r="O1075" s="4"/>
      <c r="P1075" s="4"/>
      <c r="Q1075" s="4"/>
      <c r="R1075" s="4"/>
      <c r="S1075" s="4"/>
    </row>
    <row r="1076" spans="15:19" x14ac:dyDescent="0.25">
      <c r="O1076" s="4"/>
      <c r="P1076" s="4"/>
      <c r="Q1076" s="4"/>
      <c r="R1076" s="4"/>
      <c r="S1076" s="4"/>
    </row>
    <row r="1077" spans="15:19" x14ac:dyDescent="0.25">
      <c r="O1077" s="4"/>
      <c r="P1077" s="4"/>
      <c r="Q1077" s="4"/>
      <c r="R1077" s="4"/>
      <c r="S1077" s="4"/>
    </row>
    <row r="1078" spans="15:19" x14ac:dyDescent="0.25">
      <c r="O1078" s="4"/>
      <c r="P1078" s="4"/>
      <c r="Q1078" s="4"/>
      <c r="R1078" s="4"/>
      <c r="S1078" s="4"/>
    </row>
    <row r="1079" spans="15:19" x14ac:dyDescent="0.25">
      <c r="O1079" s="4"/>
      <c r="P1079" s="4"/>
      <c r="Q1079" s="4"/>
      <c r="R1079" s="4"/>
      <c r="S1079" s="4"/>
    </row>
    <row r="1080" spans="15:19" x14ac:dyDescent="0.25">
      <c r="O1080" s="4"/>
      <c r="P1080" s="4"/>
      <c r="Q1080" s="4"/>
      <c r="R1080" s="4"/>
      <c r="S1080" s="4"/>
    </row>
    <row r="1081" spans="15:19" x14ac:dyDescent="0.25">
      <c r="O1081" s="4"/>
      <c r="P1081" s="4"/>
      <c r="Q1081" s="4"/>
      <c r="R1081" s="4"/>
      <c r="S1081" s="4"/>
    </row>
    <row r="1082" spans="15:19" x14ac:dyDescent="0.25">
      <c r="O1082" s="4"/>
      <c r="P1082" s="4"/>
      <c r="Q1082" s="4"/>
      <c r="R1082" s="4"/>
      <c r="S1082" s="4"/>
    </row>
    <row r="1083" spans="15:19" x14ac:dyDescent="0.25">
      <c r="O1083" s="4"/>
      <c r="P1083" s="4"/>
      <c r="Q1083" s="4"/>
      <c r="R1083" s="4"/>
      <c r="S1083" s="4"/>
    </row>
    <row r="1084" spans="15:19" x14ac:dyDescent="0.25">
      <c r="O1084" s="4"/>
      <c r="P1084" s="4"/>
      <c r="Q1084" s="4"/>
      <c r="R1084" s="4"/>
      <c r="S1084" s="4"/>
    </row>
    <row r="1085" spans="15:19" x14ac:dyDescent="0.25">
      <c r="O1085" s="4"/>
      <c r="P1085" s="4"/>
      <c r="Q1085" s="4"/>
      <c r="R1085" s="4"/>
      <c r="S1085" s="4"/>
    </row>
    <row r="1086" spans="15:19" x14ac:dyDescent="0.25">
      <c r="O1086" s="4"/>
      <c r="P1086" s="4"/>
      <c r="Q1086" s="4"/>
      <c r="R1086" s="4"/>
      <c r="S1086" s="4"/>
    </row>
    <row r="1087" spans="15:19" x14ac:dyDescent="0.25">
      <c r="O1087" s="4"/>
      <c r="P1087" s="4"/>
      <c r="Q1087" s="4"/>
      <c r="R1087" s="4"/>
      <c r="S1087" s="4"/>
    </row>
    <row r="1088" spans="15:19" x14ac:dyDescent="0.25">
      <c r="O1088" s="4"/>
      <c r="P1088" s="4"/>
      <c r="Q1088" s="4"/>
      <c r="R1088" s="4"/>
      <c r="S1088" s="4"/>
    </row>
    <row r="1089" spans="15:19" x14ac:dyDescent="0.25">
      <c r="O1089" s="4"/>
      <c r="P1089" s="4"/>
      <c r="Q1089" s="4"/>
      <c r="R1089" s="4"/>
      <c r="S1089" s="4"/>
    </row>
    <row r="1090" spans="15:19" x14ac:dyDescent="0.25">
      <c r="O1090" s="4"/>
      <c r="P1090" s="4"/>
      <c r="Q1090" s="4"/>
      <c r="R1090" s="4"/>
      <c r="S1090" s="4"/>
    </row>
    <row r="1091" spans="15:19" x14ac:dyDescent="0.25">
      <c r="O1091" s="4"/>
      <c r="P1091" s="4"/>
      <c r="Q1091" s="4"/>
      <c r="R1091" s="4"/>
      <c r="S1091" s="4"/>
    </row>
    <row r="1092" spans="15:19" x14ac:dyDescent="0.25">
      <c r="O1092" s="4"/>
      <c r="P1092" s="4"/>
      <c r="Q1092" s="4"/>
      <c r="R1092" s="4"/>
      <c r="S1092" s="4"/>
    </row>
    <row r="1093" spans="15:19" x14ac:dyDescent="0.25">
      <c r="O1093" s="4"/>
      <c r="P1093" s="4"/>
      <c r="Q1093" s="4"/>
      <c r="R1093" s="4"/>
      <c r="S1093" s="4"/>
    </row>
    <row r="1094" spans="15:19" x14ac:dyDescent="0.25">
      <c r="O1094" s="4"/>
      <c r="P1094" s="4"/>
      <c r="Q1094" s="4"/>
      <c r="R1094" s="4"/>
      <c r="S1094" s="4"/>
    </row>
    <row r="1095" spans="15:19" x14ac:dyDescent="0.25">
      <c r="O1095" s="4"/>
      <c r="P1095" s="4"/>
      <c r="Q1095" s="4"/>
      <c r="R1095" s="4"/>
      <c r="S1095" s="4"/>
    </row>
    <row r="1096" spans="15:19" x14ac:dyDescent="0.25">
      <c r="O1096" s="4"/>
      <c r="P1096" s="4"/>
      <c r="Q1096" s="4"/>
      <c r="R1096" s="4"/>
      <c r="S1096" s="4"/>
    </row>
    <row r="1097" spans="15:19" x14ac:dyDescent="0.25">
      <c r="O1097" s="4"/>
      <c r="P1097" s="4"/>
      <c r="Q1097" s="4"/>
      <c r="R1097" s="4"/>
      <c r="S1097" s="4"/>
    </row>
    <row r="1098" spans="15:19" x14ac:dyDescent="0.25">
      <c r="O1098" s="4"/>
      <c r="P1098" s="4"/>
      <c r="Q1098" s="4"/>
      <c r="R1098" s="4"/>
      <c r="S1098" s="4"/>
    </row>
    <row r="1099" spans="15:19" x14ac:dyDescent="0.25">
      <c r="O1099" s="4"/>
      <c r="P1099" s="4"/>
      <c r="Q1099" s="4"/>
      <c r="R1099" s="4"/>
      <c r="S1099" s="4"/>
    </row>
    <row r="1100" spans="15:19" x14ac:dyDescent="0.25">
      <c r="O1100" s="4"/>
      <c r="P1100" s="4"/>
      <c r="Q1100" s="4"/>
      <c r="R1100" s="4"/>
      <c r="S1100" s="4"/>
    </row>
    <row r="1101" spans="15:19" x14ac:dyDescent="0.25">
      <c r="O1101" s="4"/>
      <c r="P1101" s="4"/>
      <c r="Q1101" s="4"/>
      <c r="R1101" s="4"/>
      <c r="S1101" s="4"/>
    </row>
    <row r="1102" spans="15:19" x14ac:dyDescent="0.25">
      <c r="O1102" s="4"/>
      <c r="P1102" s="4"/>
      <c r="Q1102" s="4"/>
      <c r="R1102" s="4"/>
      <c r="S1102" s="4"/>
    </row>
    <row r="1103" spans="15:19" x14ac:dyDescent="0.25">
      <c r="O1103" s="4"/>
      <c r="P1103" s="4"/>
      <c r="Q1103" s="4"/>
      <c r="R1103" s="4"/>
      <c r="S1103" s="4"/>
    </row>
    <row r="1104" spans="15:19" x14ac:dyDescent="0.25">
      <c r="O1104" s="4"/>
      <c r="P1104" s="4"/>
      <c r="Q1104" s="4"/>
      <c r="R1104" s="4"/>
      <c r="S1104" s="4"/>
    </row>
    <row r="1105" spans="15:19" x14ac:dyDescent="0.25">
      <c r="O1105" s="4"/>
      <c r="P1105" s="4"/>
      <c r="Q1105" s="4"/>
      <c r="R1105" s="4"/>
      <c r="S1105" s="4"/>
    </row>
    <row r="1106" spans="15:19" x14ac:dyDescent="0.25">
      <c r="O1106" s="4"/>
      <c r="P1106" s="4"/>
      <c r="Q1106" s="4"/>
      <c r="R1106" s="4"/>
      <c r="S1106" s="4"/>
    </row>
    <row r="1107" spans="15:19" x14ac:dyDescent="0.25">
      <c r="O1107" s="4"/>
      <c r="P1107" s="4"/>
      <c r="Q1107" s="4"/>
      <c r="R1107" s="4"/>
      <c r="S1107" s="4"/>
    </row>
    <row r="1108" spans="15:19" x14ac:dyDescent="0.25">
      <c r="O1108" s="4"/>
      <c r="P1108" s="4"/>
      <c r="Q1108" s="4"/>
      <c r="R1108" s="4"/>
      <c r="S1108" s="4"/>
    </row>
    <row r="1109" spans="15:19" x14ac:dyDescent="0.25">
      <c r="O1109" s="4"/>
      <c r="P1109" s="4"/>
      <c r="Q1109" s="4"/>
      <c r="R1109" s="4"/>
      <c r="S1109" s="4"/>
    </row>
    <row r="1110" spans="15:19" x14ac:dyDescent="0.25">
      <c r="O1110" s="4"/>
      <c r="P1110" s="4"/>
      <c r="Q1110" s="4"/>
      <c r="R1110" s="4"/>
      <c r="S1110" s="4"/>
    </row>
    <row r="1111" spans="15:19" x14ac:dyDescent="0.25">
      <c r="O1111" s="4"/>
      <c r="P1111" s="4"/>
      <c r="Q1111" s="4"/>
      <c r="R1111" s="4"/>
      <c r="S1111" s="4"/>
    </row>
    <row r="1112" spans="15:19" x14ac:dyDescent="0.25">
      <c r="O1112" s="4"/>
      <c r="P1112" s="4"/>
      <c r="Q1112" s="4"/>
      <c r="R1112" s="4"/>
      <c r="S1112" s="4"/>
    </row>
    <row r="1113" spans="15:19" x14ac:dyDescent="0.25">
      <c r="O1113" s="4"/>
      <c r="P1113" s="4"/>
      <c r="Q1113" s="4"/>
      <c r="R1113" s="4"/>
      <c r="S1113" s="4"/>
    </row>
    <row r="1114" spans="15:19" x14ac:dyDescent="0.25">
      <c r="O1114" s="4"/>
      <c r="P1114" s="4"/>
      <c r="Q1114" s="4"/>
      <c r="R1114" s="4"/>
      <c r="S1114" s="4"/>
    </row>
    <row r="1115" spans="15:19" x14ac:dyDescent="0.25">
      <c r="O1115" s="4"/>
      <c r="P1115" s="4"/>
      <c r="Q1115" s="4"/>
      <c r="R1115" s="4"/>
      <c r="S1115" s="4"/>
    </row>
    <row r="1116" spans="15:19" x14ac:dyDescent="0.25">
      <c r="O1116" s="4"/>
      <c r="P1116" s="4"/>
      <c r="Q1116" s="4"/>
      <c r="R1116" s="4"/>
      <c r="S1116" s="4"/>
    </row>
    <row r="1117" spans="15:19" x14ac:dyDescent="0.25">
      <c r="O1117" s="4"/>
      <c r="P1117" s="4"/>
      <c r="Q1117" s="4"/>
      <c r="R1117" s="4"/>
      <c r="S1117" s="4"/>
    </row>
    <row r="1118" spans="15:19" x14ac:dyDescent="0.25">
      <c r="O1118" s="4"/>
      <c r="P1118" s="4"/>
      <c r="Q1118" s="4"/>
      <c r="R1118" s="4"/>
      <c r="S1118" s="4"/>
    </row>
    <row r="1119" spans="15:19" x14ac:dyDescent="0.25">
      <c r="O1119" s="4"/>
      <c r="P1119" s="4"/>
      <c r="Q1119" s="4"/>
      <c r="R1119" s="4"/>
      <c r="S1119" s="4"/>
    </row>
    <row r="1120" spans="15:19" x14ac:dyDescent="0.25">
      <c r="O1120" s="4"/>
      <c r="P1120" s="4"/>
      <c r="Q1120" s="4"/>
      <c r="R1120" s="4"/>
      <c r="S1120" s="4"/>
    </row>
    <row r="1121" spans="15:19" x14ac:dyDescent="0.25">
      <c r="O1121" s="4"/>
      <c r="P1121" s="4"/>
      <c r="Q1121" s="4"/>
      <c r="R1121" s="4"/>
      <c r="S1121" s="4"/>
    </row>
    <row r="1122" spans="15:19" x14ac:dyDescent="0.25">
      <c r="O1122" s="4"/>
      <c r="P1122" s="4"/>
      <c r="Q1122" s="4"/>
      <c r="R1122" s="4"/>
      <c r="S1122" s="4"/>
    </row>
    <row r="1123" spans="15:19" x14ac:dyDescent="0.25">
      <c r="O1123" s="4"/>
      <c r="P1123" s="4"/>
      <c r="Q1123" s="4"/>
      <c r="R1123" s="4"/>
      <c r="S1123" s="4"/>
    </row>
    <row r="1124" spans="15:19" x14ac:dyDescent="0.25">
      <c r="O1124" s="4"/>
      <c r="P1124" s="4"/>
      <c r="Q1124" s="4"/>
      <c r="R1124" s="4"/>
      <c r="S1124" s="4"/>
    </row>
    <row r="1125" spans="15:19" x14ac:dyDescent="0.25">
      <c r="O1125" s="4"/>
      <c r="P1125" s="4"/>
      <c r="Q1125" s="4"/>
      <c r="R1125" s="4"/>
      <c r="S1125" s="4"/>
    </row>
    <row r="1126" spans="15:19" x14ac:dyDescent="0.25">
      <c r="O1126" s="4"/>
      <c r="P1126" s="4"/>
      <c r="Q1126" s="4"/>
      <c r="R1126" s="4"/>
      <c r="S1126" s="4"/>
    </row>
    <row r="1127" spans="15:19" x14ac:dyDescent="0.25">
      <c r="O1127" s="4"/>
      <c r="P1127" s="4"/>
      <c r="Q1127" s="4"/>
      <c r="R1127" s="4"/>
      <c r="S1127" s="4"/>
    </row>
    <row r="1128" spans="15:19" x14ac:dyDescent="0.25">
      <c r="O1128" s="4"/>
      <c r="P1128" s="4"/>
      <c r="Q1128" s="4"/>
      <c r="R1128" s="4"/>
      <c r="S1128" s="4"/>
    </row>
    <row r="1129" spans="15:19" x14ac:dyDescent="0.25">
      <c r="O1129" s="4"/>
      <c r="P1129" s="4"/>
      <c r="Q1129" s="4"/>
      <c r="R1129" s="4"/>
      <c r="S1129" s="4"/>
    </row>
    <row r="1130" spans="15:19" x14ac:dyDescent="0.25">
      <c r="O1130" s="4"/>
      <c r="P1130" s="4"/>
      <c r="Q1130" s="4"/>
      <c r="R1130" s="4"/>
      <c r="S1130" s="4"/>
    </row>
    <row r="1131" spans="15:19" x14ac:dyDescent="0.25">
      <c r="O1131" s="4"/>
      <c r="P1131" s="4"/>
      <c r="Q1131" s="4"/>
      <c r="R1131" s="4"/>
      <c r="S1131" s="4"/>
    </row>
    <row r="1132" spans="15:19" x14ac:dyDescent="0.25">
      <c r="O1132" s="4"/>
      <c r="P1132" s="4"/>
      <c r="Q1132" s="4"/>
      <c r="R1132" s="4"/>
      <c r="S1132" s="4"/>
    </row>
    <row r="1133" spans="15:19" x14ac:dyDescent="0.25">
      <c r="O1133" s="4"/>
      <c r="P1133" s="4"/>
      <c r="Q1133" s="4"/>
      <c r="R1133" s="4"/>
      <c r="S1133" s="4"/>
    </row>
    <row r="1134" spans="15:19" x14ac:dyDescent="0.25">
      <c r="O1134" s="4"/>
      <c r="P1134" s="4"/>
      <c r="Q1134" s="4"/>
      <c r="R1134" s="4"/>
      <c r="S1134" s="4"/>
    </row>
    <row r="1135" spans="15:19" x14ac:dyDescent="0.25">
      <c r="O1135" s="4"/>
      <c r="P1135" s="4"/>
      <c r="Q1135" s="4"/>
      <c r="R1135" s="4"/>
      <c r="S1135" s="4"/>
    </row>
    <row r="1136" spans="15:19" x14ac:dyDescent="0.25">
      <c r="O1136" s="4"/>
      <c r="P1136" s="4"/>
      <c r="Q1136" s="4"/>
      <c r="R1136" s="4"/>
      <c r="S1136" s="4"/>
    </row>
    <row r="1137" spans="15:19" x14ac:dyDescent="0.25">
      <c r="O1137" s="4"/>
      <c r="P1137" s="4"/>
      <c r="Q1137" s="4"/>
      <c r="R1137" s="4"/>
      <c r="S1137" s="4"/>
    </row>
    <row r="1138" spans="15:19" x14ac:dyDescent="0.25">
      <c r="O1138" s="4"/>
      <c r="P1138" s="4"/>
      <c r="Q1138" s="4"/>
      <c r="R1138" s="4"/>
      <c r="S1138" s="4"/>
    </row>
    <row r="1139" spans="15:19" x14ac:dyDescent="0.25">
      <c r="O1139" s="4"/>
      <c r="P1139" s="4"/>
      <c r="Q1139" s="4"/>
      <c r="R1139" s="4"/>
      <c r="S1139" s="4"/>
    </row>
    <row r="1140" spans="15:19" x14ac:dyDescent="0.25">
      <c r="O1140" s="4"/>
      <c r="P1140" s="4"/>
      <c r="Q1140" s="4"/>
      <c r="R1140" s="4"/>
      <c r="S1140" s="4"/>
    </row>
    <row r="1141" spans="15:19" x14ac:dyDescent="0.25">
      <c r="O1141" s="4"/>
      <c r="P1141" s="4"/>
      <c r="Q1141" s="4"/>
      <c r="R1141" s="4"/>
      <c r="S1141" s="4"/>
    </row>
    <row r="1142" spans="15:19" x14ac:dyDescent="0.25">
      <c r="O1142" s="4"/>
      <c r="P1142" s="4"/>
      <c r="Q1142" s="4"/>
      <c r="R1142" s="4"/>
      <c r="S1142" s="4"/>
    </row>
    <row r="1143" spans="15:19" x14ac:dyDescent="0.25">
      <c r="O1143" s="4"/>
      <c r="P1143" s="4"/>
      <c r="Q1143" s="4"/>
      <c r="R1143" s="4"/>
      <c r="S1143" s="4"/>
    </row>
    <row r="1144" spans="15:19" x14ac:dyDescent="0.25">
      <c r="O1144" s="4"/>
      <c r="P1144" s="4"/>
      <c r="Q1144" s="4"/>
      <c r="R1144" s="4"/>
      <c r="S1144" s="4"/>
    </row>
    <row r="1145" spans="15:19" x14ac:dyDescent="0.25">
      <c r="O1145" s="4"/>
      <c r="P1145" s="4"/>
      <c r="Q1145" s="4"/>
      <c r="R1145" s="4"/>
      <c r="S1145" s="4"/>
    </row>
    <row r="1146" spans="15:19" x14ac:dyDescent="0.25">
      <c r="O1146" s="4"/>
      <c r="P1146" s="4"/>
      <c r="Q1146" s="4"/>
      <c r="R1146" s="4"/>
      <c r="S1146" s="4"/>
    </row>
    <row r="1147" spans="15:19" x14ac:dyDescent="0.25">
      <c r="O1147" s="4"/>
      <c r="P1147" s="4"/>
      <c r="Q1147" s="4"/>
      <c r="R1147" s="4"/>
      <c r="S1147" s="4"/>
    </row>
    <row r="1148" spans="15:19" x14ac:dyDescent="0.25">
      <c r="O1148" s="4"/>
      <c r="P1148" s="4"/>
      <c r="Q1148" s="4"/>
      <c r="R1148" s="4"/>
      <c r="S1148" s="4"/>
    </row>
    <row r="1149" spans="15:19" x14ac:dyDescent="0.25">
      <c r="O1149" s="4"/>
      <c r="P1149" s="4"/>
      <c r="Q1149" s="4"/>
      <c r="R1149" s="4"/>
      <c r="S1149" s="4"/>
    </row>
    <row r="1150" spans="15:19" x14ac:dyDescent="0.25">
      <c r="O1150" s="4"/>
      <c r="P1150" s="4"/>
      <c r="Q1150" s="4"/>
      <c r="R1150" s="4"/>
      <c r="S1150" s="4"/>
    </row>
    <row r="1151" spans="15:19" x14ac:dyDescent="0.25">
      <c r="O1151" s="4"/>
      <c r="P1151" s="4"/>
      <c r="Q1151" s="4"/>
      <c r="R1151" s="4"/>
      <c r="S1151" s="4"/>
    </row>
    <row r="1152" spans="15:19" x14ac:dyDescent="0.25">
      <c r="O1152" s="4"/>
      <c r="P1152" s="4"/>
      <c r="Q1152" s="4"/>
      <c r="R1152" s="4"/>
      <c r="S1152" s="4"/>
    </row>
    <row r="1153" spans="15:19" x14ac:dyDescent="0.25">
      <c r="O1153" s="4"/>
      <c r="P1153" s="4"/>
      <c r="Q1153" s="4"/>
      <c r="R1153" s="4"/>
      <c r="S1153" s="4"/>
    </row>
    <row r="1154" spans="15:19" x14ac:dyDescent="0.25">
      <c r="O1154" s="4"/>
      <c r="P1154" s="4"/>
      <c r="Q1154" s="4"/>
      <c r="R1154" s="4"/>
      <c r="S1154" s="4"/>
    </row>
    <row r="1155" spans="15:19" x14ac:dyDescent="0.25">
      <c r="O1155" s="4"/>
      <c r="P1155" s="4"/>
      <c r="Q1155" s="4"/>
      <c r="R1155" s="4"/>
      <c r="S1155" s="4"/>
    </row>
    <row r="1156" spans="15:19" x14ac:dyDescent="0.25">
      <c r="O1156" s="4"/>
      <c r="P1156" s="4"/>
      <c r="Q1156" s="4"/>
      <c r="R1156" s="4"/>
      <c r="S1156" s="4"/>
    </row>
    <row r="1157" spans="15:19" x14ac:dyDescent="0.25">
      <c r="O1157" s="4"/>
      <c r="P1157" s="4"/>
      <c r="Q1157" s="4"/>
      <c r="R1157" s="4"/>
      <c r="S1157" s="4"/>
    </row>
    <row r="1158" spans="15:19" x14ac:dyDescent="0.25">
      <c r="O1158" s="4"/>
      <c r="P1158" s="4"/>
      <c r="Q1158" s="4"/>
      <c r="R1158" s="4"/>
      <c r="S1158" s="4"/>
    </row>
    <row r="1159" spans="15:19" x14ac:dyDescent="0.25">
      <c r="O1159" s="4"/>
      <c r="P1159" s="4"/>
      <c r="Q1159" s="4"/>
      <c r="R1159" s="4"/>
      <c r="S1159" s="4"/>
    </row>
    <row r="1160" spans="15:19" x14ac:dyDescent="0.25">
      <c r="O1160" s="4"/>
      <c r="P1160" s="4"/>
      <c r="Q1160" s="4"/>
      <c r="R1160" s="4"/>
      <c r="S1160" s="4"/>
    </row>
    <row r="1161" spans="15:19" x14ac:dyDescent="0.25">
      <c r="O1161" s="4"/>
      <c r="P1161" s="4"/>
      <c r="Q1161" s="4"/>
      <c r="R1161" s="4"/>
      <c r="S1161" s="4"/>
    </row>
    <row r="1162" spans="15:19" x14ac:dyDescent="0.25">
      <c r="O1162" s="4"/>
      <c r="P1162" s="4"/>
      <c r="Q1162" s="4"/>
      <c r="R1162" s="4"/>
      <c r="S1162" s="4"/>
    </row>
    <row r="1163" spans="15:19" x14ac:dyDescent="0.25">
      <c r="O1163" s="4"/>
      <c r="P1163" s="4"/>
      <c r="Q1163" s="4"/>
      <c r="R1163" s="4"/>
      <c r="S1163" s="4"/>
    </row>
    <row r="1164" spans="15:19" x14ac:dyDescent="0.25">
      <c r="O1164" s="4"/>
      <c r="P1164" s="4"/>
      <c r="Q1164" s="4"/>
      <c r="R1164" s="4"/>
      <c r="S1164" s="4"/>
    </row>
    <row r="1165" spans="15:19" x14ac:dyDescent="0.25">
      <c r="O1165" s="4"/>
      <c r="P1165" s="4"/>
      <c r="Q1165" s="4"/>
      <c r="R1165" s="4"/>
      <c r="S1165" s="4"/>
    </row>
    <row r="1166" spans="15:19" x14ac:dyDescent="0.25">
      <c r="O1166" s="4"/>
      <c r="P1166" s="4"/>
      <c r="Q1166" s="4"/>
      <c r="R1166" s="4"/>
      <c r="S1166" s="4"/>
    </row>
    <row r="1167" spans="15:19" x14ac:dyDescent="0.25">
      <c r="O1167" s="4"/>
      <c r="P1167" s="4"/>
      <c r="Q1167" s="4"/>
      <c r="R1167" s="4"/>
      <c r="S1167" s="4"/>
    </row>
    <row r="1168" spans="15:19" x14ac:dyDescent="0.25">
      <c r="O1168" s="4"/>
      <c r="P1168" s="4"/>
      <c r="Q1168" s="4"/>
      <c r="R1168" s="4"/>
      <c r="S1168" s="4"/>
    </row>
    <row r="1169" spans="15:19" x14ac:dyDescent="0.25">
      <c r="O1169" s="4"/>
      <c r="P1169" s="4"/>
      <c r="Q1169" s="4"/>
      <c r="R1169" s="4"/>
      <c r="S1169" s="4"/>
    </row>
    <row r="1170" spans="15:19" x14ac:dyDescent="0.25">
      <c r="O1170" s="4"/>
      <c r="P1170" s="4"/>
      <c r="Q1170" s="4"/>
      <c r="R1170" s="4"/>
      <c r="S1170" s="4"/>
    </row>
    <row r="1171" spans="15:19" x14ac:dyDescent="0.25">
      <c r="O1171" s="4"/>
      <c r="P1171" s="4"/>
      <c r="Q1171" s="4"/>
      <c r="R1171" s="4"/>
      <c r="S1171" s="4"/>
    </row>
    <row r="1172" spans="15:19" x14ac:dyDescent="0.25">
      <c r="O1172" s="4"/>
      <c r="P1172" s="4"/>
      <c r="Q1172" s="4"/>
      <c r="R1172" s="4"/>
      <c r="S1172" s="4"/>
    </row>
    <row r="1173" spans="15:19" x14ac:dyDescent="0.25">
      <c r="O1173" s="4"/>
      <c r="P1173" s="4"/>
      <c r="Q1173" s="4"/>
      <c r="R1173" s="4"/>
      <c r="S1173" s="4"/>
    </row>
    <row r="1174" spans="15:19" x14ac:dyDescent="0.25">
      <c r="O1174" s="4"/>
      <c r="P1174" s="4"/>
      <c r="Q1174" s="4"/>
      <c r="R1174" s="4"/>
      <c r="S1174" s="4"/>
    </row>
    <row r="1175" spans="15:19" x14ac:dyDescent="0.25">
      <c r="O1175" s="4"/>
      <c r="P1175" s="4"/>
      <c r="Q1175" s="4"/>
      <c r="R1175" s="4"/>
      <c r="S1175" s="4"/>
    </row>
    <row r="1176" spans="15:19" x14ac:dyDescent="0.25">
      <c r="O1176" s="4"/>
      <c r="P1176" s="4"/>
      <c r="Q1176" s="4"/>
      <c r="R1176" s="4"/>
      <c r="S1176" s="4"/>
    </row>
    <row r="1177" spans="15:19" x14ac:dyDescent="0.25">
      <c r="O1177" s="4"/>
      <c r="P1177" s="4"/>
      <c r="Q1177" s="4"/>
      <c r="R1177" s="4"/>
      <c r="S1177" s="4"/>
    </row>
    <row r="1178" spans="15:19" x14ac:dyDescent="0.25">
      <c r="O1178" s="4"/>
      <c r="P1178" s="4"/>
      <c r="Q1178" s="4"/>
      <c r="R1178" s="4"/>
      <c r="S1178" s="4"/>
    </row>
    <row r="1179" spans="15:19" x14ac:dyDescent="0.25">
      <c r="O1179" s="4"/>
      <c r="P1179" s="4"/>
      <c r="Q1179" s="4"/>
      <c r="R1179" s="4"/>
      <c r="S1179" s="4"/>
    </row>
    <row r="1180" spans="15:19" x14ac:dyDescent="0.25">
      <c r="O1180" s="4"/>
      <c r="P1180" s="4"/>
      <c r="Q1180" s="4"/>
      <c r="R1180" s="4"/>
      <c r="S1180" s="4"/>
    </row>
    <row r="1181" spans="15:19" x14ac:dyDescent="0.25">
      <c r="O1181" s="4"/>
      <c r="P1181" s="4"/>
      <c r="Q1181" s="4"/>
      <c r="R1181" s="4"/>
      <c r="S1181" s="4"/>
    </row>
    <row r="1182" spans="15:19" x14ac:dyDescent="0.25">
      <c r="O1182" s="4"/>
      <c r="P1182" s="4"/>
      <c r="Q1182" s="4"/>
      <c r="R1182" s="4"/>
      <c r="S1182" s="4"/>
    </row>
    <row r="1183" spans="15:19" x14ac:dyDescent="0.25">
      <c r="O1183" s="4"/>
      <c r="P1183" s="4"/>
      <c r="Q1183" s="4"/>
      <c r="R1183" s="4"/>
      <c r="S1183" s="4"/>
    </row>
    <row r="1184" spans="15:19" x14ac:dyDescent="0.25">
      <c r="O1184" s="4"/>
      <c r="P1184" s="4"/>
      <c r="Q1184" s="4"/>
      <c r="R1184" s="4"/>
      <c r="S1184" s="4"/>
    </row>
    <row r="1185" spans="15:19" x14ac:dyDescent="0.25">
      <c r="O1185" s="4"/>
      <c r="P1185" s="4"/>
      <c r="Q1185" s="4"/>
      <c r="R1185" s="4"/>
      <c r="S1185" s="4"/>
    </row>
    <row r="1186" spans="15:19" x14ac:dyDescent="0.25">
      <c r="O1186" s="4"/>
      <c r="P1186" s="4"/>
      <c r="Q1186" s="4"/>
      <c r="R1186" s="4"/>
      <c r="S1186" s="4"/>
    </row>
    <row r="1187" spans="15:19" x14ac:dyDescent="0.25">
      <c r="O1187" s="4"/>
      <c r="P1187" s="4"/>
      <c r="Q1187" s="4"/>
      <c r="R1187" s="4"/>
      <c r="S1187" s="4"/>
    </row>
    <row r="1188" spans="15:19" x14ac:dyDescent="0.25">
      <c r="O1188" s="4"/>
      <c r="P1188" s="4"/>
      <c r="Q1188" s="4"/>
      <c r="R1188" s="4"/>
      <c r="S1188" s="4"/>
    </row>
    <row r="1189" spans="15:19" x14ac:dyDescent="0.25">
      <c r="O1189" s="4"/>
      <c r="P1189" s="4"/>
      <c r="Q1189" s="4"/>
      <c r="R1189" s="4"/>
      <c r="S1189" s="4"/>
    </row>
    <row r="1190" spans="15:19" x14ac:dyDescent="0.25">
      <c r="O1190" s="4"/>
      <c r="P1190" s="4"/>
      <c r="Q1190" s="4"/>
      <c r="R1190" s="4"/>
      <c r="S1190" s="4"/>
    </row>
    <row r="1191" spans="15:19" x14ac:dyDescent="0.25">
      <c r="O1191" s="4"/>
      <c r="P1191" s="4"/>
      <c r="Q1191" s="4"/>
      <c r="R1191" s="4"/>
      <c r="S1191" s="4"/>
    </row>
    <row r="1192" spans="15:19" x14ac:dyDescent="0.25">
      <c r="O1192" s="4"/>
      <c r="P1192" s="4"/>
      <c r="Q1192" s="4"/>
      <c r="R1192" s="4"/>
      <c r="S1192" s="4"/>
    </row>
    <row r="1193" spans="15:19" x14ac:dyDescent="0.25">
      <c r="O1193" s="4"/>
      <c r="P1193" s="4"/>
      <c r="Q1193" s="4"/>
      <c r="R1193" s="4"/>
      <c r="S1193" s="4"/>
    </row>
    <row r="1194" spans="15:19" x14ac:dyDescent="0.25">
      <c r="O1194" s="4"/>
      <c r="P1194" s="4"/>
      <c r="Q1194" s="4"/>
      <c r="R1194" s="4"/>
      <c r="S1194" s="4"/>
    </row>
    <row r="1195" spans="15:19" x14ac:dyDescent="0.25">
      <c r="O1195" s="4"/>
      <c r="P1195" s="4"/>
      <c r="Q1195" s="4"/>
      <c r="R1195" s="4"/>
      <c r="S1195" s="4"/>
    </row>
    <row r="1196" spans="15:19" x14ac:dyDescent="0.25">
      <c r="O1196" s="4"/>
      <c r="P1196" s="4"/>
      <c r="Q1196" s="4"/>
      <c r="R1196" s="4"/>
      <c r="S1196" s="4"/>
    </row>
    <row r="1197" spans="15:19" x14ac:dyDescent="0.25">
      <c r="O1197" s="4"/>
      <c r="P1197" s="4"/>
      <c r="Q1197" s="4"/>
      <c r="R1197" s="4"/>
      <c r="S1197" s="4"/>
    </row>
    <row r="1198" spans="15:19" x14ac:dyDescent="0.25">
      <c r="O1198" s="4"/>
      <c r="P1198" s="4"/>
      <c r="Q1198" s="4"/>
      <c r="R1198" s="4"/>
      <c r="S1198" s="4"/>
    </row>
    <row r="1199" spans="15:19" x14ac:dyDescent="0.25">
      <c r="O1199" s="4"/>
      <c r="P1199" s="4"/>
      <c r="Q1199" s="4"/>
      <c r="R1199" s="4"/>
      <c r="S1199" s="4"/>
    </row>
    <row r="1200" spans="15:19" x14ac:dyDescent="0.25">
      <c r="O1200" s="4"/>
      <c r="P1200" s="4"/>
      <c r="Q1200" s="4"/>
      <c r="R1200" s="4"/>
      <c r="S1200" s="4"/>
    </row>
    <row r="1201" spans="15:19" x14ac:dyDescent="0.25">
      <c r="O1201" s="4"/>
      <c r="P1201" s="4"/>
      <c r="Q1201" s="4"/>
      <c r="R1201" s="4"/>
      <c r="S1201" s="4"/>
    </row>
    <row r="1202" spans="15:19" x14ac:dyDescent="0.25">
      <c r="O1202" s="4"/>
      <c r="P1202" s="4"/>
      <c r="Q1202" s="4"/>
      <c r="R1202" s="4"/>
      <c r="S1202" s="4"/>
    </row>
    <row r="1203" spans="15:19" x14ac:dyDescent="0.25">
      <c r="O1203" s="4"/>
      <c r="P1203" s="4"/>
      <c r="Q1203" s="4"/>
      <c r="R1203" s="4"/>
      <c r="S1203" s="4"/>
    </row>
    <row r="1204" spans="15:19" x14ac:dyDescent="0.25">
      <c r="O1204" s="4"/>
      <c r="P1204" s="4"/>
      <c r="Q1204" s="4"/>
      <c r="R1204" s="4"/>
      <c r="S1204" s="4"/>
    </row>
    <row r="1205" spans="15:19" x14ac:dyDescent="0.25">
      <c r="O1205" s="4"/>
      <c r="P1205" s="4"/>
      <c r="Q1205" s="4"/>
      <c r="R1205" s="4"/>
      <c r="S1205" s="4"/>
    </row>
    <row r="1206" spans="15:19" x14ac:dyDescent="0.25">
      <c r="O1206" s="4"/>
      <c r="P1206" s="4"/>
      <c r="Q1206" s="4"/>
      <c r="R1206" s="4"/>
      <c r="S1206" s="4"/>
    </row>
    <row r="1207" spans="15:19" x14ac:dyDescent="0.25">
      <c r="O1207" s="4"/>
      <c r="P1207" s="4"/>
      <c r="Q1207" s="4"/>
      <c r="R1207" s="4"/>
      <c r="S1207" s="4"/>
    </row>
    <row r="1208" spans="15:19" x14ac:dyDescent="0.25">
      <c r="O1208" s="4"/>
      <c r="P1208" s="4"/>
      <c r="Q1208" s="4"/>
      <c r="R1208" s="4"/>
      <c r="S1208" s="4"/>
    </row>
    <row r="1209" spans="15:19" x14ac:dyDescent="0.25">
      <c r="O1209" s="4"/>
      <c r="P1209" s="4"/>
      <c r="Q1209" s="4"/>
      <c r="R1209" s="4"/>
      <c r="S1209" s="4"/>
    </row>
    <row r="1210" spans="15:19" x14ac:dyDescent="0.25">
      <c r="O1210" s="4"/>
      <c r="P1210" s="4"/>
      <c r="Q1210" s="4"/>
      <c r="R1210" s="4"/>
      <c r="S1210" s="4"/>
    </row>
    <row r="1211" spans="15:19" x14ac:dyDescent="0.25">
      <c r="O1211" s="4"/>
      <c r="P1211" s="4"/>
      <c r="Q1211" s="4"/>
      <c r="R1211" s="4"/>
      <c r="S1211" s="4"/>
    </row>
    <row r="1212" spans="15:19" x14ac:dyDescent="0.25">
      <c r="O1212" s="4"/>
      <c r="P1212" s="4"/>
      <c r="Q1212" s="4"/>
      <c r="R1212" s="4"/>
      <c r="S1212" s="4"/>
    </row>
    <row r="1213" spans="15:19" x14ac:dyDescent="0.25">
      <c r="O1213" s="4"/>
      <c r="P1213" s="4"/>
      <c r="Q1213" s="4"/>
      <c r="R1213" s="4"/>
      <c r="S1213" s="4"/>
    </row>
    <row r="1214" spans="15:19" x14ac:dyDescent="0.25">
      <c r="O1214" s="4"/>
      <c r="P1214" s="4"/>
      <c r="Q1214" s="4"/>
      <c r="R1214" s="4"/>
      <c r="S1214" s="4"/>
    </row>
    <row r="1215" spans="15:19" x14ac:dyDescent="0.25">
      <c r="O1215" s="4"/>
      <c r="P1215" s="4"/>
      <c r="Q1215" s="4"/>
      <c r="R1215" s="4"/>
      <c r="S1215" s="4"/>
    </row>
    <row r="1216" spans="15:19" x14ac:dyDescent="0.25">
      <c r="O1216" s="4"/>
      <c r="P1216" s="4"/>
      <c r="Q1216" s="4"/>
      <c r="R1216" s="4"/>
      <c r="S1216" s="4"/>
    </row>
    <row r="1217" spans="15:19" x14ac:dyDescent="0.25">
      <c r="O1217" s="4"/>
      <c r="P1217" s="4"/>
      <c r="Q1217" s="4"/>
      <c r="R1217" s="4"/>
      <c r="S1217" s="4"/>
    </row>
    <row r="1218" spans="15:19" x14ac:dyDescent="0.25">
      <c r="O1218" s="4"/>
      <c r="P1218" s="4"/>
      <c r="Q1218" s="4"/>
      <c r="R1218" s="4"/>
      <c r="S1218" s="4"/>
    </row>
    <row r="1219" spans="15:19" x14ac:dyDescent="0.25">
      <c r="O1219" s="4"/>
      <c r="P1219" s="4"/>
      <c r="Q1219" s="4"/>
      <c r="R1219" s="4"/>
      <c r="S1219" s="4"/>
    </row>
    <row r="1220" spans="15:19" x14ac:dyDescent="0.25">
      <c r="O1220" s="4"/>
      <c r="P1220" s="4"/>
      <c r="Q1220" s="4"/>
      <c r="R1220" s="4"/>
      <c r="S1220" s="4"/>
    </row>
    <row r="1221" spans="15:19" x14ac:dyDescent="0.25">
      <c r="O1221" s="4"/>
      <c r="P1221" s="4"/>
      <c r="Q1221" s="4"/>
      <c r="R1221" s="4"/>
      <c r="S1221" s="4"/>
    </row>
    <row r="1222" spans="15:19" x14ac:dyDescent="0.25">
      <c r="O1222" s="4"/>
      <c r="P1222" s="4"/>
      <c r="Q1222" s="4"/>
      <c r="R1222" s="4"/>
      <c r="S1222" s="4"/>
    </row>
    <row r="1223" spans="15:19" x14ac:dyDescent="0.25">
      <c r="O1223" s="4"/>
      <c r="P1223" s="4"/>
      <c r="Q1223" s="4"/>
      <c r="R1223" s="4"/>
      <c r="S1223" s="4"/>
    </row>
    <row r="1224" spans="15:19" x14ac:dyDescent="0.25">
      <c r="O1224" s="4"/>
      <c r="P1224" s="4"/>
      <c r="Q1224" s="4"/>
      <c r="R1224" s="4"/>
      <c r="S1224" s="4"/>
    </row>
    <row r="1225" spans="15:19" x14ac:dyDescent="0.25">
      <c r="O1225" s="4"/>
      <c r="P1225" s="4"/>
      <c r="Q1225" s="4"/>
      <c r="R1225" s="4"/>
      <c r="S1225" s="4"/>
    </row>
    <row r="1226" spans="15:19" x14ac:dyDescent="0.25">
      <c r="O1226" s="4"/>
      <c r="P1226" s="4"/>
      <c r="Q1226" s="4"/>
      <c r="R1226" s="4"/>
      <c r="S1226" s="4"/>
    </row>
    <row r="1227" spans="15:19" x14ac:dyDescent="0.25">
      <c r="O1227" s="4"/>
      <c r="P1227" s="4"/>
      <c r="Q1227" s="4"/>
      <c r="R1227" s="4"/>
      <c r="S1227" s="4"/>
    </row>
    <row r="1228" spans="15:19" x14ac:dyDescent="0.25">
      <c r="O1228" s="4"/>
      <c r="P1228" s="4"/>
      <c r="Q1228" s="4"/>
      <c r="R1228" s="4"/>
      <c r="S1228" s="4"/>
    </row>
    <row r="1229" spans="15:19" x14ac:dyDescent="0.25">
      <c r="O1229" s="4"/>
      <c r="P1229" s="4"/>
      <c r="Q1229" s="4"/>
      <c r="R1229" s="4"/>
      <c r="S1229" s="4"/>
    </row>
    <row r="1230" spans="15:19" x14ac:dyDescent="0.25">
      <c r="O1230" s="4"/>
      <c r="P1230" s="4"/>
      <c r="Q1230" s="4"/>
      <c r="R1230" s="4"/>
      <c r="S1230" s="4"/>
    </row>
    <row r="1231" spans="15:19" x14ac:dyDescent="0.25">
      <c r="O1231" s="4"/>
      <c r="P1231" s="4"/>
      <c r="Q1231" s="4"/>
      <c r="R1231" s="4"/>
      <c r="S1231" s="4"/>
    </row>
    <row r="1232" spans="15:19" x14ac:dyDescent="0.25">
      <c r="O1232" s="4"/>
      <c r="P1232" s="4"/>
      <c r="Q1232" s="4"/>
      <c r="R1232" s="4"/>
      <c r="S1232" s="4"/>
    </row>
    <row r="1233" spans="15:19" x14ac:dyDescent="0.25">
      <c r="O1233" s="4"/>
      <c r="P1233" s="4"/>
      <c r="Q1233" s="4"/>
      <c r="R1233" s="4"/>
      <c r="S1233" s="4"/>
    </row>
    <row r="1234" spans="15:19" x14ac:dyDescent="0.25">
      <c r="O1234" s="4"/>
      <c r="P1234" s="4"/>
      <c r="Q1234" s="4"/>
      <c r="R1234" s="4"/>
      <c r="S1234" s="4"/>
    </row>
    <row r="1235" spans="15:19" x14ac:dyDescent="0.25">
      <c r="O1235" s="4"/>
      <c r="P1235" s="4"/>
      <c r="Q1235" s="4"/>
      <c r="R1235" s="4"/>
      <c r="S1235" s="4"/>
    </row>
    <row r="1236" spans="15:19" x14ac:dyDescent="0.25">
      <c r="O1236" s="4"/>
      <c r="P1236" s="4"/>
      <c r="Q1236" s="4"/>
      <c r="R1236" s="4"/>
      <c r="S1236" s="4"/>
    </row>
    <row r="1237" spans="15:19" x14ac:dyDescent="0.25">
      <c r="O1237" s="4"/>
      <c r="P1237" s="4"/>
      <c r="Q1237" s="4"/>
      <c r="R1237" s="4"/>
      <c r="S1237" s="4"/>
    </row>
    <row r="1238" spans="15:19" x14ac:dyDescent="0.25">
      <c r="O1238" s="4"/>
      <c r="P1238" s="4"/>
      <c r="Q1238" s="4"/>
      <c r="R1238" s="4"/>
      <c r="S1238" s="4"/>
    </row>
    <row r="1239" spans="15:19" x14ac:dyDescent="0.25">
      <c r="O1239" s="4"/>
      <c r="P1239" s="4"/>
      <c r="Q1239" s="4"/>
      <c r="R1239" s="4"/>
      <c r="S1239" s="4"/>
    </row>
    <row r="1240" spans="15:19" x14ac:dyDescent="0.25">
      <c r="O1240" s="4"/>
      <c r="P1240" s="4"/>
      <c r="Q1240" s="4"/>
      <c r="R1240" s="4"/>
      <c r="S1240" s="4"/>
    </row>
    <row r="1241" spans="15:19" x14ac:dyDescent="0.25">
      <c r="O1241" s="4"/>
      <c r="P1241" s="4"/>
      <c r="Q1241" s="4"/>
      <c r="R1241" s="4"/>
      <c r="S1241" s="4"/>
    </row>
    <row r="1242" spans="15:19" x14ac:dyDescent="0.25">
      <c r="O1242" s="4"/>
      <c r="P1242" s="4"/>
      <c r="Q1242" s="4"/>
      <c r="R1242" s="4"/>
      <c r="S1242" s="4"/>
    </row>
    <row r="1243" spans="15:19" x14ac:dyDescent="0.25">
      <c r="O1243" s="4"/>
      <c r="P1243" s="4"/>
      <c r="Q1243" s="4"/>
      <c r="R1243" s="4"/>
      <c r="S1243" s="4"/>
    </row>
    <row r="1244" spans="15:19" x14ac:dyDescent="0.25">
      <c r="O1244" s="4"/>
      <c r="P1244" s="4"/>
      <c r="Q1244" s="4"/>
      <c r="R1244" s="4"/>
      <c r="S1244" s="4"/>
    </row>
    <row r="1245" spans="15:19" x14ac:dyDescent="0.25">
      <c r="O1245" s="4"/>
      <c r="P1245" s="4"/>
      <c r="Q1245" s="4"/>
      <c r="R1245" s="4"/>
      <c r="S1245" s="4"/>
    </row>
    <row r="1246" spans="15:19" x14ac:dyDescent="0.25">
      <c r="O1246" s="4"/>
      <c r="P1246" s="4"/>
      <c r="Q1246" s="4"/>
      <c r="R1246" s="4"/>
      <c r="S1246" s="4"/>
    </row>
    <row r="1247" spans="15:19" x14ac:dyDescent="0.25">
      <c r="O1247" s="4"/>
      <c r="P1247" s="4"/>
      <c r="Q1247" s="4"/>
      <c r="R1247" s="4"/>
      <c r="S1247" s="4"/>
    </row>
    <row r="1248" spans="15:19" x14ac:dyDescent="0.25">
      <c r="O1248" s="4"/>
      <c r="P1248" s="4"/>
      <c r="Q1248" s="4"/>
      <c r="R1248" s="4"/>
      <c r="S1248" s="4"/>
    </row>
    <row r="1249" spans="15:19" x14ac:dyDescent="0.25">
      <c r="O1249" s="4"/>
      <c r="P1249" s="4"/>
      <c r="Q1249" s="4"/>
      <c r="R1249" s="4"/>
      <c r="S1249" s="4"/>
    </row>
    <row r="1250" spans="15:19" x14ac:dyDescent="0.25">
      <c r="O1250" s="4"/>
      <c r="P1250" s="4"/>
      <c r="Q1250" s="4"/>
      <c r="R1250" s="4"/>
      <c r="S1250" s="4"/>
    </row>
    <row r="1251" spans="15:19" x14ac:dyDescent="0.25">
      <c r="O1251" s="4"/>
      <c r="P1251" s="4"/>
      <c r="Q1251" s="4"/>
      <c r="R1251" s="4"/>
      <c r="S1251" s="4"/>
    </row>
    <row r="1252" spans="15:19" x14ac:dyDescent="0.25">
      <c r="O1252" s="4"/>
      <c r="P1252" s="4"/>
      <c r="Q1252" s="4"/>
      <c r="R1252" s="4"/>
      <c r="S1252" s="4"/>
    </row>
    <row r="1253" spans="15:19" x14ac:dyDescent="0.25">
      <c r="O1253" s="4"/>
      <c r="P1253" s="4"/>
      <c r="Q1253" s="4"/>
      <c r="R1253" s="4"/>
      <c r="S1253" s="4"/>
    </row>
    <row r="1254" spans="15:19" x14ac:dyDescent="0.25">
      <c r="O1254" s="4"/>
      <c r="P1254" s="4"/>
      <c r="Q1254" s="4"/>
      <c r="R1254" s="4"/>
      <c r="S1254" s="4"/>
    </row>
    <row r="1255" spans="15:19" x14ac:dyDescent="0.25">
      <c r="O1255" s="4"/>
      <c r="P1255" s="4"/>
      <c r="Q1255" s="4"/>
      <c r="R1255" s="4"/>
      <c r="S1255" s="4"/>
    </row>
    <row r="1256" spans="15:19" x14ac:dyDescent="0.25">
      <c r="O1256" s="4"/>
      <c r="P1256" s="4"/>
      <c r="Q1256" s="4"/>
      <c r="R1256" s="4"/>
      <c r="S1256" s="4"/>
    </row>
    <row r="1257" spans="15:19" x14ac:dyDescent="0.25">
      <c r="O1257" s="4"/>
      <c r="P1257" s="4"/>
      <c r="Q1257" s="4"/>
      <c r="R1257" s="4"/>
      <c r="S1257" s="4"/>
    </row>
    <row r="1258" spans="15:19" x14ac:dyDescent="0.25">
      <c r="O1258" s="4"/>
      <c r="P1258" s="4"/>
      <c r="Q1258" s="4"/>
      <c r="R1258" s="4"/>
      <c r="S1258" s="4"/>
    </row>
    <row r="1259" spans="15:19" x14ac:dyDescent="0.25">
      <c r="O1259" s="4"/>
      <c r="P1259" s="4"/>
      <c r="Q1259" s="4"/>
      <c r="R1259" s="4"/>
      <c r="S1259" s="4"/>
    </row>
    <row r="1260" spans="15:19" x14ac:dyDescent="0.25">
      <c r="O1260" s="4"/>
      <c r="P1260" s="4"/>
      <c r="Q1260" s="4"/>
      <c r="R1260" s="4"/>
      <c r="S1260" s="4"/>
    </row>
    <row r="1261" spans="15:19" x14ac:dyDescent="0.25">
      <c r="O1261" s="4"/>
      <c r="P1261" s="4"/>
      <c r="Q1261" s="4"/>
      <c r="R1261" s="4"/>
      <c r="S1261" s="4"/>
    </row>
    <row r="1262" spans="15:19" x14ac:dyDescent="0.25">
      <c r="O1262" s="4"/>
      <c r="P1262" s="4"/>
      <c r="Q1262" s="4"/>
      <c r="R1262" s="4"/>
      <c r="S1262" s="4"/>
    </row>
    <row r="1263" spans="15:19" x14ac:dyDescent="0.25">
      <c r="O1263" s="4"/>
      <c r="P1263" s="4"/>
      <c r="Q1263" s="4"/>
      <c r="R1263" s="4"/>
      <c r="S1263" s="4"/>
    </row>
    <row r="1264" spans="15:19" x14ac:dyDescent="0.25">
      <c r="O1264" s="4"/>
      <c r="P1264" s="4"/>
      <c r="Q1264" s="4"/>
      <c r="R1264" s="4"/>
      <c r="S1264" s="4"/>
    </row>
    <row r="1265" spans="15:19" x14ac:dyDescent="0.25">
      <c r="O1265" s="4"/>
      <c r="P1265" s="4"/>
      <c r="Q1265" s="4"/>
      <c r="R1265" s="4"/>
      <c r="S1265" s="4"/>
    </row>
    <row r="1266" spans="15:19" x14ac:dyDescent="0.25">
      <c r="O1266" s="4"/>
      <c r="P1266" s="4"/>
      <c r="Q1266" s="4"/>
      <c r="R1266" s="4"/>
      <c r="S1266" s="4"/>
    </row>
    <row r="1267" spans="15:19" x14ac:dyDescent="0.25">
      <c r="O1267" s="4"/>
      <c r="P1267" s="4"/>
      <c r="Q1267" s="4"/>
      <c r="R1267" s="4"/>
      <c r="S1267" s="4"/>
    </row>
    <row r="1268" spans="15:19" x14ac:dyDescent="0.25">
      <c r="O1268" s="4"/>
      <c r="P1268" s="4"/>
      <c r="Q1268" s="4"/>
      <c r="R1268" s="4"/>
      <c r="S1268" s="4"/>
    </row>
    <row r="1269" spans="15:19" x14ac:dyDescent="0.25">
      <c r="O1269" s="4"/>
      <c r="P1269" s="4"/>
      <c r="Q1269" s="4"/>
      <c r="R1269" s="4"/>
      <c r="S1269" s="4"/>
    </row>
    <row r="1270" spans="15:19" x14ac:dyDescent="0.25">
      <c r="O1270" s="4"/>
      <c r="P1270" s="4"/>
      <c r="Q1270" s="4"/>
      <c r="R1270" s="4"/>
      <c r="S1270" s="4"/>
    </row>
    <row r="1271" spans="15:19" x14ac:dyDescent="0.25">
      <c r="O1271" s="4"/>
      <c r="P1271" s="4"/>
      <c r="Q1271" s="4"/>
      <c r="R1271" s="4"/>
      <c r="S1271" s="4"/>
    </row>
    <row r="1272" spans="15:19" x14ac:dyDescent="0.25">
      <c r="O1272" s="4"/>
      <c r="P1272" s="4"/>
      <c r="Q1272" s="4"/>
      <c r="R1272" s="4"/>
      <c r="S1272" s="4"/>
    </row>
    <row r="1273" spans="15:19" x14ac:dyDescent="0.25">
      <c r="O1273" s="4"/>
      <c r="P1273" s="4"/>
      <c r="Q1273" s="4"/>
      <c r="R1273" s="4"/>
      <c r="S1273" s="4"/>
    </row>
    <row r="1274" spans="15:19" x14ac:dyDescent="0.25">
      <c r="O1274" s="4"/>
      <c r="P1274" s="4"/>
      <c r="Q1274" s="4"/>
      <c r="R1274" s="4"/>
      <c r="S1274" s="4"/>
    </row>
    <row r="1275" spans="15:19" x14ac:dyDescent="0.25">
      <c r="O1275" s="4"/>
      <c r="P1275" s="4"/>
      <c r="Q1275" s="4"/>
      <c r="R1275" s="4"/>
      <c r="S1275" s="4"/>
    </row>
    <row r="1276" spans="15:19" x14ac:dyDescent="0.25">
      <c r="O1276" s="4"/>
      <c r="P1276" s="4"/>
      <c r="Q1276" s="4"/>
      <c r="R1276" s="4"/>
      <c r="S1276" s="4"/>
    </row>
    <row r="1277" spans="15:19" x14ac:dyDescent="0.25">
      <c r="O1277" s="4"/>
      <c r="P1277" s="4"/>
      <c r="Q1277" s="4"/>
      <c r="R1277" s="4"/>
      <c r="S1277" s="4"/>
    </row>
    <row r="1278" spans="15:19" x14ac:dyDescent="0.25">
      <c r="O1278" s="4"/>
      <c r="P1278" s="4"/>
      <c r="Q1278" s="4"/>
      <c r="R1278" s="4"/>
      <c r="S1278" s="4"/>
    </row>
    <row r="1279" spans="15:19" x14ac:dyDescent="0.25">
      <c r="O1279" s="4"/>
      <c r="P1279" s="4"/>
      <c r="Q1279" s="4"/>
      <c r="R1279" s="4"/>
      <c r="S1279" s="4"/>
    </row>
    <row r="1280" spans="15:19" x14ac:dyDescent="0.25">
      <c r="O1280" s="4"/>
      <c r="P1280" s="4"/>
      <c r="Q1280" s="4"/>
      <c r="R1280" s="4"/>
      <c r="S1280" s="4"/>
    </row>
    <row r="1281" spans="15:19" x14ac:dyDescent="0.25">
      <c r="O1281" s="4"/>
      <c r="P1281" s="4"/>
      <c r="Q1281" s="4"/>
      <c r="R1281" s="4"/>
      <c r="S1281" s="4"/>
    </row>
    <row r="1282" spans="15:19" x14ac:dyDescent="0.25">
      <c r="O1282" s="4"/>
      <c r="P1282" s="4"/>
      <c r="Q1282" s="4"/>
      <c r="R1282" s="4"/>
      <c r="S1282" s="4"/>
    </row>
    <row r="1283" spans="15:19" x14ac:dyDescent="0.25">
      <c r="O1283" s="4"/>
      <c r="P1283" s="4"/>
      <c r="Q1283" s="4"/>
      <c r="R1283" s="4"/>
      <c r="S1283" s="4"/>
    </row>
    <row r="1284" spans="15:19" x14ac:dyDescent="0.25">
      <c r="O1284" s="4"/>
      <c r="P1284" s="4"/>
      <c r="Q1284" s="4"/>
      <c r="R1284" s="4"/>
      <c r="S1284" s="4"/>
    </row>
    <row r="1285" spans="15:19" x14ac:dyDescent="0.25">
      <c r="O1285" s="4"/>
      <c r="P1285" s="4"/>
      <c r="Q1285" s="4"/>
      <c r="R1285" s="4"/>
      <c r="S1285" s="4"/>
    </row>
    <row r="1286" spans="15:19" x14ac:dyDescent="0.25">
      <c r="O1286" s="4"/>
      <c r="P1286" s="4"/>
      <c r="Q1286" s="4"/>
      <c r="R1286" s="4"/>
      <c r="S1286" s="4"/>
    </row>
    <row r="1287" spans="15:19" x14ac:dyDescent="0.25">
      <c r="O1287" s="4"/>
      <c r="P1287" s="4"/>
      <c r="Q1287" s="4"/>
      <c r="R1287" s="4"/>
      <c r="S1287" s="4"/>
    </row>
    <row r="1288" spans="15:19" x14ac:dyDescent="0.25">
      <c r="O1288" s="4"/>
      <c r="P1288" s="4"/>
      <c r="Q1288" s="4"/>
      <c r="R1288" s="4"/>
      <c r="S1288" s="4"/>
    </row>
    <row r="1289" spans="15:19" x14ac:dyDescent="0.25">
      <c r="O1289" s="4"/>
      <c r="P1289" s="4"/>
      <c r="Q1289" s="4"/>
      <c r="R1289" s="4"/>
      <c r="S1289" s="4"/>
    </row>
    <row r="1290" spans="15:19" x14ac:dyDescent="0.25">
      <c r="O1290" s="4"/>
      <c r="P1290" s="4"/>
      <c r="Q1290" s="4"/>
      <c r="R1290" s="4"/>
      <c r="S1290" s="4"/>
    </row>
    <row r="1291" spans="15:19" x14ac:dyDescent="0.25">
      <c r="O1291" s="4"/>
      <c r="P1291" s="4"/>
      <c r="Q1291" s="4"/>
      <c r="R1291" s="4"/>
      <c r="S1291" s="4"/>
    </row>
    <row r="1292" spans="15:19" x14ac:dyDescent="0.25">
      <c r="O1292" s="4"/>
      <c r="P1292" s="4"/>
      <c r="Q1292" s="4"/>
      <c r="R1292" s="4"/>
      <c r="S1292" s="4"/>
    </row>
    <row r="1293" spans="15:19" x14ac:dyDescent="0.25">
      <c r="O1293" s="4"/>
      <c r="P1293" s="4"/>
      <c r="Q1293" s="4"/>
      <c r="R1293" s="4"/>
      <c r="S1293" s="4"/>
    </row>
    <row r="1294" spans="15:19" x14ac:dyDescent="0.25">
      <c r="O1294" s="4"/>
      <c r="P1294" s="4"/>
      <c r="Q1294" s="4"/>
      <c r="R1294" s="4"/>
      <c r="S1294" s="4"/>
    </row>
    <row r="1295" spans="15:19" x14ac:dyDescent="0.25">
      <c r="O1295" s="4"/>
      <c r="P1295" s="4"/>
      <c r="Q1295" s="4"/>
      <c r="R1295" s="4"/>
      <c r="S1295" s="4"/>
    </row>
    <row r="1296" spans="15:19" x14ac:dyDescent="0.25">
      <c r="O1296" s="4"/>
      <c r="P1296" s="4"/>
      <c r="Q1296" s="4"/>
      <c r="R1296" s="4"/>
      <c r="S1296" s="4"/>
    </row>
    <row r="1297" spans="15:19" x14ac:dyDescent="0.25">
      <c r="O1297" s="4"/>
      <c r="P1297" s="4"/>
      <c r="Q1297" s="4"/>
      <c r="R1297" s="4"/>
      <c r="S1297" s="4"/>
    </row>
    <row r="1298" spans="15:19" x14ac:dyDescent="0.25">
      <c r="O1298" s="4"/>
      <c r="P1298" s="4"/>
      <c r="Q1298" s="4"/>
      <c r="R1298" s="4"/>
      <c r="S1298" s="4"/>
    </row>
    <row r="1299" spans="15:19" x14ac:dyDescent="0.25">
      <c r="O1299" s="4"/>
      <c r="P1299" s="4"/>
      <c r="Q1299" s="4"/>
      <c r="R1299" s="4"/>
      <c r="S1299" s="4"/>
    </row>
    <row r="1300" spans="15:19" x14ac:dyDescent="0.25">
      <c r="O1300" s="4"/>
      <c r="P1300" s="4"/>
      <c r="Q1300" s="4"/>
      <c r="R1300" s="4"/>
      <c r="S1300" s="4"/>
    </row>
    <row r="1301" spans="15:19" x14ac:dyDescent="0.25">
      <c r="O1301" s="4"/>
      <c r="P1301" s="4"/>
      <c r="Q1301" s="4"/>
      <c r="R1301" s="4"/>
      <c r="S1301" s="4"/>
    </row>
    <row r="1302" spans="15:19" x14ac:dyDescent="0.25">
      <c r="O1302" s="4"/>
      <c r="P1302" s="4"/>
      <c r="Q1302" s="4"/>
      <c r="R1302" s="4"/>
      <c r="S1302" s="4"/>
    </row>
    <row r="1303" spans="15:19" x14ac:dyDescent="0.25">
      <c r="O1303" s="4"/>
      <c r="P1303" s="4"/>
      <c r="Q1303" s="4"/>
      <c r="R1303" s="4"/>
      <c r="S1303" s="4"/>
    </row>
    <row r="1304" spans="15:19" x14ac:dyDescent="0.25">
      <c r="O1304" s="4"/>
      <c r="P1304" s="4"/>
      <c r="Q1304" s="4"/>
      <c r="R1304" s="4"/>
      <c r="S1304" s="4"/>
    </row>
    <row r="1305" spans="15:19" x14ac:dyDescent="0.25">
      <c r="O1305" s="4"/>
      <c r="P1305" s="4"/>
      <c r="Q1305" s="4"/>
      <c r="R1305" s="4"/>
      <c r="S1305" s="4"/>
    </row>
    <row r="1306" spans="15:19" x14ac:dyDescent="0.25">
      <c r="O1306" s="4"/>
      <c r="P1306" s="4"/>
      <c r="Q1306" s="4"/>
      <c r="R1306" s="4"/>
      <c r="S1306" s="4"/>
    </row>
    <row r="1307" spans="15:19" x14ac:dyDescent="0.25">
      <c r="O1307" s="4"/>
      <c r="P1307" s="4"/>
      <c r="Q1307" s="4"/>
      <c r="R1307" s="4"/>
      <c r="S1307" s="4"/>
    </row>
    <row r="1308" spans="15:19" x14ac:dyDescent="0.25">
      <c r="O1308" s="4"/>
      <c r="P1308" s="4"/>
      <c r="Q1308" s="4"/>
      <c r="R1308" s="4"/>
      <c r="S1308" s="4"/>
    </row>
    <row r="1309" spans="15:19" x14ac:dyDescent="0.25">
      <c r="O1309" s="4"/>
      <c r="P1309" s="4"/>
      <c r="Q1309" s="4"/>
      <c r="R1309" s="4"/>
      <c r="S1309" s="4"/>
    </row>
    <row r="1310" spans="15:19" x14ac:dyDescent="0.25">
      <c r="O1310" s="4"/>
      <c r="P1310" s="4"/>
      <c r="Q1310" s="4"/>
      <c r="R1310" s="4"/>
      <c r="S1310" s="4"/>
    </row>
    <row r="1311" spans="15:19" x14ac:dyDescent="0.25">
      <c r="O1311" s="4"/>
      <c r="P1311" s="4"/>
      <c r="Q1311" s="4"/>
      <c r="R1311" s="4"/>
      <c r="S1311" s="4"/>
    </row>
    <row r="1312" spans="15:19" x14ac:dyDescent="0.25">
      <c r="O1312" s="4"/>
      <c r="P1312" s="4"/>
      <c r="Q1312" s="4"/>
      <c r="R1312" s="4"/>
      <c r="S1312" s="4"/>
    </row>
    <row r="1313" spans="15:19" x14ac:dyDescent="0.25">
      <c r="O1313" s="4"/>
      <c r="P1313" s="4"/>
      <c r="Q1313" s="4"/>
      <c r="R1313" s="4"/>
      <c r="S1313" s="4"/>
    </row>
    <row r="1314" spans="15:19" x14ac:dyDescent="0.25">
      <c r="O1314" s="4"/>
      <c r="P1314" s="4"/>
      <c r="Q1314" s="4"/>
      <c r="R1314" s="4"/>
      <c r="S1314" s="4"/>
    </row>
    <row r="1315" spans="15:19" x14ac:dyDescent="0.25">
      <c r="O1315" s="4"/>
      <c r="P1315" s="4"/>
      <c r="Q1315" s="4"/>
      <c r="R1315" s="4"/>
      <c r="S1315" s="4"/>
    </row>
    <row r="1316" spans="15:19" x14ac:dyDescent="0.25">
      <c r="O1316" s="4"/>
      <c r="P1316" s="4"/>
      <c r="Q1316" s="4"/>
      <c r="R1316" s="4"/>
      <c r="S1316" s="4"/>
    </row>
    <row r="1317" spans="15:19" x14ac:dyDescent="0.25">
      <c r="O1317" s="4"/>
      <c r="P1317" s="4"/>
      <c r="Q1317" s="4"/>
      <c r="R1317" s="4"/>
      <c r="S1317" s="4"/>
    </row>
    <row r="1318" spans="15:19" x14ac:dyDescent="0.25">
      <c r="O1318" s="4"/>
      <c r="P1318" s="4"/>
      <c r="Q1318" s="4"/>
      <c r="R1318" s="4"/>
      <c r="S1318" s="4"/>
    </row>
    <row r="1319" spans="15:19" x14ac:dyDescent="0.25">
      <c r="O1319" s="4"/>
      <c r="P1319" s="4"/>
      <c r="Q1319" s="4"/>
      <c r="R1319" s="4"/>
      <c r="S1319" s="4"/>
    </row>
    <row r="1320" spans="15:19" x14ac:dyDescent="0.25">
      <c r="O1320" s="4"/>
      <c r="P1320" s="4"/>
      <c r="Q1320" s="4"/>
      <c r="R1320" s="4"/>
      <c r="S1320" s="4"/>
    </row>
    <row r="1321" spans="15:19" x14ac:dyDescent="0.25">
      <c r="O1321" s="4"/>
      <c r="P1321" s="4"/>
      <c r="Q1321" s="4"/>
      <c r="R1321" s="4"/>
      <c r="S1321" s="4"/>
    </row>
    <row r="1322" spans="15:19" x14ac:dyDescent="0.25">
      <c r="O1322" s="4"/>
      <c r="P1322" s="4"/>
      <c r="Q1322" s="4"/>
      <c r="R1322" s="4"/>
      <c r="S1322" s="4"/>
    </row>
    <row r="1323" spans="15:19" x14ac:dyDescent="0.25">
      <c r="O1323" s="4"/>
      <c r="P1323" s="4"/>
      <c r="Q1323" s="4"/>
      <c r="R1323" s="4"/>
      <c r="S1323" s="4"/>
    </row>
    <row r="1324" spans="15:19" x14ac:dyDescent="0.25">
      <c r="O1324" s="4"/>
      <c r="P1324" s="4"/>
      <c r="Q1324" s="4"/>
      <c r="R1324" s="4"/>
      <c r="S1324" s="4"/>
    </row>
    <row r="1325" spans="15:19" x14ac:dyDescent="0.25">
      <c r="O1325" s="4"/>
      <c r="P1325" s="4"/>
      <c r="Q1325" s="4"/>
      <c r="R1325" s="4"/>
      <c r="S1325" s="4"/>
    </row>
    <row r="1326" spans="15:19" x14ac:dyDescent="0.25">
      <c r="O1326" s="4"/>
      <c r="P1326" s="4"/>
      <c r="Q1326" s="4"/>
      <c r="R1326" s="4"/>
      <c r="S1326" s="4"/>
    </row>
    <row r="1327" spans="15:19" x14ac:dyDescent="0.25">
      <c r="O1327" s="4"/>
      <c r="P1327" s="4"/>
      <c r="Q1327" s="4"/>
      <c r="R1327" s="4"/>
      <c r="S1327" s="4"/>
    </row>
    <row r="1328" spans="15:19" x14ac:dyDescent="0.25">
      <c r="O1328" s="4"/>
      <c r="P1328" s="4"/>
      <c r="Q1328" s="4"/>
      <c r="R1328" s="4"/>
      <c r="S1328" s="4"/>
    </row>
    <row r="1329" spans="15:19" x14ac:dyDescent="0.25">
      <c r="O1329" s="4"/>
      <c r="P1329" s="4"/>
      <c r="Q1329" s="4"/>
      <c r="R1329" s="4"/>
      <c r="S1329" s="4"/>
    </row>
    <row r="1330" spans="15:19" x14ac:dyDescent="0.25">
      <c r="O1330" s="4"/>
      <c r="P1330" s="4"/>
      <c r="Q1330" s="4"/>
      <c r="R1330" s="4"/>
      <c r="S1330" s="4"/>
    </row>
    <row r="1331" spans="15:19" x14ac:dyDescent="0.25">
      <c r="O1331" s="4"/>
      <c r="P1331" s="4"/>
      <c r="Q1331" s="4"/>
      <c r="R1331" s="4"/>
      <c r="S1331" s="4"/>
    </row>
    <row r="1332" spans="15:19" x14ac:dyDescent="0.25">
      <c r="O1332" s="4"/>
      <c r="P1332" s="4"/>
      <c r="Q1332" s="4"/>
      <c r="R1332" s="4"/>
      <c r="S1332" s="4"/>
    </row>
    <row r="1333" spans="15:19" x14ac:dyDescent="0.25">
      <c r="O1333" s="4"/>
      <c r="P1333" s="4"/>
      <c r="Q1333" s="4"/>
      <c r="R1333" s="4"/>
      <c r="S1333" s="4"/>
    </row>
    <row r="1334" spans="15:19" x14ac:dyDescent="0.25">
      <c r="O1334" s="4"/>
      <c r="P1334" s="4"/>
      <c r="Q1334" s="4"/>
      <c r="R1334" s="4"/>
      <c r="S1334" s="4"/>
    </row>
    <row r="1335" spans="15:19" x14ac:dyDescent="0.25">
      <c r="O1335" s="4"/>
      <c r="P1335" s="4"/>
      <c r="Q1335" s="4"/>
      <c r="R1335" s="4"/>
      <c r="S1335" s="4"/>
    </row>
    <row r="1336" spans="15:19" x14ac:dyDescent="0.25">
      <c r="O1336" s="4"/>
      <c r="P1336" s="4"/>
      <c r="Q1336" s="4"/>
      <c r="R1336" s="4"/>
      <c r="S1336" s="4"/>
    </row>
    <row r="1337" spans="15:19" x14ac:dyDescent="0.25">
      <c r="O1337" s="4"/>
      <c r="P1337" s="4"/>
      <c r="Q1337" s="4"/>
      <c r="R1337" s="4"/>
      <c r="S1337" s="4"/>
    </row>
    <row r="1338" spans="15:19" x14ac:dyDescent="0.25">
      <c r="O1338" s="4"/>
      <c r="P1338" s="4"/>
      <c r="Q1338" s="4"/>
      <c r="R1338" s="4"/>
      <c r="S1338" s="4"/>
    </row>
    <row r="1339" spans="15:19" x14ac:dyDescent="0.25">
      <c r="O1339" s="4"/>
      <c r="P1339" s="4"/>
      <c r="Q1339" s="4"/>
      <c r="R1339" s="4"/>
      <c r="S1339" s="4"/>
    </row>
    <row r="1340" spans="15:19" x14ac:dyDescent="0.25">
      <c r="O1340" s="4"/>
      <c r="P1340" s="4"/>
      <c r="Q1340" s="4"/>
      <c r="R1340" s="4"/>
      <c r="S1340" s="4"/>
    </row>
    <row r="1341" spans="15:19" x14ac:dyDescent="0.25">
      <c r="O1341" s="4"/>
      <c r="P1341" s="4"/>
      <c r="Q1341" s="4"/>
      <c r="R1341" s="4"/>
      <c r="S1341" s="4"/>
    </row>
    <row r="1342" spans="15:19" x14ac:dyDescent="0.25">
      <c r="O1342" s="4"/>
      <c r="P1342" s="4"/>
      <c r="Q1342" s="4"/>
      <c r="R1342" s="4"/>
      <c r="S1342" s="4"/>
    </row>
    <row r="1343" spans="15:19" x14ac:dyDescent="0.25">
      <c r="O1343" s="4"/>
      <c r="P1343" s="4"/>
      <c r="Q1343" s="4"/>
      <c r="R1343" s="4"/>
      <c r="S1343" s="4"/>
    </row>
    <row r="1344" spans="15:19" x14ac:dyDescent="0.25">
      <c r="O1344" s="4"/>
      <c r="P1344" s="4"/>
      <c r="Q1344" s="4"/>
      <c r="R1344" s="4"/>
      <c r="S1344" s="4"/>
    </row>
    <row r="1345" spans="15:19" x14ac:dyDescent="0.25">
      <c r="O1345" s="4"/>
      <c r="P1345" s="4"/>
      <c r="Q1345" s="4"/>
      <c r="R1345" s="4"/>
      <c r="S1345" s="4"/>
    </row>
    <row r="1346" spans="15:19" x14ac:dyDescent="0.25">
      <c r="O1346" s="4"/>
      <c r="P1346" s="4"/>
      <c r="Q1346" s="4"/>
      <c r="R1346" s="4"/>
      <c r="S1346" s="4"/>
    </row>
    <row r="1347" spans="15:19" x14ac:dyDescent="0.25">
      <c r="O1347" s="4"/>
      <c r="P1347" s="4"/>
      <c r="Q1347" s="4"/>
      <c r="R1347" s="4"/>
      <c r="S1347" s="4"/>
    </row>
    <row r="1348" spans="15:19" x14ac:dyDescent="0.25">
      <c r="O1348" s="4"/>
      <c r="P1348" s="4"/>
      <c r="Q1348" s="4"/>
      <c r="R1348" s="4"/>
      <c r="S1348" s="4"/>
    </row>
    <row r="1349" spans="15:19" x14ac:dyDescent="0.25">
      <c r="O1349" s="4"/>
      <c r="P1349" s="4"/>
      <c r="Q1349" s="4"/>
      <c r="R1349" s="4"/>
      <c r="S1349" s="4"/>
    </row>
    <row r="1350" spans="15:19" x14ac:dyDescent="0.25">
      <c r="O1350" s="4"/>
      <c r="P1350" s="4"/>
      <c r="Q1350" s="4"/>
      <c r="R1350" s="4"/>
      <c r="S1350" s="4"/>
    </row>
    <row r="1351" spans="15:19" x14ac:dyDescent="0.25">
      <c r="O1351" s="4"/>
      <c r="P1351" s="4"/>
      <c r="Q1351" s="4"/>
      <c r="R1351" s="4"/>
      <c r="S1351" s="4"/>
    </row>
    <row r="1352" spans="15:19" x14ac:dyDescent="0.25">
      <c r="O1352" s="4"/>
      <c r="P1352" s="4"/>
      <c r="Q1352" s="4"/>
      <c r="R1352" s="4"/>
      <c r="S1352" s="4"/>
    </row>
    <row r="1353" spans="15:19" x14ac:dyDescent="0.25">
      <c r="O1353" s="4"/>
      <c r="P1353" s="4"/>
      <c r="Q1353" s="4"/>
      <c r="R1353" s="4"/>
      <c r="S1353" s="4"/>
    </row>
    <row r="1354" spans="15:19" x14ac:dyDescent="0.25">
      <c r="O1354" s="4"/>
      <c r="P1354" s="4"/>
      <c r="Q1354" s="4"/>
      <c r="R1354" s="4"/>
      <c r="S1354" s="4"/>
    </row>
    <row r="1355" spans="15:19" x14ac:dyDescent="0.25">
      <c r="O1355" s="4"/>
      <c r="P1355" s="4"/>
      <c r="Q1355" s="4"/>
      <c r="R1355" s="4"/>
      <c r="S1355" s="4"/>
    </row>
    <row r="1356" spans="15:19" x14ac:dyDescent="0.25">
      <c r="O1356" s="4"/>
      <c r="P1356" s="4"/>
      <c r="Q1356" s="4"/>
      <c r="R1356" s="4"/>
      <c r="S1356" s="4"/>
    </row>
    <row r="1357" spans="15:19" x14ac:dyDescent="0.25">
      <c r="O1357" s="4"/>
      <c r="P1357" s="4"/>
      <c r="Q1357" s="4"/>
      <c r="R1357" s="4"/>
      <c r="S1357" s="4"/>
    </row>
    <row r="1358" spans="15:19" x14ac:dyDescent="0.25">
      <c r="O1358" s="4"/>
      <c r="P1358" s="4"/>
      <c r="Q1358" s="4"/>
      <c r="R1358" s="4"/>
      <c r="S1358" s="4"/>
    </row>
    <row r="1359" spans="15:19" x14ac:dyDescent="0.25">
      <c r="O1359" s="4"/>
      <c r="P1359" s="4"/>
      <c r="Q1359" s="4"/>
      <c r="R1359" s="4"/>
      <c r="S1359" s="4"/>
    </row>
    <row r="1360" spans="15:19" x14ac:dyDescent="0.25">
      <c r="O1360" s="4"/>
      <c r="P1360" s="4"/>
      <c r="Q1360" s="4"/>
      <c r="R1360" s="4"/>
      <c r="S1360" s="4"/>
    </row>
    <row r="1361" spans="15:19" x14ac:dyDescent="0.25">
      <c r="O1361" s="4"/>
      <c r="P1361" s="4"/>
      <c r="Q1361" s="4"/>
      <c r="R1361" s="4"/>
      <c r="S1361" s="4"/>
    </row>
    <row r="1362" spans="15:19" x14ac:dyDescent="0.25">
      <c r="O1362" s="4"/>
      <c r="P1362" s="4"/>
      <c r="Q1362" s="4"/>
      <c r="R1362" s="4"/>
      <c r="S1362" s="4"/>
    </row>
    <row r="1363" spans="15:19" x14ac:dyDescent="0.25">
      <c r="O1363" s="4"/>
      <c r="P1363" s="4"/>
      <c r="Q1363" s="4"/>
      <c r="R1363" s="4"/>
      <c r="S1363" s="4"/>
    </row>
    <row r="1364" spans="15:19" x14ac:dyDescent="0.25">
      <c r="O1364" s="4"/>
      <c r="P1364" s="4"/>
      <c r="Q1364" s="4"/>
      <c r="R1364" s="4"/>
      <c r="S1364" s="4"/>
    </row>
    <row r="1365" spans="15:19" x14ac:dyDescent="0.25">
      <c r="O1365" s="4"/>
      <c r="P1365" s="4"/>
      <c r="Q1365" s="4"/>
      <c r="R1365" s="4"/>
      <c r="S1365" s="4"/>
    </row>
    <row r="1366" spans="15:19" x14ac:dyDescent="0.25">
      <c r="O1366" s="4"/>
      <c r="P1366" s="4"/>
      <c r="Q1366" s="4"/>
      <c r="R1366" s="4"/>
      <c r="S1366" s="4"/>
    </row>
    <row r="1367" spans="15:19" x14ac:dyDescent="0.25">
      <c r="O1367" s="4"/>
      <c r="P1367" s="4"/>
      <c r="Q1367" s="4"/>
      <c r="R1367" s="4"/>
      <c r="S1367" s="4"/>
    </row>
    <row r="1368" spans="15:19" x14ac:dyDescent="0.25">
      <c r="O1368" s="4"/>
      <c r="P1368" s="4"/>
      <c r="Q1368" s="4"/>
      <c r="R1368" s="4"/>
      <c r="S1368" s="4"/>
    </row>
    <row r="1369" spans="15:19" x14ac:dyDescent="0.25">
      <c r="O1369" s="4"/>
      <c r="P1369" s="4"/>
      <c r="Q1369" s="4"/>
      <c r="R1369" s="4"/>
      <c r="S1369" s="4"/>
    </row>
    <row r="1370" spans="15:19" x14ac:dyDescent="0.25">
      <c r="O1370" s="4"/>
      <c r="P1370" s="4"/>
      <c r="Q1370" s="4"/>
      <c r="R1370" s="4"/>
      <c r="S1370" s="4"/>
    </row>
    <row r="1371" spans="15:19" x14ac:dyDescent="0.25">
      <c r="O1371" s="4"/>
      <c r="P1371" s="4"/>
      <c r="Q1371" s="4"/>
      <c r="R1371" s="4"/>
      <c r="S1371" s="4"/>
    </row>
    <row r="1372" spans="15:19" x14ac:dyDescent="0.25">
      <c r="O1372" s="4"/>
      <c r="P1372" s="4"/>
      <c r="Q1372" s="4"/>
      <c r="R1372" s="4"/>
      <c r="S1372" s="4"/>
    </row>
    <row r="1373" spans="15:19" x14ac:dyDescent="0.25">
      <c r="O1373" s="4"/>
      <c r="P1373" s="4"/>
      <c r="Q1373" s="4"/>
      <c r="R1373" s="4"/>
      <c r="S1373" s="4"/>
    </row>
    <row r="1374" spans="15:19" x14ac:dyDescent="0.25">
      <c r="O1374" s="4"/>
      <c r="P1374" s="4"/>
      <c r="Q1374" s="4"/>
      <c r="R1374" s="4"/>
      <c r="S1374" s="4"/>
    </row>
    <row r="1375" spans="15:19" x14ac:dyDescent="0.25">
      <c r="O1375" s="4"/>
      <c r="P1375" s="4"/>
      <c r="Q1375" s="4"/>
      <c r="R1375" s="4"/>
      <c r="S1375" s="4"/>
    </row>
    <row r="1376" spans="15:19" x14ac:dyDescent="0.25">
      <c r="O1376" s="4"/>
      <c r="P1376" s="4"/>
      <c r="Q1376" s="4"/>
      <c r="R1376" s="4"/>
      <c r="S1376" s="4"/>
    </row>
    <row r="1377" spans="15:19" x14ac:dyDescent="0.25">
      <c r="O1377" s="4"/>
      <c r="P1377" s="4"/>
      <c r="Q1377" s="4"/>
      <c r="R1377" s="4"/>
      <c r="S1377" s="4"/>
    </row>
    <row r="1378" spans="15:19" x14ac:dyDescent="0.25">
      <c r="O1378" s="4"/>
      <c r="P1378" s="4"/>
      <c r="Q1378" s="4"/>
      <c r="R1378" s="4"/>
      <c r="S1378" s="4"/>
    </row>
    <row r="1379" spans="15:19" x14ac:dyDescent="0.25">
      <c r="O1379" s="4"/>
      <c r="P1379" s="4"/>
      <c r="Q1379" s="4"/>
      <c r="R1379" s="4"/>
      <c r="S1379" s="4"/>
    </row>
    <row r="1380" spans="15:19" x14ac:dyDescent="0.25">
      <c r="O1380" s="4"/>
      <c r="P1380" s="4"/>
      <c r="Q1380" s="4"/>
      <c r="R1380" s="4"/>
      <c r="S1380" s="4"/>
    </row>
    <row r="1381" spans="15:19" x14ac:dyDescent="0.25">
      <c r="O1381" s="4"/>
      <c r="P1381" s="4"/>
      <c r="Q1381" s="4"/>
      <c r="R1381" s="4"/>
      <c r="S1381" s="4"/>
    </row>
    <row r="1382" spans="15:19" x14ac:dyDescent="0.25">
      <c r="O1382" s="4"/>
      <c r="P1382" s="4"/>
      <c r="Q1382" s="4"/>
      <c r="R1382" s="4"/>
      <c r="S1382" s="4"/>
    </row>
    <row r="1383" spans="15:19" x14ac:dyDescent="0.25">
      <c r="O1383" s="4"/>
      <c r="P1383" s="4"/>
      <c r="Q1383" s="4"/>
      <c r="R1383" s="4"/>
      <c r="S1383" s="4"/>
    </row>
    <row r="1384" spans="15:19" x14ac:dyDescent="0.25">
      <c r="O1384" s="4"/>
      <c r="P1384" s="4"/>
      <c r="Q1384" s="4"/>
      <c r="R1384" s="4"/>
      <c r="S1384" s="4"/>
    </row>
    <row r="1385" spans="15:19" x14ac:dyDescent="0.25">
      <c r="O1385" s="4"/>
      <c r="P1385" s="4"/>
      <c r="Q1385" s="4"/>
      <c r="R1385" s="4"/>
      <c r="S1385" s="4"/>
    </row>
    <row r="1386" spans="15:19" x14ac:dyDescent="0.25">
      <c r="O1386" s="4"/>
      <c r="P1386" s="4"/>
      <c r="Q1386" s="4"/>
      <c r="R1386" s="4"/>
      <c r="S1386" s="4"/>
    </row>
    <row r="1387" spans="15:19" x14ac:dyDescent="0.25">
      <c r="O1387" s="4"/>
      <c r="P1387" s="4"/>
      <c r="Q1387" s="4"/>
      <c r="R1387" s="4"/>
      <c r="S1387" s="4"/>
    </row>
    <row r="1388" spans="15:19" x14ac:dyDescent="0.25">
      <c r="O1388" s="4"/>
      <c r="P1388" s="4"/>
      <c r="Q1388" s="4"/>
      <c r="R1388" s="4"/>
      <c r="S1388" s="4"/>
    </row>
    <row r="1389" spans="15:19" x14ac:dyDescent="0.25">
      <c r="O1389" s="4"/>
      <c r="P1389" s="4"/>
      <c r="Q1389" s="4"/>
      <c r="R1389" s="4"/>
      <c r="S1389" s="4"/>
    </row>
    <row r="1390" spans="15:19" x14ac:dyDescent="0.25">
      <c r="O1390" s="4"/>
      <c r="P1390" s="4"/>
      <c r="Q1390" s="4"/>
      <c r="R1390" s="4"/>
      <c r="S1390" s="4"/>
    </row>
    <row r="1391" spans="15:19" x14ac:dyDescent="0.25">
      <c r="O1391" s="4"/>
      <c r="P1391" s="4"/>
      <c r="Q1391" s="4"/>
      <c r="R1391" s="4"/>
      <c r="S1391" s="4"/>
    </row>
    <row r="1392" spans="15:19" x14ac:dyDescent="0.25">
      <c r="O1392" s="4"/>
      <c r="P1392" s="4"/>
      <c r="Q1392" s="4"/>
      <c r="R1392" s="4"/>
      <c r="S1392" s="4"/>
    </row>
    <row r="1393" spans="15:19" x14ac:dyDescent="0.25">
      <c r="O1393" s="4"/>
      <c r="P1393" s="4"/>
      <c r="Q1393" s="4"/>
      <c r="R1393" s="4"/>
      <c r="S1393" s="4"/>
    </row>
    <row r="1394" spans="15:19" x14ac:dyDescent="0.25">
      <c r="O1394" s="4"/>
      <c r="P1394" s="4"/>
      <c r="Q1394" s="4"/>
      <c r="R1394" s="4"/>
      <c r="S1394" s="4"/>
    </row>
    <row r="1395" spans="15:19" x14ac:dyDescent="0.25">
      <c r="O1395" s="4"/>
      <c r="P1395" s="4"/>
      <c r="Q1395" s="4"/>
      <c r="R1395" s="4"/>
      <c r="S1395" s="4"/>
    </row>
    <row r="1396" spans="15:19" x14ac:dyDescent="0.25">
      <c r="O1396" s="4"/>
      <c r="P1396" s="4"/>
      <c r="Q1396" s="4"/>
      <c r="R1396" s="4"/>
      <c r="S1396" s="4"/>
    </row>
    <row r="1397" spans="15:19" x14ac:dyDescent="0.25">
      <c r="O1397" s="4"/>
      <c r="P1397" s="4"/>
      <c r="Q1397" s="4"/>
      <c r="R1397" s="4"/>
      <c r="S1397" s="4"/>
    </row>
    <row r="1398" spans="15:19" x14ac:dyDescent="0.25">
      <c r="O1398" s="4"/>
      <c r="P1398" s="4"/>
      <c r="Q1398" s="4"/>
      <c r="R1398" s="4"/>
      <c r="S1398" s="4"/>
    </row>
    <row r="1399" spans="15:19" x14ac:dyDescent="0.25">
      <c r="O1399" s="4"/>
      <c r="P1399" s="4"/>
      <c r="Q1399" s="4"/>
      <c r="R1399" s="4"/>
      <c r="S1399" s="4"/>
    </row>
    <row r="1400" spans="15:19" x14ac:dyDescent="0.25">
      <c r="O1400" s="4"/>
      <c r="P1400" s="4"/>
      <c r="Q1400" s="4"/>
      <c r="R1400" s="4"/>
      <c r="S1400" s="4"/>
    </row>
    <row r="1401" spans="15:19" x14ac:dyDescent="0.25">
      <c r="O1401" s="4"/>
      <c r="P1401" s="4"/>
      <c r="Q1401" s="4"/>
      <c r="R1401" s="4"/>
      <c r="S1401" s="4"/>
    </row>
    <row r="1402" spans="15:19" x14ac:dyDescent="0.25">
      <c r="O1402" s="4"/>
      <c r="P1402" s="4"/>
      <c r="Q1402" s="4"/>
      <c r="R1402" s="4"/>
      <c r="S1402" s="4"/>
    </row>
    <row r="1403" spans="15:19" x14ac:dyDescent="0.25">
      <c r="O1403" s="4"/>
      <c r="P1403" s="4"/>
      <c r="Q1403" s="4"/>
      <c r="R1403" s="4"/>
      <c r="S1403" s="4"/>
    </row>
    <row r="1404" spans="15:19" x14ac:dyDescent="0.25">
      <c r="O1404" s="4"/>
      <c r="P1404" s="4"/>
      <c r="Q1404" s="4"/>
      <c r="R1404" s="4"/>
      <c r="S1404" s="4"/>
    </row>
    <row r="1405" spans="15:19" x14ac:dyDescent="0.25">
      <c r="O1405" s="4"/>
      <c r="P1405" s="4"/>
      <c r="Q1405" s="4"/>
      <c r="R1405" s="4"/>
      <c r="S1405" s="4"/>
    </row>
    <row r="1406" spans="15:19" x14ac:dyDescent="0.25">
      <c r="O1406" s="4"/>
      <c r="P1406" s="4"/>
      <c r="Q1406" s="4"/>
      <c r="R1406" s="4"/>
      <c r="S1406" s="4"/>
    </row>
    <row r="1407" spans="15:19" x14ac:dyDescent="0.25">
      <c r="O1407" s="4"/>
      <c r="P1407" s="4"/>
      <c r="Q1407" s="4"/>
      <c r="R1407" s="4"/>
      <c r="S1407" s="4"/>
    </row>
    <row r="1408" spans="15:19" x14ac:dyDescent="0.25">
      <c r="O1408" s="4"/>
      <c r="P1408" s="4"/>
      <c r="Q1408" s="4"/>
      <c r="R1408" s="4"/>
      <c r="S1408" s="4"/>
    </row>
    <row r="1409" spans="15:19" x14ac:dyDescent="0.25">
      <c r="O1409" s="4"/>
      <c r="P1409" s="4"/>
      <c r="Q1409" s="4"/>
      <c r="R1409" s="4"/>
      <c r="S1409" s="4"/>
    </row>
    <row r="1410" spans="15:19" x14ac:dyDescent="0.25">
      <c r="O1410" s="4"/>
      <c r="P1410" s="4"/>
      <c r="Q1410" s="4"/>
      <c r="R1410" s="4"/>
      <c r="S1410" s="4"/>
    </row>
    <row r="1411" spans="15:19" x14ac:dyDescent="0.25">
      <c r="O1411" s="4"/>
      <c r="P1411" s="4"/>
      <c r="Q1411" s="4"/>
      <c r="R1411" s="4"/>
      <c r="S1411" s="4"/>
    </row>
    <row r="1412" spans="15:19" x14ac:dyDescent="0.25">
      <c r="O1412" s="4"/>
      <c r="P1412" s="4"/>
      <c r="Q1412" s="4"/>
      <c r="R1412" s="4"/>
      <c r="S1412" s="4"/>
    </row>
    <row r="1413" spans="15:19" x14ac:dyDescent="0.25">
      <c r="O1413" s="4"/>
      <c r="P1413" s="4"/>
      <c r="Q1413" s="4"/>
      <c r="R1413" s="4"/>
      <c r="S1413" s="4"/>
    </row>
    <row r="1414" spans="15:19" x14ac:dyDescent="0.25">
      <c r="O1414" s="4"/>
      <c r="P1414" s="4"/>
      <c r="Q1414" s="4"/>
      <c r="R1414" s="4"/>
      <c r="S1414" s="4"/>
    </row>
    <row r="1415" spans="15:19" x14ac:dyDescent="0.25">
      <c r="O1415" s="4"/>
      <c r="P1415" s="4"/>
      <c r="Q1415" s="4"/>
      <c r="R1415" s="4"/>
      <c r="S1415" s="4"/>
    </row>
    <row r="1416" spans="15:19" x14ac:dyDescent="0.25">
      <c r="O1416" s="4"/>
      <c r="P1416" s="4"/>
      <c r="Q1416" s="4"/>
      <c r="R1416" s="4"/>
      <c r="S1416" s="4"/>
    </row>
    <row r="1417" spans="15:19" x14ac:dyDescent="0.25">
      <c r="O1417" s="4"/>
      <c r="P1417" s="4"/>
      <c r="Q1417" s="4"/>
      <c r="R1417" s="4"/>
      <c r="S1417" s="4"/>
    </row>
    <row r="1418" spans="15:19" x14ac:dyDescent="0.25">
      <c r="O1418" s="4"/>
      <c r="P1418" s="4"/>
      <c r="Q1418" s="4"/>
      <c r="R1418" s="4"/>
      <c r="S1418" s="4"/>
    </row>
    <row r="1419" spans="15:19" x14ac:dyDescent="0.25">
      <c r="O1419" s="4"/>
      <c r="P1419" s="4"/>
      <c r="Q1419" s="4"/>
      <c r="R1419" s="4"/>
      <c r="S1419" s="4"/>
    </row>
    <row r="1420" spans="15:19" x14ac:dyDescent="0.25">
      <c r="O1420" s="4"/>
      <c r="P1420" s="4"/>
      <c r="Q1420" s="4"/>
      <c r="R1420" s="4"/>
      <c r="S1420" s="4"/>
    </row>
    <row r="1421" spans="15:19" x14ac:dyDescent="0.25">
      <c r="O1421" s="4"/>
      <c r="P1421" s="4"/>
      <c r="Q1421" s="4"/>
      <c r="R1421" s="4"/>
      <c r="S1421" s="4"/>
    </row>
    <row r="1422" spans="15:19" x14ac:dyDescent="0.25">
      <c r="O1422" s="4"/>
      <c r="P1422" s="4"/>
      <c r="Q1422" s="4"/>
      <c r="R1422" s="4"/>
      <c r="S1422" s="4"/>
    </row>
    <row r="1423" spans="15:19" x14ac:dyDescent="0.25">
      <c r="O1423" s="4"/>
      <c r="P1423" s="4"/>
      <c r="Q1423" s="4"/>
      <c r="R1423" s="4"/>
      <c r="S1423" s="4"/>
    </row>
    <row r="1424" spans="15:19" x14ac:dyDescent="0.25">
      <c r="O1424" s="4"/>
      <c r="P1424" s="4"/>
      <c r="Q1424" s="4"/>
      <c r="R1424" s="4"/>
      <c r="S1424" s="4"/>
    </row>
    <row r="1425" spans="15:19" x14ac:dyDescent="0.25">
      <c r="O1425" s="4"/>
      <c r="P1425" s="4"/>
      <c r="Q1425" s="4"/>
      <c r="R1425" s="4"/>
      <c r="S1425" s="4"/>
    </row>
    <row r="1426" spans="15:19" x14ac:dyDescent="0.25">
      <c r="O1426" s="4"/>
      <c r="P1426" s="4"/>
      <c r="Q1426" s="4"/>
      <c r="R1426" s="4"/>
      <c r="S1426" s="4"/>
    </row>
    <row r="1427" spans="15:19" x14ac:dyDescent="0.25">
      <c r="O1427" s="4"/>
      <c r="P1427" s="4"/>
      <c r="Q1427" s="4"/>
      <c r="R1427" s="4"/>
      <c r="S1427" s="4"/>
    </row>
    <row r="1428" spans="15:19" x14ac:dyDescent="0.25">
      <c r="O1428" s="4"/>
      <c r="P1428" s="4"/>
      <c r="Q1428" s="4"/>
      <c r="R1428" s="4"/>
      <c r="S1428" s="4"/>
    </row>
    <row r="1429" spans="15:19" x14ac:dyDescent="0.25">
      <c r="O1429" s="4"/>
      <c r="P1429" s="4"/>
      <c r="Q1429" s="4"/>
      <c r="R1429" s="4"/>
      <c r="S1429" s="4"/>
    </row>
    <row r="1430" spans="15:19" x14ac:dyDescent="0.25">
      <c r="O1430" s="4"/>
      <c r="P1430" s="4"/>
      <c r="Q1430" s="4"/>
      <c r="R1430" s="4"/>
      <c r="S1430" s="4"/>
    </row>
    <row r="1431" spans="15:19" x14ac:dyDescent="0.25">
      <c r="O1431" s="4"/>
      <c r="P1431" s="4"/>
      <c r="Q1431" s="4"/>
      <c r="R1431" s="4"/>
      <c r="S1431" s="4"/>
    </row>
    <row r="1432" spans="15:19" x14ac:dyDescent="0.25">
      <c r="O1432" s="4"/>
      <c r="P1432" s="4"/>
      <c r="Q1432" s="4"/>
      <c r="R1432" s="4"/>
      <c r="S1432" s="4"/>
    </row>
    <row r="1433" spans="15:19" x14ac:dyDescent="0.25">
      <c r="O1433" s="4"/>
      <c r="P1433" s="4"/>
      <c r="Q1433" s="4"/>
      <c r="R1433" s="4"/>
      <c r="S1433" s="4"/>
    </row>
    <row r="1434" spans="15:19" x14ac:dyDescent="0.25">
      <c r="O1434" s="4"/>
      <c r="P1434" s="4"/>
      <c r="Q1434" s="4"/>
      <c r="R1434" s="4"/>
      <c r="S1434" s="4"/>
    </row>
    <row r="1435" spans="15:19" x14ac:dyDescent="0.25">
      <c r="O1435" s="4"/>
      <c r="P1435" s="4"/>
      <c r="Q1435" s="4"/>
      <c r="R1435" s="4"/>
      <c r="S1435" s="4"/>
    </row>
    <row r="1436" spans="15:19" x14ac:dyDescent="0.25">
      <c r="O1436" s="4"/>
      <c r="P1436" s="4"/>
      <c r="Q1436" s="4"/>
      <c r="R1436" s="4"/>
      <c r="S1436" s="4"/>
    </row>
    <row r="1437" spans="15:19" x14ac:dyDescent="0.25">
      <c r="O1437" s="4"/>
      <c r="P1437" s="4"/>
      <c r="Q1437" s="4"/>
      <c r="R1437" s="4"/>
      <c r="S1437" s="4"/>
    </row>
    <row r="1438" spans="15:19" x14ac:dyDescent="0.25">
      <c r="O1438" s="4"/>
      <c r="P1438" s="4"/>
      <c r="Q1438" s="4"/>
      <c r="R1438" s="4"/>
      <c r="S1438" s="4"/>
    </row>
    <row r="1439" spans="15:19" x14ac:dyDescent="0.25">
      <c r="O1439" s="4"/>
      <c r="P1439" s="4"/>
      <c r="Q1439" s="4"/>
      <c r="R1439" s="4"/>
      <c r="S1439" s="4"/>
    </row>
    <row r="1440" spans="15:19" x14ac:dyDescent="0.25">
      <c r="O1440" s="4"/>
      <c r="P1440" s="4"/>
      <c r="Q1440" s="4"/>
      <c r="R1440" s="4"/>
      <c r="S1440" s="4"/>
    </row>
    <row r="1441" spans="15:19" x14ac:dyDescent="0.25">
      <c r="O1441" s="4"/>
      <c r="P1441" s="4"/>
      <c r="Q1441" s="4"/>
      <c r="R1441" s="4"/>
      <c r="S1441" s="4"/>
    </row>
    <row r="1442" spans="15:19" x14ac:dyDescent="0.25">
      <c r="O1442" s="4"/>
      <c r="P1442" s="4"/>
      <c r="Q1442" s="4"/>
      <c r="R1442" s="4"/>
      <c r="S1442" s="4"/>
    </row>
    <row r="1443" spans="15:19" x14ac:dyDescent="0.25">
      <c r="O1443" s="4"/>
      <c r="P1443" s="4"/>
      <c r="Q1443" s="4"/>
      <c r="R1443" s="4"/>
      <c r="S1443" s="4"/>
    </row>
    <row r="1444" spans="15:19" x14ac:dyDescent="0.25">
      <c r="O1444" s="4"/>
      <c r="P1444" s="4"/>
      <c r="Q1444" s="4"/>
      <c r="R1444" s="4"/>
      <c r="S1444" s="4"/>
    </row>
    <row r="1445" spans="15:19" x14ac:dyDescent="0.25">
      <c r="O1445" s="4"/>
      <c r="P1445" s="4"/>
      <c r="Q1445" s="4"/>
      <c r="R1445" s="4"/>
      <c r="S1445" s="4"/>
    </row>
    <row r="1446" spans="15:19" x14ac:dyDescent="0.25">
      <c r="O1446" s="4"/>
      <c r="P1446" s="4"/>
      <c r="Q1446" s="4"/>
      <c r="R1446" s="4"/>
      <c r="S1446" s="4"/>
    </row>
    <row r="1447" spans="15:19" x14ac:dyDescent="0.25">
      <c r="O1447" s="4"/>
      <c r="P1447" s="4"/>
      <c r="Q1447" s="4"/>
      <c r="R1447" s="4"/>
      <c r="S1447" s="4"/>
    </row>
    <row r="1448" spans="15:19" x14ac:dyDescent="0.25">
      <c r="O1448" s="4"/>
      <c r="P1448" s="4"/>
      <c r="Q1448" s="4"/>
      <c r="R1448" s="4"/>
      <c r="S1448" s="4"/>
    </row>
    <row r="1449" spans="15:19" x14ac:dyDescent="0.25">
      <c r="O1449" s="4"/>
      <c r="P1449" s="4"/>
      <c r="Q1449" s="4"/>
      <c r="R1449" s="4"/>
      <c r="S1449" s="4"/>
    </row>
    <row r="1450" spans="15:19" x14ac:dyDescent="0.25">
      <c r="O1450" s="4"/>
      <c r="P1450" s="4"/>
      <c r="Q1450" s="4"/>
      <c r="R1450" s="4"/>
      <c r="S1450" s="4"/>
    </row>
    <row r="1451" spans="15:19" x14ac:dyDescent="0.25">
      <c r="O1451" s="4"/>
      <c r="P1451" s="4"/>
      <c r="Q1451" s="4"/>
      <c r="R1451" s="4"/>
      <c r="S1451" s="4"/>
    </row>
    <row r="1452" spans="15:19" x14ac:dyDescent="0.25">
      <c r="O1452" s="4"/>
      <c r="P1452" s="4"/>
      <c r="Q1452" s="4"/>
      <c r="R1452" s="4"/>
      <c r="S1452" s="4"/>
    </row>
    <row r="1453" spans="15:19" x14ac:dyDescent="0.25">
      <c r="O1453" s="4"/>
      <c r="P1453" s="4"/>
      <c r="Q1453" s="4"/>
      <c r="R1453" s="4"/>
      <c r="S1453" s="4"/>
    </row>
    <row r="1454" spans="15:19" x14ac:dyDescent="0.25">
      <c r="O1454" s="4"/>
      <c r="P1454" s="4"/>
      <c r="Q1454" s="4"/>
      <c r="R1454" s="4"/>
      <c r="S1454" s="4"/>
    </row>
    <row r="1455" spans="15:19" x14ac:dyDescent="0.25">
      <c r="O1455" s="4"/>
      <c r="P1455" s="4"/>
      <c r="Q1455" s="4"/>
      <c r="R1455" s="4"/>
      <c r="S1455" s="4"/>
    </row>
    <row r="1456" spans="15:19" x14ac:dyDescent="0.25">
      <c r="O1456" s="4"/>
      <c r="P1456" s="4"/>
      <c r="Q1456" s="4"/>
      <c r="R1456" s="4"/>
      <c r="S1456" s="4"/>
    </row>
    <row r="1457" spans="15:19" x14ac:dyDescent="0.25">
      <c r="O1457" s="4"/>
      <c r="P1457" s="4"/>
      <c r="Q1457" s="4"/>
      <c r="R1457" s="4"/>
      <c r="S1457" s="4"/>
    </row>
    <row r="1458" spans="15:19" x14ac:dyDescent="0.25">
      <c r="O1458" s="4"/>
      <c r="P1458" s="4"/>
      <c r="Q1458" s="4"/>
      <c r="R1458" s="4"/>
      <c r="S1458" s="4"/>
    </row>
    <row r="1459" spans="15:19" x14ac:dyDescent="0.25">
      <c r="O1459" s="4"/>
      <c r="P1459" s="4"/>
      <c r="Q1459" s="4"/>
      <c r="R1459" s="4"/>
      <c r="S1459" s="4"/>
    </row>
    <row r="1460" spans="15:19" x14ac:dyDescent="0.25">
      <c r="O1460" s="4"/>
      <c r="P1460" s="4"/>
      <c r="Q1460" s="4"/>
      <c r="R1460" s="4"/>
      <c r="S1460" s="4"/>
    </row>
    <row r="1461" spans="15:19" x14ac:dyDescent="0.25">
      <c r="O1461" s="4"/>
      <c r="P1461" s="4"/>
      <c r="Q1461" s="4"/>
      <c r="R1461" s="4"/>
      <c r="S1461" s="4"/>
    </row>
    <row r="1462" spans="15:19" x14ac:dyDescent="0.25">
      <c r="O1462" s="4"/>
      <c r="P1462" s="4"/>
      <c r="Q1462" s="4"/>
      <c r="R1462" s="4"/>
      <c r="S1462" s="4"/>
    </row>
    <row r="1463" spans="15:19" x14ac:dyDescent="0.25">
      <c r="O1463" s="4"/>
      <c r="P1463" s="4"/>
      <c r="Q1463" s="4"/>
      <c r="R1463" s="4"/>
      <c r="S1463" s="4"/>
    </row>
    <row r="1464" spans="15:19" x14ac:dyDescent="0.25">
      <c r="O1464" s="4"/>
      <c r="P1464" s="4"/>
      <c r="Q1464" s="4"/>
      <c r="R1464" s="4"/>
      <c r="S1464" s="4"/>
    </row>
    <row r="1465" spans="15:19" x14ac:dyDescent="0.25">
      <c r="O1465" s="4"/>
      <c r="P1465" s="4"/>
      <c r="Q1465" s="4"/>
      <c r="R1465" s="4"/>
      <c r="S1465" s="4"/>
    </row>
    <row r="1466" spans="15:19" x14ac:dyDescent="0.25">
      <c r="O1466" s="4"/>
      <c r="P1466" s="4"/>
      <c r="Q1466" s="4"/>
      <c r="R1466" s="4"/>
      <c r="S1466" s="4"/>
    </row>
    <row r="1467" spans="15:19" x14ac:dyDescent="0.25">
      <c r="O1467" s="4"/>
      <c r="P1467" s="4"/>
      <c r="Q1467" s="4"/>
      <c r="R1467" s="4"/>
      <c r="S1467" s="4"/>
    </row>
    <row r="1468" spans="15:19" x14ac:dyDescent="0.25">
      <c r="O1468" s="4"/>
      <c r="P1468" s="4"/>
      <c r="Q1468" s="4"/>
      <c r="R1468" s="4"/>
      <c r="S1468" s="4"/>
    </row>
    <row r="1469" spans="15:19" x14ac:dyDescent="0.25">
      <c r="O1469" s="4"/>
      <c r="P1469" s="4"/>
      <c r="Q1469" s="4"/>
      <c r="R1469" s="4"/>
      <c r="S1469" s="4"/>
    </row>
    <row r="1470" spans="15:19" x14ac:dyDescent="0.25">
      <c r="O1470" s="4"/>
      <c r="P1470" s="4"/>
      <c r="Q1470" s="4"/>
      <c r="R1470" s="4"/>
      <c r="S1470" s="4"/>
    </row>
    <row r="1471" spans="15:19" x14ac:dyDescent="0.25">
      <c r="O1471" s="4"/>
      <c r="P1471" s="4"/>
      <c r="Q1471" s="4"/>
      <c r="R1471" s="4"/>
      <c r="S1471" s="4"/>
    </row>
    <row r="1472" spans="15:19" x14ac:dyDescent="0.25">
      <c r="O1472" s="4"/>
      <c r="P1472" s="4"/>
      <c r="Q1472" s="4"/>
      <c r="R1472" s="4"/>
      <c r="S1472" s="4"/>
    </row>
    <row r="1473" spans="15:19" x14ac:dyDescent="0.25">
      <c r="O1473" s="4"/>
      <c r="P1473" s="4"/>
      <c r="Q1473" s="4"/>
      <c r="R1473" s="4"/>
      <c r="S1473" s="4"/>
    </row>
    <row r="1474" spans="15:19" x14ac:dyDescent="0.25">
      <c r="O1474" s="4"/>
      <c r="P1474" s="4"/>
      <c r="Q1474" s="4"/>
      <c r="R1474" s="4"/>
      <c r="S1474" s="4"/>
    </row>
    <row r="1475" spans="15:19" x14ac:dyDescent="0.25">
      <c r="O1475" s="4"/>
      <c r="P1475" s="4"/>
      <c r="Q1475" s="4"/>
      <c r="R1475" s="4"/>
      <c r="S1475" s="4"/>
    </row>
    <row r="1476" spans="15:19" x14ac:dyDescent="0.25">
      <c r="O1476" s="4"/>
      <c r="P1476" s="4"/>
      <c r="Q1476" s="4"/>
      <c r="R1476" s="4"/>
      <c r="S1476" s="4"/>
    </row>
    <row r="1477" spans="15:19" x14ac:dyDescent="0.25">
      <c r="O1477" s="4"/>
      <c r="P1477" s="4"/>
      <c r="Q1477" s="4"/>
      <c r="R1477" s="4"/>
      <c r="S1477" s="4"/>
    </row>
    <row r="1478" spans="15:19" x14ac:dyDescent="0.25">
      <c r="O1478" s="4"/>
      <c r="P1478" s="4"/>
      <c r="Q1478" s="4"/>
      <c r="R1478" s="4"/>
      <c r="S1478" s="4"/>
    </row>
    <row r="1479" spans="15:19" x14ac:dyDescent="0.25">
      <c r="O1479" s="4"/>
      <c r="P1479" s="4"/>
      <c r="Q1479" s="4"/>
      <c r="R1479" s="4"/>
      <c r="S1479" s="4"/>
    </row>
    <row r="1480" spans="15:19" x14ac:dyDescent="0.25">
      <c r="O1480" s="4"/>
      <c r="P1480" s="4"/>
      <c r="Q1480" s="4"/>
      <c r="R1480" s="4"/>
      <c r="S1480" s="4"/>
    </row>
    <row r="1481" spans="15:19" x14ac:dyDescent="0.25">
      <c r="O1481" s="4"/>
      <c r="P1481" s="4"/>
      <c r="Q1481" s="4"/>
      <c r="R1481" s="4"/>
      <c r="S1481" s="4"/>
    </row>
    <row r="1482" spans="15:19" x14ac:dyDescent="0.25">
      <c r="O1482" s="4"/>
      <c r="P1482" s="4"/>
      <c r="Q1482" s="4"/>
      <c r="R1482" s="4"/>
      <c r="S1482" s="4"/>
    </row>
    <row r="1483" spans="15:19" x14ac:dyDescent="0.25">
      <c r="O1483" s="4"/>
      <c r="P1483" s="4"/>
      <c r="Q1483" s="4"/>
      <c r="R1483" s="4"/>
      <c r="S1483" s="4"/>
    </row>
    <row r="1484" spans="15:19" x14ac:dyDescent="0.25">
      <c r="O1484" s="4"/>
      <c r="P1484" s="4"/>
      <c r="Q1484" s="4"/>
      <c r="R1484" s="4"/>
      <c r="S1484" s="4"/>
    </row>
    <row r="1485" spans="15:19" x14ac:dyDescent="0.25">
      <c r="O1485" s="4"/>
      <c r="P1485" s="4"/>
      <c r="Q1485" s="4"/>
      <c r="R1485" s="4"/>
      <c r="S1485" s="4"/>
    </row>
    <row r="1486" spans="15:19" x14ac:dyDescent="0.25">
      <c r="O1486" s="4"/>
      <c r="P1486" s="4"/>
      <c r="Q1486" s="4"/>
      <c r="R1486" s="4"/>
      <c r="S1486" s="4"/>
    </row>
    <row r="1487" spans="15:19" x14ac:dyDescent="0.25">
      <c r="O1487" s="4"/>
      <c r="P1487" s="4"/>
      <c r="Q1487" s="4"/>
      <c r="R1487" s="4"/>
      <c r="S1487" s="4"/>
    </row>
    <row r="1488" spans="15:19" x14ac:dyDescent="0.25">
      <c r="O1488" s="4"/>
      <c r="P1488" s="4"/>
      <c r="Q1488" s="4"/>
      <c r="R1488" s="4"/>
      <c r="S1488" s="4"/>
    </row>
    <row r="1489" spans="15:19" x14ac:dyDescent="0.25">
      <c r="O1489" s="4"/>
      <c r="P1489" s="4"/>
      <c r="Q1489" s="4"/>
      <c r="R1489" s="4"/>
      <c r="S1489" s="4"/>
    </row>
    <row r="1490" spans="15:19" x14ac:dyDescent="0.25">
      <c r="O1490" s="4"/>
      <c r="P1490" s="4"/>
      <c r="Q1490" s="4"/>
      <c r="R1490" s="4"/>
      <c r="S1490" s="4"/>
    </row>
    <row r="1491" spans="15:19" x14ac:dyDescent="0.25">
      <c r="O1491" s="4"/>
      <c r="P1491" s="4"/>
      <c r="Q1491" s="4"/>
      <c r="R1491" s="4"/>
      <c r="S1491" s="4"/>
    </row>
    <row r="1492" spans="15:19" x14ac:dyDescent="0.25">
      <c r="O1492" s="4"/>
      <c r="P1492" s="4"/>
      <c r="Q1492" s="4"/>
      <c r="R1492" s="4"/>
      <c r="S1492" s="4"/>
    </row>
    <row r="1493" spans="15:19" x14ac:dyDescent="0.25">
      <c r="O1493" s="4"/>
      <c r="P1493" s="4"/>
      <c r="Q1493" s="4"/>
      <c r="R1493" s="4"/>
      <c r="S1493" s="4"/>
    </row>
    <row r="1494" spans="15:19" x14ac:dyDescent="0.25">
      <c r="O1494" s="4"/>
      <c r="P1494" s="4"/>
      <c r="Q1494" s="4"/>
      <c r="R1494" s="4"/>
      <c r="S1494" s="4"/>
    </row>
    <row r="1495" spans="15:19" x14ac:dyDescent="0.25">
      <c r="O1495" s="4"/>
      <c r="P1495" s="4"/>
      <c r="Q1495" s="4"/>
      <c r="R1495" s="4"/>
      <c r="S1495" s="4"/>
    </row>
    <row r="1496" spans="15:19" x14ac:dyDescent="0.25">
      <c r="O1496" s="4"/>
      <c r="P1496" s="4"/>
      <c r="Q1496" s="4"/>
      <c r="R1496" s="4"/>
      <c r="S1496" s="4"/>
    </row>
    <row r="1497" spans="15:19" x14ac:dyDescent="0.25">
      <c r="O1497" s="4"/>
      <c r="P1497" s="4"/>
      <c r="Q1497" s="4"/>
      <c r="R1497" s="4"/>
      <c r="S1497" s="4"/>
    </row>
    <row r="1498" spans="15:19" x14ac:dyDescent="0.25">
      <c r="O1498" s="4"/>
      <c r="P1498" s="4"/>
      <c r="Q1498" s="4"/>
      <c r="R1498" s="4"/>
      <c r="S1498" s="4"/>
    </row>
    <row r="1499" spans="15:19" x14ac:dyDescent="0.25">
      <c r="O1499" s="4"/>
      <c r="P1499" s="4"/>
      <c r="Q1499" s="4"/>
      <c r="R1499" s="4"/>
      <c r="S1499" s="4"/>
    </row>
    <row r="1500" spans="15:19" x14ac:dyDescent="0.25">
      <c r="O1500" s="4"/>
      <c r="P1500" s="4"/>
      <c r="Q1500" s="4"/>
      <c r="R1500" s="4"/>
      <c r="S1500" s="4"/>
    </row>
    <row r="1501" spans="15:19" x14ac:dyDescent="0.25">
      <c r="O1501" s="4"/>
      <c r="P1501" s="4"/>
      <c r="Q1501" s="4"/>
      <c r="R1501" s="4"/>
      <c r="S1501" s="4"/>
    </row>
    <row r="1502" spans="15:19" x14ac:dyDescent="0.25">
      <c r="O1502" s="4"/>
      <c r="P1502" s="4"/>
      <c r="Q1502" s="4"/>
      <c r="R1502" s="4"/>
      <c r="S1502" s="4"/>
    </row>
    <row r="1503" spans="15:19" x14ac:dyDescent="0.25">
      <c r="O1503" s="4"/>
      <c r="P1503" s="4"/>
      <c r="Q1503" s="4"/>
      <c r="R1503" s="4"/>
      <c r="S1503" s="4"/>
    </row>
    <row r="1504" spans="15:19" x14ac:dyDescent="0.25">
      <c r="O1504" s="4"/>
      <c r="P1504" s="4"/>
      <c r="Q1504" s="4"/>
      <c r="R1504" s="4"/>
      <c r="S1504" s="4"/>
    </row>
    <row r="1505" spans="15:19" x14ac:dyDescent="0.25">
      <c r="O1505" s="4"/>
      <c r="P1505" s="4"/>
      <c r="Q1505" s="4"/>
      <c r="R1505" s="4"/>
      <c r="S1505" s="4"/>
    </row>
    <row r="1506" spans="15:19" x14ac:dyDescent="0.25">
      <c r="O1506" s="4"/>
      <c r="P1506" s="4"/>
      <c r="Q1506" s="4"/>
      <c r="R1506" s="4"/>
      <c r="S1506" s="4"/>
    </row>
    <row r="1507" spans="15:19" x14ac:dyDescent="0.25">
      <c r="O1507" s="4"/>
      <c r="P1507" s="4"/>
      <c r="Q1507" s="4"/>
      <c r="R1507" s="4"/>
      <c r="S1507" s="4"/>
    </row>
    <row r="1508" spans="15:19" x14ac:dyDescent="0.25">
      <c r="O1508" s="4"/>
      <c r="P1508" s="4"/>
      <c r="Q1508" s="4"/>
      <c r="R1508" s="4"/>
      <c r="S1508" s="4"/>
    </row>
    <row r="1509" spans="15:19" x14ac:dyDescent="0.25">
      <c r="O1509" s="4"/>
      <c r="P1509" s="4"/>
      <c r="Q1509" s="4"/>
      <c r="R1509" s="4"/>
      <c r="S1509" s="4"/>
    </row>
    <row r="1510" spans="15:19" x14ac:dyDescent="0.25">
      <c r="O1510" s="4"/>
      <c r="P1510" s="4"/>
      <c r="Q1510" s="4"/>
      <c r="R1510" s="4"/>
      <c r="S1510" s="4"/>
    </row>
    <row r="1511" spans="15:19" x14ac:dyDescent="0.25">
      <c r="O1511" s="4"/>
      <c r="P1511" s="4"/>
      <c r="Q1511" s="4"/>
      <c r="R1511" s="4"/>
      <c r="S1511" s="4"/>
    </row>
    <row r="1512" spans="15:19" x14ac:dyDescent="0.25">
      <c r="O1512" s="4"/>
      <c r="P1512" s="4"/>
      <c r="Q1512" s="4"/>
      <c r="R1512" s="4"/>
      <c r="S1512" s="4"/>
    </row>
    <row r="1513" spans="15:19" x14ac:dyDescent="0.25">
      <c r="O1513" s="4"/>
      <c r="P1513" s="4"/>
      <c r="Q1513" s="4"/>
      <c r="R1513" s="4"/>
      <c r="S1513" s="4"/>
    </row>
    <row r="1514" spans="15:19" x14ac:dyDescent="0.25">
      <c r="O1514" s="4"/>
      <c r="P1514" s="4"/>
      <c r="Q1514" s="4"/>
      <c r="R1514" s="4"/>
      <c r="S1514" s="4"/>
    </row>
    <row r="1515" spans="15:19" x14ac:dyDescent="0.25">
      <c r="O1515" s="4"/>
      <c r="P1515" s="4"/>
      <c r="Q1515" s="4"/>
      <c r="R1515" s="4"/>
      <c r="S1515" s="4"/>
    </row>
    <row r="1516" spans="15:19" x14ac:dyDescent="0.25">
      <c r="O1516" s="4"/>
      <c r="P1516" s="4"/>
      <c r="Q1516" s="4"/>
      <c r="R1516" s="4"/>
      <c r="S1516" s="4"/>
    </row>
    <row r="1517" spans="15:19" x14ac:dyDescent="0.25">
      <c r="O1517" s="4"/>
      <c r="P1517" s="4"/>
      <c r="Q1517" s="4"/>
      <c r="R1517" s="4"/>
      <c r="S1517" s="4"/>
    </row>
    <row r="1518" spans="15:19" x14ac:dyDescent="0.25">
      <c r="O1518" s="4"/>
      <c r="P1518" s="4"/>
      <c r="Q1518" s="4"/>
      <c r="R1518" s="4"/>
      <c r="S1518" s="4"/>
    </row>
    <row r="1519" spans="15:19" x14ac:dyDescent="0.25">
      <c r="O1519" s="4"/>
      <c r="P1519" s="4"/>
      <c r="Q1519" s="4"/>
      <c r="R1519" s="4"/>
      <c r="S1519" s="4"/>
    </row>
    <row r="1520" spans="15:19" x14ac:dyDescent="0.25">
      <c r="O1520" s="4"/>
      <c r="P1520" s="4"/>
      <c r="Q1520" s="4"/>
      <c r="R1520" s="4"/>
      <c r="S1520" s="4"/>
    </row>
    <row r="1521" spans="15:19" x14ac:dyDescent="0.25">
      <c r="O1521" s="4"/>
      <c r="P1521" s="4"/>
      <c r="Q1521" s="4"/>
      <c r="R1521" s="4"/>
      <c r="S1521" s="4"/>
    </row>
    <row r="1522" spans="15:19" x14ac:dyDescent="0.25">
      <c r="O1522" s="4"/>
      <c r="P1522" s="4"/>
      <c r="Q1522" s="4"/>
      <c r="R1522" s="4"/>
      <c r="S1522" s="4"/>
    </row>
    <row r="1523" spans="15:19" x14ac:dyDescent="0.25">
      <c r="O1523" s="4"/>
      <c r="P1523" s="4"/>
      <c r="Q1523" s="4"/>
      <c r="R1523" s="4"/>
      <c r="S1523" s="4"/>
    </row>
    <row r="1524" spans="15:19" x14ac:dyDescent="0.25">
      <c r="O1524" s="4"/>
      <c r="P1524" s="4"/>
      <c r="Q1524" s="4"/>
      <c r="R1524" s="4"/>
      <c r="S1524" s="4"/>
    </row>
    <row r="1525" spans="15:19" x14ac:dyDescent="0.25">
      <c r="O1525" s="4"/>
      <c r="P1525" s="4"/>
      <c r="Q1525" s="4"/>
      <c r="R1525" s="4"/>
      <c r="S1525" s="4"/>
    </row>
    <row r="1526" spans="15:19" x14ac:dyDescent="0.25">
      <c r="O1526" s="4"/>
      <c r="P1526" s="4"/>
      <c r="Q1526" s="4"/>
      <c r="R1526" s="4"/>
      <c r="S1526" s="4"/>
    </row>
    <row r="1527" spans="15:19" x14ac:dyDescent="0.25">
      <c r="O1527" s="4"/>
      <c r="P1527" s="4"/>
      <c r="Q1527" s="4"/>
      <c r="R1527" s="4"/>
      <c r="S1527" s="4"/>
    </row>
    <row r="1528" spans="15:19" x14ac:dyDescent="0.25">
      <c r="O1528" s="4"/>
      <c r="P1528" s="4"/>
      <c r="Q1528" s="4"/>
      <c r="R1528" s="4"/>
      <c r="S1528" s="4"/>
    </row>
    <row r="1529" spans="15:19" x14ac:dyDescent="0.25">
      <c r="O1529" s="4"/>
      <c r="P1529" s="4"/>
      <c r="Q1529" s="4"/>
      <c r="R1529" s="4"/>
      <c r="S1529" s="4"/>
    </row>
    <row r="1530" spans="15:19" x14ac:dyDescent="0.25">
      <c r="O1530" s="4"/>
      <c r="P1530" s="4"/>
      <c r="Q1530" s="4"/>
      <c r="R1530" s="4"/>
      <c r="S1530" s="4"/>
    </row>
    <row r="1531" spans="15:19" x14ac:dyDescent="0.25">
      <c r="O1531" s="4"/>
      <c r="P1531" s="4"/>
      <c r="Q1531" s="4"/>
      <c r="R1531" s="4"/>
      <c r="S1531" s="4"/>
    </row>
    <row r="1532" spans="15:19" x14ac:dyDescent="0.25">
      <c r="O1532" s="4"/>
      <c r="P1532" s="4"/>
      <c r="Q1532" s="4"/>
      <c r="R1532" s="4"/>
      <c r="S1532" s="4"/>
    </row>
    <row r="1533" spans="15:19" x14ac:dyDescent="0.25">
      <c r="O1533" s="4"/>
      <c r="P1533" s="4"/>
      <c r="Q1533" s="4"/>
      <c r="R1533" s="4"/>
      <c r="S1533" s="4"/>
    </row>
    <row r="1534" spans="15:19" x14ac:dyDescent="0.25">
      <c r="O1534" s="4"/>
      <c r="P1534" s="4"/>
      <c r="Q1534" s="4"/>
      <c r="R1534" s="4"/>
      <c r="S1534" s="4"/>
    </row>
    <row r="1535" spans="15:19" x14ac:dyDescent="0.25">
      <c r="O1535" s="4"/>
      <c r="P1535" s="4"/>
      <c r="Q1535" s="4"/>
      <c r="R1535" s="4"/>
      <c r="S1535" s="4"/>
    </row>
    <row r="1536" spans="15:19" x14ac:dyDescent="0.25">
      <c r="O1536" s="4"/>
      <c r="P1536" s="4"/>
      <c r="Q1536" s="4"/>
      <c r="R1536" s="4"/>
      <c r="S1536" s="4"/>
    </row>
    <row r="1537" spans="15:19" x14ac:dyDescent="0.25">
      <c r="O1537" s="4"/>
      <c r="P1537" s="4"/>
      <c r="Q1537" s="4"/>
      <c r="R1537" s="4"/>
      <c r="S1537" s="4"/>
    </row>
    <row r="1538" spans="15:19" x14ac:dyDescent="0.25">
      <c r="O1538" s="4"/>
      <c r="P1538" s="4"/>
      <c r="Q1538" s="4"/>
      <c r="R1538" s="4"/>
      <c r="S1538" s="4"/>
    </row>
    <row r="1539" spans="15:19" x14ac:dyDescent="0.25">
      <c r="O1539" s="4"/>
      <c r="P1539" s="4"/>
      <c r="Q1539" s="4"/>
      <c r="R1539" s="4"/>
      <c r="S1539" s="4"/>
    </row>
    <row r="1540" spans="15:19" x14ac:dyDescent="0.25">
      <c r="O1540" s="4"/>
      <c r="P1540" s="4"/>
      <c r="Q1540" s="4"/>
      <c r="R1540" s="4"/>
      <c r="S1540" s="4"/>
    </row>
    <row r="1541" spans="15:19" x14ac:dyDescent="0.25">
      <c r="O1541" s="4"/>
      <c r="P1541" s="4"/>
      <c r="Q1541" s="4"/>
      <c r="R1541" s="4"/>
      <c r="S1541" s="4"/>
    </row>
    <row r="1542" spans="15:19" x14ac:dyDescent="0.25">
      <c r="O1542" s="4"/>
      <c r="P1542" s="4"/>
      <c r="Q1542" s="4"/>
      <c r="R1542" s="4"/>
      <c r="S1542" s="4"/>
    </row>
    <row r="1543" spans="15:19" x14ac:dyDescent="0.25">
      <c r="O1543" s="4"/>
      <c r="P1543" s="4"/>
      <c r="Q1543" s="4"/>
      <c r="R1543" s="4"/>
      <c r="S1543" s="4"/>
    </row>
    <row r="1544" spans="15:19" x14ac:dyDescent="0.25">
      <c r="O1544" s="4"/>
      <c r="P1544" s="4"/>
      <c r="Q1544" s="4"/>
      <c r="R1544" s="4"/>
      <c r="S1544" s="4"/>
    </row>
    <row r="1545" spans="15:19" x14ac:dyDescent="0.25">
      <c r="O1545" s="4"/>
      <c r="P1545" s="4"/>
      <c r="Q1545" s="4"/>
      <c r="R1545" s="4"/>
      <c r="S1545" s="4"/>
    </row>
    <row r="1546" spans="15:19" x14ac:dyDescent="0.25">
      <c r="O1546" s="4"/>
      <c r="P1546" s="4"/>
      <c r="Q1546" s="4"/>
      <c r="R1546" s="4"/>
      <c r="S1546" s="4"/>
    </row>
    <row r="1547" spans="15:19" x14ac:dyDescent="0.25">
      <c r="O1547" s="4"/>
      <c r="P1547" s="4"/>
      <c r="Q1547" s="4"/>
      <c r="R1547" s="4"/>
      <c r="S1547" s="4"/>
    </row>
    <row r="1548" spans="15:19" x14ac:dyDescent="0.25">
      <c r="O1548" s="4"/>
      <c r="P1548" s="4"/>
      <c r="Q1548" s="4"/>
      <c r="R1548" s="4"/>
      <c r="S1548" s="4"/>
    </row>
    <row r="1549" spans="15:19" x14ac:dyDescent="0.25">
      <c r="O1549" s="4"/>
      <c r="P1549" s="4"/>
      <c r="Q1549" s="4"/>
      <c r="R1549" s="4"/>
      <c r="S1549" s="4"/>
    </row>
    <row r="1550" spans="15:19" x14ac:dyDescent="0.25">
      <c r="O1550" s="4"/>
      <c r="P1550" s="4"/>
      <c r="Q1550" s="4"/>
      <c r="R1550" s="4"/>
      <c r="S1550" s="4"/>
    </row>
    <row r="1551" spans="15:19" x14ac:dyDescent="0.25">
      <c r="O1551" s="4"/>
      <c r="P1551" s="4"/>
      <c r="Q1551" s="4"/>
      <c r="R1551" s="4"/>
      <c r="S1551" s="4"/>
    </row>
    <row r="1552" spans="15:19" x14ac:dyDescent="0.25">
      <c r="O1552" s="4"/>
      <c r="P1552" s="4"/>
      <c r="Q1552" s="4"/>
      <c r="R1552" s="4"/>
      <c r="S1552" s="4"/>
    </row>
    <row r="1553" spans="15:19" x14ac:dyDescent="0.25">
      <c r="O1553" s="4"/>
      <c r="P1553" s="4"/>
      <c r="Q1553" s="4"/>
      <c r="R1553" s="4"/>
      <c r="S1553" s="4"/>
    </row>
    <row r="1554" spans="15:19" x14ac:dyDescent="0.25">
      <c r="O1554" s="4"/>
      <c r="P1554" s="4"/>
      <c r="Q1554" s="4"/>
      <c r="R1554" s="4"/>
      <c r="S1554" s="4"/>
    </row>
    <row r="1555" spans="15:19" x14ac:dyDescent="0.25">
      <c r="O1555" s="4"/>
      <c r="P1555" s="4"/>
      <c r="Q1555" s="4"/>
      <c r="R1555" s="4"/>
      <c r="S1555" s="4"/>
    </row>
    <row r="1556" spans="15:19" x14ac:dyDescent="0.25">
      <c r="O1556" s="4"/>
      <c r="P1556" s="4"/>
      <c r="Q1556" s="4"/>
      <c r="R1556" s="4"/>
      <c r="S1556" s="4"/>
    </row>
    <row r="1557" spans="15:19" x14ac:dyDescent="0.25">
      <c r="O1557" s="4"/>
      <c r="P1557" s="4"/>
      <c r="Q1557" s="4"/>
      <c r="R1557" s="4"/>
      <c r="S1557" s="4"/>
    </row>
    <row r="1558" spans="15:19" x14ac:dyDescent="0.25">
      <c r="O1558" s="4"/>
      <c r="P1558" s="4"/>
      <c r="Q1558" s="4"/>
      <c r="R1558" s="4"/>
      <c r="S1558" s="4"/>
    </row>
    <row r="1559" spans="15:19" x14ac:dyDescent="0.25">
      <c r="O1559" s="4"/>
      <c r="P1559" s="4"/>
      <c r="Q1559" s="4"/>
      <c r="R1559" s="4"/>
      <c r="S1559" s="4"/>
    </row>
    <row r="1560" spans="15:19" x14ac:dyDescent="0.25">
      <c r="O1560" s="4"/>
      <c r="P1560" s="4"/>
      <c r="Q1560" s="4"/>
      <c r="R1560" s="4"/>
      <c r="S1560" s="4"/>
    </row>
    <row r="1561" spans="15:19" x14ac:dyDescent="0.25">
      <c r="O1561" s="4"/>
      <c r="P1561" s="4"/>
      <c r="Q1561" s="4"/>
      <c r="R1561" s="4"/>
      <c r="S1561" s="4"/>
    </row>
    <row r="1562" spans="15:19" x14ac:dyDescent="0.25">
      <c r="O1562" s="4"/>
      <c r="P1562" s="4"/>
      <c r="Q1562" s="4"/>
      <c r="R1562" s="4"/>
      <c r="S1562" s="4"/>
    </row>
    <row r="1563" spans="15:19" x14ac:dyDescent="0.25">
      <c r="O1563" s="4"/>
      <c r="P1563" s="4"/>
      <c r="Q1563" s="4"/>
      <c r="R1563" s="4"/>
      <c r="S1563" s="4"/>
    </row>
    <row r="1564" spans="15:19" x14ac:dyDescent="0.25">
      <c r="O1564" s="4"/>
      <c r="P1564" s="4"/>
      <c r="Q1564" s="4"/>
      <c r="R1564" s="4"/>
      <c r="S1564" s="4"/>
    </row>
    <row r="1565" spans="15:19" x14ac:dyDescent="0.25">
      <c r="O1565" s="4"/>
      <c r="P1565" s="4"/>
      <c r="Q1565" s="4"/>
      <c r="R1565" s="4"/>
      <c r="S1565" s="4"/>
    </row>
    <row r="1566" spans="15:19" x14ac:dyDescent="0.25">
      <c r="O1566" s="4"/>
      <c r="P1566" s="4"/>
      <c r="Q1566" s="4"/>
      <c r="R1566" s="4"/>
      <c r="S1566" s="4"/>
    </row>
    <row r="1567" spans="15:19" x14ac:dyDescent="0.25">
      <c r="O1567" s="4"/>
      <c r="P1567" s="4"/>
      <c r="Q1567" s="4"/>
      <c r="R1567" s="4"/>
      <c r="S1567" s="4"/>
    </row>
    <row r="1568" spans="15:19" x14ac:dyDescent="0.25">
      <c r="O1568" s="4"/>
      <c r="P1568" s="4"/>
      <c r="Q1568" s="4"/>
      <c r="R1568" s="4"/>
      <c r="S1568" s="4"/>
    </row>
    <row r="1569" spans="15:19" x14ac:dyDescent="0.25">
      <c r="O1569" s="4"/>
      <c r="P1569" s="4"/>
      <c r="Q1569" s="4"/>
      <c r="R1569" s="4"/>
      <c r="S1569" s="4"/>
    </row>
    <row r="1570" spans="15:19" x14ac:dyDescent="0.25">
      <c r="O1570" s="4"/>
      <c r="P1570" s="4"/>
      <c r="Q1570" s="4"/>
      <c r="R1570" s="4"/>
      <c r="S1570" s="4"/>
    </row>
    <row r="1571" spans="15:19" x14ac:dyDescent="0.25">
      <c r="O1571" s="4"/>
      <c r="P1571" s="4"/>
      <c r="Q1571" s="4"/>
      <c r="R1571" s="4"/>
      <c r="S1571" s="4"/>
    </row>
    <row r="1572" spans="15:19" x14ac:dyDescent="0.25">
      <c r="O1572" s="4"/>
      <c r="P1572" s="4"/>
      <c r="Q1572" s="4"/>
      <c r="R1572" s="4"/>
      <c r="S1572" s="4"/>
    </row>
    <row r="1573" spans="15:19" x14ac:dyDescent="0.25">
      <c r="O1573" s="4"/>
      <c r="P1573" s="4"/>
      <c r="Q1573" s="4"/>
      <c r="R1573" s="4"/>
      <c r="S1573" s="4"/>
    </row>
    <row r="1574" spans="15:19" x14ac:dyDescent="0.25">
      <c r="O1574" s="4"/>
      <c r="P1574" s="4"/>
      <c r="Q1574" s="4"/>
      <c r="R1574" s="4"/>
      <c r="S1574" s="4"/>
    </row>
    <row r="1575" spans="15:19" x14ac:dyDescent="0.25">
      <c r="O1575" s="4"/>
      <c r="P1575" s="4"/>
      <c r="Q1575" s="4"/>
      <c r="R1575" s="4"/>
      <c r="S1575" s="4"/>
    </row>
    <row r="1576" spans="15:19" x14ac:dyDescent="0.25">
      <c r="O1576" s="4"/>
      <c r="P1576" s="4"/>
      <c r="Q1576" s="4"/>
      <c r="R1576" s="4"/>
      <c r="S1576" s="4"/>
    </row>
    <row r="1577" spans="15:19" x14ac:dyDescent="0.25">
      <c r="O1577" s="4"/>
      <c r="P1577" s="4"/>
      <c r="Q1577" s="4"/>
      <c r="R1577" s="4"/>
      <c r="S1577" s="4"/>
    </row>
    <row r="1578" spans="15:19" x14ac:dyDescent="0.25">
      <c r="O1578" s="4"/>
      <c r="P1578" s="4"/>
      <c r="Q1578" s="4"/>
      <c r="R1578" s="4"/>
      <c r="S1578" s="4"/>
    </row>
    <row r="1579" spans="15:19" x14ac:dyDescent="0.25">
      <c r="O1579" s="4"/>
      <c r="P1579" s="4"/>
      <c r="Q1579" s="4"/>
      <c r="R1579" s="4"/>
      <c r="S1579" s="4"/>
    </row>
    <row r="1580" spans="15:19" x14ac:dyDescent="0.25">
      <c r="O1580" s="4"/>
      <c r="P1580" s="4"/>
      <c r="Q1580" s="4"/>
      <c r="R1580" s="4"/>
      <c r="S1580" s="4"/>
    </row>
    <row r="1581" spans="15:19" x14ac:dyDescent="0.25">
      <c r="O1581" s="4"/>
      <c r="P1581" s="4"/>
      <c r="Q1581" s="4"/>
      <c r="R1581" s="4"/>
      <c r="S1581" s="4"/>
    </row>
    <row r="1582" spans="15:19" x14ac:dyDescent="0.25">
      <c r="O1582" s="4"/>
      <c r="P1582" s="4"/>
      <c r="Q1582" s="4"/>
      <c r="R1582" s="4"/>
      <c r="S1582" s="4"/>
    </row>
    <row r="1583" spans="15:19" x14ac:dyDescent="0.25">
      <c r="O1583" s="4"/>
      <c r="P1583" s="4"/>
      <c r="Q1583" s="4"/>
      <c r="R1583" s="4"/>
      <c r="S1583" s="4"/>
    </row>
    <row r="1584" spans="15:19" x14ac:dyDescent="0.25">
      <c r="O1584" s="4"/>
      <c r="P1584" s="4"/>
      <c r="Q1584" s="4"/>
      <c r="R1584" s="4"/>
      <c r="S1584" s="4"/>
    </row>
    <row r="1585" spans="15:19" x14ac:dyDescent="0.25">
      <c r="O1585" s="4"/>
      <c r="P1585" s="4"/>
      <c r="Q1585" s="4"/>
      <c r="R1585" s="4"/>
      <c r="S1585" s="4"/>
    </row>
    <row r="1586" spans="15:19" x14ac:dyDescent="0.25">
      <c r="O1586" s="4"/>
      <c r="P1586" s="4"/>
      <c r="Q1586" s="4"/>
      <c r="R1586" s="4"/>
      <c r="S1586" s="4"/>
    </row>
    <row r="1587" spans="15:19" x14ac:dyDescent="0.25">
      <c r="O1587" s="4"/>
      <c r="P1587" s="4"/>
      <c r="Q1587" s="4"/>
      <c r="R1587" s="4"/>
      <c r="S1587" s="4"/>
    </row>
    <row r="1588" spans="15:19" x14ac:dyDescent="0.25">
      <c r="O1588" s="4"/>
      <c r="P1588" s="4"/>
      <c r="Q1588" s="4"/>
      <c r="R1588" s="4"/>
      <c r="S1588" s="4"/>
    </row>
    <row r="1589" spans="15:19" x14ac:dyDescent="0.25">
      <c r="O1589" s="4"/>
      <c r="P1589" s="4"/>
      <c r="Q1589" s="4"/>
      <c r="R1589" s="4"/>
      <c r="S1589" s="4"/>
    </row>
    <row r="1590" spans="15:19" x14ac:dyDescent="0.25">
      <c r="O1590" s="4"/>
      <c r="P1590" s="4"/>
      <c r="Q1590" s="4"/>
      <c r="R1590" s="4"/>
      <c r="S1590" s="4"/>
    </row>
    <row r="1591" spans="15:19" x14ac:dyDescent="0.25">
      <c r="O1591" s="4"/>
      <c r="P1591" s="4"/>
      <c r="Q1591" s="4"/>
      <c r="R1591" s="4"/>
      <c r="S1591" s="4"/>
    </row>
    <row r="1592" spans="15:19" x14ac:dyDescent="0.25">
      <c r="O1592" s="4"/>
      <c r="P1592" s="4"/>
      <c r="Q1592" s="4"/>
      <c r="R1592" s="4"/>
      <c r="S1592" s="4"/>
    </row>
    <row r="1593" spans="15:19" x14ac:dyDescent="0.25">
      <c r="O1593" s="4"/>
      <c r="P1593" s="4"/>
      <c r="Q1593" s="4"/>
      <c r="R1593" s="4"/>
      <c r="S1593" s="4"/>
    </row>
    <row r="1594" spans="15:19" x14ac:dyDescent="0.25">
      <c r="O1594" s="4"/>
      <c r="P1594" s="4"/>
      <c r="Q1594" s="4"/>
      <c r="R1594" s="4"/>
      <c r="S1594" s="4"/>
    </row>
    <row r="1595" spans="15:19" x14ac:dyDescent="0.25">
      <c r="O1595" s="4"/>
      <c r="P1595" s="4"/>
      <c r="Q1595" s="4"/>
      <c r="R1595" s="4"/>
      <c r="S1595" s="4"/>
    </row>
    <row r="1596" spans="15:19" x14ac:dyDescent="0.25">
      <c r="O1596" s="4"/>
      <c r="P1596" s="4"/>
      <c r="Q1596" s="4"/>
      <c r="R1596" s="4"/>
      <c r="S1596" s="4"/>
    </row>
    <row r="1597" spans="15:19" x14ac:dyDescent="0.25">
      <c r="O1597" s="4"/>
      <c r="P1597" s="4"/>
      <c r="Q1597" s="4"/>
      <c r="R1597" s="4"/>
      <c r="S1597" s="4"/>
    </row>
    <row r="1598" spans="15:19" x14ac:dyDescent="0.25">
      <c r="O1598" s="4"/>
      <c r="P1598" s="4"/>
      <c r="Q1598" s="4"/>
      <c r="R1598" s="4"/>
      <c r="S1598" s="4"/>
    </row>
    <row r="1599" spans="15:19" x14ac:dyDescent="0.25">
      <c r="O1599" s="4"/>
      <c r="P1599" s="4"/>
      <c r="Q1599" s="4"/>
      <c r="R1599" s="4"/>
      <c r="S1599" s="4"/>
    </row>
    <row r="1600" spans="15:19" x14ac:dyDescent="0.25">
      <c r="O1600" s="4"/>
      <c r="P1600" s="4"/>
      <c r="Q1600" s="4"/>
      <c r="R1600" s="4"/>
      <c r="S1600" s="4"/>
    </row>
    <row r="1601" spans="15:19" x14ac:dyDescent="0.25">
      <c r="O1601" s="4"/>
      <c r="P1601" s="4"/>
      <c r="Q1601" s="4"/>
      <c r="R1601" s="4"/>
      <c r="S1601" s="4"/>
    </row>
    <row r="1602" spans="15:19" x14ac:dyDescent="0.25">
      <c r="O1602" s="4"/>
      <c r="P1602" s="4"/>
      <c r="Q1602" s="4"/>
      <c r="R1602" s="4"/>
      <c r="S1602" s="4"/>
    </row>
    <row r="1603" spans="15:19" x14ac:dyDescent="0.25">
      <c r="O1603" s="4"/>
      <c r="P1603" s="4"/>
      <c r="Q1603" s="4"/>
      <c r="R1603" s="4"/>
      <c r="S1603" s="4"/>
    </row>
    <row r="1604" spans="15:19" x14ac:dyDescent="0.25">
      <c r="O1604" s="4"/>
      <c r="P1604" s="4"/>
      <c r="Q1604" s="4"/>
      <c r="R1604" s="4"/>
      <c r="S1604" s="4"/>
    </row>
    <row r="1605" spans="15:19" x14ac:dyDescent="0.25">
      <c r="O1605" s="4"/>
      <c r="P1605" s="4"/>
      <c r="Q1605" s="4"/>
      <c r="R1605" s="4"/>
      <c r="S1605" s="4"/>
    </row>
    <row r="1606" spans="15:19" x14ac:dyDescent="0.25">
      <c r="O1606" s="4"/>
      <c r="P1606" s="4"/>
      <c r="Q1606" s="4"/>
      <c r="R1606" s="4"/>
      <c r="S1606" s="4"/>
    </row>
    <row r="1607" spans="15:19" x14ac:dyDescent="0.25">
      <c r="O1607" s="4"/>
      <c r="P1607" s="4"/>
      <c r="Q1607" s="4"/>
      <c r="R1607" s="4"/>
      <c r="S1607" s="4"/>
    </row>
    <row r="1608" spans="15:19" x14ac:dyDescent="0.25">
      <c r="O1608" s="4"/>
      <c r="P1608" s="4"/>
      <c r="Q1608" s="4"/>
      <c r="R1608" s="4"/>
      <c r="S1608" s="4"/>
    </row>
    <row r="1609" spans="15:19" x14ac:dyDescent="0.25">
      <c r="O1609" s="4"/>
      <c r="P1609" s="4"/>
      <c r="Q1609" s="4"/>
      <c r="R1609" s="4"/>
      <c r="S1609" s="4"/>
    </row>
    <row r="1610" spans="15:19" x14ac:dyDescent="0.25">
      <c r="O1610" s="4"/>
      <c r="P1610" s="4"/>
      <c r="Q1610" s="4"/>
      <c r="R1610" s="4"/>
      <c r="S1610" s="4"/>
    </row>
    <row r="1611" spans="15:19" x14ac:dyDescent="0.25">
      <c r="O1611" s="4"/>
      <c r="P1611" s="4"/>
      <c r="Q1611" s="4"/>
      <c r="R1611" s="4"/>
      <c r="S1611" s="4"/>
    </row>
    <row r="1612" spans="15:19" x14ac:dyDescent="0.25">
      <c r="O1612" s="4"/>
      <c r="P1612" s="4"/>
      <c r="Q1612" s="4"/>
      <c r="R1612" s="4"/>
      <c r="S1612" s="4"/>
    </row>
    <row r="1613" spans="15:19" x14ac:dyDescent="0.25">
      <c r="O1613" s="4"/>
      <c r="P1613" s="4"/>
      <c r="Q1613" s="4"/>
      <c r="R1613" s="4"/>
      <c r="S1613" s="4"/>
    </row>
    <row r="1614" spans="15:19" x14ac:dyDescent="0.25">
      <c r="O1614" s="4"/>
      <c r="P1614" s="4"/>
      <c r="Q1614" s="4"/>
      <c r="R1614" s="4"/>
      <c r="S1614" s="4"/>
    </row>
    <row r="1615" spans="15:19" x14ac:dyDescent="0.25">
      <c r="O1615" s="4"/>
      <c r="P1615" s="4"/>
      <c r="Q1615" s="4"/>
      <c r="R1615" s="4"/>
      <c r="S1615" s="4"/>
    </row>
    <row r="1616" spans="15:19" x14ac:dyDescent="0.25">
      <c r="O1616" s="4"/>
      <c r="P1616" s="4"/>
      <c r="Q1616" s="4"/>
      <c r="R1616" s="4"/>
      <c r="S1616" s="4"/>
    </row>
    <row r="1617" spans="15:19" x14ac:dyDescent="0.25">
      <c r="O1617" s="4"/>
      <c r="P1617" s="4"/>
      <c r="Q1617" s="4"/>
      <c r="R1617" s="4"/>
      <c r="S1617" s="4"/>
    </row>
    <row r="1618" spans="15:19" x14ac:dyDescent="0.25">
      <c r="O1618" s="4"/>
      <c r="P1618" s="4"/>
      <c r="Q1618" s="4"/>
      <c r="R1618" s="4"/>
      <c r="S1618" s="4"/>
    </row>
    <row r="1619" spans="15:19" x14ac:dyDescent="0.25">
      <c r="O1619" s="4"/>
      <c r="P1619" s="4"/>
      <c r="Q1619" s="4"/>
      <c r="R1619" s="4"/>
      <c r="S1619" s="4"/>
    </row>
    <row r="1620" spans="15:19" x14ac:dyDescent="0.25">
      <c r="O1620" s="4"/>
      <c r="P1620" s="4"/>
      <c r="Q1620" s="4"/>
      <c r="R1620" s="4"/>
      <c r="S1620" s="4"/>
    </row>
    <row r="1621" spans="15:19" x14ac:dyDescent="0.25">
      <c r="O1621" s="4"/>
      <c r="P1621" s="4"/>
      <c r="Q1621" s="4"/>
      <c r="R1621" s="4"/>
      <c r="S1621" s="4"/>
    </row>
    <row r="1622" spans="15:19" x14ac:dyDescent="0.25">
      <c r="O1622" s="4"/>
      <c r="P1622" s="4"/>
      <c r="Q1622" s="4"/>
      <c r="R1622" s="4"/>
      <c r="S1622" s="4"/>
    </row>
    <row r="1623" spans="15:19" x14ac:dyDescent="0.25">
      <c r="O1623" s="4"/>
      <c r="P1623" s="4"/>
      <c r="Q1623" s="4"/>
      <c r="R1623" s="4"/>
      <c r="S1623" s="4"/>
    </row>
    <row r="1624" spans="15:19" x14ac:dyDescent="0.25">
      <c r="O1624" s="4"/>
      <c r="P1624" s="4"/>
      <c r="Q1624" s="4"/>
      <c r="R1624" s="4"/>
      <c r="S1624" s="4"/>
    </row>
    <row r="1625" spans="15:19" x14ac:dyDescent="0.25">
      <c r="O1625" s="4"/>
      <c r="P1625" s="4"/>
      <c r="Q1625" s="4"/>
      <c r="R1625" s="4"/>
      <c r="S1625" s="4"/>
    </row>
    <row r="1626" spans="15:19" x14ac:dyDescent="0.25">
      <c r="O1626" s="4"/>
      <c r="P1626" s="4"/>
      <c r="Q1626" s="4"/>
      <c r="R1626" s="4"/>
      <c r="S1626" s="4"/>
    </row>
    <row r="1627" spans="15:19" x14ac:dyDescent="0.25">
      <c r="O1627" s="4"/>
      <c r="P1627" s="4"/>
      <c r="Q1627" s="4"/>
      <c r="R1627" s="4"/>
      <c r="S1627" s="4"/>
    </row>
    <row r="1628" spans="15:19" x14ac:dyDescent="0.25">
      <c r="O1628" s="4"/>
      <c r="P1628" s="4"/>
      <c r="Q1628" s="4"/>
      <c r="R1628" s="4"/>
      <c r="S1628" s="4"/>
    </row>
    <row r="1629" spans="15:19" x14ac:dyDescent="0.25">
      <c r="O1629" s="4"/>
      <c r="P1629" s="4"/>
      <c r="Q1629" s="4"/>
      <c r="R1629" s="4"/>
      <c r="S1629" s="4"/>
    </row>
    <row r="1630" spans="15:19" x14ac:dyDescent="0.25">
      <c r="O1630" s="4"/>
      <c r="P1630" s="4"/>
      <c r="Q1630" s="4"/>
      <c r="R1630" s="4"/>
      <c r="S1630" s="4"/>
    </row>
    <row r="1631" spans="15:19" x14ac:dyDescent="0.25">
      <c r="O1631" s="4"/>
      <c r="P1631" s="4"/>
      <c r="Q1631" s="4"/>
      <c r="R1631" s="4"/>
      <c r="S1631" s="4"/>
    </row>
    <row r="1632" spans="15:19" x14ac:dyDescent="0.25">
      <c r="O1632" s="4"/>
      <c r="P1632" s="4"/>
      <c r="Q1632" s="4"/>
      <c r="R1632" s="4"/>
      <c r="S1632" s="4"/>
    </row>
    <row r="1633" spans="15:19" x14ac:dyDescent="0.25">
      <c r="O1633" s="4"/>
      <c r="P1633" s="4"/>
      <c r="Q1633" s="4"/>
      <c r="R1633" s="4"/>
      <c r="S1633" s="4"/>
    </row>
    <row r="1634" spans="15:19" x14ac:dyDescent="0.25">
      <c r="O1634" s="4"/>
      <c r="P1634" s="4"/>
      <c r="Q1634" s="4"/>
      <c r="R1634" s="4"/>
      <c r="S1634" s="4"/>
    </row>
    <row r="1635" spans="15:19" x14ac:dyDescent="0.25">
      <c r="O1635" s="4"/>
      <c r="P1635" s="4"/>
      <c r="Q1635" s="4"/>
      <c r="R1635" s="4"/>
      <c r="S1635" s="4"/>
    </row>
    <row r="1636" spans="15:19" x14ac:dyDescent="0.25">
      <c r="O1636" s="4"/>
      <c r="P1636" s="4"/>
      <c r="Q1636" s="4"/>
      <c r="R1636" s="4"/>
      <c r="S1636" s="4"/>
    </row>
    <row r="1637" spans="15:19" x14ac:dyDescent="0.25">
      <c r="O1637" s="4"/>
      <c r="P1637" s="4"/>
      <c r="Q1637" s="4"/>
      <c r="R1637" s="4"/>
      <c r="S1637" s="4"/>
    </row>
    <row r="1638" spans="15:19" x14ac:dyDescent="0.25">
      <c r="O1638" s="4"/>
      <c r="P1638" s="4"/>
      <c r="Q1638" s="4"/>
      <c r="R1638" s="4"/>
      <c r="S1638" s="4"/>
    </row>
    <row r="1639" spans="15:19" x14ac:dyDescent="0.25">
      <c r="O1639" s="4"/>
      <c r="P1639" s="4"/>
      <c r="Q1639" s="4"/>
      <c r="R1639" s="4"/>
      <c r="S1639" s="4"/>
    </row>
    <row r="1640" spans="15:19" x14ac:dyDescent="0.25">
      <c r="O1640" s="4"/>
      <c r="P1640" s="4"/>
      <c r="Q1640" s="4"/>
      <c r="R1640" s="4"/>
      <c r="S1640" s="4"/>
    </row>
    <row r="1641" spans="15:19" x14ac:dyDescent="0.25">
      <c r="O1641" s="4"/>
      <c r="P1641" s="4"/>
      <c r="Q1641" s="4"/>
      <c r="R1641" s="4"/>
      <c r="S1641" s="4"/>
    </row>
    <row r="1642" spans="15:19" x14ac:dyDescent="0.25">
      <c r="O1642" s="4"/>
      <c r="P1642" s="4"/>
      <c r="Q1642" s="4"/>
      <c r="R1642" s="4"/>
      <c r="S1642" s="4"/>
    </row>
    <row r="1643" spans="15:19" x14ac:dyDescent="0.25">
      <c r="O1643" s="4"/>
      <c r="P1643" s="4"/>
      <c r="Q1643" s="4"/>
      <c r="R1643" s="4"/>
      <c r="S1643" s="4"/>
    </row>
    <row r="1644" spans="15:19" x14ac:dyDescent="0.25">
      <c r="O1644" s="4"/>
      <c r="P1644" s="4"/>
      <c r="Q1644" s="4"/>
      <c r="R1644" s="4"/>
      <c r="S1644" s="4"/>
    </row>
    <row r="1645" spans="15:19" x14ac:dyDescent="0.25">
      <c r="O1645" s="4"/>
      <c r="P1645" s="4"/>
      <c r="Q1645" s="4"/>
      <c r="R1645" s="4"/>
      <c r="S1645" s="4"/>
    </row>
    <row r="1646" spans="15:19" x14ac:dyDescent="0.25">
      <c r="O1646" s="4"/>
      <c r="P1646" s="4"/>
      <c r="Q1646" s="4"/>
      <c r="R1646" s="4"/>
      <c r="S1646" s="4"/>
    </row>
    <row r="1647" spans="15:19" x14ac:dyDescent="0.25">
      <c r="O1647" s="4"/>
      <c r="P1647" s="4"/>
      <c r="Q1647" s="4"/>
      <c r="R1647" s="4"/>
      <c r="S1647" s="4"/>
    </row>
    <row r="1648" spans="15:19" x14ac:dyDescent="0.25">
      <c r="O1648" s="4"/>
      <c r="P1648" s="4"/>
      <c r="Q1648" s="4"/>
      <c r="R1648" s="4"/>
      <c r="S1648" s="4"/>
    </row>
    <row r="1649" spans="15:19" x14ac:dyDescent="0.25">
      <c r="O1649" s="4"/>
      <c r="P1649" s="4"/>
      <c r="Q1649" s="4"/>
      <c r="R1649" s="4"/>
      <c r="S1649" s="4"/>
    </row>
    <row r="1650" spans="15:19" x14ac:dyDescent="0.25">
      <c r="O1650" s="4"/>
      <c r="P1650" s="4"/>
      <c r="Q1650" s="4"/>
      <c r="R1650" s="4"/>
      <c r="S1650" s="4"/>
    </row>
    <row r="1651" spans="15:19" x14ac:dyDescent="0.25">
      <c r="O1651" s="4"/>
      <c r="P1651" s="4"/>
      <c r="Q1651" s="4"/>
      <c r="R1651" s="4"/>
      <c r="S1651" s="4"/>
    </row>
    <row r="1652" spans="15:19" x14ac:dyDescent="0.25">
      <c r="O1652" s="4"/>
      <c r="P1652" s="4"/>
      <c r="Q1652" s="4"/>
      <c r="R1652" s="4"/>
      <c r="S1652" s="4"/>
    </row>
    <row r="1653" spans="15:19" x14ac:dyDescent="0.25">
      <c r="O1653" s="4"/>
      <c r="P1653" s="4"/>
      <c r="Q1653" s="4"/>
      <c r="R1653" s="4"/>
      <c r="S1653" s="4"/>
    </row>
    <row r="1654" spans="15:19" x14ac:dyDescent="0.25">
      <c r="O1654" s="4"/>
      <c r="P1654" s="4"/>
      <c r="Q1654" s="4"/>
      <c r="R1654" s="4"/>
      <c r="S1654" s="4"/>
    </row>
    <row r="1655" spans="15:19" x14ac:dyDescent="0.25">
      <c r="O1655" s="4"/>
      <c r="P1655" s="4"/>
      <c r="Q1655" s="4"/>
      <c r="R1655" s="4"/>
      <c r="S1655" s="4"/>
    </row>
    <row r="1656" spans="15:19" x14ac:dyDescent="0.25">
      <c r="O1656" s="4"/>
      <c r="P1656" s="4"/>
      <c r="Q1656" s="4"/>
      <c r="R1656" s="4"/>
      <c r="S1656" s="4"/>
    </row>
    <row r="1657" spans="15:19" x14ac:dyDescent="0.25">
      <c r="O1657" s="4"/>
      <c r="P1657" s="4"/>
      <c r="Q1657" s="4"/>
      <c r="R1657" s="4"/>
      <c r="S1657" s="4"/>
    </row>
    <row r="1658" spans="15:19" x14ac:dyDescent="0.25">
      <c r="O1658" s="4"/>
      <c r="P1658" s="4"/>
      <c r="Q1658" s="4"/>
      <c r="R1658" s="4"/>
      <c r="S1658" s="4"/>
    </row>
    <row r="1659" spans="15:19" x14ac:dyDescent="0.25">
      <c r="O1659" s="4"/>
      <c r="P1659" s="4"/>
      <c r="Q1659" s="4"/>
      <c r="R1659" s="4"/>
      <c r="S1659" s="4"/>
    </row>
    <row r="1660" spans="15:19" x14ac:dyDescent="0.25">
      <c r="O1660" s="4"/>
      <c r="P1660" s="4"/>
      <c r="Q1660" s="4"/>
      <c r="R1660" s="4"/>
      <c r="S1660" s="4"/>
    </row>
    <row r="1661" spans="15:19" x14ac:dyDescent="0.25">
      <c r="O1661" s="4"/>
      <c r="P1661" s="4"/>
      <c r="Q1661" s="4"/>
      <c r="R1661" s="4"/>
      <c r="S1661" s="4"/>
    </row>
    <row r="1662" spans="15:19" x14ac:dyDescent="0.25">
      <c r="O1662" s="4"/>
      <c r="P1662" s="4"/>
      <c r="Q1662" s="4"/>
      <c r="R1662" s="4"/>
      <c r="S1662" s="4"/>
    </row>
    <row r="1663" spans="15:19" x14ac:dyDescent="0.25">
      <c r="O1663" s="4"/>
      <c r="P1663" s="4"/>
      <c r="Q1663" s="4"/>
      <c r="R1663" s="4"/>
      <c r="S1663" s="4"/>
    </row>
    <row r="1664" spans="15:19" x14ac:dyDescent="0.25">
      <c r="O1664" s="4"/>
      <c r="P1664" s="4"/>
      <c r="Q1664" s="4"/>
      <c r="R1664" s="4"/>
      <c r="S1664" s="4"/>
    </row>
    <row r="1665" spans="15:19" x14ac:dyDescent="0.25">
      <c r="O1665" s="4"/>
      <c r="P1665" s="4"/>
      <c r="Q1665" s="4"/>
      <c r="R1665" s="4"/>
      <c r="S1665" s="4"/>
    </row>
    <row r="1666" spans="15:19" x14ac:dyDescent="0.25">
      <c r="O1666" s="4"/>
      <c r="P1666" s="4"/>
      <c r="Q1666" s="4"/>
      <c r="R1666" s="4"/>
      <c r="S1666" s="4"/>
    </row>
    <row r="1667" spans="15:19" x14ac:dyDescent="0.25">
      <c r="O1667" s="4"/>
      <c r="P1667" s="4"/>
      <c r="Q1667" s="4"/>
      <c r="R1667" s="4"/>
      <c r="S1667" s="4"/>
    </row>
    <row r="1668" spans="15:19" x14ac:dyDescent="0.25">
      <c r="O1668" s="4"/>
      <c r="P1668" s="4"/>
      <c r="Q1668" s="4"/>
      <c r="R1668" s="4"/>
      <c r="S1668" s="4"/>
    </row>
    <row r="1669" spans="15:19" x14ac:dyDescent="0.25">
      <c r="O1669" s="4"/>
      <c r="P1669" s="4"/>
      <c r="Q1669" s="4"/>
      <c r="R1669" s="4"/>
      <c r="S1669" s="4"/>
    </row>
    <row r="1670" spans="15:19" x14ac:dyDescent="0.25">
      <c r="O1670" s="4"/>
      <c r="P1670" s="4"/>
      <c r="Q1670" s="4"/>
      <c r="R1670" s="4"/>
      <c r="S1670" s="4"/>
    </row>
    <row r="1671" spans="15:19" x14ac:dyDescent="0.25">
      <c r="O1671" s="4"/>
      <c r="P1671" s="4"/>
      <c r="Q1671" s="4"/>
      <c r="R1671" s="4"/>
      <c r="S1671" s="4"/>
    </row>
    <row r="1672" spans="15:19" x14ac:dyDescent="0.25">
      <c r="O1672" s="4"/>
      <c r="P1672" s="4"/>
      <c r="Q1672" s="4"/>
      <c r="R1672" s="4"/>
      <c r="S1672" s="4"/>
    </row>
    <row r="1673" spans="15:19" x14ac:dyDescent="0.25">
      <c r="O1673" s="4"/>
      <c r="P1673" s="4"/>
      <c r="Q1673" s="4"/>
      <c r="R1673" s="4"/>
      <c r="S1673" s="4"/>
    </row>
    <row r="1674" spans="15:19" x14ac:dyDescent="0.25">
      <c r="O1674" s="4"/>
      <c r="P1674" s="4"/>
      <c r="Q1674" s="4"/>
      <c r="R1674" s="4"/>
      <c r="S1674" s="4"/>
    </row>
    <row r="1675" spans="15:19" x14ac:dyDescent="0.25">
      <c r="O1675" s="4"/>
      <c r="P1675" s="4"/>
      <c r="Q1675" s="4"/>
      <c r="R1675" s="4"/>
      <c r="S1675" s="4"/>
    </row>
    <row r="1676" spans="15:19" x14ac:dyDescent="0.25">
      <c r="O1676" s="4"/>
      <c r="P1676" s="4"/>
      <c r="Q1676" s="4"/>
      <c r="R1676" s="4"/>
      <c r="S1676" s="4"/>
    </row>
    <row r="1677" spans="15:19" x14ac:dyDescent="0.25">
      <c r="O1677" s="4"/>
      <c r="P1677" s="4"/>
      <c r="Q1677" s="4"/>
      <c r="R1677" s="4"/>
      <c r="S1677" s="4"/>
    </row>
    <row r="1678" spans="15:19" x14ac:dyDescent="0.25">
      <c r="O1678" s="4"/>
      <c r="P1678" s="4"/>
      <c r="Q1678" s="4"/>
      <c r="R1678" s="4"/>
      <c r="S1678" s="4"/>
    </row>
    <row r="1679" spans="15:19" x14ac:dyDescent="0.25">
      <c r="O1679" s="4"/>
      <c r="P1679" s="4"/>
      <c r="Q1679" s="4"/>
      <c r="R1679" s="4"/>
      <c r="S1679" s="4"/>
    </row>
    <row r="1680" spans="15:19" x14ac:dyDescent="0.25">
      <c r="O1680" s="4"/>
      <c r="P1680" s="4"/>
      <c r="Q1680" s="4"/>
      <c r="R1680" s="4"/>
      <c r="S1680" s="4"/>
    </row>
    <row r="1681" spans="15:19" x14ac:dyDescent="0.25">
      <c r="O1681" s="4"/>
      <c r="P1681" s="4"/>
      <c r="Q1681" s="4"/>
      <c r="R1681" s="4"/>
      <c r="S1681" s="4"/>
    </row>
    <row r="1682" spans="15:19" x14ac:dyDescent="0.25">
      <c r="O1682" s="4"/>
      <c r="P1682" s="4"/>
      <c r="Q1682" s="4"/>
      <c r="R1682" s="4"/>
      <c r="S1682" s="4"/>
    </row>
    <row r="1683" spans="15:19" x14ac:dyDescent="0.25">
      <c r="O1683" s="4"/>
      <c r="P1683" s="4"/>
      <c r="Q1683" s="4"/>
      <c r="R1683" s="4"/>
      <c r="S1683" s="4"/>
    </row>
    <row r="1684" spans="15:19" x14ac:dyDescent="0.25">
      <c r="O1684" s="4"/>
      <c r="P1684" s="4"/>
      <c r="Q1684" s="4"/>
      <c r="R1684" s="4"/>
      <c r="S1684" s="4"/>
    </row>
    <row r="1685" spans="15:19" x14ac:dyDescent="0.25">
      <c r="O1685" s="4"/>
      <c r="P1685" s="4"/>
      <c r="Q1685" s="4"/>
      <c r="R1685" s="4"/>
      <c r="S1685" s="4"/>
    </row>
    <row r="1686" spans="15:19" x14ac:dyDescent="0.25">
      <c r="O1686" s="4"/>
      <c r="P1686" s="4"/>
      <c r="Q1686" s="4"/>
      <c r="R1686" s="4"/>
      <c r="S1686" s="4"/>
    </row>
    <row r="1687" spans="15:19" x14ac:dyDescent="0.25">
      <c r="O1687" s="4"/>
      <c r="P1687" s="4"/>
      <c r="Q1687" s="4"/>
      <c r="R1687" s="4"/>
      <c r="S1687" s="4"/>
    </row>
    <row r="1688" spans="15:19" x14ac:dyDescent="0.25">
      <c r="O1688" s="4"/>
      <c r="P1688" s="4"/>
      <c r="Q1688" s="4"/>
      <c r="R1688" s="4"/>
      <c r="S1688" s="4"/>
    </row>
    <row r="1689" spans="15:19" x14ac:dyDescent="0.25">
      <c r="O1689" s="4"/>
      <c r="P1689" s="4"/>
      <c r="Q1689" s="4"/>
      <c r="R1689" s="4"/>
      <c r="S1689" s="4"/>
    </row>
    <row r="1690" spans="15:19" x14ac:dyDescent="0.25">
      <c r="O1690" s="4"/>
      <c r="P1690" s="4"/>
      <c r="Q1690" s="4"/>
      <c r="R1690" s="4"/>
      <c r="S1690" s="4"/>
    </row>
    <row r="1691" spans="15:19" x14ac:dyDescent="0.25">
      <c r="O1691" s="4"/>
      <c r="P1691" s="4"/>
      <c r="Q1691" s="4"/>
      <c r="R1691" s="4"/>
      <c r="S1691" s="4"/>
    </row>
    <row r="1692" spans="15:19" x14ac:dyDescent="0.25">
      <c r="O1692" s="4"/>
      <c r="P1692" s="4"/>
      <c r="Q1692" s="4"/>
      <c r="R1692" s="4"/>
      <c r="S1692" s="4"/>
    </row>
    <row r="1693" spans="15:19" x14ac:dyDescent="0.25">
      <c r="O1693" s="4"/>
      <c r="P1693" s="4"/>
      <c r="Q1693" s="4"/>
      <c r="R1693" s="4"/>
      <c r="S1693" s="4"/>
    </row>
    <row r="1694" spans="15:19" x14ac:dyDescent="0.25">
      <c r="O1694" s="4"/>
      <c r="P1694" s="4"/>
      <c r="Q1694" s="4"/>
      <c r="R1694" s="4"/>
      <c r="S1694" s="4"/>
    </row>
    <row r="1695" spans="15:19" x14ac:dyDescent="0.25">
      <c r="O1695" s="4"/>
      <c r="P1695" s="4"/>
      <c r="Q1695" s="4"/>
      <c r="R1695" s="4"/>
      <c r="S1695" s="4"/>
    </row>
    <row r="1696" spans="15:19" x14ac:dyDescent="0.25">
      <c r="O1696" s="4"/>
      <c r="P1696" s="4"/>
      <c r="Q1696" s="4"/>
      <c r="R1696" s="4"/>
      <c r="S1696" s="4"/>
    </row>
    <row r="1697" spans="15:19" x14ac:dyDescent="0.25">
      <c r="O1697" s="4"/>
      <c r="P1697" s="4"/>
      <c r="Q1697" s="4"/>
      <c r="R1697" s="4"/>
      <c r="S1697" s="4"/>
    </row>
    <row r="1698" spans="15:19" x14ac:dyDescent="0.25">
      <c r="O1698" s="4"/>
      <c r="P1698" s="4"/>
      <c r="Q1698" s="4"/>
      <c r="R1698" s="4"/>
      <c r="S1698" s="4"/>
    </row>
    <row r="1699" spans="15:19" x14ac:dyDescent="0.25">
      <c r="O1699" s="4"/>
      <c r="P1699" s="4"/>
      <c r="Q1699" s="4"/>
      <c r="R1699" s="4"/>
      <c r="S1699" s="4"/>
    </row>
    <row r="1700" spans="15:19" x14ac:dyDescent="0.25">
      <c r="O1700" s="4"/>
      <c r="P1700" s="4"/>
      <c r="Q1700" s="4"/>
      <c r="R1700" s="4"/>
      <c r="S1700" s="4"/>
    </row>
    <row r="1701" spans="15:19" x14ac:dyDescent="0.25">
      <c r="O1701" s="4"/>
      <c r="P1701" s="4"/>
      <c r="Q1701" s="4"/>
      <c r="R1701" s="4"/>
      <c r="S1701" s="4"/>
    </row>
    <row r="1702" spans="15:19" x14ac:dyDescent="0.25">
      <c r="O1702" s="4"/>
      <c r="P1702" s="4"/>
      <c r="Q1702" s="4"/>
      <c r="R1702" s="4"/>
      <c r="S1702" s="4"/>
    </row>
    <row r="1703" spans="15:19" x14ac:dyDescent="0.25">
      <c r="O1703" s="4"/>
      <c r="P1703" s="4"/>
      <c r="Q1703" s="4"/>
      <c r="R1703" s="4"/>
      <c r="S1703" s="4"/>
    </row>
    <row r="1704" spans="15:19" x14ac:dyDescent="0.25">
      <c r="O1704" s="4"/>
      <c r="P1704" s="4"/>
      <c r="Q1704" s="4"/>
      <c r="R1704" s="4"/>
      <c r="S1704" s="4"/>
    </row>
    <row r="1705" spans="15:19" x14ac:dyDescent="0.25">
      <c r="O1705" s="4"/>
      <c r="P1705" s="4"/>
      <c r="Q1705" s="4"/>
      <c r="R1705" s="4"/>
      <c r="S1705" s="4"/>
    </row>
    <row r="1706" spans="15:19" x14ac:dyDescent="0.25">
      <c r="O1706" s="4"/>
      <c r="P1706" s="4"/>
      <c r="Q1706" s="4"/>
      <c r="R1706" s="4"/>
      <c r="S1706" s="4"/>
    </row>
    <row r="1707" spans="15:19" x14ac:dyDescent="0.25">
      <c r="O1707" s="4"/>
      <c r="P1707" s="4"/>
      <c r="Q1707" s="4"/>
      <c r="R1707" s="4"/>
      <c r="S1707" s="4"/>
    </row>
    <row r="1708" spans="15:19" x14ac:dyDescent="0.25">
      <c r="O1708" s="4"/>
      <c r="P1708" s="4"/>
      <c r="Q1708" s="4"/>
      <c r="R1708" s="4"/>
      <c r="S1708" s="4"/>
    </row>
    <row r="1709" spans="15:19" x14ac:dyDescent="0.25">
      <c r="O1709" s="4"/>
      <c r="P1709" s="4"/>
      <c r="Q1709" s="4"/>
      <c r="R1709" s="4"/>
      <c r="S1709" s="4"/>
    </row>
    <row r="1710" spans="15:19" x14ac:dyDescent="0.25">
      <c r="O1710" s="4"/>
      <c r="P1710" s="4"/>
      <c r="Q1710" s="4"/>
      <c r="R1710" s="4"/>
      <c r="S1710" s="4"/>
    </row>
    <row r="1711" spans="15:19" x14ac:dyDescent="0.25">
      <c r="O1711" s="4"/>
      <c r="P1711" s="4"/>
      <c r="Q1711" s="4"/>
      <c r="R1711" s="4"/>
      <c r="S1711" s="4"/>
    </row>
    <row r="1712" spans="15:19" x14ac:dyDescent="0.25">
      <c r="O1712" s="4"/>
      <c r="P1712" s="4"/>
      <c r="Q1712" s="4"/>
      <c r="R1712" s="4"/>
      <c r="S1712" s="4"/>
    </row>
    <row r="1713" spans="15:19" x14ac:dyDescent="0.25">
      <c r="O1713" s="4"/>
      <c r="P1713" s="4"/>
      <c r="Q1713" s="4"/>
      <c r="R1713" s="4"/>
      <c r="S1713" s="4"/>
    </row>
    <row r="1714" spans="15:19" x14ac:dyDescent="0.25">
      <c r="O1714" s="4"/>
      <c r="P1714" s="4"/>
      <c r="Q1714" s="4"/>
      <c r="R1714" s="4"/>
      <c r="S1714" s="4"/>
    </row>
    <row r="1715" spans="15:19" x14ac:dyDescent="0.25">
      <c r="O1715" s="4"/>
      <c r="P1715" s="4"/>
      <c r="Q1715" s="4"/>
      <c r="R1715" s="4"/>
      <c r="S1715" s="4"/>
    </row>
    <row r="1716" spans="15:19" x14ac:dyDescent="0.25">
      <c r="O1716" s="4"/>
      <c r="P1716" s="4"/>
      <c r="Q1716" s="4"/>
      <c r="R1716" s="4"/>
      <c r="S1716" s="4"/>
    </row>
    <row r="1717" spans="15:19" x14ac:dyDescent="0.25">
      <c r="O1717" s="4"/>
      <c r="P1717" s="4"/>
      <c r="Q1717" s="4"/>
      <c r="R1717" s="4"/>
      <c r="S1717" s="4"/>
    </row>
    <row r="1718" spans="15:19" x14ac:dyDescent="0.25">
      <c r="O1718" s="4"/>
      <c r="P1718" s="4"/>
      <c r="Q1718" s="4"/>
      <c r="R1718" s="4"/>
      <c r="S1718" s="4"/>
    </row>
    <row r="1719" spans="15:19" x14ac:dyDescent="0.25">
      <c r="O1719" s="4"/>
      <c r="P1719" s="4"/>
      <c r="Q1719" s="4"/>
      <c r="R1719" s="4"/>
      <c r="S1719" s="4"/>
    </row>
    <row r="1720" spans="15:19" x14ac:dyDescent="0.25">
      <c r="O1720" s="4"/>
      <c r="P1720" s="4"/>
      <c r="Q1720" s="4"/>
      <c r="R1720" s="4"/>
      <c r="S1720" s="4"/>
    </row>
    <row r="1721" spans="15:19" x14ac:dyDescent="0.25">
      <c r="O1721" s="4"/>
      <c r="P1721" s="4"/>
      <c r="Q1721" s="4"/>
      <c r="R1721" s="4"/>
      <c r="S1721" s="4"/>
    </row>
    <row r="1722" spans="15:19" x14ac:dyDescent="0.25">
      <c r="O1722" s="4"/>
      <c r="P1722" s="4"/>
      <c r="Q1722" s="4"/>
      <c r="R1722" s="4"/>
      <c r="S1722" s="4"/>
    </row>
    <row r="1723" spans="15:19" x14ac:dyDescent="0.25">
      <c r="O1723" s="4"/>
      <c r="P1723" s="4"/>
      <c r="Q1723" s="4"/>
      <c r="R1723" s="4"/>
      <c r="S1723" s="4"/>
    </row>
    <row r="1724" spans="15:19" x14ac:dyDescent="0.25">
      <c r="O1724" s="4"/>
      <c r="P1724" s="4"/>
      <c r="Q1724" s="4"/>
      <c r="R1724" s="4"/>
      <c r="S1724" s="4"/>
    </row>
    <row r="1725" spans="15:19" x14ac:dyDescent="0.25">
      <c r="O1725" s="4"/>
      <c r="P1725" s="4"/>
      <c r="Q1725" s="4"/>
      <c r="R1725" s="4"/>
      <c r="S1725" s="4"/>
    </row>
    <row r="1726" spans="15:19" x14ac:dyDescent="0.25">
      <c r="O1726" s="4"/>
      <c r="P1726" s="4"/>
      <c r="Q1726" s="4"/>
      <c r="R1726" s="4"/>
      <c r="S1726" s="4"/>
    </row>
    <row r="1727" spans="15:19" x14ac:dyDescent="0.25">
      <c r="O1727" s="4"/>
      <c r="P1727" s="4"/>
      <c r="Q1727" s="4"/>
      <c r="R1727" s="4"/>
      <c r="S1727" s="4"/>
    </row>
    <row r="1728" spans="15:19" x14ac:dyDescent="0.25">
      <c r="O1728" s="4"/>
      <c r="P1728" s="4"/>
      <c r="Q1728" s="4"/>
      <c r="R1728" s="4"/>
      <c r="S1728" s="4"/>
    </row>
    <row r="1729" spans="15:19" x14ac:dyDescent="0.25">
      <c r="O1729" s="4"/>
      <c r="P1729" s="4"/>
      <c r="Q1729" s="4"/>
      <c r="R1729" s="4"/>
      <c r="S1729" s="4"/>
    </row>
    <row r="1730" spans="15:19" x14ac:dyDescent="0.25">
      <c r="O1730" s="4"/>
      <c r="P1730" s="4"/>
      <c r="Q1730" s="4"/>
      <c r="R1730" s="4"/>
      <c r="S1730" s="4"/>
    </row>
    <row r="1731" spans="15:19" x14ac:dyDescent="0.25">
      <c r="O1731" s="4"/>
      <c r="P1731" s="4"/>
      <c r="Q1731" s="4"/>
      <c r="R1731" s="4"/>
      <c r="S1731" s="4"/>
    </row>
    <row r="1732" spans="15:19" x14ac:dyDescent="0.25">
      <c r="O1732" s="4"/>
      <c r="P1732" s="4"/>
      <c r="Q1732" s="4"/>
      <c r="R1732" s="4"/>
      <c r="S1732" s="4"/>
    </row>
    <row r="1733" spans="15:19" x14ac:dyDescent="0.25">
      <c r="O1733" s="4"/>
      <c r="P1733" s="4"/>
      <c r="Q1733" s="4"/>
      <c r="R1733" s="4"/>
      <c r="S1733" s="4"/>
    </row>
    <row r="1734" spans="15:19" x14ac:dyDescent="0.25">
      <c r="O1734" s="4"/>
      <c r="P1734" s="4"/>
      <c r="Q1734" s="4"/>
      <c r="R1734" s="4"/>
      <c r="S1734" s="4"/>
    </row>
    <row r="1735" spans="15:19" x14ac:dyDescent="0.25">
      <c r="O1735" s="4"/>
      <c r="P1735" s="4"/>
      <c r="Q1735" s="4"/>
      <c r="R1735" s="4"/>
      <c r="S1735" s="4"/>
    </row>
    <row r="1736" spans="15:19" x14ac:dyDescent="0.25">
      <c r="O1736" s="4"/>
      <c r="P1736" s="4"/>
      <c r="Q1736" s="4"/>
      <c r="R1736" s="4"/>
      <c r="S1736" s="4"/>
    </row>
    <row r="1737" spans="15:19" x14ac:dyDescent="0.25">
      <c r="O1737" s="4"/>
      <c r="P1737" s="4"/>
      <c r="Q1737" s="4"/>
      <c r="R1737" s="4"/>
      <c r="S1737" s="4"/>
    </row>
    <row r="1738" spans="15:19" x14ac:dyDescent="0.25">
      <c r="O1738" s="4"/>
      <c r="P1738" s="4"/>
      <c r="Q1738" s="4"/>
      <c r="R1738" s="4"/>
      <c r="S1738" s="4"/>
    </row>
    <row r="1739" spans="15:19" x14ac:dyDescent="0.25">
      <c r="O1739" s="4"/>
      <c r="P1739" s="4"/>
      <c r="Q1739" s="4"/>
      <c r="R1739" s="4"/>
      <c r="S1739" s="4"/>
    </row>
    <row r="1740" spans="15:19" x14ac:dyDescent="0.25">
      <c r="O1740" s="4"/>
      <c r="P1740" s="4"/>
      <c r="Q1740" s="4"/>
      <c r="R1740" s="4"/>
      <c r="S1740" s="4"/>
    </row>
    <row r="1741" spans="15:19" x14ac:dyDescent="0.25">
      <c r="O1741" s="4"/>
      <c r="P1741" s="4"/>
      <c r="Q1741" s="4"/>
      <c r="R1741" s="4"/>
      <c r="S1741" s="4"/>
    </row>
    <row r="1742" spans="15:19" x14ac:dyDescent="0.25">
      <c r="O1742" s="4"/>
      <c r="P1742" s="4"/>
      <c r="Q1742" s="4"/>
      <c r="R1742" s="4"/>
      <c r="S1742" s="4"/>
    </row>
    <row r="1743" spans="15:19" x14ac:dyDescent="0.25">
      <c r="O1743" s="4"/>
      <c r="P1743" s="4"/>
      <c r="Q1743" s="4"/>
      <c r="R1743" s="4"/>
      <c r="S1743" s="4"/>
    </row>
    <row r="1744" spans="15:19" x14ac:dyDescent="0.25">
      <c r="O1744" s="4"/>
      <c r="P1744" s="4"/>
      <c r="Q1744" s="4"/>
      <c r="R1744" s="4"/>
      <c r="S1744" s="4"/>
    </row>
    <row r="1745" spans="15:19" x14ac:dyDescent="0.25">
      <c r="O1745" s="4"/>
      <c r="P1745" s="4"/>
      <c r="Q1745" s="4"/>
      <c r="R1745" s="4"/>
      <c r="S1745" s="4"/>
    </row>
    <row r="1746" spans="15:19" x14ac:dyDescent="0.25">
      <c r="O1746" s="4"/>
      <c r="P1746" s="4"/>
      <c r="Q1746" s="4"/>
      <c r="R1746" s="4"/>
      <c r="S1746" s="4"/>
    </row>
    <row r="1747" spans="15:19" x14ac:dyDescent="0.25">
      <c r="O1747" s="4"/>
      <c r="P1747" s="4"/>
      <c r="Q1747" s="4"/>
      <c r="R1747" s="4"/>
      <c r="S1747" s="4"/>
    </row>
    <row r="1748" spans="15:19" x14ac:dyDescent="0.25">
      <c r="O1748" s="4"/>
      <c r="P1748" s="4"/>
      <c r="Q1748" s="4"/>
      <c r="R1748" s="4"/>
      <c r="S1748" s="4"/>
    </row>
    <row r="1749" spans="15:19" x14ac:dyDescent="0.25">
      <c r="O1749" s="4"/>
      <c r="P1749" s="4"/>
      <c r="Q1749" s="4"/>
      <c r="R1749" s="4"/>
      <c r="S1749" s="4"/>
    </row>
    <row r="1750" spans="15:19" x14ac:dyDescent="0.25">
      <c r="O1750" s="4"/>
      <c r="P1750" s="4"/>
      <c r="Q1750" s="4"/>
      <c r="R1750" s="4"/>
      <c r="S1750" s="4"/>
    </row>
    <row r="1751" spans="15:19" x14ac:dyDescent="0.25">
      <c r="O1751" s="4"/>
      <c r="P1751" s="4"/>
      <c r="Q1751" s="4"/>
      <c r="R1751" s="4"/>
      <c r="S1751" s="4"/>
    </row>
    <row r="1752" spans="15:19" x14ac:dyDescent="0.25">
      <c r="O1752" s="4"/>
      <c r="P1752" s="4"/>
      <c r="Q1752" s="4"/>
      <c r="R1752" s="4"/>
      <c r="S1752" s="4"/>
    </row>
    <row r="1753" spans="15:19" x14ac:dyDescent="0.25">
      <c r="O1753" s="4"/>
      <c r="P1753" s="4"/>
      <c r="Q1753" s="4"/>
      <c r="R1753" s="4"/>
      <c r="S1753" s="4"/>
    </row>
    <row r="1754" spans="15:19" x14ac:dyDescent="0.25">
      <c r="O1754" s="4"/>
      <c r="P1754" s="4"/>
      <c r="Q1754" s="4"/>
      <c r="R1754" s="4"/>
      <c r="S1754" s="4"/>
    </row>
    <row r="1755" spans="15:19" x14ac:dyDescent="0.25">
      <c r="O1755" s="4"/>
      <c r="P1755" s="4"/>
      <c r="Q1755" s="4"/>
      <c r="R1755" s="4"/>
      <c r="S1755" s="4"/>
    </row>
    <row r="1756" spans="15:19" x14ac:dyDescent="0.25">
      <c r="O1756" s="4"/>
      <c r="P1756" s="4"/>
      <c r="Q1756" s="4"/>
      <c r="R1756" s="4"/>
      <c r="S1756" s="4"/>
    </row>
    <row r="1757" spans="15:19" x14ac:dyDescent="0.25">
      <c r="O1757" s="4"/>
      <c r="P1757" s="4"/>
      <c r="Q1757" s="4"/>
      <c r="R1757" s="4"/>
      <c r="S1757" s="4"/>
    </row>
    <row r="1758" spans="15:19" x14ac:dyDescent="0.25">
      <c r="O1758" s="4"/>
      <c r="P1758" s="4"/>
      <c r="Q1758" s="4"/>
      <c r="R1758" s="4"/>
      <c r="S1758" s="4"/>
    </row>
    <row r="1759" spans="15:19" x14ac:dyDescent="0.25">
      <c r="O1759" s="4"/>
      <c r="P1759" s="4"/>
      <c r="Q1759" s="4"/>
      <c r="R1759" s="4"/>
      <c r="S1759" s="4"/>
    </row>
    <row r="1760" spans="15:19" x14ac:dyDescent="0.25">
      <c r="O1760" s="4"/>
      <c r="P1760" s="4"/>
      <c r="Q1760" s="4"/>
      <c r="R1760" s="4"/>
      <c r="S1760" s="4"/>
    </row>
    <row r="1761" spans="15:19" x14ac:dyDescent="0.25">
      <c r="O1761" s="4"/>
      <c r="P1761" s="4"/>
      <c r="Q1761" s="4"/>
      <c r="R1761" s="4"/>
      <c r="S1761" s="4"/>
    </row>
    <row r="1762" spans="15:19" x14ac:dyDescent="0.25">
      <c r="O1762" s="4"/>
      <c r="P1762" s="4"/>
      <c r="Q1762" s="4"/>
      <c r="R1762" s="4"/>
      <c r="S1762" s="4"/>
    </row>
    <row r="1763" spans="15:19" x14ac:dyDescent="0.25">
      <c r="O1763" s="4"/>
      <c r="P1763" s="4"/>
      <c r="Q1763" s="4"/>
      <c r="R1763" s="4"/>
      <c r="S1763" s="4"/>
    </row>
    <row r="1764" spans="15:19" x14ac:dyDescent="0.25">
      <c r="O1764" s="4"/>
      <c r="P1764" s="4"/>
      <c r="Q1764" s="4"/>
      <c r="R1764" s="4"/>
      <c r="S1764" s="4"/>
    </row>
    <row r="1765" spans="15:19" x14ac:dyDescent="0.25">
      <c r="O1765" s="4"/>
      <c r="P1765" s="4"/>
      <c r="Q1765" s="4"/>
      <c r="R1765" s="4"/>
      <c r="S1765" s="4"/>
    </row>
    <row r="1766" spans="15:19" x14ac:dyDescent="0.25">
      <c r="O1766" s="4"/>
      <c r="P1766" s="4"/>
      <c r="Q1766" s="4"/>
      <c r="R1766" s="4"/>
      <c r="S1766" s="4"/>
    </row>
    <row r="1767" spans="15:19" x14ac:dyDescent="0.25">
      <c r="O1767" s="4"/>
      <c r="P1767" s="4"/>
      <c r="Q1767" s="4"/>
      <c r="R1767" s="4"/>
      <c r="S1767" s="4"/>
    </row>
    <row r="1768" spans="15:19" x14ac:dyDescent="0.25">
      <c r="O1768" s="4"/>
      <c r="P1768" s="4"/>
      <c r="Q1768" s="4"/>
      <c r="R1768" s="4"/>
      <c r="S1768" s="4"/>
    </row>
    <row r="1769" spans="15:19" x14ac:dyDescent="0.25">
      <c r="O1769" s="4"/>
      <c r="P1769" s="4"/>
      <c r="Q1769" s="4"/>
      <c r="R1769" s="4"/>
      <c r="S1769" s="4"/>
    </row>
    <row r="1770" spans="15:19" x14ac:dyDescent="0.25">
      <c r="O1770" s="4"/>
      <c r="P1770" s="4"/>
      <c r="Q1770" s="4"/>
      <c r="R1770" s="4"/>
      <c r="S1770" s="4"/>
    </row>
    <row r="1771" spans="15:19" x14ac:dyDescent="0.25">
      <c r="O1771" s="4"/>
      <c r="P1771" s="4"/>
      <c r="Q1771" s="4"/>
      <c r="R1771" s="4"/>
      <c r="S1771" s="4"/>
    </row>
    <row r="1772" spans="15:19" x14ac:dyDescent="0.25">
      <c r="O1772" s="4"/>
      <c r="P1772" s="4"/>
      <c r="Q1772" s="4"/>
      <c r="R1772" s="4"/>
      <c r="S1772" s="4"/>
    </row>
    <row r="1773" spans="15:19" x14ac:dyDescent="0.25">
      <c r="O1773" s="4"/>
      <c r="P1773" s="4"/>
      <c r="Q1773" s="4"/>
      <c r="R1773" s="4"/>
      <c r="S1773" s="4"/>
    </row>
    <row r="1774" spans="15:19" x14ac:dyDescent="0.25">
      <c r="O1774" s="4"/>
      <c r="P1774" s="4"/>
      <c r="Q1774" s="4"/>
      <c r="R1774" s="4"/>
      <c r="S1774" s="4"/>
    </row>
    <row r="1775" spans="15:19" x14ac:dyDescent="0.25">
      <c r="O1775" s="4"/>
      <c r="P1775" s="4"/>
      <c r="Q1775" s="4"/>
      <c r="R1775" s="4"/>
      <c r="S1775" s="4"/>
    </row>
    <row r="1776" spans="15:19" x14ac:dyDescent="0.25">
      <c r="O1776" s="4"/>
      <c r="P1776" s="4"/>
      <c r="Q1776" s="4"/>
      <c r="R1776" s="4"/>
      <c r="S1776" s="4"/>
    </row>
    <row r="1777" spans="15:19" x14ac:dyDescent="0.25">
      <c r="O1777" s="4"/>
      <c r="P1777" s="4"/>
      <c r="Q1777" s="4"/>
      <c r="R1777" s="4"/>
      <c r="S1777" s="4"/>
    </row>
    <row r="1778" spans="15:19" x14ac:dyDescent="0.25">
      <c r="O1778" s="4"/>
      <c r="P1778" s="4"/>
      <c r="Q1778" s="4"/>
      <c r="R1778" s="4"/>
      <c r="S1778" s="4"/>
    </row>
    <row r="1779" spans="15:19" x14ac:dyDescent="0.25">
      <c r="O1779" s="4"/>
      <c r="P1779" s="4"/>
      <c r="Q1779" s="4"/>
      <c r="R1779" s="4"/>
      <c r="S1779" s="4"/>
    </row>
    <row r="1780" spans="15:19" x14ac:dyDescent="0.25">
      <c r="O1780" s="4"/>
      <c r="P1780" s="4"/>
      <c r="Q1780" s="4"/>
      <c r="R1780" s="4"/>
      <c r="S1780" s="4"/>
    </row>
    <row r="1781" spans="15:19" x14ac:dyDescent="0.25">
      <c r="O1781" s="4"/>
      <c r="P1781" s="4"/>
      <c r="Q1781" s="4"/>
      <c r="R1781" s="4"/>
      <c r="S1781" s="4"/>
    </row>
    <row r="1782" spans="15:19" x14ac:dyDescent="0.25">
      <c r="O1782" s="4"/>
      <c r="P1782" s="4"/>
      <c r="Q1782" s="4"/>
      <c r="R1782" s="4"/>
      <c r="S1782" s="4"/>
    </row>
    <row r="1783" spans="15:19" x14ac:dyDescent="0.25">
      <c r="O1783" s="4"/>
      <c r="P1783" s="4"/>
      <c r="Q1783" s="4"/>
      <c r="R1783" s="4"/>
      <c r="S1783" s="4"/>
    </row>
    <row r="1784" spans="15:19" x14ac:dyDescent="0.25">
      <c r="O1784" s="4"/>
      <c r="P1784" s="4"/>
      <c r="Q1784" s="4"/>
      <c r="R1784" s="4"/>
      <c r="S1784" s="4"/>
    </row>
    <row r="1785" spans="15:19" x14ac:dyDescent="0.25">
      <c r="O1785" s="4"/>
      <c r="P1785" s="4"/>
      <c r="Q1785" s="4"/>
      <c r="R1785" s="4"/>
      <c r="S1785" s="4"/>
    </row>
    <row r="1786" spans="15:19" x14ac:dyDescent="0.25">
      <c r="O1786" s="4"/>
      <c r="P1786" s="4"/>
      <c r="Q1786" s="4"/>
      <c r="R1786" s="4"/>
      <c r="S1786" s="4"/>
    </row>
    <row r="1787" spans="15:19" x14ac:dyDescent="0.25">
      <c r="O1787" s="4"/>
      <c r="P1787" s="4"/>
      <c r="Q1787" s="4"/>
      <c r="R1787" s="4"/>
      <c r="S1787" s="4"/>
    </row>
    <row r="1788" spans="15:19" x14ac:dyDescent="0.25">
      <c r="O1788" s="4"/>
      <c r="P1788" s="4"/>
      <c r="Q1788" s="4"/>
      <c r="R1788" s="4"/>
      <c r="S1788" s="4"/>
    </row>
    <row r="1789" spans="15:19" x14ac:dyDescent="0.25">
      <c r="O1789" s="4"/>
      <c r="P1789" s="4"/>
      <c r="Q1789" s="4"/>
      <c r="R1789" s="4"/>
      <c r="S1789" s="4"/>
    </row>
    <row r="1790" spans="15:19" x14ac:dyDescent="0.25">
      <c r="O1790" s="4"/>
      <c r="P1790" s="4"/>
      <c r="Q1790" s="4"/>
      <c r="R1790" s="4"/>
      <c r="S1790" s="4"/>
    </row>
    <row r="1791" spans="15:19" x14ac:dyDescent="0.25">
      <c r="O1791" s="4"/>
      <c r="P1791" s="4"/>
      <c r="Q1791" s="4"/>
      <c r="R1791" s="4"/>
      <c r="S1791" s="4"/>
    </row>
    <row r="1792" spans="15:19" x14ac:dyDescent="0.25">
      <c r="O1792" s="4"/>
      <c r="P1792" s="4"/>
      <c r="Q1792" s="4"/>
      <c r="R1792" s="4"/>
      <c r="S1792" s="4"/>
    </row>
    <row r="1793" spans="15:19" x14ac:dyDescent="0.25">
      <c r="O1793" s="4"/>
      <c r="P1793" s="4"/>
      <c r="Q1793" s="4"/>
      <c r="R1793" s="4"/>
      <c r="S1793" s="4"/>
    </row>
    <row r="1794" spans="15:19" x14ac:dyDescent="0.25">
      <c r="O1794" s="4"/>
      <c r="P1794" s="4"/>
      <c r="Q1794" s="4"/>
      <c r="R1794" s="4"/>
      <c r="S1794" s="4"/>
    </row>
    <row r="1795" spans="15:19" x14ac:dyDescent="0.25">
      <c r="O1795" s="4"/>
      <c r="P1795" s="4"/>
      <c r="Q1795" s="4"/>
      <c r="R1795" s="4"/>
      <c r="S1795" s="4"/>
    </row>
    <row r="1796" spans="15:19" x14ac:dyDescent="0.25">
      <c r="O1796" s="4"/>
      <c r="P1796" s="4"/>
      <c r="Q1796" s="4"/>
      <c r="R1796" s="4"/>
      <c r="S1796" s="4"/>
    </row>
    <row r="1797" spans="15:19" x14ac:dyDescent="0.25">
      <c r="O1797" s="4"/>
      <c r="P1797" s="4"/>
      <c r="Q1797" s="4"/>
      <c r="R1797" s="4"/>
      <c r="S1797" s="4"/>
    </row>
    <row r="1798" spans="15:19" x14ac:dyDescent="0.25">
      <c r="O1798" s="4"/>
      <c r="P1798" s="4"/>
      <c r="Q1798" s="4"/>
      <c r="R1798" s="4"/>
      <c r="S1798" s="4"/>
    </row>
    <row r="1799" spans="15:19" x14ac:dyDescent="0.25">
      <c r="O1799" s="4"/>
      <c r="P1799" s="4"/>
      <c r="Q1799" s="4"/>
      <c r="R1799" s="4"/>
      <c r="S1799" s="4"/>
    </row>
    <row r="1800" spans="15:19" x14ac:dyDescent="0.25">
      <c r="O1800" s="4"/>
      <c r="P1800" s="4"/>
      <c r="Q1800" s="4"/>
      <c r="R1800" s="4"/>
      <c r="S1800" s="4"/>
    </row>
    <row r="1801" spans="15:19" x14ac:dyDescent="0.25">
      <c r="O1801" s="4"/>
      <c r="P1801" s="4"/>
      <c r="Q1801" s="4"/>
      <c r="R1801" s="4"/>
      <c r="S1801" s="4"/>
    </row>
    <row r="1802" spans="15:19" x14ac:dyDescent="0.25">
      <c r="O1802" s="4"/>
      <c r="P1802" s="4"/>
      <c r="Q1802" s="4"/>
      <c r="R1802" s="4"/>
      <c r="S1802" s="4"/>
    </row>
    <row r="1803" spans="15:19" x14ac:dyDescent="0.25">
      <c r="O1803" s="4"/>
      <c r="P1803" s="4"/>
      <c r="Q1803" s="4"/>
      <c r="R1803" s="4"/>
      <c r="S1803" s="4"/>
    </row>
    <row r="1804" spans="15:19" x14ac:dyDescent="0.25">
      <c r="O1804" s="4"/>
      <c r="P1804" s="4"/>
      <c r="Q1804" s="4"/>
      <c r="R1804" s="4"/>
      <c r="S1804" s="4"/>
    </row>
    <row r="1805" spans="15:19" x14ac:dyDescent="0.25">
      <c r="O1805" s="4"/>
      <c r="P1805" s="4"/>
      <c r="Q1805" s="4"/>
      <c r="R1805" s="4"/>
      <c r="S1805" s="4"/>
    </row>
    <row r="1806" spans="15:19" x14ac:dyDescent="0.25">
      <c r="O1806" s="4"/>
      <c r="P1806" s="4"/>
      <c r="Q1806" s="4"/>
      <c r="R1806" s="4"/>
      <c r="S1806" s="4"/>
    </row>
    <row r="1807" spans="15:19" x14ac:dyDescent="0.25">
      <c r="O1807" s="4"/>
      <c r="P1807" s="4"/>
      <c r="Q1807" s="4"/>
      <c r="R1807" s="4"/>
      <c r="S1807" s="4"/>
    </row>
    <row r="1808" spans="15:19" x14ac:dyDescent="0.25">
      <c r="O1808" s="4"/>
      <c r="P1808" s="4"/>
      <c r="Q1808" s="4"/>
      <c r="R1808" s="4"/>
      <c r="S1808" s="4"/>
    </row>
    <row r="1809" spans="15:19" x14ac:dyDescent="0.25">
      <c r="O1809" s="4"/>
      <c r="P1809" s="4"/>
      <c r="Q1809" s="4"/>
      <c r="R1809" s="4"/>
      <c r="S1809" s="4"/>
    </row>
    <row r="1810" spans="15:19" x14ac:dyDescent="0.25">
      <c r="O1810" s="4"/>
      <c r="P1810" s="4"/>
      <c r="Q1810" s="4"/>
      <c r="R1810" s="4"/>
      <c r="S1810" s="4"/>
    </row>
    <row r="1811" spans="15:19" x14ac:dyDescent="0.25">
      <c r="O1811" s="4"/>
      <c r="P1811" s="4"/>
      <c r="Q1811" s="4"/>
      <c r="R1811" s="4"/>
      <c r="S1811" s="4"/>
    </row>
    <row r="1812" spans="15:19" x14ac:dyDescent="0.25">
      <c r="O1812" s="4"/>
      <c r="P1812" s="4"/>
      <c r="Q1812" s="4"/>
      <c r="R1812" s="4"/>
      <c r="S1812" s="4"/>
    </row>
    <row r="1813" spans="15:19" x14ac:dyDescent="0.25">
      <c r="O1813" s="4"/>
      <c r="P1813" s="4"/>
      <c r="Q1813" s="4"/>
      <c r="R1813" s="4"/>
      <c r="S1813" s="4"/>
    </row>
    <row r="1814" spans="15:19" x14ac:dyDescent="0.25">
      <c r="O1814" s="4"/>
      <c r="P1814" s="4"/>
      <c r="Q1814" s="4"/>
      <c r="R1814" s="4"/>
      <c r="S1814" s="4"/>
    </row>
    <row r="1815" spans="15:19" x14ac:dyDescent="0.25">
      <c r="O1815" s="4"/>
      <c r="P1815" s="4"/>
      <c r="Q1815" s="4"/>
      <c r="R1815" s="4"/>
      <c r="S1815" s="4"/>
    </row>
    <row r="1816" spans="15:19" x14ac:dyDescent="0.25">
      <c r="O1816" s="4"/>
      <c r="P1816" s="4"/>
      <c r="Q1816" s="4"/>
      <c r="R1816" s="4"/>
      <c r="S1816" s="4"/>
    </row>
    <row r="1817" spans="15:19" x14ac:dyDescent="0.25">
      <c r="O1817" s="4"/>
      <c r="P1817" s="4"/>
      <c r="Q1817" s="4"/>
      <c r="R1817" s="4"/>
      <c r="S1817" s="4"/>
    </row>
    <row r="1818" spans="15:19" x14ac:dyDescent="0.25">
      <c r="O1818" s="4"/>
      <c r="P1818" s="4"/>
      <c r="Q1818" s="4"/>
      <c r="R1818" s="4"/>
      <c r="S1818" s="4"/>
    </row>
    <row r="1819" spans="15:19" x14ac:dyDescent="0.25">
      <c r="O1819" s="4"/>
      <c r="P1819" s="4"/>
      <c r="Q1819" s="4"/>
      <c r="R1819" s="4"/>
      <c r="S1819" s="4"/>
    </row>
    <row r="1820" spans="15:19" x14ac:dyDescent="0.25">
      <c r="O1820" s="4"/>
      <c r="P1820" s="4"/>
      <c r="Q1820" s="4"/>
      <c r="R1820" s="4"/>
      <c r="S1820" s="4"/>
    </row>
    <row r="1821" spans="15:19" x14ac:dyDescent="0.25">
      <c r="O1821" s="4"/>
      <c r="P1821" s="4"/>
      <c r="Q1821" s="4"/>
      <c r="R1821" s="4"/>
      <c r="S1821" s="4"/>
    </row>
    <row r="1822" spans="15:19" x14ac:dyDescent="0.25">
      <c r="O1822" s="4"/>
      <c r="P1822" s="4"/>
      <c r="Q1822" s="4"/>
      <c r="R1822" s="4"/>
      <c r="S1822" s="4"/>
    </row>
    <row r="1823" spans="15:19" x14ac:dyDescent="0.25">
      <c r="O1823" s="4"/>
      <c r="P1823" s="4"/>
      <c r="Q1823" s="4"/>
      <c r="R1823" s="4"/>
      <c r="S1823" s="4"/>
    </row>
    <row r="1824" spans="15:19" x14ac:dyDescent="0.25">
      <c r="O1824" s="4"/>
      <c r="P1824" s="4"/>
      <c r="Q1824" s="4"/>
      <c r="R1824" s="4"/>
      <c r="S1824" s="4"/>
    </row>
    <row r="1825" spans="15:19" x14ac:dyDescent="0.25">
      <c r="O1825" s="4"/>
      <c r="P1825" s="4"/>
      <c r="Q1825" s="4"/>
      <c r="R1825" s="4"/>
      <c r="S1825" s="4"/>
    </row>
    <row r="1826" spans="15:19" x14ac:dyDescent="0.25">
      <c r="O1826" s="4"/>
      <c r="P1826" s="4"/>
      <c r="Q1826" s="4"/>
      <c r="R1826" s="4"/>
      <c r="S1826" s="4"/>
    </row>
    <row r="1827" spans="15:19" x14ac:dyDescent="0.25">
      <c r="O1827" s="4"/>
      <c r="P1827" s="4"/>
      <c r="Q1827" s="4"/>
      <c r="R1827" s="4"/>
      <c r="S1827" s="4"/>
    </row>
    <row r="1828" spans="15:19" x14ac:dyDescent="0.25">
      <c r="O1828" s="4"/>
      <c r="P1828" s="4"/>
      <c r="Q1828" s="4"/>
      <c r="R1828" s="4"/>
      <c r="S1828" s="4"/>
    </row>
    <row r="1829" spans="15:19" x14ac:dyDescent="0.25">
      <c r="O1829" s="4"/>
      <c r="P1829" s="4"/>
      <c r="Q1829" s="4"/>
      <c r="R1829" s="4"/>
      <c r="S1829" s="4"/>
    </row>
    <row r="1830" spans="15:19" x14ac:dyDescent="0.25">
      <c r="O1830" s="4"/>
      <c r="P1830" s="4"/>
      <c r="Q1830" s="4"/>
      <c r="R1830" s="4"/>
      <c r="S1830" s="4"/>
    </row>
    <row r="1831" spans="15:19" x14ac:dyDescent="0.25">
      <c r="O1831" s="4"/>
      <c r="P1831" s="4"/>
      <c r="Q1831" s="4"/>
      <c r="R1831" s="4"/>
      <c r="S1831" s="4"/>
    </row>
    <row r="1832" spans="15:19" x14ac:dyDescent="0.25">
      <c r="O1832" s="4"/>
      <c r="P1832" s="4"/>
      <c r="Q1832" s="4"/>
      <c r="R1832" s="4"/>
      <c r="S1832" s="4"/>
    </row>
    <row r="1833" spans="15:19" x14ac:dyDescent="0.25">
      <c r="O1833" s="4"/>
      <c r="P1833" s="4"/>
      <c r="Q1833" s="4"/>
      <c r="R1833" s="4"/>
      <c r="S1833" s="4"/>
    </row>
    <row r="1834" spans="15:19" x14ac:dyDescent="0.25">
      <c r="O1834" s="4"/>
      <c r="P1834" s="4"/>
      <c r="Q1834" s="4"/>
      <c r="R1834" s="4"/>
      <c r="S1834" s="4"/>
    </row>
    <row r="1835" spans="15:19" x14ac:dyDescent="0.25">
      <c r="O1835" s="4"/>
      <c r="P1835" s="4"/>
      <c r="Q1835" s="4"/>
      <c r="R1835" s="4"/>
      <c r="S1835" s="4"/>
    </row>
    <row r="1836" spans="15:19" x14ac:dyDescent="0.25">
      <c r="O1836" s="4"/>
      <c r="P1836" s="4"/>
      <c r="Q1836" s="4"/>
      <c r="R1836" s="4"/>
      <c r="S1836" s="4"/>
    </row>
    <row r="1837" spans="15:19" x14ac:dyDescent="0.25">
      <c r="O1837" s="4"/>
      <c r="P1837" s="4"/>
      <c r="Q1837" s="4"/>
      <c r="R1837" s="4"/>
      <c r="S1837" s="4"/>
    </row>
    <row r="1838" spans="15:19" x14ac:dyDescent="0.25">
      <c r="O1838" s="4"/>
      <c r="P1838" s="4"/>
      <c r="Q1838" s="4"/>
      <c r="R1838" s="4"/>
      <c r="S1838" s="4"/>
    </row>
    <row r="1839" spans="15:19" x14ac:dyDescent="0.25">
      <c r="O1839" s="4"/>
      <c r="P1839" s="4"/>
      <c r="Q1839" s="4"/>
      <c r="R1839" s="4"/>
      <c r="S1839" s="4"/>
    </row>
    <row r="1840" spans="15:19" x14ac:dyDescent="0.25">
      <c r="O1840" s="4"/>
      <c r="P1840" s="4"/>
      <c r="Q1840" s="4"/>
      <c r="R1840" s="4"/>
      <c r="S1840" s="4"/>
    </row>
    <row r="1841" spans="15:19" x14ac:dyDescent="0.25">
      <c r="O1841" s="4"/>
      <c r="P1841" s="4"/>
      <c r="Q1841" s="4"/>
      <c r="R1841" s="4"/>
      <c r="S1841" s="4"/>
    </row>
    <row r="1842" spans="15:19" x14ac:dyDescent="0.25">
      <c r="O1842" s="4"/>
      <c r="P1842" s="4"/>
      <c r="Q1842" s="4"/>
      <c r="R1842" s="4"/>
      <c r="S1842" s="4"/>
    </row>
    <row r="1843" spans="15:19" x14ac:dyDescent="0.25">
      <c r="O1843" s="4"/>
      <c r="P1843" s="4"/>
      <c r="Q1843" s="4"/>
      <c r="R1843" s="4"/>
      <c r="S1843" s="4"/>
    </row>
    <row r="1844" spans="15:19" x14ac:dyDescent="0.25">
      <c r="O1844" s="4"/>
      <c r="P1844" s="4"/>
      <c r="Q1844" s="4"/>
      <c r="R1844" s="4"/>
      <c r="S1844" s="4"/>
    </row>
    <row r="1845" spans="15:19" x14ac:dyDescent="0.25">
      <c r="O1845" s="4"/>
      <c r="P1845" s="4"/>
      <c r="Q1845" s="4"/>
      <c r="R1845" s="4"/>
      <c r="S1845" s="4"/>
    </row>
    <row r="1846" spans="15:19" x14ac:dyDescent="0.25">
      <c r="O1846" s="4"/>
      <c r="P1846" s="4"/>
      <c r="Q1846" s="4"/>
      <c r="R1846" s="4"/>
      <c r="S1846" s="4"/>
    </row>
    <row r="1847" spans="15:19" x14ac:dyDescent="0.25">
      <c r="O1847" s="4"/>
      <c r="P1847" s="4"/>
      <c r="Q1847" s="4"/>
      <c r="R1847" s="4"/>
      <c r="S1847" s="4"/>
    </row>
    <row r="1848" spans="15:19" x14ac:dyDescent="0.25">
      <c r="O1848" s="4"/>
      <c r="P1848" s="4"/>
      <c r="Q1848" s="4"/>
      <c r="R1848" s="4"/>
      <c r="S1848" s="4"/>
    </row>
    <row r="1849" spans="15:19" x14ac:dyDescent="0.25">
      <c r="O1849" s="4"/>
      <c r="P1849" s="4"/>
      <c r="Q1849" s="4"/>
      <c r="R1849" s="4"/>
      <c r="S1849" s="4"/>
    </row>
    <row r="1850" spans="15:19" x14ac:dyDescent="0.25">
      <c r="O1850" s="4"/>
      <c r="P1850" s="4"/>
      <c r="Q1850" s="4"/>
      <c r="R1850" s="4"/>
      <c r="S1850" s="4"/>
    </row>
    <row r="1851" spans="15:19" x14ac:dyDescent="0.25">
      <c r="O1851" s="4"/>
      <c r="P1851" s="4"/>
      <c r="Q1851" s="4"/>
      <c r="R1851" s="4"/>
      <c r="S1851" s="4"/>
    </row>
    <row r="1852" spans="15:19" x14ac:dyDescent="0.25">
      <c r="O1852" s="4"/>
      <c r="P1852" s="4"/>
      <c r="Q1852" s="4"/>
      <c r="R1852" s="4"/>
      <c r="S1852" s="4"/>
    </row>
    <row r="1853" spans="15:19" x14ac:dyDescent="0.25">
      <c r="O1853" s="4"/>
      <c r="P1853" s="4"/>
      <c r="Q1853" s="4"/>
      <c r="R1853" s="4"/>
      <c r="S1853" s="4"/>
    </row>
    <row r="1854" spans="15:19" x14ac:dyDescent="0.25">
      <c r="O1854" s="4"/>
      <c r="P1854" s="4"/>
      <c r="Q1854" s="4"/>
      <c r="R1854" s="4"/>
      <c r="S1854" s="4"/>
    </row>
    <row r="1855" spans="15:19" x14ac:dyDescent="0.25">
      <c r="O1855" s="4"/>
      <c r="P1855" s="4"/>
      <c r="Q1855" s="4"/>
      <c r="R1855" s="4"/>
      <c r="S1855" s="4"/>
    </row>
    <row r="1856" spans="15:19" x14ac:dyDescent="0.25">
      <c r="O1856" s="4"/>
      <c r="P1856" s="4"/>
      <c r="Q1856" s="4"/>
      <c r="R1856" s="4"/>
      <c r="S1856" s="4"/>
    </row>
    <row r="1857" spans="15:19" x14ac:dyDescent="0.25">
      <c r="O1857" s="4"/>
      <c r="P1857" s="4"/>
      <c r="Q1857" s="4"/>
      <c r="R1857" s="4"/>
      <c r="S1857" s="4"/>
    </row>
    <row r="1858" spans="15:19" x14ac:dyDescent="0.25">
      <c r="O1858" s="4"/>
      <c r="P1858" s="4"/>
      <c r="Q1858" s="4"/>
      <c r="R1858" s="4"/>
      <c r="S1858" s="4"/>
    </row>
    <row r="1859" spans="15:19" x14ac:dyDescent="0.25">
      <c r="O1859" s="4"/>
      <c r="P1859" s="4"/>
      <c r="Q1859" s="4"/>
      <c r="R1859" s="4"/>
      <c r="S1859" s="4"/>
    </row>
    <row r="1860" spans="15:19" x14ac:dyDescent="0.25">
      <c r="O1860" s="4"/>
      <c r="P1860" s="4"/>
      <c r="Q1860" s="4"/>
      <c r="R1860" s="4"/>
      <c r="S1860" s="4"/>
    </row>
    <row r="1861" spans="15:19" x14ac:dyDescent="0.25">
      <c r="O1861" s="4"/>
      <c r="P1861" s="4"/>
      <c r="Q1861" s="4"/>
      <c r="R1861" s="4"/>
      <c r="S1861" s="4"/>
    </row>
    <row r="1862" spans="15:19" x14ac:dyDescent="0.25">
      <c r="O1862" s="4"/>
      <c r="P1862" s="4"/>
      <c r="Q1862" s="4"/>
      <c r="R1862" s="4"/>
      <c r="S1862" s="4"/>
    </row>
    <row r="1863" spans="15:19" x14ac:dyDescent="0.25">
      <c r="O1863" s="4"/>
      <c r="P1863" s="4"/>
      <c r="Q1863" s="4"/>
      <c r="R1863" s="4"/>
      <c r="S1863" s="4"/>
    </row>
    <row r="1864" spans="15:19" x14ac:dyDescent="0.25">
      <c r="O1864" s="4"/>
      <c r="P1864" s="4"/>
      <c r="Q1864" s="4"/>
      <c r="R1864" s="4"/>
      <c r="S1864" s="4"/>
    </row>
    <row r="1865" spans="15:19" x14ac:dyDescent="0.25">
      <c r="O1865" s="4"/>
      <c r="P1865" s="4"/>
      <c r="Q1865" s="4"/>
      <c r="R1865" s="4"/>
      <c r="S1865" s="4"/>
    </row>
    <row r="1866" spans="15:19" x14ac:dyDescent="0.25">
      <c r="O1866" s="4"/>
      <c r="P1866" s="4"/>
      <c r="Q1866" s="4"/>
      <c r="R1866" s="4"/>
      <c r="S1866" s="4"/>
    </row>
    <row r="1867" spans="15:19" x14ac:dyDescent="0.25">
      <c r="O1867" s="4"/>
      <c r="P1867" s="4"/>
      <c r="Q1867" s="4"/>
      <c r="R1867" s="4"/>
      <c r="S1867" s="4"/>
    </row>
    <row r="1868" spans="15:19" x14ac:dyDescent="0.25">
      <c r="O1868" s="4"/>
      <c r="P1868" s="4"/>
      <c r="Q1868" s="4"/>
      <c r="R1868" s="4"/>
      <c r="S1868" s="4"/>
    </row>
    <row r="1869" spans="15:19" x14ac:dyDescent="0.25">
      <c r="O1869" s="4"/>
      <c r="P1869" s="4"/>
      <c r="Q1869" s="4"/>
      <c r="R1869" s="4"/>
      <c r="S1869" s="4"/>
    </row>
    <row r="1870" spans="15:19" x14ac:dyDescent="0.25">
      <c r="O1870" s="4"/>
      <c r="P1870" s="4"/>
      <c r="Q1870" s="4"/>
      <c r="R1870" s="4"/>
      <c r="S1870" s="4"/>
    </row>
    <row r="1871" spans="15:19" x14ac:dyDescent="0.25">
      <c r="O1871" s="4"/>
      <c r="P1871" s="4"/>
      <c r="Q1871" s="4"/>
      <c r="R1871" s="4"/>
      <c r="S1871" s="4"/>
    </row>
    <row r="1872" spans="15:19" x14ac:dyDescent="0.25">
      <c r="O1872" s="4"/>
      <c r="P1872" s="4"/>
      <c r="Q1872" s="4"/>
      <c r="R1872" s="4"/>
      <c r="S1872" s="4"/>
    </row>
    <row r="1873" spans="15:19" x14ac:dyDescent="0.25">
      <c r="O1873" s="4"/>
      <c r="P1873" s="4"/>
      <c r="Q1873" s="4"/>
      <c r="R1873" s="4"/>
      <c r="S1873" s="4"/>
    </row>
    <row r="1874" spans="15:19" x14ac:dyDescent="0.25">
      <c r="O1874" s="4"/>
      <c r="P1874" s="4"/>
      <c r="Q1874" s="4"/>
      <c r="R1874" s="4"/>
      <c r="S1874" s="4"/>
    </row>
    <row r="1875" spans="15:19" x14ac:dyDescent="0.25">
      <c r="O1875" s="4"/>
      <c r="P1875" s="4"/>
      <c r="Q1875" s="4"/>
      <c r="R1875" s="4"/>
      <c r="S1875" s="4"/>
    </row>
    <row r="1876" spans="15:19" x14ac:dyDescent="0.25">
      <c r="O1876" s="4"/>
      <c r="P1876" s="4"/>
      <c r="Q1876" s="4"/>
      <c r="R1876" s="4"/>
      <c r="S1876" s="4"/>
    </row>
    <row r="1877" spans="15:19" x14ac:dyDescent="0.25">
      <c r="O1877" s="4"/>
      <c r="P1877" s="4"/>
      <c r="Q1877" s="4"/>
      <c r="R1877" s="4"/>
      <c r="S1877" s="4"/>
    </row>
    <row r="1878" spans="15:19" x14ac:dyDescent="0.25">
      <c r="O1878" s="4"/>
      <c r="P1878" s="4"/>
      <c r="Q1878" s="4"/>
      <c r="R1878" s="4"/>
      <c r="S1878" s="4"/>
    </row>
    <row r="1879" spans="15:19" x14ac:dyDescent="0.25">
      <c r="O1879" s="4"/>
      <c r="P1879" s="4"/>
      <c r="Q1879" s="4"/>
      <c r="R1879" s="4"/>
      <c r="S1879" s="4"/>
    </row>
    <row r="1880" spans="15:19" x14ac:dyDescent="0.25">
      <c r="O1880" s="4"/>
      <c r="P1880" s="4"/>
      <c r="Q1880" s="4"/>
      <c r="R1880" s="4"/>
      <c r="S1880" s="4"/>
    </row>
    <row r="1881" spans="15:19" x14ac:dyDescent="0.25">
      <c r="O1881" s="4"/>
      <c r="P1881" s="4"/>
      <c r="Q1881" s="4"/>
      <c r="R1881" s="4"/>
      <c r="S1881" s="4"/>
    </row>
    <row r="1882" spans="15:19" x14ac:dyDescent="0.25">
      <c r="O1882" s="4"/>
      <c r="P1882" s="4"/>
      <c r="Q1882" s="4"/>
      <c r="R1882" s="4"/>
      <c r="S1882" s="4"/>
    </row>
    <row r="1883" spans="15:19" x14ac:dyDescent="0.25">
      <c r="O1883" s="4"/>
      <c r="P1883" s="4"/>
      <c r="Q1883" s="4"/>
      <c r="R1883" s="4"/>
      <c r="S1883" s="4"/>
    </row>
    <row r="1884" spans="15:19" x14ac:dyDescent="0.25">
      <c r="O1884" s="4"/>
      <c r="P1884" s="4"/>
      <c r="Q1884" s="4"/>
      <c r="R1884" s="4"/>
      <c r="S1884" s="4"/>
    </row>
    <row r="1885" spans="15:19" x14ac:dyDescent="0.25">
      <c r="O1885" s="4"/>
      <c r="P1885" s="4"/>
      <c r="Q1885" s="4"/>
      <c r="R1885" s="4"/>
      <c r="S1885" s="4"/>
    </row>
    <row r="1886" spans="15:19" x14ac:dyDescent="0.25">
      <c r="O1886" s="4"/>
      <c r="P1886" s="4"/>
      <c r="Q1886" s="4"/>
      <c r="R1886" s="4"/>
      <c r="S1886" s="4"/>
    </row>
    <row r="1887" spans="15:19" x14ac:dyDescent="0.25">
      <c r="O1887" s="4"/>
      <c r="P1887" s="4"/>
      <c r="Q1887" s="4"/>
      <c r="R1887" s="4"/>
      <c r="S1887" s="4"/>
    </row>
    <row r="1888" spans="15:19" x14ac:dyDescent="0.25">
      <c r="O1888" s="4"/>
      <c r="P1888" s="4"/>
      <c r="Q1888" s="4"/>
      <c r="R1888" s="4"/>
      <c r="S1888" s="4"/>
    </row>
    <row r="1889" spans="15:19" x14ac:dyDescent="0.25">
      <c r="O1889" s="4"/>
      <c r="P1889" s="4"/>
      <c r="Q1889" s="4"/>
      <c r="R1889" s="4"/>
      <c r="S1889" s="4"/>
    </row>
    <row r="1890" spans="15:19" x14ac:dyDescent="0.25">
      <c r="O1890" s="4"/>
      <c r="P1890" s="4"/>
      <c r="Q1890" s="4"/>
      <c r="R1890" s="4"/>
      <c r="S1890" s="4"/>
    </row>
    <row r="1891" spans="15:19" x14ac:dyDescent="0.25">
      <c r="O1891" s="4"/>
      <c r="P1891" s="4"/>
      <c r="Q1891" s="4"/>
      <c r="R1891" s="4"/>
      <c r="S1891" s="4"/>
    </row>
    <row r="1892" spans="15:19" x14ac:dyDescent="0.25">
      <c r="O1892" s="4"/>
      <c r="P1892" s="4"/>
      <c r="Q1892" s="4"/>
      <c r="R1892" s="4"/>
      <c r="S1892" s="4"/>
    </row>
    <row r="1893" spans="15:19" x14ac:dyDescent="0.25">
      <c r="O1893" s="4"/>
      <c r="P1893" s="4"/>
      <c r="Q1893" s="4"/>
      <c r="R1893" s="4"/>
      <c r="S1893" s="4"/>
    </row>
    <row r="1894" spans="15:19" x14ac:dyDescent="0.25">
      <c r="O1894" s="4"/>
      <c r="P1894" s="4"/>
      <c r="Q1894" s="4"/>
      <c r="R1894" s="4"/>
      <c r="S1894" s="4"/>
    </row>
    <row r="1895" spans="15:19" x14ac:dyDescent="0.25">
      <c r="O1895" s="4"/>
      <c r="P1895" s="4"/>
      <c r="Q1895" s="4"/>
      <c r="R1895" s="4"/>
      <c r="S1895" s="4"/>
    </row>
    <row r="1896" spans="15:19" x14ac:dyDescent="0.25">
      <c r="O1896" s="4"/>
      <c r="P1896" s="4"/>
      <c r="Q1896" s="4"/>
      <c r="R1896" s="4"/>
      <c r="S1896" s="4"/>
    </row>
    <row r="1897" spans="15:19" x14ac:dyDescent="0.25">
      <c r="O1897" s="4"/>
      <c r="P1897" s="4"/>
      <c r="Q1897" s="4"/>
      <c r="R1897" s="4"/>
      <c r="S1897" s="4"/>
    </row>
    <row r="1898" spans="15:19" x14ac:dyDescent="0.25">
      <c r="O1898" s="4"/>
      <c r="P1898" s="4"/>
      <c r="Q1898" s="4"/>
      <c r="R1898" s="4"/>
      <c r="S1898" s="4"/>
    </row>
    <row r="1899" spans="15:19" x14ac:dyDescent="0.25">
      <c r="O1899" s="4"/>
      <c r="P1899" s="4"/>
      <c r="Q1899" s="4"/>
      <c r="R1899" s="4"/>
      <c r="S1899" s="4"/>
    </row>
    <row r="1900" spans="15:19" x14ac:dyDescent="0.25">
      <c r="O1900" s="4"/>
      <c r="P1900" s="4"/>
      <c r="Q1900" s="4"/>
      <c r="R1900" s="4"/>
      <c r="S1900" s="4"/>
    </row>
    <row r="1901" spans="15:19" x14ac:dyDescent="0.25">
      <c r="O1901" s="4"/>
      <c r="P1901" s="4"/>
      <c r="Q1901" s="4"/>
      <c r="R1901" s="4"/>
      <c r="S1901" s="4"/>
    </row>
    <row r="1902" spans="15:19" x14ac:dyDescent="0.25">
      <c r="O1902" s="4"/>
      <c r="P1902" s="4"/>
      <c r="Q1902" s="4"/>
      <c r="R1902" s="4"/>
      <c r="S1902" s="4"/>
    </row>
    <row r="1903" spans="15:19" x14ac:dyDescent="0.25">
      <c r="O1903" s="4"/>
      <c r="P1903" s="4"/>
      <c r="Q1903" s="4"/>
      <c r="R1903" s="4"/>
      <c r="S1903" s="4"/>
    </row>
    <row r="1904" spans="15:19" x14ac:dyDescent="0.25">
      <c r="O1904" s="4"/>
      <c r="P1904" s="4"/>
      <c r="Q1904" s="4"/>
      <c r="R1904" s="4"/>
      <c r="S1904" s="4"/>
    </row>
    <row r="1905" spans="15:19" x14ac:dyDescent="0.25">
      <c r="O1905" s="4"/>
      <c r="P1905" s="4"/>
      <c r="Q1905" s="4"/>
      <c r="R1905" s="4"/>
      <c r="S1905" s="4"/>
    </row>
    <row r="1906" spans="15:19" x14ac:dyDescent="0.25">
      <c r="O1906" s="4"/>
      <c r="P1906" s="4"/>
      <c r="Q1906" s="4"/>
      <c r="R1906" s="4"/>
      <c r="S1906" s="4"/>
    </row>
    <row r="1907" spans="15:19" x14ac:dyDescent="0.25">
      <c r="O1907" s="4"/>
      <c r="P1907" s="4"/>
      <c r="Q1907" s="4"/>
      <c r="R1907" s="4"/>
      <c r="S1907" s="4"/>
    </row>
    <row r="1908" spans="15:19" x14ac:dyDescent="0.25">
      <c r="O1908" s="4"/>
      <c r="P1908" s="4"/>
      <c r="Q1908" s="4"/>
      <c r="R1908" s="4"/>
      <c r="S1908" s="4"/>
    </row>
    <row r="1909" spans="15:19" x14ac:dyDescent="0.25">
      <c r="O1909" s="4"/>
      <c r="P1909" s="4"/>
      <c r="Q1909" s="4"/>
      <c r="R1909" s="4"/>
      <c r="S1909" s="4"/>
    </row>
    <row r="1910" spans="15:19" x14ac:dyDescent="0.25">
      <c r="O1910" s="4"/>
      <c r="P1910" s="4"/>
      <c r="Q1910" s="4"/>
      <c r="R1910" s="4"/>
      <c r="S1910" s="4"/>
    </row>
    <row r="1911" spans="15:19" x14ac:dyDescent="0.25">
      <c r="O1911" s="4"/>
      <c r="P1911" s="4"/>
      <c r="Q1911" s="4"/>
      <c r="R1911" s="4"/>
      <c r="S1911" s="4"/>
    </row>
    <row r="1912" spans="15:19" x14ac:dyDescent="0.25">
      <c r="O1912" s="4"/>
      <c r="P1912" s="4"/>
      <c r="Q1912" s="4"/>
      <c r="R1912" s="4"/>
      <c r="S1912" s="4"/>
    </row>
    <row r="1913" spans="15:19" x14ac:dyDescent="0.25">
      <c r="O1913" s="4"/>
      <c r="P1913" s="4"/>
      <c r="Q1913" s="4"/>
      <c r="R1913" s="4"/>
      <c r="S1913" s="4"/>
    </row>
    <row r="1914" spans="15:19" x14ac:dyDescent="0.25">
      <c r="O1914" s="4"/>
      <c r="P1914" s="4"/>
      <c r="Q1914" s="4"/>
      <c r="R1914" s="4"/>
      <c r="S1914" s="4"/>
    </row>
    <row r="1915" spans="15:19" x14ac:dyDescent="0.25">
      <c r="O1915" s="4"/>
      <c r="P1915" s="4"/>
      <c r="Q1915" s="4"/>
      <c r="R1915" s="4"/>
      <c r="S1915" s="4"/>
    </row>
    <row r="1916" spans="15:19" x14ac:dyDescent="0.25">
      <c r="O1916" s="4"/>
      <c r="P1916" s="4"/>
      <c r="Q1916" s="4"/>
      <c r="R1916" s="4"/>
      <c r="S1916" s="4"/>
    </row>
    <row r="1917" spans="15:19" x14ac:dyDescent="0.25">
      <c r="O1917" s="4"/>
      <c r="P1917" s="4"/>
      <c r="Q1917" s="4"/>
      <c r="R1917" s="4"/>
      <c r="S1917" s="4"/>
    </row>
    <row r="1918" spans="15:19" x14ac:dyDescent="0.25">
      <c r="O1918" s="4"/>
      <c r="P1918" s="4"/>
      <c r="Q1918" s="4"/>
      <c r="R1918" s="4"/>
      <c r="S1918" s="4"/>
    </row>
    <row r="1919" spans="15:19" x14ac:dyDescent="0.25">
      <c r="O1919" s="4"/>
      <c r="P1919" s="4"/>
      <c r="Q1919" s="4"/>
      <c r="R1919" s="4"/>
      <c r="S1919" s="4"/>
    </row>
    <row r="1920" spans="15:19" x14ac:dyDescent="0.25">
      <c r="O1920" s="4"/>
      <c r="P1920" s="4"/>
      <c r="Q1920" s="4"/>
      <c r="R1920" s="4"/>
      <c r="S1920" s="4"/>
    </row>
    <row r="1921" spans="15:19" x14ac:dyDescent="0.25">
      <c r="O1921" s="4"/>
      <c r="P1921" s="4"/>
      <c r="Q1921" s="4"/>
      <c r="R1921" s="4"/>
      <c r="S1921" s="4"/>
    </row>
    <row r="1922" spans="15:19" x14ac:dyDescent="0.25">
      <c r="O1922" s="4"/>
      <c r="P1922" s="4"/>
      <c r="Q1922" s="4"/>
      <c r="R1922" s="4"/>
      <c r="S1922" s="4"/>
    </row>
    <row r="1923" spans="15:19" x14ac:dyDescent="0.25">
      <c r="O1923" s="4"/>
      <c r="P1923" s="4"/>
      <c r="Q1923" s="4"/>
      <c r="R1923" s="4"/>
      <c r="S1923" s="4"/>
    </row>
    <row r="1924" spans="15:19" x14ac:dyDescent="0.25">
      <c r="O1924" s="4"/>
      <c r="P1924" s="4"/>
      <c r="Q1924" s="4"/>
      <c r="R1924" s="4"/>
      <c r="S1924" s="4"/>
    </row>
    <row r="1925" spans="15:19" x14ac:dyDescent="0.25">
      <c r="O1925" s="4"/>
      <c r="P1925" s="4"/>
      <c r="Q1925" s="4"/>
      <c r="R1925" s="4"/>
      <c r="S1925" s="4"/>
    </row>
    <row r="1926" spans="15:19" x14ac:dyDescent="0.25">
      <c r="O1926" s="4"/>
      <c r="P1926" s="4"/>
      <c r="Q1926" s="4"/>
      <c r="R1926" s="4"/>
      <c r="S1926" s="4"/>
    </row>
    <row r="1927" spans="15:19" x14ac:dyDescent="0.25">
      <c r="O1927" s="4"/>
      <c r="P1927" s="4"/>
      <c r="Q1927" s="4"/>
      <c r="R1927" s="4"/>
      <c r="S1927" s="4"/>
    </row>
    <row r="1928" spans="15:19" x14ac:dyDescent="0.25">
      <c r="O1928" s="4"/>
      <c r="P1928" s="4"/>
      <c r="Q1928" s="4"/>
      <c r="R1928" s="4"/>
      <c r="S1928" s="4"/>
    </row>
    <row r="1929" spans="15:19" x14ac:dyDescent="0.25">
      <c r="O1929" s="4"/>
      <c r="P1929" s="4"/>
      <c r="Q1929" s="4"/>
      <c r="R1929" s="4"/>
      <c r="S1929" s="4"/>
    </row>
    <row r="1930" spans="15:19" x14ac:dyDescent="0.25">
      <c r="O1930" s="4"/>
      <c r="P1930" s="4"/>
      <c r="Q1930" s="4"/>
      <c r="R1930" s="4"/>
      <c r="S1930" s="4"/>
    </row>
    <row r="1931" spans="15:19" x14ac:dyDescent="0.25">
      <c r="O1931" s="4"/>
      <c r="P1931" s="4"/>
      <c r="Q1931" s="4"/>
      <c r="R1931" s="4"/>
      <c r="S1931" s="4"/>
    </row>
    <row r="1932" spans="15:19" x14ac:dyDescent="0.25">
      <c r="O1932" s="4"/>
      <c r="P1932" s="4"/>
      <c r="Q1932" s="4"/>
      <c r="R1932" s="4"/>
      <c r="S1932" s="4"/>
    </row>
    <row r="1933" spans="15:19" x14ac:dyDescent="0.25">
      <c r="O1933" s="4"/>
      <c r="P1933" s="4"/>
      <c r="Q1933" s="4"/>
      <c r="R1933" s="4"/>
      <c r="S1933" s="4"/>
    </row>
    <row r="1934" spans="15:19" x14ac:dyDescent="0.25">
      <c r="O1934" s="4"/>
      <c r="P1934" s="4"/>
      <c r="Q1934" s="4"/>
      <c r="R1934" s="4"/>
      <c r="S1934" s="4"/>
    </row>
    <row r="1935" spans="15:19" x14ac:dyDescent="0.25">
      <c r="O1935" s="4"/>
      <c r="P1935" s="4"/>
      <c r="Q1935" s="4"/>
      <c r="R1935" s="4"/>
      <c r="S1935" s="4"/>
    </row>
    <row r="1936" spans="15:19" x14ac:dyDescent="0.25">
      <c r="O1936" s="4"/>
      <c r="P1936" s="4"/>
      <c r="Q1936" s="4"/>
      <c r="R1936" s="4"/>
      <c r="S1936" s="4"/>
    </row>
    <row r="1937" spans="15:19" x14ac:dyDescent="0.25">
      <c r="O1937" s="4"/>
      <c r="P1937" s="4"/>
      <c r="Q1937" s="4"/>
      <c r="R1937" s="4"/>
      <c r="S1937" s="4"/>
    </row>
    <row r="1938" spans="15:19" x14ac:dyDescent="0.25">
      <c r="O1938" s="4"/>
      <c r="P1938" s="4"/>
      <c r="Q1938" s="4"/>
      <c r="R1938" s="4"/>
      <c r="S1938" s="4"/>
    </row>
    <row r="1939" spans="15:19" x14ac:dyDescent="0.25">
      <c r="O1939" s="4"/>
      <c r="P1939" s="4"/>
      <c r="Q1939" s="4"/>
      <c r="R1939" s="4"/>
      <c r="S1939" s="4"/>
    </row>
    <row r="1940" spans="15:19" x14ac:dyDescent="0.25">
      <c r="O1940" s="4"/>
      <c r="P1940" s="4"/>
      <c r="Q1940" s="4"/>
      <c r="R1940" s="4"/>
      <c r="S1940" s="4"/>
    </row>
    <row r="1941" spans="15:19" x14ac:dyDescent="0.25">
      <c r="O1941" s="4"/>
      <c r="P1941" s="4"/>
      <c r="Q1941" s="4"/>
      <c r="R1941" s="4"/>
      <c r="S1941" s="4"/>
    </row>
    <row r="1942" spans="15:19" x14ac:dyDescent="0.25">
      <c r="O1942" s="4"/>
      <c r="P1942" s="4"/>
      <c r="Q1942" s="4"/>
      <c r="R1942" s="4"/>
      <c r="S1942" s="4"/>
    </row>
    <row r="1943" spans="15:19" x14ac:dyDescent="0.25">
      <c r="O1943" s="4"/>
      <c r="P1943" s="4"/>
      <c r="Q1943" s="4"/>
      <c r="R1943" s="4"/>
      <c r="S1943" s="4"/>
    </row>
    <row r="1944" spans="15:19" x14ac:dyDescent="0.25">
      <c r="O1944" s="4"/>
      <c r="P1944" s="4"/>
      <c r="Q1944" s="4"/>
      <c r="R1944" s="4"/>
      <c r="S1944" s="4"/>
    </row>
    <row r="1945" spans="15:19" x14ac:dyDescent="0.25">
      <c r="O1945" s="4"/>
      <c r="P1945" s="4"/>
      <c r="Q1945" s="4"/>
      <c r="R1945" s="4"/>
      <c r="S1945" s="4"/>
    </row>
    <row r="1946" spans="15:19" x14ac:dyDescent="0.25">
      <c r="O1946" s="4"/>
      <c r="P1946" s="4"/>
      <c r="Q1946" s="4"/>
      <c r="R1946" s="4"/>
      <c r="S1946" s="4"/>
    </row>
    <row r="1947" spans="15:19" x14ac:dyDescent="0.25">
      <c r="O1947" s="4"/>
      <c r="P1947" s="4"/>
      <c r="Q1947" s="4"/>
      <c r="R1947" s="4"/>
      <c r="S1947" s="4"/>
    </row>
    <row r="1948" spans="15:19" x14ac:dyDescent="0.25">
      <c r="O1948" s="4"/>
      <c r="P1948" s="4"/>
      <c r="Q1948" s="4"/>
      <c r="R1948" s="4"/>
      <c r="S1948" s="4"/>
    </row>
    <row r="1949" spans="15:19" x14ac:dyDescent="0.25">
      <c r="O1949" s="4"/>
      <c r="P1949" s="4"/>
      <c r="Q1949" s="4"/>
      <c r="R1949" s="4"/>
      <c r="S1949" s="4"/>
    </row>
    <row r="1950" spans="15:19" x14ac:dyDescent="0.25">
      <c r="O1950" s="4"/>
      <c r="P1950" s="4"/>
      <c r="Q1950" s="4"/>
      <c r="R1950" s="4"/>
      <c r="S1950" s="4"/>
    </row>
    <row r="1951" spans="15:19" x14ac:dyDescent="0.25">
      <c r="O1951" s="4"/>
      <c r="P1951" s="4"/>
      <c r="Q1951" s="4"/>
      <c r="R1951" s="4"/>
      <c r="S1951" s="4"/>
    </row>
    <row r="1952" spans="15:19" x14ac:dyDescent="0.25">
      <c r="O1952" s="4"/>
      <c r="P1952" s="4"/>
      <c r="Q1952" s="4"/>
      <c r="R1952" s="4"/>
      <c r="S1952" s="4"/>
    </row>
    <row r="1953" spans="15:19" x14ac:dyDescent="0.25">
      <c r="O1953" s="4"/>
      <c r="P1953" s="4"/>
      <c r="Q1953" s="4"/>
      <c r="R1953" s="4"/>
      <c r="S1953" s="4"/>
    </row>
    <row r="1954" spans="15:19" x14ac:dyDescent="0.25">
      <c r="O1954" s="4"/>
      <c r="P1954" s="4"/>
      <c r="Q1954" s="4"/>
      <c r="R1954" s="4"/>
      <c r="S1954" s="4"/>
    </row>
    <row r="1955" spans="15:19" x14ac:dyDescent="0.25">
      <c r="O1955" s="4"/>
      <c r="P1955" s="4"/>
      <c r="Q1955" s="4"/>
      <c r="R1955" s="4"/>
      <c r="S1955" s="4"/>
    </row>
    <row r="1956" spans="15:19" x14ac:dyDescent="0.25">
      <c r="O1956" s="4"/>
      <c r="P1956" s="4"/>
      <c r="Q1956" s="4"/>
      <c r="R1956" s="4"/>
      <c r="S1956" s="4"/>
    </row>
    <row r="1957" spans="15:19" x14ac:dyDescent="0.25">
      <c r="O1957" s="4"/>
      <c r="P1957" s="4"/>
      <c r="Q1957" s="4"/>
      <c r="R1957" s="4"/>
      <c r="S1957" s="4"/>
    </row>
    <row r="1958" spans="15:19" x14ac:dyDescent="0.25">
      <c r="O1958" s="4"/>
      <c r="P1958" s="4"/>
      <c r="Q1958" s="4"/>
      <c r="R1958" s="4"/>
      <c r="S1958" s="4"/>
    </row>
    <row r="1959" spans="15:19" x14ac:dyDescent="0.25">
      <c r="O1959" s="4"/>
      <c r="P1959" s="4"/>
      <c r="Q1959" s="4"/>
      <c r="R1959" s="4"/>
      <c r="S1959" s="4"/>
    </row>
    <row r="1960" spans="15:19" x14ac:dyDescent="0.25">
      <c r="O1960" s="4"/>
      <c r="P1960" s="4"/>
      <c r="Q1960" s="4"/>
      <c r="R1960" s="4"/>
      <c r="S1960" s="4"/>
    </row>
    <row r="1961" spans="15:19" x14ac:dyDescent="0.25">
      <c r="O1961" s="4"/>
      <c r="P1961" s="4"/>
      <c r="Q1961" s="4"/>
      <c r="R1961" s="4"/>
      <c r="S1961" s="4"/>
    </row>
    <row r="1962" spans="15:19" x14ac:dyDescent="0.25">
      <c r="O1962" s="4"/>
      <c r="P1962" s="4"/>
      <c r="Q1962" s="4"/>
      <c r="R1962" s="4"/>
      <c r="S1962" s="4"/>
    </row>
    <row r="1963" spans="15:19" x14ac:dyDescent="0.25">
      <c r="O1963" s="4"/>
      <c r="P1963" s="4"/>
      <c r="Q1963" s="4"/>
      <c r="R1963" s="4"/>
      <c r="S1963" s="4"/>
    </row>
    <row r="1964" spans="15:19" x14ac:dyDescent="0.25">
      <c r="O1964" s="4"/>
      <c r="P1964" s="4"/>
      <c r="Q1964" s="4"/>
      <c r="R1964" s="4"/>
      <c r="S1964" s="4"/>
    </row>
    <row r="1965" spans="15:19" x14ac:dyDescent="0.25">
      <c r="O1965" s="4"/>
      <c r="P1965" s="4"/>
      <c r="Q1965" s="4"/>
      <c r="R1965" s="4"/>
      <c r="S1965" s="4"/>
    </row>
    <row r="1966" spans="15:19" x14ac:dyDescent="0.25">
      <c r="O1966" s="4"/>
      <c r="P1966" s="4"/>
      <c r="Q1966" s="4"/>
      <c r="R1966" s="4"/>
      <c r="S1966" s="4"/>
    </row>
    <row r="1967" spans="15:19" x14ac:dyDescent="0.25">
      <c r="O1967" s="4"/>
      <c r="P1967" s="4"/>
      <c r="Q1967" s="4"/>
      <c r="R1967" s="4"/>
      <c r="S1967" s="4"/>
    </row>
    <row r="1968" spans="15:19" x14ac:dyDescent="0.25">
      <c r="O1968" s="4"/>
      <c r="P1968" s="4"/>
      <c r="Q1968" s="4"/>
      <c r="R1968" s="4"/>
      <c r="S1968" s="4"/>
    </row>
    <row r="1969" spans="15:19" x14ac:dyDescent="0.25">
      <c r="O1969" s="4"/>
      <c r="P1969" s="4"/>
      <c r="Q1969" s="4"/>
      <c r="R1969" s="4"/>
      <c r="S1969" s="4"/>
    </row>
    <row r="1970" spans="15:19" x14ac:dyDescent="0.25">
      <c r="O1970" s="4"/>
      <c r="P1970" s="4"/>
      <c r="Q1970" s="4"/>
      <c r="R1970" s="4"/>
      <c r="S1970" s="4"/>
    </row>
    <row r="1971" spans="15:19" x14ac:dyDescent="0.25">
      <c r="O1971" s="4"/>
      <c r="P1971" s="4"/>
      <c r="Q1971" s="4"/>
      <c r="R1971" s="4"/>
      <c r="S1971" s="4"/>
    </row>
    <row r="1972" spans="15:19" x14ac:dyDescent="0.25">
      <c r="O1972" s="4"/>
      <c r="P1972" s="4"/>
      <c r="Q1972" s="4"/>
      <c r="R1972" s="4"/>
      <c r="S1972" s="4"/>
    </row>
    <row r="1973" spans="15:19" x14ac:dyDescent="0.25">
      <c r="O1973" s="4"/>
      <c r="P1973" s="4"/>
      <c r="Q1973" s="4"/>
      <c r="R1973" s="4"/>
      <c r="S1973" s="4"/>
    </row>
    <row r="1974" spans="15:19" x14ac:dyDescent="0.25">
      <c r="O1974" s="4"/>
      <c r="P1974" s="4"/>
      <c r="Q1974" s="4"/>
      <c r="R1974" s="4"/>
      <c r="S1974" s="4"/>
    </row>
    <row r="1975" spans="15:19" x14ac:dyDescent="0.25">
      <c r="O1975" s="4"/>
      <c r="P1975" s="4"/>
      <c r="Q1975" s="4"/>
      <c r="R1975" s="4"/>
      <c r="S1975" s="4"/>
    </row>
    <row r="1976" spans="15:19" x14ac:dyDescent="0.25">
      <c r="O1976" s="4"/>
      <c r="P1976" s="4"/>
      <c r="Q1976" s="4"/>
      <c r="R1976" s="4"/>
      <c r="S1976" s="4"/>
    </row>
    <row r="1977" spans="15:19" x14ac:dyDescent="0.25">
      <c r="O1977" s="4"/>
      <c r="P1977" s="4"/>
      <c r="Q1977" s="4"/>
      <c r="R1977" s="4"/>
      <c r="S1977" s="4"/>
    </row>
    <row r="1978" spans="15:19" x14ac:dyDescent="0.25">
      <c r="O1978" s="4"/>
      <c r="P1978" s="4"/>
      <c r="Q1978" s="4"/>
      <c r="R1978" s="4"/>
      <c r="S1978" s="4"/>
    </row>
    <row r="1979" spans="15:19" x14ac:dyDescent="0.25">
      <c r="O1979" s="4"/>
      <c r="P1979" s="4"/>
      <c r="Q1979" s="4"/>
      <c r="R1979" s="4"/>
      <c r="S1979" s="4"/>
    </row>
    <row r="1980" spans="15:19" x14ac:dyDescent="0.25">
      <c r="O1980" s="4"/>
      <c r="P1980" s="4"/>
      <c r="Q1980" s="4"/>
      <c r="R1980" s="4"/>
      <c r="S1980" s="4"/>
    </row>
    <row r="1981" spans="15:19" x14ac:dyDescent="0.25">
      <c r="O1981" s="4"/>
      <c r="P1981" s="4"/>
      <c r="Q1981" s="4"/>
      <c r="R1981" s="4"/>
      <c r="S1981" s="4"/>
    </row>
    <row r="1982" spans="15:19" x14ac:dyDescent="0.25">
      <c r="O1982" s="4"/>
      <c r="P1982" s="4"/>
      <c r="Q1982" s="4"/>
      <c r="R1982" s="4"/>
      <c r="S1982" s="4"/>
    </row>
    <row r="1983" spans="15:19" x14ac:dyDescent="0.25">
      <c r="O1983" s="4"/>
      <c r="P1983" s="4"/>
      <c r="Q1983" s="4"/>
      <c r="R1983" s="4"/>
      <c r="S1983" s="4"/>
    </row>
    <row r="1984" spans="15:19" x14ac:dyDescent="0.25">
      <c r="O1984" s="4"/>
      <c r="P1984" s="4"/>
      <c r="Q1984" s="4"/>
      <c r="R1984" s="4"/>
      <c r="S1984" s="4"/>
    </row>
    <row r="1985" spans="15:19" x14ac:dyDescent="0.25">
      <c r="O1985" s="4"/>
      <c r="P1985" s="4"/>
      <c r="Q1985" s="4"/>
      <c r="R1985" s="4"/>
      <c r="S1985" s="4"/>
    </row>
    <row r="1986" spans="15:19" x14ac:dyDescent="0.25">
      <c r="O1986" s="4"/>
      <c r="P1986" s="4"/>
      <c r="Q1986" s="4"/>
      <c r="R1986" s="4"/>
      <c r="S1986" s="4"/>
    </row>
    <row r="1987" spans="15:19" x14ac:dyDescent="0.25">
      <c r="O1987" s="4"/>
      <c r="P1987" s="4"/>
      <c r="Q1987" s="4"/>
      <c r="R1987" s="4"/>
      <c r="S1987" s="4"/>
    </row>
    <row r="1988" spans="15:19" x14ac:dyDescent="0.25">
      <c r="O1988" s="4"/>
      <c r="P1988" s="4"/>
      <c r="Q1988" s="4"/>
      <c r="R1988" s="4"/>
      <c r="S1988" s="4"/>
    </row>
    <row r="1989" spans="15:19" x14ac:dyDescent="0.25">
      <c r="O1989" s="4"/>
      <c r="P1989" s="4"/>
      <c r="Q1989" s="4"/>
      <c r="R1989" s="4"/>
      <c r="S1989" s="4"/>
    </row>
    <row r="1990" spans="15:19" x14ac:dyDescent="0.25">
      <c r="O1990" s="4"/>
      <c r="P1990" s="4"/>
      <c r="Q1990" s="4"/>
      <c r="R1990" s="4"/>
      <c r="S1990" s="4"/>
    </row>
    <row r="1991" spans="15:19" x14ac:dyDescent="0.25">
      <c r="O1991" s="4"/>
      <c r="P1991" s="4"/>
      <c r="Q1991" s="4"/>
      <c r="R1991" s="4"/>
      <c r="S1991" s="4"/>
    </row>
    <row r="1992" spans="15:19" x14ac:dyDescent="0.25">
      <c r="O1992" s="4"/>
      <c r="P1992" s="4"/>
      <c r="Q1992" s="4"/>
      <c r="R1992" s="4"/>
      <c r="S1992" s="4"/>
    </row>
    <row r="1993" spans="15:19" x14ac:dyDescent="0.25">
      <c r="O1993" s="4"/>
      <c r="P1993" s="4"/>
      <c r="Q1993" s="4"/>
      <c r="R1993" s="4"/>
      <c r="S1993" s="4"/>
    </row>
    <row r="1994" spans="15:19" x14ac:dyDescent="0.25">
      <c r="O1994" s="4"/>
      <c r="P1994" s="4"/>
      <c r="Q1994" s="4"/>
      <c r="R1994" s="4"/>
      <c r="S1994" s="4"/>
    </row>
    <row r="1995" spans="15:19" x14ac:dyDescent="0.25">
      <c r="O1995" s="4"/>
      <c r="P1995" s="4"/>
      <c r="Q1995" s="4"/>
      <c r="R1995" s="4"/>
      <c r="S1995" s="4"/>
    </row>
    <row r="1996" spans="15:19" x14ac:dyDescent="0.25">
      <c r="O1996" s="4"/>
      <c r="P1996" s="4"/>
      <c r="Q1996" s="4"/>
      <c r="R1996" s="4"/>
      <c r="S1996" s="4"/>
    </row>
    <row r="1997" spans="15:19" x14ac:dyDescent="0.25">
      <c r="O1997" s="4"/>
      <c r="P1997" s="4"/>
      <c r="Q1997" s="4"/>
      <c r="R1997" s="4"/>
      <c r="S1997" s="4"/>
    </row>
    <row r="1998" spans="15:19" x14ac:dyDescent="0.25">
      <c r="O1998" s="4"/>
      <c r="P1998" s="4"/>
      <c r="Q1998" s="4"/>
      <c r="R1998" s="4"/>
      <c r="S1998" s="4"/>
    </row>
    <row r="1999" spans="15:19" x14ac:dyDescent="0.25">
      <c r="O1999" s="4"/>
      <c r="P1999" s="4"/>
      <c r="Q1999" s="4"/>
      <c r="R1999" s="4"/>
      <c r="S1999" s="4"/>
    </row>
    <row r="2000" spans="15:19" x14ac:dyDescent="0.25">
      <c r="O2000" s="4"/>
      <c r="P2000" s="4"/>
      <c r="Q2000" s="4"/>
      <c r="R2000" s="4"/>
      <c r="S2000" s="4"/>
    </row>
    <row r="2001" spans="15:19" x14ac:dyDescent="0.25">
      <c r="O2001" s="4"/>
      <c r="P2001" s="4"/>
      <c r="Q2001" s="4"/>
      <c r="R2001" s="4"/>
      <c r="S2001" s="4"/>
    </row>
    <row r="2002" spans="15:19" x14ac:dyDescent="0.25">
      <c r="O2002" s="4"/>
      <c r="P2002" s="4"/>
      <c r="Q2002" s="4"/>
      <c r="R2002" s="4"/>
      <c r="S2002" s="4"/>
    </row>
    <row r="2003" spans="15:19" x14ac:dyDescent="0.25">
      <c r="O2003" s="4"/>
      <c r="P2003" s="4"/>
      <c r="Q2003" s="4"/>
      <c r="R2003" s="4"/>
      <c r="S2003" s="4"/>
    </row>
    <row r="2004" spans="15:19" x14ac:dyDescent="0.25">
      <c r="O2004" s="4"/>
      <c r="P2004" s="4"/>
      <c r="Q2004" s="4"/>
      <c r="R2004" s="4"/>
      <c r="S2004" s="4"/>
    </row>
    <row r="2005" spans="15:19" x14ac:dyDescent="0.25">
      <c r="O2005" s="4"/>
      <c r="P2005" s="4"/>
      <c r="Q2005" s="4"/>
      <c r="R2005" s="4"/>
      <c r="S2005" s="4"/>
    </row>
    <row r="2006" spans="15:19" x14ac:dyDescent="0.25">
      <c r="O2006" s="4"/>
      <c r="P2006" s="4"/>
      <c r="Q2006" s="4"/>
      <c r="R2006" s="4"/>
      <c r="S2006" s="4"/>
    </row>
    <row r="2007" spans="15:19" x14ac:dyDescent="0.25">
      <c r="O2007" s="4"/>
      <c r="P2007" s="4"/>
      <c r="Q2007" s="4"/>
      <c r="R2007" s="4"/>
      <c r="S2007" s="4"/>
    </row>
    <row r="2008" spans="15:19" x14ac:dyDescent="0.25">
      <c r="O2008" s="4"/>
      <c r="P2008" s="4"/>
      <c r="Q2008" s="4"/>
      <c r="R2008" s="4"/>
      <c r="S2008" s="4"/>
    </row>
    <row r="2009" spans="15:19" x14ac:dyDescent="0.25">
      <c r="O2009" s="4"/>
      <c r="P2009" s="4"/>
      <c r="Q2009" s="4"/>
      <c r="R2009" s="4"/>
      <c r="S2009" s="4"/>
    </row>
    <row r="2010" spans="15:19" x14ac:dyDescent="0.25">
      <c r="O2010" s="4"/>
      <c r="P2010" s="4"/>
      <c r="Q2010" s="4"/>
      <c r="R2010" s="4"/>
      <c r="S2010" s="4"/>
    </row>
    <row r="2011" spans="15:19" x14ac:dyDescent="0.25">
      <c r="O2011" s="4"/>
      <c r="P2011" s="4"/>
      <c r="Q2011" s="4"/>
      <c r="R2011" s="4"/>
      <c r="S2011" s="4"/>
    </row>
    <row r="2012" spans="15:19" x14ac:dyDescent="0.25">
      <c r="O2012" s="4"/>
      <c r="P2012" s="4"/>
      <c r="Q2012" s="4"/>
      <c r="R2012" s="4"/>
      <c r="S2012" s="4"/>
    </row>
    <row r="2013" spans="15:19" x14ac:dyDescent="0.25">
      <c r="O2013" s="4"/>
      <c r="P2013" s="4"/>
      <c r="Q2013" s="4"/>
      <c r="R2013" s="4"/>
      <c r="S2013" s="4"/>
    </row>
    <row r="2014" spans="15:19" x14ac:dyDescent="0.25">
      <c r="O2014" s="4"/>
      <c r="P2014" s="4"/>
      <c r="Q2014" s="4"/>
      <c r="R2014" s="4"/>
      <c r="S2014" s="4"/>
    </row>
    <row r="2015" spans="15:19" x14ac:dyDescent="0.25">
      <c r="O2015" s="4"/>
      <c r="P2015" s="4"/>
      <c r="Q2015" s="4"/>
      <c r="R2015" s="4"/>
      <c r="S2015" s="4"/>
    </row>
    <row r="2016" spans="15:19" x14ac:dyDescent="0.25">
      <c r="O2016" s="4"/>
      <c r="P2016" s="4"/>
      <c r="Q2016" s="4"/>
      <c r="R2016" s="4"/>
      <c r="S2016" s="4"/>
    </row>
    <row r="2017" spans="15:19" x14ac:dyDescent="0.25">
      <c r="O2017" s="4"/>
      <c r="P2017" s="4"/>
      <c r="Q2017" s="4"/>
      <c r="R2017" s="4"/>
      <c r="S2017" s="4"/>
    </row>
    <row r="2018" spans="15:19" x14ac:dyDescent="0.25">
      <c r="O2018" s="4"/>
      <c r="P2018" s="4"/>
      <c r="Q2018" s="4"/>
      <c r="R2018" s="4"/>
      <c r="S2018" s="4"/>
    </row>
    <row r="2019" spans="15:19" x14ac:dyDescent="0.25">
      <c r="O2019" s="4"/>
      <c r="P2019" s="4"/>
      <c r="Q2019" s="4"/>
      <c r="R2019" s="4"/>
      <c r="S2019" s="4"/>
    </row>
    <row r="2020" spans="15:19" x14ac:dyDescent="0.25">
      <c r="O2020" s="4"/>
      <c r="P2020" s="4"/>
      <c r="Q2020" s="4"/>
      <c r="R2020" s="4"/>
      <c r="S2020" s="4"/>
    </row>
    <row r="2021" spans="15:19" x14ac:dyDescent="0.25">
      <c r="O2021" s="4"/>
      <c r="P2021" s="4"/>
      <c r="Q2021" s="4"/>
      <c r="R2021" s="4"/>
      <c r="S2021" s="4"/>
    </row>
    <row r="2022" spans="15:19" x14ac:dyDescent="0.25">
      <c r="O2022" s="4"/>
      <c r="P2022" s="4"/>
      <c r="Q2022" s="4"/>
      <c r="R2022" s="4"/>
      <c r="S2022" s="4"/>
    </row>
    <row r="2023" spans="15:19" x14ac:dyDescent="0.25">
      <c r="O2023" s="4"/>
      <c r="P2023" s="4"/>
      <c r="Q2023" s="4"/>
      <c r="R2023" s="4"/>
      <c r="S2023" s="4"/>
    </row>
    <row r="2024" spans="15:19" x14ac:dyDescent="0.25">
      <c r="O2024" s="4"/>
      <c r="P2024" s="4"/>
      <c r="Q2024" s="4"/>
      <c r="R2024" s="4"/>
      <c r="S2024" s="4"/>
    </row>
    <row r="2025" spans="15:19" x14ac:dyDescent="0.25">
      <c r="O2025" s="4"/>
      <c r="P2025" s="4"/>
      <c r="Q2025" s="4"/>
      <c r="R2025" s="4"/>
      <c r="S2025" s="4"/>
    </row>
    <row r="2026" spans="15:19" x14ac:dyDescent="0.25">
      <c r="O2026" s="4"/>
      <c r="P2026" s="4"/>
      <c r="Q2026" s="4"/>
      <c r="R2026" s="4"/>
      <c r="S2026" s="4"/>
    </row>
    <row r="2027" spans="15:19" x14ac:dyDescent="0.25">
      <c r="O2027" s="4"/>
      <c r="P2027" s="4"/>
      <c r="Q2027" s="4"/>
      <c r="R2027" s="4"/>
      <c r="S2027" s="4"/>
    </row>
    <row r="2028" spans="15:19" x14ac:dyDescent="0.25">
      <c r="O2028" s="4"/>
      <c r="P2028" s="4"/>
      <c r="Q2028" s="4"/>
      <c r="R2028" s="4"/>
      <c r="S2028" s="4"/>
    </row>
    <row r="2029" spans="15:19" x14ac:dyDescent="0.25">
      <c r="O2029" s="4"/>
      <c r="P2029" s="4"/>
      <c r="Q2029" s="4"/>
      <c r="R2029" s="4"/>
      <c r="S2029" s="4"/>
    </row>
    <row r="2030" spans="15:19" x14ac:dyDescent="0.25">
      <c r="O2030" s="4"/>
      <c r="P2030" s="4"/>
      <c r="Q2030" s="4"/>
      <c r="R2030" s="4"/>
      <c r="S2030" s="4"/>
    </row>
    <row r="2031" spans="15:19" x14ac:dyDescent="0.25">
      <c r="O2031" s="4"/>
      <c r="P2031" s="4"/>
      <c r="Q2031" s="4"/>
      <c r="R2031" s="4"/>
      <c r="S2031" s="4"/>
    </row>
    <row r="2032" spans="15:19" x14ac:dyDescent="0.25">
      <c r="O2032" s="4"/>
      <c r="P2032" s="4"/>
      <c r="Q2032" s="4"/>
      <c r="R2032" s="4"/>
      <c r="S2032" s="4"/>
    </row>
    <row r="2033" spans="15:19" x14ac:dyDescent="0.25">
      <c r="O2033" s="4"/>
      <c r="P2033" s="4"/>
      <c r="Q2033" s="4"/>
      <c r="R2033" s="4"/>
      <c r="S2033" s="4"/>
    </row>
    <row r="2034" spans="15:19" x14ac:dyDescent="0.25">
      <c r="O2034" s="4"/>
      <c r="P2034" s="4"/>
      <c r="Q2034" s="4"/>
      <c r="R2034" s="4"/>
      <c r="S2034" s="4"/>
    </row>
    <row r="2035" spans="15:19" x14ac:dyDescent="0.25">
      <c r="O2035" s="4"/>
      <c r="P2035" s="4"/>
      <c r="Q2035" s="4"/>
      <c r="R2035" s="4"/>
      <c r="S2035" s="4"/>
    </row>
    <row r="2036" spans="15:19" x14ac:dyDescent="0.25">
      <c r="O2036" s="4"/>
      <c r="P2036" s="4"/>
      <c r="Q2036" s="4"/>
      <c r="R2036" s="4"/>
      <c r="S2036" s="4"/>
    </row>
    <row r="2037" spans="15:19" x14ac:dyDescent="0.25">
      <c r="O2037" s="4"/>
      <c r="P2037" s="4"/>
      <c r="Q2037" s="4"/>
      <c r="R2037" s="4"/>
      <c r="S2037" s="4"/>
    </row>
    <row r="2038" spans="15:19" x14ac:dyDescent="0.25">
      <c r="O2038" s="4"/>
      <c r="P2038" s="4"/>
      <c r="Q2038" s="4"/>
      <c r="R2038" s="4"/>
      <c r="S2038" s="4"/>
    </row>
    <row r="2039" spans="15:19" x14ac:dyDescent="0.25">
      <c r="O2039" s="4"/>
      <c r="P2039" s="4"/>
      <c r="Q2039" s="4"/>
      <c r="R2039" s="4"/>
      <c r="S2039" s="4"/>
    </row>
    <row r="2040" spans="15:19" x14ac:dyDescent="0.25">
      <c r="O2040" s="4"/>
      <c r="P2040" s="4"/>
      <c r="Q2040" s="4"/>
      <c r="R2040" s="4"/>
      <c r="S2040" s="4"/>
    </row>
    <row r="2041" spans="15:19" x14ac:dyDescent="0.25">
      <c r="O2041" s="4"/>
      <c r="P2041" s="4"/>
      <c r="Q2041" s="4"/>
      <c r="R2041" s="4"/>
      <c r="S2041" s="4"/>
    </row>
    <row r="2042" spans="15:19" x14ac:dyDescent="0.25">
      <c r="O2042" s="4"/>
      <c r="P2042" s="4"/>
      <c r="Q2042" s="4"/>
      <c r="R2042" s="4"/>
      <c r="S2042" s="4"/>
    </row>
    <row r="2043" spans="15:19" x14ac:dyDescent="0.25">
      <c r="O2043" s="4"/>
      <c r="P2043" s="4"/>
      <c r="Q2043" s="4"/>
      <c r="R2043" s="4"/>
      <c r="S2043" s="4"/>
    </row>
    <row r="2044" spans="15:19" x14ac:dyDescent="0.25">
      <c r="O2044" s="4"/>
      <c r="P2044" s="4"/>
      <c r="Q2044" s="4"/>
      <c r="R2044" s="4"/>
      <c r="S2044" s="4"/>
    </row>
    <row r="2045" spans="15:19" x14ac:dyDescent="0.25">
      <c r="O2045" s="4"/>
      <c r="P2045" s="4"/>
      <c r="Q2045" s="4"/>
      <c r="R2045" s="4"/>
      <c r="S2045" s="4"/>
    </row>
    <row r="2046" spans="15:19" x14ac:dyDescent="0.25">
      <c r="O2046" s="4"/>
      <c r="P2046" s="4"/>
      <c r="Q2046" s="4"/>
      <c r="R2046" s="4"/>
      <c r="S2046" s="4"/>
    </row>
    <row r="2047" spans="15:19" x14ac:dyDescent="0.25">
      <c r="O2047" s="4"/>
      <c r="P2047" s="4"/>
      <c r="Q2047" s="4"/>
      <c r="R2047" s="4"/>
      <c r="S2047" s="4"/>
    </row>
    <row r="2048" spans="15:19" x14ac:dyDescent="0.25">
      <c r="O2048" s="4"/>
      <c r="P2048" s="4"/>
      <c r="Q2048" s="4"/>
      <c r="R2048" s="4"/>
      <c r="S2048" s="4"/>
    </row>
    <row r="2049" spans="15:19" x14ac:dyDescent="0.25">
      <c r="O2049" s="4"/>
      <c r="P2049" s="4"/>
      <c r="Q2049" s="4"/>
      <c r="R2049" s="4"/>
      <c r="S2049" s="4"/>
    </row>
    <row r="2050" spans="15:19" x14ac:dyDescent="0.25">
      <c r="O2050" s="4"/>
      <c r="P2050" s="4"/>
      <c r="Q2050" s="4"/>
      <c r="R2050" s="4"/>
      <c r="S2050" s="4"/>
    </row>
    <row r="2051" spans="15:19" x14ac:dyDescent="0.25">
      <c r="O2051" s="4"/>
      <c r="P2051" s="4"/>
      <c r="Q2051" s="4"/>
      <c r="R2051" s="4"/>
      <c r="S2051" s="4"/>
    </row>
    <row r="2052" spans="15:19" x14ac:dyDescent="0.25">
      <c r="O2052" s="4"/>
      <c r="P2052" s="4"/>
      <c r="Q2052" s="4"/>
      <c r="R2052" s="4"/>
      <c r="S2052" s="4"/>
    </row>
    <row r="2053" spans="15:19" x14ac:dyDescent="0.25">
      <c r="O2053" s="4"/>
      <c r="P2053" s="4"/>
      <c r="Q2053" s="4"/>
      <c r="R2053" s="4"/>
      <c r="S2053" s="4"/>
    </row>
    <row r="2054" spans="15:19" x14ac:dyDescent="0.25">
      <c r="O2054" s="4"/>
      <c r="P2054" s="4"/>
      <c r="Q2054" s="4"/>
      <c r="R2054" s="4"/>
      <c r="S2054" s="4"/>
    </row>
    <row r="2055" spans="15:19" x14ac:dyDescent="0.25">
      <c r="O2055" s="4"/>
      <c r="P2055" s="4"/>
      <c r="Q2055" s="4"/>
      <c r="R2055" s="4"/>
      <c r="S2055" s="4"/>
    </row>
    <row r="2056" spans="15:19" x14ac:dyDescent="0.25">
      <c r="O2056" s="4"/>
      <c r="P2056" s="4"/>
      <c r="Q2056" s="4"/>
      <c r="R2056" s="4"/>
      <c r="S2056" s="4"/>
    </row>
    <row r="2057" spans="15:19" x14ac:dyDescent="0.25">
      <c r="O2057" s="4"/>
      <c r="P2057" s="4"/>
      <c r="Q2057" s="4"/>
      <c r="R2057" s="4"/>
      <c r="S2057" s="4"/>
    </row>
    <row r="2058" spans="15:19" x14ac:dyDescent="0.25">
      <c r="O2058" s="4"/>
      <c r="P2058" s="4"/>
      <c r="Q2058" s="4"/>
      <c r="R2058" s="4"/>
      <c r="S2058" s="4"/>
    </row>
    <row r="2059" spans="15:19" x14ac:dyDescent="0.25">
      <c r="O2059" s="4"/>
      <c r="P2059" s="4"/>
      <c r="Q2059" s="4"/>
      <c r="R2059" s="4"/>
      <c r="S2059" s="4"/>
    </row>
    <row r="2060" spans="15:19" x14ac:dyDescent="0.25">
      <c r="O2060" s="4"/>
      <c r="P2060" s="4"/>
      <c r="Q2060" s="4"/>
      <c r="R2060" s="4"/>
      <c r="S2060" s="4"/>
    </row>
    <row r="2061" spans="15:19" x14ac:dyDescent="0.25">
      <c r="O2061" s="4"/>
      <c r="P2061" s="4"/>
      <c r="Q2061" s="4"/>
      <c r="R2061" s="4"/>
      <c r="S2061" s="4"/>
    </row>
    <row r="2062" spans="15:19" x14ac:dyDescent="0.25">
      <c r="O2062" s="4"/>
      <c r="P2062" s="4"/>
      <c r="Q2062" s="4"/>
      <c r="R2062" s="4"/>
      <c r="S2062" s="4"/>
    </row>
    <row r="2063" spans="15:19" x14ac:dyDescent="0.25">
      <c r="O2063" s="4"/>
      <c r="P2063" s="4"/>
      <c r="Q2063" s="4"/>
      <c r="R2063" s="4"/>
      <c r="S2063" s="4"/>
    </row>
    <row r="2064" spans="15:19" x14ac:dyDescent="0.25">
      <c r="O2064" s="4"/>
      <c r="P2064" s="4"/>
      <c r="Q2064" s="4"/>
      <c r="R2064" s="4"/>
      <c r="S2064" s="4"/>
    </row>
    <row r="2065" spans="15:19" x14ac:dyDescent="0.25">
      <c r="O2065" s="4"/>
      <c r="P2065" s="4"/>
      <c r="Q2065" s="4"/>
      <c r="R2065" s="4"/>
      <c r="S2065" s="4"/>
    </row>
    <row r="2066" spans="15:19" x14ac:dyDescent="0.25">
      <c r="O2066" s="4"/>
      <c r="P2066" s="4"/>
      <c r="Q2066" s="4"/>
      <c r="R2066" s="4"/>
      <c r="S2066" s="4"/>
    </row>
    <row r="2067" spans="15:19" x14ac:dyDescent="0.25">
      <c r="O2067" s="4"/>
      <c r="P2067" s="4"/>
      <c r="Q2067" s="4"/>
      <c r="R2067" s="4"/>
      <c r="S2067" s="4"/>
    </row>
    <row r="2068" spans="15:19" x14ac:dyDescent="0.25">
      <c r="O2068" s="4"/>
      <c r="P2068" s="4"/>
      <c r="Q2068" s="4"/>
      <c r="R2068" s="4"/>
      <c r="S2068" s="4"/>
    </row>
    <row r="2069" spans="15:19" x14ac:dyDescent="0.25">
      <c r="O2069" s="4"/>
      <c r="P2069" s="4"/>
      <c r="Q2069" s="4"/>
      <c r="R2069" s="4"/>
      <c r="S2069" s="4"/>
    </row>
    <row r="2070" spans="15:19" x14ac:dyDescent="0.25">
      <c r="O2070" s="4"/>
      <c r="P2070" s="4"/>
      <c r="Q2070" s="4"/>
      <c r="R2070" s="4"/>
      <c r="S2070" s="4"/>
    </row>
    <row r="2071" spans="15:19" x14ac:dyDescent="0.25">
      <c r="O2071" s="4"/>
      <c r="P2071" s="4"/>
      <c r="Q2071" s="4"/>
      <c r="R2071" s="4"/>
      <c r="S2071" s="4"/>
    </row>
    <row r="2072" spans="15:19" x14ac:dyDescent="0.25">
      <c r="O2072" s="4"/>
      <c r="P2072" s="4"/>
      <c r="Q2072" s="4"/>
      <c r="R2072" s="4"/>
      <c r="S2072" s="4"/>
    </row>
    <row r="2073" spans="15:19" x14ac:dyDescent="0.25">
      <c r="O2073" s="4"/>
      <c r="P2073" s="4"/>
      <c r="Q2073" s="4"/>
      <c r="R2073" s="4"/>
      <c r="S2073" s="4"/>
    </row>
    <row r="2074" spans="15:19" x14ac:dyDescent="0.25">
      <c r="O2074" s="4"/>
      <c r="P2074" s="4"/>
      <c r="Q2074" s="4"/>
      <c r="R2074" s="4"/>
      <c r="S2074" s="4"/>
    </row>
    <row r="2075" spans="15:19" x14ac:dyDescent="0.25">
      <c r="O2075" s="4"/>
      <c r="P2075" s="4"/>
      <c r="Q2075" s="4"/>
      <c r="R2075" s="4"/>
      <c r="S2075" s="4"/>
    </row>
    <row r="2076" spans="15:19" x14ac:dyDescent="0.25">
      <c r="O2076" s="4"/>
      <c r="P2076" s="4"/>
      <c r="Q2076" s="4"/>
      <c r="R2076" s="4"/>
      <c r="S2076" s="4"/>
    </row>
    <row r="2077" spans="15:19" x14ac:dyDescent="0.25">
      <c r="O2077" s="4"/>
      <c r="P2077" s="4"/>
      <c r="Q2077" s="4"/>
      <c r="R2077" s="4"/>
      <c r="S2077" s="4"/>
    </row>
    <row r="2078" spans="15:19" x14ac:dyDescent="0.25">
      <c r="O2078" s="4"/>
      <c r="P2078" s="4"/>
      <c r="Q2078" s="4"/>
      <c r="R2078" s="4"/>
      <c r="S2078" s="4"/>
    </row>
    <row r="2079" spans="15:19" x14ac:dyDescent="0.25">
      <c r="O2079" s="4"/>
      <c r="P2079" s="4"/>
      <c r="Q2079" s="4"/>
      <c r="R2079" s="4"/>
      <c r="S2079" s="4"/>
    </row>
    <row r="2080" spans="15:19" x14ac:dyDescent="0.25">
      <c r="O2080" s="4"/>
      <c r="P2080" s="4"/>
      <c r="Q2080" s="4"/>
      <c r="R2080" s="4"/>
      <c r="S2080" s="4"/>
    </row>
    <row r="2081" spans="15:19" x14ac:dyDescent="0.25">
      <c r="O2081" s="4"/>
      <c r="P2081" s="4"/>
      <c r="Q2081" s="4"/>
      <c r="R2081" s="4"/>
      <c r="S2081" s="4"/>
    </row>
    <row r="2082" spans="15:19" x14ac:dyDescent="0.25">
      <c r="O2082" s="4"/>
      <c r="P2082" s="4"/>
      <c r="Q2082" s="4"/>
      <c r="R2082" s="4"/>
      <c r="S2082" s="4"/>
    </row>
    <row r="2083" spans="15:19" x14ac:dyDescent="0.25">
      <c r="O2083" s="4"/>
      <c r="P2083" s="4"/>
      <c r="Q2083" s="4"/>
      <c r="R2083" s="4"/>
      <c r="S2083" s="4"/>
    </row>
    <row r="2084" spans="15:19" x14ac:dyDescent="0.25">
      <c r="O2084" s="4"/>
      <c r="P2084" s="4"/>
      <c r="Q2084" s="4"/>
      <c r="R2084" s="4"/>
      <c r="S2084" s="4"/>
    </row>
    <row r="2085" spans="15:19" x14ac:dyDescent="0.25">
      <c r="O2085" s="4"/>
      <c r="P2085" s="4"/>
      <c r="Q2085" s="4"/>
      <c r="R2085" s="4"/>
      <c r="S2085" s="4"/>
    </row>
    <row r="2086" spans="15:19" x14ac:dyDescent="0.25">
      <c r="O2086" s="4"/>
      <c r="P2086" s="4"/>
      <c r="Q2086" s="4"/>
      <c r="R2086" s="4"/>
      <c r="S2086" s="4"/>
    </row>
    <row r="2087" spans="15:19" x14ac:dyDescent="0.25">
      <c r="O2087" s="4"/>
      <c r="P2087" s="4"/>
      <c r="Q2087" s="4"/>
      <c r="R2087" s="4"/>
      <c r="S2087" s="4"/>
    </row>
    <row r="2088" spans="15:19" x14ac:dyDescent="0.25">
      <c r="O2088" s="4"/>
      <c r="P2088" s="4"/>
      <c r="Q2088" s="4"/>
      <c r="R2088" s="4"/>
      <c r="S2088" s="4"/>
    </row>
    <row r="2089" spans="15:19" x14ac:dyDescent="0.25">
      <c r="O2089" s="4"/>
      <c r="P2089" s="4"/>
      <c r="Q2089" s="4"/>
      <c r="R2089" s="4"/>
      <c r="S2089" s="4"/>
    </row>
    <row r="2090" spans="15:19" x14ac:dyDescent="0.25">
      <c r="O2090" s="4"/>
      <c r="P2090" s="4"/>
      <c r="Q2090" s="4"/>
      <c r="R2090" s="4"/>
      <c r="S2090" s="4"/>
    </row>
    <row r="2091" spans="15:19" x14ac:dyDescent="0.25">
      <c r="O2091" s="4"/>
      <c r="P2091" s="4"/>
      <c r="Q2091" s="4"/>
      <c r="R2091" s="4"/>
      <c r="S2091" s="4"/>
    </row>
    <row r="2092" spans="15:19" x14ac:dyDescent="0.25">
      <c r="O2092" s="4"/>
      <c r="P2092" s="4"/>
      <c r="Q2092" s="4"/>
      <c r="R2092" s="4"/>
      <c r="S2092" s="4"/>
    </row>
    <row r="2093" spans="15:19" x14ac:dyDescent="0.25">
      <c r="O2093" s="4"/>
      <c r="P2093" s="4"/>
      <c r="Q2093" s="4"/>
      <c r="R2093" s="4"/>
      <c r="S2093" s="4"/>
    </row>
    <row r="2094" spans="15:19" x14ac:dyDescent="0.25">
      <c r="O2094" s="4"/>
      <c r="P2094" s="4"/>
      <c r="Q2094" s="4"/>
      <c r="R2094" s="4"/>
      <c r="S2094" s="4"/>
    </row>
    <row r="2095" spans="15:19" x14ac:dyDescent="0.25">
      <c r="O2095" s="4"/>
      <c r="P2095" s="4"/>
      <c r="Q2095" s="4"/>
      <c r="R2095" s="4"/>
      <c r="S2095" s="4"/>
    </row>
    <row r="2096" spans="15:19" x14ac:dyDescent="0.25">
      <c r="O2096" s="4"/>
      <c r="P2096" s="4"/>
      <c r="Q2096" s="4"/>
      <c r="R2096" s="4"/>
      <c r="S2096" s="4"/>
    </row>
    <row r="2097" spans="15:19" x14ac:dyDescent="0.25">
      <c r="O2097" s="4"/>
      <c r="P2097" s="4"/>
      <c r="Q2097" s="4"/>
      <c r="R2097" s="4"/>
      <c r="S2097" s="4"/>
    </row>
    <row r="2098" spans="15:19" x14ac:dyDescent="0.25">
      <c r="O2098" s="4"/>
      <c r="P2098" s="4"/>
      <c r="Q2098" s="4"/>
      <c r="R2098" s="4"/>
      <c r="S2098" s="4"/>
    </row>
    <row r="2099" spans="15:19" x14ac:dyDescent="0.25">
      <c r="O2099" s="4"/>
      <c r="P2099" s="4"/>
      <c r="Q2099" s="4"/>
      <c r="R2099" s="4"/>
      <c r="S2099" s="4"/>
    </row>
    <row r="2100" spans="15:19" x14ac:dyDescent="0.25">
      <c r="O2100" s="4"/>
      <c r="P2100" s="4"/>
      <c r="Q2100" s="4"/>
      <c r="R2100" s="4"/>
      <c r="S2100" s="4"/>
    </row>
    <row r="2101" spans="15:19" x14ac:dyDescent="0.25">
      <c r="O2101" s="4"/>
      <c r="P2101" s="4"/>
      <c r="Q2101" s="4"/>
      <c r="R2101" s="4"/>
      <c r="S2101" s="4"/>
    </row>
    <row r="2102" spans="15:19" x14ac:dyDescent="0.25">
      <c r="O2102" s="4"/>
      <c r="P2102" s="4"/>
      <c r="Q2102" s="4"/>
      <c r="R2102" s="4"/>
      <c r="S2102" s="4"/>
    </row>
    <row r="2103" spans="15:19" x14ac:dyDescent="0.25">
      <c r="O2103" s="4"/>
      <c r="P2103" s="4"/>
      <c r="Q2103" s="4"/>
      <c r="R2103" s="4"/>
      <c r="S2103" s="4"/>
    </row>
    <row r="2104" spans="15:19" x14ac:dyDescent="0.25">
      <c r="O2104" s="4"/>
      <c r="P2104" s="4"/>
      <c r="Q2104" s="4"/>
      <c r="R2104" s="4"/>
      <c r="S2104" s="4"/>
    </row>
    <row r="2105" spans="15:19" x14ac:dyDescent="0.25">
      <c r="O2105" s="4"/>
      <c r="P2105" s="4"/>
      <c r="Q2105" s="4"/>
      <c r="R2105" s="4"/>
      <c r="S2105" s="4"/>
    </row>
    <row r="2106" spans="15:19" x14ac:dyDescent="0.25">
      <c r="O2106" s="4"/>
      <c r="P2106" s="4"/>
      <c r="Q2106" s="4"/>
      <c r="R2106" s="4"/>
      <c r="S2106" s="4"/>
    </row>
    <row r="2107" spans="15:19" x14ac:dyDescent="0.25">
      <c r="O2107" s="4"/>
      <c r="P2107" s="4"/>
      <c r="Q2107" s="4"/>
      <c r="R2107" s="4"/>
      <c r="S2107" s="4"/>
    </row>
    <row r="2108" spans="15:19" x14ac:dyDescent="0.25">
      <c r="O2108" s="4"/>
      <c r="P2108" s="4"/>
      <c r="Q2108" s="4"/>
      <c r="R2108" s="4"/>
      <c r="S2108" s="4"/>
    </row>
    <row r="2109" spans="15:19" x14ac:dyDescent="0.25">
      <c r="O2109" s="4"/>
      <c r="P2109" s="4"/>
      <c r="Q2109" s="4"/>
      <c r="R2109" s="4"/>
      <c r="S2109" s="4"/>
    </row>
    <row r="2110" spans="15:19" x14ac:dyDescent="0.25">
      <c r="O2110" s="4"/>
      <c r="P2110" s="4"/>
      <c r="Q2110" s="4"/>
      <c r="R2110" s="4"/>
      <c r="S2110" s="4"/>
    </row>
    <row r="2111" spans="15:19" x14ac:dyDescent="0.25">
      <c r="O2111" s="4"/>
      <c r="P2111" s="4"/>
      <c r="Q2111" s="4"/>
      <c r="R2111" s="4"/>
      <c r="S2111" s="4"/>
    </row>
    <row r="2112" spans="15:19" x14ac:dyDescent="0.25">
      <c r="O2112" s="4"/>
      <c r="P2112" s="4"/>
      <c r="Q2112" s="4"/>
      <c r="R2112" s="4"/>
      <c r="S2112" s="4"/>
    </row>
    <row r="2113" spans="15:19" x14ac:dyDescent="0.25">
      <c r="O2113" s="4"/>
      <c r="P2113" s="4"/>
      <c r="Q2113" s="4"/>
      <c r="R2113" s="4"/>
      <c r="S2113" s="4"/>
    </row>
    <row r="2114" spans="15:19" x14ac:dyDescent="0.25">
      <c r="O2114" s="4"/>
      <c r="P2114" s="4"/>
      <c r="Q2114" s="4"/>
      <c r="R2114" s="4"/>
      <c r="S2114" s="4"/>
    </row>
    <row r="2115" spans="15:19" x14ac:dyDescent="0.25">
      <c r="O2115" s="4"/>
      <c r="P2115" s="4"/>
      <c r="Q2115" s="4"/>
      <c r="R2115" s="4"/>
      <c r="S2115" s="4"/>
    </row>
    <row r="2116" spans="15:19" x14ac:dyDescent="0.25">
      <c r="O2116" s="4"/>
      <c r="P2116" s="4"/>
      <c r="Q2116" s="4"/>
      <c r="R2116" s="4"/>
      <c r="S2116" s="4"/>
    </row>
    <row r="2117" spans="15:19" x14ac:dyDescent="0.25">
      <c r="O2117" s="4"/>
      <c r="P2117" s="4"/>
      <c r="Q2117" s="4"/>
      <c r="R2117" s="4"/>
      <c r="S2117" s="4"/>
    </row>
    <row r="2118" spans="15:19" x14ac:dyDescent="0.25">
      <c r="O2118" s="4"/>
      <c r="P2118" s="4"/>
      <c r="Q2118" s="4"/>
      <c r="R2118" s="4"/>
      <c r="S2118" s="4"/>
    </row>
    <row r="2119" spans="15:19" x14ac:dyDescent="0.25">
      <c r="O2119" s="4"/>
      <c r="P2119" s="4"/>
      <c r="Q2119" s="4"/>
      <c r="R2119" s="4"/>
      <c r="S2119" s="4"/>
    </row>
    <row r="2120" spans="15:19" x14ac:dyDescent="0.25">
      <c r="O2120" s="4"/>
      <c r="P2120" s="4"/>
      <c r="Q2120" s="4"/>
      <c r="R2120" s="4"/>
      <c r="S2120" s="4"/>
    </row>
    <row r="2121" spans="15:19" x14ac:dyDescent="0.25">
      <c r="O2121" s="4"/>
      <c r="P2121" s="4"/>
      <c r="Q2121" s="4"/>
      <c r="R2121" s="4"/>
      <c r="S2121" s="4"/>
    </row>
    <row r="2122" spans="15:19" x14ac:dyDescent="0.25">
      <c r="O2122" s="4"/>
      <c r="P2122" s="4"/>
      <c r="Q2122" s="4"/>
      <c r="R2122" s="4"/>
      <c r="S2122" s="4"/>
    </row>
    <row r="2123" spans="15:19" x14ac:dyDescent="0.25">
      <c r="O2123" s="4"/>
      <c r="P2123" s="4"/>
      <c r="Q2123" s="4"/>
      <c r="R2123" s="4"/>
      <c r="S2123" s="4"/>
    </row>
    <row r="2124" spans="15:19" x14ac:dyDescent="0.25">
      <c r="O2124" s="4"/>
      <c r="P2124" s="4"/>
      <c r="Q2124" s="4"/>
      <c r="R2124" s="4"/>
      <c r="S2124" s="4"/>
    </row>
    <row r="2125" spans="15:19" x14ac:dyDescent="0.25">
      <c r="O2125" s="4"/>
      <c r="P2125" s="4"/>
      <c r="Q2125" s="4"/>
      <c r="R2125" s="4"/>
      <c r="S2125" s="4"/>
    </row>
    <row r="2126" spans="15:19" x14ac:dyDescent="0.25">
      <c r="O2126" s="4"/>
      <c r="P2126" s="4"/>
      <c r="Q2126" s="4"/>
      <c r="R2126" s="4"/>
      <c r="S2126" s="4"/>
    </row>
    <row r="2127" spans="15:19" x14ac:dyDescent="0.25">
      <c r="O2127" s="4"/>
      <c r="P2127" s="4"/>
      <c r="Q2127" s="4"/>
      <c r="R2127" s="4"/>
      <c r="S2127" s="4"/>
    </row>
    <row r="2128" spans="15:19" x14ac:dyDescent="0.25">
      <c r="O2128" s="4"/>
      <c r="P2128" s="4"/>
      <c r="Q2128" s="4"/>
      <c r="R2128" s="4"/>
      <c r="S2128" s="4"/>
    </row>
    <row r="2129" spans="15:19" x14ac:dyDescent="0.25">
      <c r="O2129" s="4"/>
      <c r="P2129" s="4"/>
      <c r="Q2129" s="4"/>
      <c r="R2129" s="4"/>
      <c r="S2129" s="4"/>
    </row>
    <row r="2130" spans="15:19" x14ac:dyDescent="0.25">
      <c r="O2130" s="4"/>
      <c r="P2130" s="4"/>
      <c r="Q2130" s="4"/>
      <c r="R2130" s="4"/>
      <c r="S2130" s="4"/>
    </row>
    <row r="2131" spans="15:19" x14ac:dyDescent="0.25">
      <c r="O2131" s="4"/>
      <c r="P2131" s="4"/>
      <c r="Q2131" s="4"/>
      <c r="R2131" s="4"/>
      <c r="S2131" s="4"/>
    </row>
    <row r="2132" spans="15:19" x14ac:dyDescent="0.25">
      <c r="O2132" s="4"/>
      <c r="P2132" s="4"/>
      <c r="Q2132" s="4"/>
      <c r="R2132" s="4"/>
      <c r="S2132" s="4"/>
    </row>
    <row r="2133" spans="15:19" x14ac:dyDescent="0.25">
      <c r="O2133" s="4"/>
      <c r="P2133" s="4"/>
      <c r="Q2133" s="4"/>
      <c r="R2133" s="4"/>
      <c r="S2133" s="4"/>
    </row>
    <row r="2134" spans="15:19" x14ac:dyDescent="0.25">
      <c r="O2134" s="4"/>
      <c r="P2134" s="4"/>
      <c r="Q2134" s="4"/>
      <c r="R2134" s="4"/>
      <c r="S2134" s="4"/>
    </row>
    <row r="2135" spans="15:19" x14ac:dyDescent="0.25">
      <c r="O2135" s="4"/>
      <c r="P2135" s="4"/>
      <c r="Q2135" s="4"/>
      <c r="R2135" s="4"/>
      <c r="S2135" s="4"/>
    </row>
    <row r="2136" spans="15:19" x14ac:dyDescent="0.25">
      <c r="O2136" s="4"/>
      <c r="P2136" s="4"/>
      <c r="Q2136" s="4"/>
      <c r="R2136" s="4"/>
      <c r="S2136" s="4"/>
    </row>
    <row r="2137" spans="15:19" x14ac:dyDescent="0.25">
      <c r="O2137" s="4"/>
      <c r="P2137" s="4"/>
      <c r="Q2137" s="4"/>
      <c r="R2137" s="4"/>
      <c r="S2137" s="4"/>
    </row>
    <row r="2138" spans="15:19" x14ac:dyDescent="0.25">
      <c r="O2138" s="4"/>
      <c r="P2138" s="4"/>
      <c r="Q2138" s="4"/>
      <c r="R2138" s="4"/>
      <c r="S2138" s="4"/>
    </row>
    <row r="2139" spans="15:19" x14ac:dyDescent="0.25">
      <c r="O2139" s="4"/>
      <c r="P2139" s="4"/>
      <c r="Q2139" s="4"/>
      <c r="R2139" s="4"/>
      <c r="S2139" s="4"/>
    </row>
    <row r="2140" spans="15:19" x14ac:dyDescent="0.25">
      <c r="O2140" s="4"/>
      <c r="P2140" s="4"/>
      <c r="Q2140" s="4"/>
      <c r="R2140" s="4"/>
      <c r="S2140" s="4"/>
    </row>
    <row r="2141" spans="15:19" x14ac:dyDescent="0.25">
      <c r="O2141" s="4"/>
      <c r="P2141" s="4"/>
      <c r="Q2141" s="4"/>
      <c r="R2141" s="4"/>
      <c r="S2141" s="4"/>
    </row>
    <row r="2142" spans="15:19" x14ac:dyDescent="0.25">
      <c r="O2142" s="4"/>
      <c r="P2142" s="4"/>
      <c r="Q2142" s="4"/>
      <c r="R2142" s="4"/>
      <c r="S2142" s="4"/>
    </row>
    <row r="2143" spans="15:19" x14ac:dyDescent="0.25">
      <c r="O2143" s="4"/>
      <c r="P2143" s="4"/>
      <c r="Q2143" s="4"/>
      <c r="R2143" s="4"/>
      <c r="S2143" s="4"/>
    </row>
    <row r="2144" spans="15:19" x14ac:dyDescent="0.25">
      <c r="O2144" s="4"/>
      <c r="P2144" s="4"/>
      <c r="Q2144" s="4"/>
      <c r="R2144" s="4"/>
      <c r="S2144" s="4"/>
    </row>
    <row r="2145" spans="15:19" x14ac:dyDescent="0.25">
      <c r="O2145" s="4"/>
      <c r="P2145" s="4"/>
      <c r="Q2145" s="4"/>
      <c r="R2145" s="4"/>
      <c r="S2145" s="4"/>
    </row>
    <row r="2146" spans="15:19" x14ac:dyDescent="0.25">
      <c r="O2146" s="4"/>
      <c r="P2146" s="4"/>
      <c r="Q2146" s="4"/>
      <c r="R2146" s="4"/>
      <c r="S2146" s="4"/>
    </row>
    <row r="2147" spans="15:19" x14ac:dyDescent="0.25">
      <c r="O2147" s="4"/>
      <c r="P2147" s="4"/>
      <c r="Q2147" s="4"/>
      <c r="R2147" s="4"/>
      <c r="S2147" s="4"/>
    </row>
    <row r="2148" spans="15:19" x14ac:dyDescent="0.25">
      <c r="O2148" s="4"/>
      <c r="P2148" s="4"/>
      <c r="Q2148" s="4"/>
      <c r="R2148" s="4"/>
      <c r="S2148" s="4"/>
    </row>
    <row r="2149" spans="15:19" x14ac:dyDescent="0.25">
      <c r="O2149" s="4"/>
      <c r="P2149" s="4"/>
      <c r="Q2149" s="4"/>
      <c r="R2149" s="4"/>
      <c r="S2149" s="4"/>
    </row>
    <row r="2150" spans="15:19" x14ac:dyDescent="0.25">
      <c r="O2150" s="4"/>
      <c r="P2150" s="4"/>
      <c r="Q2150" s="4"/>
      <c r="R2150" s="4"/>
      <c r="S2150" s="4"/>
    </row>
    <row r="2151" spans="15:19" x14ac:dyDescent="0.25">
      <c r="O2151" s="4"/>
      <c r="P2151" s="4"/>
      <c r="Q2151" s="4"/>
      <c r="R2151" s="4"/>
      <c r="S2151" s="4"/>
    </row>
    <row r="2152" spans="15:19" x14ac:dyDescent="0.25">
      <c r="O2152" s="4"/>
      <c r="P2152" s="4"/>
      <c r="Q2152" s="4"/>
      <c r="R2152" s="4"/>
      <c r="S2152" s="4"/>
    </row>
    <row r="2153" spans="15:19" x14ac:dyDescent="0.25">
      <c r="O2153" s="4"/>
      <c r="P2153" s="4"/>
      <c r="Q2153" s="4"/>
      <c r="R2153" s="4"/>
      <c r="S2153" s="4"/>
    </row>
    <row r="2154" spans="15:19" x14ac:dyDescent="0.25">
      <c r="O2154" s="4"/>
      <c r="P2154" s="4"/>
      <c r="Q2154" s="4"/>
      <c r="R2154" s="4"/>
      <c r="S2154" s="4"/>
    </row>
    <row r="2155" spans="15:19" x14ac:dyDescent="0.25">
      <c r="O2155" s="4"/>
      <c r="P2155" s="4"/>
      <c r="Q2155" s="4"/>
      <c r="R2155" s="4"/>
      <c r="S2155" s="4"/>
    </row>
    <row r="2156" spans="15:19" x14ac:dyDescent="0.25">
      <c r="O2156" s="4"/>
      <c r="P2156" s="4"/>
      <c r="Q2156" s="4"/>
      <c r="R2156" s="4"/>
      <c r="S2156" s="4"/>
    </row>
    <row r="2157" spans="15:19" x14ac:dyDescent="0.25">
      <c r="O2157" s="4"/>
      <c r="P2157" s="4"/>
      <c r="Q2157" s="4"/>
      <c r="R2157" s="4"/>
      <c r="S2157" s="4"/>
    </row>
    <row r="2158" spans="15:19" x14ac:dyDescent="0.25">
      <c r="O2158" s="4"/>
      <c r="P2158" s="4"/>
      <c r="Q2158" s="4"/>
      <c r="R2158" s="4"/>
      <c r="S2158" s="4"/>
    </row>
    <row r="2159" spans="15:19" x14ac:dyDescent="0.25">
      <c r="O2159" s="4"/>
      <c r="P2159" s="4"/>
      <c r="Q2159" s="4"/>
      <c r="R2159" s="4"/>
      <c r="S2159" s="4"/>
    </row>
    <row r="2160" spans="15:19" x14ac:dyDescent="0.25">
      <c r="O2160" s="4"/>
      <c r="P2160" s="4"/>
      <c r="Q2160" s="4"/>
      <c r="R2160" s="4"/>
      <c r="S2160" s="4"/>
    </row>
    <row r="2161" spans="15:19" x14ac:dyDescent="0.25">
      <c r="O2161" s="4"/>
      <c r="P2161" s="4"/>
      <c r="Q2161" s="4"/>
      <c r="R2161" s="4"/>
      <c r="S2161" s="4"/>
    </row>
    <row r="2162" spans="15:19" x14ac:dyDescent="0.25">
      <c r="O2162" s="4"/>
      <c r="P2162" s="4"/>
      <c r="Q2162" s="4"/>
      <c r="R2162" s="4"/>
      <c r="S2162" s="4"/>
    </row>
    <row r="2163" spans="15:19" x14ac:dyDescent="0.25">
      <c r="O2163" s="4"/>
      <c r="P2163" s="4"/>
      <c r="Q2163" s="4"/>
      <c r="R2163" s="4"/>
      <c r="S2163" s="4"/>
    </row>
    <row r="2164" spans="15:19" x14ac:dyDescent="0.25">
      <c r="O2164" s="4"/>
      <c r="P2164" s="4"/>
      <c r="Q2164" s="4"/>
      <c r="R2164" s="4"/>
      <c r="S2164" s="4"/>
    </row>
    <row r="2165" spans="15:19" x14ac:dyDescent="0.25">
      <c r="O2165" s="4"/>
      <c r="P2165" s="4"/>
      <c r="Q2165" s="4"/>
      <c r="R2165" s="4"/>
      <c r="S2165" s="4"/>
    </row>
    <row r="2166" spans="15:19" x14ac:dyDescent="0.25">
      <c r="O2166" s="4"/>
      <c r="P2166" s="4"/>
      <c r="Q2166" s="4"/>
      <c r="R2166" s="4"/>
      <c r="S2166" s="4"/>
    </row>
    <row r="2167" spans="15:19" x14ac:dyDescent="0.25">
      <c r="O2167" s="4"/>
      <c r="P2167" s="4"/>
      <c r="Q2167" s="4"/>
      <c r="R2167" s="4"/>
      <c r="S2167" s="4"/>
    </row>
    <row r="2168" spans="15:19" x14ac:dyDescent="0.25">
      <c r="O2168" s="4"/>
      <c r="P2168" s="4"/>
      <c r="Q2168" s="4"/>
      <c r="R2168" s="4"/>
      <c r="S2168" s="4"/>
    </row>
    <row r="2169" spans="15:19" x14ac:dyDescent="0.25">
      <c r="O2169" s="4"/>
      <c r="P2169" s="4"/>
      <c r="Q2169" s="4"/>
      <c r="R2169" s="4"/>
      <c r="S2169" s="4"/>
    </row>
    <row r="2170" spans="15:19" x14ac:dyDescent="0.25">
      <c r="O2170" s="4"/>
      <c r="P2170" s="4"/>
      <c r="Q2170" s="4"/>
      <c r="R2170" s="4"/>
      <c r="S2170" s="4"/>
    </row>
    <row r="2171" spans="15:19" x14ac:dyDescent="0.25">
      <c r="O2171" s="4"/>
      <c r="P2171" s="4"/>
      <c r="Q2171" s="4"/>
      <c r="R2171" s="4"/>
      <c r="S2171" s="4"/>
    </row>
    <row r="2172" spans="15:19" x14ac:dyDescent="0.25">
      <c r="O2172" s="4"/>
      <c r="P2172" s="4"/>
      <c r="Q2172" s="4"/>
      <c r="R2172" s="4"/>
      <c r="S2172" s="4"/>
    </row>
    <row r="2173" spans="15:19" x14ac:dyDescent="0.25">
      <c r="O2173" s="4"/>
      <c r="P2173" s="4"/>
      <c r="Q2173" s="4"/>
      <c r="R2173" s="4"/>
      <c r="S2173" s="4"/>
    </row>
    <row r="2174" spans="15:19" x14ac:dyDescent="0.25">
      <c r="O2174" s="4"/>
      <c r="P2174" s="4"/>
      <c r="Q2174" s="4"/>
      <c r="R2174" s="4"/>
      <c r="S2174" s="4"/>
    </row>
    <row r="2175" spans="15:19" x14ac:dyDescent="0.25">
      <c r="O2175" s="4"/>
      <c r="P2175" s="4"/>
      <c r="Q2175" s="4"/>
      <c r="R2175" s="4"/>
      <c r="S2175" s="4"/>
    </row>
    <row r="2176" spans="15:19" x14ac:dyDescent="0.25">
      <c r="O2176" s="4"/>
      <c r="P2176" s="4"/>
      <c r="Q2176" s="4"/>
      <c r="R2176" s="4"/>
      <c r="S2176" s="4"/>
    </row>
    <row r="2177" spans="15:19" x14ac:dyDescent="0.25">
      <c r="O2177" s="4"/>
      <c r="P2177" s="4"/>
      <c r="Q2177" s="4"/>
      <c r="R2177" s="4"/>
      <c r="S2177" s="4"/>
    </row>
    <row r="2178" spans="15:19" x14ac:dyDescent="0.25">
      <c r="O2178" s="4"/>
      <c r="P2178" s="4"/>
      <c r="Q2178" s="4"/>
      <c r="R2178" s="4"/>
      <c r="S2178" s="4"/>
    </row>
    <row r="2179" spans="15:19" x14ac:dyDescent="0.25">
      <c r="O2179" s="4"/>
      <c r="P2179" s="4"/>
      <c r="Q2179" s="4"/>
      <c r="R2179" s="4"/>
      <c r="S2179" s="4"/>
    </row>
    <row r="2180" spans="15:19" x14ac:dyDescent="0.25">
      <c r="O2180" s="4"/>
      <c r="P2180" s="4"/>
      <c r="Q2180" s="4"/>
      <c r="R2180" s="4"/>
      <c r="S2180" s="4"/>
    </row>
    <row r="2181" spans="15:19" x14ac:dyDescent="0.25">
      <c r="O2181" s="4"/>
      <c r="P2181" s="4"/>
      <c r="Q2181" s="4"/>
      <c r="R2181" s="4"/>
      <c r="S2181" s="4"/>
    </row>
    <row r="2182" spans="15:19" x14ac:dyDescent="0.25">
      <c r="O2182" s="4"/>
      <c r="P2182" s="4"/>
      <c r="Q2182" s="4"/>
      <c r="R2182" s="4"/>
      <c r="S2182" s="4"/>
    </row>
    <row r="2183" spans="15:19" x14ac:dyDescent="0.25">
      <c r="O2183" s="4"/>
      <c r="P2183" s="4"/>
      <c r="Q2183" s="4"/>
      <c r="R2183" s="4"/>
      <c r="S2183" s="4"/>
    </row>
    <row r="2184" spans="15:19" x14ac:dyDescent="0.25">
      <c r="O2184" s="4"/>
      <c r="P2184" s="4"/>
      <c r="Q2184" s="4"/>
      <c r="R2184" s="4"/>
      <c r="S2184" s="4"/>
    </row>
    <row r="2185" spans="15:19" x14ac:dyDescent="0.25">
      <c r="O2185" s="4"/>
      <c r="P2185" s="4"/>
      <c r="Q2185" s="4"/>
      <c r="R2185" s="4"/>
      <c r="S2185" s="4"/>
    </row>
    <row r="2186" spans="15:19" x14ac:dyDescent="0.25">
      <c r="O2186" s="4"/>
      <c r="P2186" s="4"/>
      <c r="Q2186" s="4"/>
      <c r="R2186" s="4"/>
      <c r="S2186" s="4"/>
    </row>
    <row r="2187" spans="15:19" x14ac:dyDescent="0.25">
      <c r="O2187" s="4"/>
      <c r="P2187" s="4"/>
      <c r="Q2187" s="4"/>
      <c r="R2187" s="4"/>
      <c r="S2187" s="4"/>
    </row>
    <row r="2188" spans="15:19" x14ac:dyDescent="0.25">
      <c r="O2188" s="4"/>
      <c r="P2188" s="4"/>
      <c r="Q2188" s="4"/>
      <c r="R2188" s="4"/>
      <c r="S2188" s="4"/>
    </row>
    <row r="2189" spans="15:19" x14ac:dyDescent="0.25">
      <c r="O2189" s="4"/>
      <c r="P2189" s="4"/>
      <c r="Q2189" s="4"/>
      <c r="R2189" s="4"/>
      <c r="S2189" s="4"/>
    </row>
    <row r="2190" spans="15:19" x14ac:dyDescent="0.25">
      <c r="O2190" s="4"/>
      <c r="P2190" s="4"/>
      <c r="Q2190" s="4"/>
      <c r="R2190" s="4"/>
      <c r="S2190" s="4"/>
    </row>
    <row r="2191" spans="15:19" x14ac:dyDescent="0.25">
      <c r="O2191" s="4"/>
      <c r="P2191" s="4"/>
      <c r="Q2191" s="4"/>
      <c r="R2191" s="4"/>
      <c r="S2191" s="4"/>
    </row>
    <row r="2192" spans="15:19" x14ac:dyDescent="0.25">
      <c r="O2192" s="4"/>
      <c r="P2192" s="4"/>
      <c r="Q2192" s="4"/>
      <c r="R2192" s="4"/>
      <c r="S2192" s="4"/>
    </row>
    <row r="2193" spans="15:19" x14ac:dyDescent="0.25">
      <c r="O2193" s="4"/>
      <c r="P2193" s="4"/>
      <c r="Q2193" s="4"/>
      <c r="R2193" s="4"/>
      <c r="S2193" s="4"/>
    </row>
    <row r="2194" spans="15:19" x14ac:dyDescent="0.25">
      <c r="O2194" s="4"/>
      <c r="P2194" s="4"/>
      <c r="Q2194" s="4"/>
      <c r="R2194" s="4"/>
      <c r="S2194" s="4"/>
    </row>
    <row r="2195" spans="15:19" x14ac:dyDescent="0.25">
      <c r="O2195" s="4"/>
      <c r="P2195" s="4"/>
      <c r="Q2195" s="4"/>
      <c r="R2195" s="4"/>
      <c r="S2195" s="4"/>
    </row>
    <row r="2196" spans="15:19" x14ac:dyDescent="0.25">
      <c r="O2196" s="4"/>
      <c r="P2196" s="4"/>
      <c r="Q2196" s="4"/>
      <c r="R2196" s="4"/>
      <c r="S2196" s="4"/>
    </row>
    <row r="2197" spans="15:19" x14ac:dyDescent="0.25">
      <c r="O2197" s="4"/>
      <c r="P2197" s="4"/>
      <c r="Q2197" s="4"/>
      <c r="R2197" s="4"/>
      <c r="S2197" s="4"/>
    </row>
    <row r="2198" spans="15:19" x14ac:dyDescent="0.25">
      <c r="O2198" s="4"/>
      <c r="P2198" s="4"/>
      <c r="Q2198" s="4"/>
      <c r="R2198" s="4"/>
      <c r="S2198" s="4"/>
    </row>
    <row r="2199" spans="15:19" x14ac:dyDescent="0.25">
      <c r="O2199" s="4"/>
      <c r="P2199" s="4"/>
      <c r="Q2199" s="4"/>
      <c r="R2199" s="4"/>
      <c r="S2199" s="4"/>
    </row>
    <row r="2200" spans="15:19" x14ac:dyDescent="0.25">
      <c r="O2200" s="4"/>
      <c r="P2200" s="4"/>
      <c r="Q2200" s="4"/>
      <c r="R2200" s="4"/>
      <c r="S2200" s="4"/>
    </row>
    <row r="2201" spans="15:19" x14ac:dyDescent="0.25">
      <c r="O2201" s="4"/>
      <c r="P2201" s="4"/>
      <c r="Q2201" s="4"/>
      <c r="R2201" s="4"/>
      <c r="S2201" s="4"/>
    </row>
    <row r="2202" spans="15:19" x14ac:dyDescent="0.25">
      <c r="O2202" s="4"/>
      <c r="P2202" s="4"/>
      <c r="Q2202" s="4"/>
      <c r="R2202" s="4"/>
      <c r="S2202" s="4"/>
    </row>
    <row r="2203" spans="15:19" x14ac:dyDescent="0.25">
      <c r="O2203" s="4"/>
      <c r="P2203" s="4"/>
      <c r="Q2203" s="4"/>
      <c r="R2203" s="4"/>
      <c r="S2203" s="4"/>
    </row>
    <row r="2204" spans="15:19" x14ac:dyDescent="0.25">
      <c r="O2204" s="4"/>
      <c r="P2204" s="4"/>
      <c r="Q2204" s="4"/>
      <c r="R2204" s="4"/>
      <c r="S2204" s="4"/>
    </row>
    <row r="2205" spans="15:19" x14ac:dyDescent="0.25">
      <c r="O2205" s="4"/>
      <c r="P2205" s="4"/>
      <c r="Q2205" s="4"/>
      <c r="R2205" s="4"/>
      <c r="S2205" s="4"/>
    </row>
    <row r="2206" spans="15:19" x14ac:dyDescent="0.25">
      <c r="O2206" s="4"/>
      <c r="P2206" s="4"/>
      <c r="Q2206" s="4"/>
      <c r="R2206" s="4"/>
      <c r="S2206" s="4"/>
    </row>
    <row r="2207" spans="15:19" x14ac:dyDescent="0.25">
      <c r="O2207" s="4"/>
      <c r="P2207" s="4"/>
      <c r="Q2207" s="4"/>
      <c r="R2207" s="4"/>
      <c r="S2207" s="4"/>
    </row>
    <row r="2208" spans="15:19" x14ac:dyDescent="0.25">
      <c r="O2208" s="4"/>
      <c r="P2208" s="4"/>
      <c r="Q2208" s="4"/>
      <c r="R2208" s="4"/>
      <c r="S2208" s="4"/>
    </row>
    <row r="2209" spans="15:19" x14ac:dyDescent="0.25">
      <c r="O2209" s="4"/>
      <c r="P2209" s="4"/>
      <c r="Q2209" s="4"/>
      <c r="R2209" s="4"/>
      <c r="S2209" s="4"/>
    </row>
    <row r="2210" spans="15:19" x14ac:dyDescent="0.25">
      <c r="O2210" s="4"/>
      <c r="P2210" s="4"/>
      <c r="Q2210" s="4"/>
      <c r="R2210" s="4"/>
      <c r="S2210" s="4"/>
    </row>
    <row r="2211" spans="15:19" x14ac:dyDescent="0.25">
      <c r="O2211" s="4"/>
      <c r="P2211" s="4"/>
      <c r="Q2211" s="4"/>
      <c r="R2211" s="4"/>
      <c r="S2211" s="4"/>
    </row>
    <row r="2212" spans="15:19" x14ac:dyDescent="0.25">
      <c r="O2212" s="4"/>
      <c r="P2212" s="4"/>
      <c r="Q2212" s="4"/>
      <c r="R2212" s="4"/>
      <c r="S2212" s="4"/>
    </row>
    <row r="2213" spans="15:19" x14ac:dyDescent="0.25">
      <c r="O2213" s="4"/>
      <c r="P2213" s="4"/>
      <c r="Q2213" s="4"/>
      <c r="R2213" s="4"/>
      <c r="S2213" s="4"/>
    </row>
    <row r="2214" spans="15:19" x14ac:dyDescent="0.25">
      <c r="O2214" s="4"/>
      <c r="P2214" s="4"/>
      <c r="Q2214" s="4"/>
      <c r="R2214" s="4"/>
      <c r="S2214" s="4"/>
    </row>
    <row r="2215" spans="15:19" x14ac:dyDescent="0.25">
      <c r="O2215" s="4"/>
      <c r="P2215" s="4"/>
      <c r="Q2215" s="4"/>
      <c r="R2215" s="4"/>
      <c r="S2215" s="4"/>
    </row>
    <row r="2216" spans="15:19" x14ac:dyDescent="0.25">
      <c r="O2216" s="4"/>
      <c r="P2216" s="4"/>
      <c r="Q2216" s="4"/>
      <c r="R2216" s="4"/>
      <c r="S2216" s="4"/>
    </row>
    <row r="2217" spans="15:19" x14ac:dyDescent="0.25">
      <c r="O2217" s="4"/>
      <c r="P2217" s="4"/>
      <c r="Q2217" s="4"/>
      <c r="R2217" s="4"/>
      <c r="S2217" s="4"/>
    </row>
    <row r="2218" spans="15:19" x14ac:dyDescent="0.25">
      <c r="O2218" s="4"/>
      <c r="P2218" s="4"/>
      <c r="Q2218" s="4"/>
      <c r="R2218" s="4"/>
      <c r="S2218" s="4"/>
    </row>
    <row r="2219" spans="15:19" x14ac:dyDescent="0.25">
      <c r="O2219" s="4"/>
      <c r="P2219" s="4"/>
      <c r="Q2219" s="4"/>
      <c r="R2219" s="4"/>
      <c r="S2219" s="4"/>
    </row>
    <row r="2220" spans="15:19" x14ac:dyDescent="0.25">
      <c r="O2220" s="4"/>
      <c r="P2220" s="4"/>
      <c r="Q2220" s="4"/>
      <c r="R2220" s="4"/>
      <c r="S2220" s="4"/>
    </row>
    <row r="2221" spans="15:19" x14ac:dyDescent="0.25">
      <c r="O2221" s="4"/>
      <c r="P2221" s="4"/>
      <c r="Q2221" s="4"/>
      <c r="R2221" s="4"/>
      <c r="S2221" s="4"/>
    </row>
    <row r="2222" spans="15:19" x14ac:dyDescent="0.25">
      <c r="O2222" s="4"/>
      <c r="P2222" s="4"/>
      <c r="Q2222" s="4"/>
      <c r="R2222" s="4"/>
      <c r="S2222" s="4"/>
    </row>
    <row r="2223" spans="15:19" x14ac:dyDescent="0.25">
      <c r="O2223" s="4"/>
      <c r="P2223" s="4"/>
      <c r="Q2223" s="4"/>
      <c r="R2223" s="4"/>
      <c r="S2223" s="4"/>
    </row>
    <row r="2224" spans="15:19" x14ac:dyDescent="0.25">
      <c r="O2224" s="4"/>
      <c r="P2224" s="4"/>
      <c r="Q2224" s="4"/>
      <c r="R2224" s="4"/>
      <c r="S2224" s="4"/>
    </row>
    <row r="2225" spans="15:19" x14ac:dyDescent="0.25">
      <c r="O2225" s="4"/>
      <c r="P2225" s="4"/>
      <c r="Q2225" s="4"/>
      <c r="R2225" s="4"/>
      <c r="S2225" s="4"/>
    </row>
    <row r="2226" spans="15:19" x14ac:dyDescent="0.25">
      <c r="O2226" s="4"/>
      <c r="P2226" s="4"/>
      <c r="Q2226" s="4"/>
      <c r="R2226" s="4"/>
      <c r="S2226" s="4"/>
    </row>
    <row r="2227" spans="15:19" x14ac:dyDescent="0.25">
      <c r="O2227" s="4"/>
      <c r="P2227" s="4"/>
      <c r="Q2227" s="4"/>
      <c r="R2227" s="4"/>
      <c r="S2227" s="4"/>
    </row>
    <row r="2228" spans="15:19" x14ac:dyDescent="0.25">
      <c r="O2228" s="4"/>
      <c r="P2228" s="4"/>
      <c r="Q2228" s="4"/>
      <c r="R2228" s="4"/>
      <c r="S2228" s="4"/>
    </row>
    <row r="2229" spans="15:19" x14ac:dyDescent="0.25">
      <c r="O2229" s="4"/>
      <c r="P2229" s="4"/>
      <c r="Q2229" s="4"/>
      <c r="R2229" s="4"/>
      <c r="S2229" s="4"/>
    </row>
    <row r="2230" spans="15:19" x14ac:dyDescent="0.25">
      <c r="O2230" s="4"/>
      <c r="P2230" s="4"/>
      <c r="Q2230" s="4"/>
      <c r="R2230" s="4"/>
      <c r="S2230" s="4"/>
    </row>
    <row r="2231" spans="15:19" x14ac:dyDescent="0.25">
      <c r="O2231" s="4"/>
      <c r="P2231" s="4"/>
      <c r="Q2231" s="4"/>
      <c r="R2231" s="4"/>
      <c r="S2231" s="4"/>
    </row>
    <row r="2232" spans="15:19" x14ac:dyDescent="0.25">
      <c r="O2232" s="4"/>
      <c r="P2232" s="4"/>
      <c r="Q2232" s="4"/>
      <c r="R2232" s="4"/>
      <c r="S2232" s="4"/>
    </row>
    <row r="2233" spans="15:19" x14ac:dyDescent="0.25">
      <c r="O2233" s="4"/>
      <c r="P2233" s="4"/>
      <c r="Q2233" s="4"/>
      <c r="R2233" s="4"/>
      <c r="S2233" s="4"/>
    </row>
    <row r="2234" spans="15:19" x14ac:dyDescent="0.25">
      <c r="O2234" s="4"/>
      <c r="P2234" s="4"/>
      <c r="Q2234" s="4"/>
      <c r="R2234" s="4"/>
      <c r="S2234" s="4"/>
    </row>
    <row r="2235" spans="15:19" x14ac:dyDescent="0.25">
      <c r="O2235" s="4"/>
      <c r="P2235" s="4"/>
      <c r="Q2235" s="4"/>
      <c r="R2235" s="4"/>
      <c r="S2235" s="4"/>
    </row>
    <row r="2236" spans="15:19" x14ac:dyDescent="0.25">
      <c r="O2236" s="4"/>
      <c r="P2236" s="4"/>
      <c r="Q2236" s="4"/>
      <c r="R2236" s="4"/>
      <c r="S2236" s="4"/>
    </row>
    <row r="2237" spans="15:19" x14ac:dyDescent="0.25">
      <c r="O2237" s="4"/>
      <c r="P2237" s="4"/>
      <c r="Q2237" s="4"/>
      <c r="R2237" s="4"/>
      <c r="S2237" s="4"/>
    </row>
    <row r="2238" spans="15:19" x14ac:dyDescent="0.25">
      <c r="O2238" s="4"/>
      <c r="P2238" s="4"/>
      <c r="Q2238" s="4"/>
      <c r="R2238" s="4"/>
      <c r="S2238" s="4"/>
    </row>
    <row r="2239" spans="15:19" x14ac:dyDescent="0.25">
      <c r="O2239" s="4"/>
      <c r="P2239" s="4"/>
      <c r="Q2239" s="4"/>
      <c r="R2239" s="4"/>
      <c r="S2239" s="4"/>
    </row>
    <row r="2240" spans="15:19" x14ac:dyDescent="0.25">
      <c r="O2240" s="4"/>
      <c r="P2240" s="4"/>
      <c r="Q2240" s="4"/>
      <c r="R2240" s="4"/>
      <c r="S2240" s="4"/>
    </row>
    <row r="2241" spans="15:19" x14ac:dyDescent="0.25">
      <c r="O2241" s="4"/>
      <c r="P2241" s="4"/>
      <c r="Q2241" s="4"/>
      <c r="R2241" s="4"/>
      <c r="S2241" s="4"/>
    </row>
    <row r="2242" spans="15:19" x14ac:dyDescent="0.25">
      <c r="O2242" s="4"/>
      <c r="P2242" s="4"/>
      <c r="Q2242" s="4"/>
      <c r="R2242" s="4"/>
      <c r="S2242" s="4"/>
    </row>
    <row r="2243" spans="15:19" x14ac:dyDescent="0.25">
      <c r="O2243" s="4"/>
      <c r="P2243" s="4"/>
      <c r="Q2243" s="4"/>
      <c r="R2243" s="4"/>
      <c r="S2243" s="4"/>
    </row>
    <row r="2244" spans="15:19" x14ac:dyDescent="0.25">
      <c r="O2244" s="4"/>
      <c r="P2244" s="4"/>
      <c r="Q2244" s="4"/>
      <c r="R2244" s="4"/>
      <c r="S2244" s="4"/>
    </row>
    <row r="2245" spans="15:19" x14ac:dyDescent="0.25">
      <c r="O2245" s="4"/>
      <c r="P2245" s="4"/>
      <c r="Q2245" s="4"/>
      <c r="R2245" s="4"/>
      <c r="S2245" s="4"/>
    </row>
    <row r="2246" spans="15:19" x14ac:dyDescent="0.25">
      <c r="O2246" s="4"/>
      <c r="P2246" s="4"/>
      <c r="Q2246" s="4"/>
      <c r="R2246" s="4"/>
      <c r="S2246" s="4"/>
    </row>
    <row r="2247" spans="15:19" x14ac:dyDescent="0.25">
      <c r="O2247" s="4"/>
      <c r="P2247" s="4"/>
      <c r="Q2247" s="4"/>
      <c r="R2247" s="4"/>
      <c r="S2247" s="4"/>
    </row>
    <row r="2248" spans="15:19" x14ac:dyDescent="0.25">
      <c r="O2248" s="4"/>
      <c r="P2248" s="4"/>
      <c r="Q2248" s="4"/>
      <c r="R2248" s="4"/>
      <c r="S2248" s="4"/>
    </row>
    <row r="2249" spans="15:19" x14ac:dyDescent="0.25">
      <c r="O2249" s="4"/>
      <c r="P2249" s="4"/>
      <c r="Q2249" s="4"/>
      <c r="R2249" s="4"/>
      <c r="S2249" s="4"/>
    </row>
    <row r="2250" spans="15:19" x14ac:dyDescent="0.25">
      <c r="O2250" s="4"/>
      <c r="P2250" s="4"/>
      <c r="Q2250" s="4"/>
      <c r="R2250" s="4"/>
      <c r="S2250" s="4"/>
    </row>
    <row r="2251" spans="15:19" x14ac:dyDescent="0.25">
      <c r="O2251" s="4"/>
      <c r="P2251" s="4"/>
      <c r="Q2251" s="4"/>
      <c r="R2251" s="4"/>
      <c r="S2251" s="4"/>
    </row>
    <row r="2252" spans="15:19" x14ac:dyDescent="0.25">
      <c r="O2252" s="4"/>
      <c r="P2252" s="4"/>
      <c r="Q2252" s="4"/>
      <c r="R2252" s="4"/>
      <c r="S2252" s="4"/>
    </row>
    <row r="2253" spans="15:19" x14ac:dyDescent="0.25">
      <c r="O2253" s="4"/>
      <c r="P2253" s="4"/>
      <c r="Q2253" s="4"/>
      <c r="R2253" s="4"/>
      <c r="S2253" s="4"/>
    </row>
    <row r="2254" spans="15:19" x14ac:dyDescent="0.25">
      <c r="O2254" s="4"/>
      <c r="P2254" s="4"/>
      <c r="Q2254" s="4"/>
      <c r="R2254" s="4"/>
      <c r="S2254" s="4"/>
    </row>
    <row r="2255" spans="15:19" x14ac:dyDescent="0.25">
      <c r="O2255" s="4"/>
      <c r="P2255" s="4"/>
      <c r="Q2255" s="4"/>
      <c r="R2255" s="4"/>
      <c r="S2255" s="4"/>
    </row>
    <row r="2256" spans="15:19" x14ac:dyDescent="0.25">
      <c r="O2256" s="4"/>
      <c r="P2256" s="4"/>
      <c r="Q2256" s="4"/>
      <c r="R2256" s="4"/>
      <c r="S2256" s="4"/>
    </row>
    <row r="2257" spans="15:19" x14ac:dyDescent="0.25">
      <c r="O2257" s="4"/>
      <c r="P2257" s="4"/>
      <c r="Q2257" s="4"/>
      <c r="R2257" s="4"/>
      <c r="S2257" s="4"/>
    </row>
    <row r="2258" spans="15:19" x14ac:dyDescent="0.25">
      <c r="O2258" s="4"/>
      <c r="P2258" s="4"/>
      <c r="Q2258" s="4"/>
      <c r="R2258" s="4"/>
      <c r="S2258" s="4"/>
    </row>
    <row r="2259" spans="15:19" x14ac:dyDescent="0.25">
      <c r="O2259" s="4"/>
      <c r="P2259" s="4"/>
      <c r="Q2259" s="4"/>
      <c r="R2259" s="4"/>
      <c r="S2259" s="4"/>
    </row>
    <row r="2260" spans="15:19" x14ac:dyDescent="0.25">
      <c r="O2260" s="4"/>
      <c r="P2260" s="4"/>
      <c r="Q2260" s="4"/>
      <c r="R2260" s="4"/>
      <c r="S2260" s="4"/>
    </row>
    <row r="2261" spans="15:19" x14ac:dyDescent="0.25">
      <c r="O2261" s="4"/>
      <c r="P2261" s="4"/>
      <c r="Q2261" s="4"/>
      <c r="R2261" s="4"/>
      <c r="S2261" s="4"/>
    </row>
    <row r="2262" spans="15:19" x14ac:dyDescent="0.25">
      <c r="O2262" s="4"/>
      <c r="P2262" s="4"/>
      <c r="Q2262" s="4"/>
      <c r="R2262" s="4"/>
      <c r="S2262" s="4"/>
    </row>
    <row r="2263" spans="15:19" x14ac:dyDescent="0.25">
      <c r="O2263" s="4"/>
      <c r="P2263" s="4"/>
      <c r="Q2263" s="4"/>
      <c r="R2263" s="4"/>
      <c r="S2263" s="4"/>
    </row>
    <row r="2264" spans="15:19" x14ac:dyDescent="0.25">
      <c r="O2264" s="4"/>
      <c r="P2264" s="4"/>
      <c r="Q2264" s="4"/>
      <c r="R2264" s="4"/>
      <c r="S2264" s="4"/>
    </row>
    <row r="2265" spans="15:19" x14ac:dyDescent="0.25">
      <c r="O2265" s="4"/>
      <c r="P2265" s="4"/>
      <c r="Q2265" s="4"/>
      <c r="R2265" s="4"/>
      <c r="S2265" s="4"/>
    </row>
    <row r="2266" spans="15:19" x14ac:dyDescent="0.25">
      <c r="O2266" s="4"/>
      <c r="P2266" s="4"/>
      <c r="Q2266" s="4"/>
      <c r="R2266" s="4"/>
      <c r="S2266" s="4"/>
    </row>
    <row r="2267" spans="15:19" x14ac:dyDescent="0.25">
      <c r="O2267" s="4"/>
      <c r="P2267" s="4"/>
      <c r="Q2267" s="4"/>
      <c r="R2267" s="4"/>
      <c r="S2267" s="4"/>
    </row>
    <row r="2268" spans="15:19" x14ac:dyDescent="0.25">
      <c r="O2268" s="4"/>
      <c r="P2268" s="4"/>
      <c r="Q2268" s="4"/>
      <c r="R2268" s="4"/>
      <c r="S2268" s="4"/>
    </row>
    <row r="2269" spans="15:19" x14ac:dyDescent="0.25">
      <c r="O2269" s="4"/>
      <c r="P2269" s="4"/>
      <c r="Q2269" s="4"/>
      <c r="R2269" s="4"/>
      <c r="S2269" s="4"/>
    </row>
    <row r="2270" spans="15:19" x14ac:dyDescent="0.25">
      <c r="O2270" s="4"/>
      <c r="P2270" s="4"/>
      <c r="Q2270" s="4"/>
      <c r="R2270" s="4"/>
      <c r="S2270" s="4"/>
    </row>
    <row r="2271" spans="15:19" x14ac:dyDescent="0.25">
      <c r="O2271" s="4"/>
      <c r="P2271" s="4"/>
      <c r="Q2271" s="4"/>
      <c r="R2271" s="4"/>
      <c r="S2271" s="4"/>
    </row>
    <row r="2272" spans="15:19" x14ac:dyDescent="0.25">
      <c r="O2272" s="4"/>
      <c r="P2272" s="4"/>
      <c r="Q2272" s="4"/>
      <c r="R2272" s="4"/>
      <c r="S2272" s="4"/>
    </row>
    <row r="2273" spans="15:19" x14ac:dyDescent="0.25">
      <c r="O2273" s="4"/>
      <c r="P2273" s="4"/>
      <c r="Q2273" s="4"/>
      <c r="R2273" s="4"/>
      <c r="S2273" s="4"/>
    </row>
    <row r="2274" spans="15:19" x14ac:dyDescent="0.25">
      <c r="O2274" s="4"/>
      <c r="P2274" s="4"/>
      <c r="Q2274" s="4"/>
      <c r="R2274" s="4"/>
      <c r="S2274" s="4"/>
    </row>
    <row r="2275" spans="15:19" x14ac:dyDescent="0.25">
      <c r="O2275" s="4"/>
      <c r="P2275" s="4"/>
      <c r="Q2275" s="4"/>
      <c r="R2275" s="4"/>
      <c r="S2275" s="4"/>
    </row>
    <row r="2276" spans="15:19" x14ac:dyDescent="0.25">
      <c r="O2276" s="4"/>
      <c r="P2276" s="4"/>
      <c r="Q2276" s="4"/>
      <c r="R2276" s="4"/>
      <c r="S2276" s="4"/>
    </row>
    <row r="2277" spans="15:19" x14ac:dyDescent="0.25">
      <c r="O2277" s="4"/>
      <c r="P2277" s="4"/>
      <c r="Q2277" s="4"/>
      <c r="R2277" s="4"/>
      <c r="S2277" s="4"/>
    </row>
    <row r="2278" spans="15:19" x14ac:dyDescent="0.25">
      <c r="O2278" s="4"/>
      <c r="P2278" s="4"/>
      <c r="Q2278" s="4"/>
      <c r="R2278" s="4"/>
      <c r="S2278" s="4"/>
    </row>
    <row r="2279" spans="15:19" x14ac:dyDescent="0.25">
      <c r="O2279" s="4"/>
      <c r="P2279" s="4"/>
      <c r="Q2279" s="4"/>
      <c r="R2279" s="4"/>
      <c r="S2279" s="4"/>
    </row>
    <row r="2280" spans="15:19" x14ac:dyDescent="0.25">
      <c r="O2280" s="4"/>
      <c r="P2280" s="4"/>
      <c r="Q2280" s="4"/>
      <c r="R2280" s="4"/>
      <c r="S2280" s="4"/>
    </row>
    <row r="2281" spans="15:19" x14ac:dyDescent="0.25">
      <c r="O2281" s="4"/>
      <c r="P2281" s="4"/>
      <c r="Q2281" s="4"/>
      <c r="R2281" s="4"/>
      <c r="S2281" s="4"/>
    </row>
    <row r="2282" spans="15:19" x14ac:dyDescent="0.25">
      <c r="O2282" s="4"/>
      <c r="P2282" s="4"/>
      <c r="Q2282" s="4"/>
      <c r="R2282" s="4"/>
      <c r="S2282" s="4"/>
    </row>
    <row r="2283" spans="15:19" x14ac:dyDescent="0.25">
      <c r="O2283" s="4"/>
      <c r="P2283" s="4"/>
      <c r="Q2283" s="4"/>
      <c r="R2283" s="4"/>
      <c r="S2283" s="4"/>
    </row>
    <row r="2284" spans="15:19" x14ac:dyDescent="0.25">
      <c r="O2284" s="4"/>
      <c r="P2284" s="4"/>
      <c r="Q2284" s="4"/>
      <c r="R2284" s="4"/>
      <c r="S2284" s="4"/>
    </row>
    <row r="2285" spans="15:19" x14ac:dyDescent="0.25">
      <c r="O2285" s="4"/>
      <c r="P2285" s="4"/>
      <c r="Q2285" s="4"/>
      <c r="R2285" s="4"/>
      <c r="S2285" s="4"/>
    </row>
    <row r="2286" spans="15:19" x14ac:dyDescent="0.25">
      <c r="O2286" s="4"/>
      <c r="P2286" s="4"/>
      <c r="Q2286" s="4"/>
      <c r="R2286" s="4"/>
      <c r="S2286" s="4"/>
    </row>
    <row r="2287" spans="15:19" x14ac:dyDescent="0.25">
      <c r="O2287" s="4"/>
      <c r="P2287" s="4"/>
      <c r="Q2287" s="4"/>
      <c r="R2287" s="4"/>
      <c r="S2287" s="4"/>
    </row>
    <row r="2288" spans="15:19" x14ac:dyDescent="0.25">
      <c r="O2288" s="4"/>
      <c r="P2288" s="4"/>
      <c r="Q2288" s="4"/>
      <c r="R2288" s="4"/>
      <c r="S2288" s="4"/>
    </row>
    <row r="2289" spans="15:19" x14ac:dyDescent="0.25">
      <c r="O2289" s="4"/>
      <c r="P2289" s="4"/>
      <c r="Q2289" s="4"/>
      <c r="R2289" s="4"/>
      <c r="S2289" s="4"/>
    </row>
    <row r="2290" spans="15:19" x14ac:dyDescent="0.25">
      <c r="O2290" s="4"/>
      <c r="P2290" s="4"/>
      <c r="Q2290" s="4"/>
      <c r="R2290" s="4"/>
      <c r="S2290" s="4"/>
    </row>
    <row r="2291" spans="15:19" x14ac:dyDescent="0.25">
      <c r="O2291" s="4"/>
      <c r="P2291" s="4"/>
      <c r="Q2291" s="4"/>
      <c r="R2291" s="4"/>
      <c r="S2291" s="4"/>
    </row>
    <row r="2292" spans="15:19" x14ac:dyDescent="0.25">
      <c r="O2292" s="4"/>
      <c r="P2292" s="4"/>
      <c r="Q2292" s="4"/>
      <c r="R2292" s="4"/>
      <c r="S2292" s="4"/>
    </row>
    <row r="2293" spans="15:19" x14ac:dyDescent="0.25">
      <c r="O2293" s="4"/>
      <c r="P2293" s="4"/>
      <c r="Q2293" s="4"/>
      <c r="R2293" s="4"/>
      <c r="S2293" s="4"/>
    </row>
    <row r="2294" spans="15:19" x14ac:dyDescent="0.25">
      <c r="O2294" s="4"/>
      <c r="P2294" s="4"/>
      <c r="Q2294" s="4"/>
      <c r="R2294" s="4"/>
      <c r="S2294" s="4"/>
    </row>
    <row r="2295" spans="15:19" x14ac:dyDescent="0.25">
      <c r="O2295" s="4"/>
      <c r="P2295" s="4"/>
      <c r="Q2295" s="4"/>
      <c r="R2295" s="4"/>
      <c r="S2295" s="4"/>
    </row>
    <row r="2296" spans="15:19" x14ac:dyDescent="0.25">
      <c r="O2296" s="4"/>
      <c r="P2296" s="4"/>
      <c r="Q2296" s="4"/>
      <c r="R2296" s="4"/>
      <c r="S2296" s="4"/>
    </row>
    <row r="2297" spans="15:19" x14ac:dyDescent="0.25">
      <c r="O2297" s="4"/>
      <c r="P2297" s="4"/>
      <c r="Q2297" s="4"/>
      <c r="R2297" s="4"/>
      <c r="S2297" s="4"/>
    </row>
    <row r="2298" spans="15:19" x14ac:dyDescent="0.25">
      <c r="O2298" s="4"/>
      <c r="P2298" s="4"/>
      <c r="Q2298" s="4"/>
      <c r="R2298" s="4"/>
      <c r="S2298" s="4"/>
    </row>
    <row r="2299" spans="15:19" x14ac:dyDescent="0.25">
      <c r="O2299" s="4"/>
      <c r="P2299" s="4"/>
      <c r="Q2299" s="4"/>
      <c r="R2299" s="4"/>
      <c r="S2299" s="4"/>
    </row>
    <row r="2300" spans="15:19" x14ac:dyDescent="0.25">
      <c r="O2300" s="4"/>
      <c r="P2300" s="4"/>
      <c r="Q2300" s="4"/>
      <c r="R2300" s="4"/>
      <c r="S2300" s="4"/>
    </row>
    <row r="2301" spans="15:19" x14ac:dyDescent="0.25">
      <c r="O2301" s="4"/>
      <c r="P2301" s="4"/>
      <c r="Q2301" s="4"/>
      <c r="R2301" s="4"/>
      <c r="S2301" s="4"/>
    </row>
    <row r="2302" spans="15:19" x14ac:dyDescent="0.25">
      <c r="O2302" s="4"/>
      <c r="P2302" s="4"/>
      <c r="Q2302" s="4"/>
      <c r="R2302" s="4"/>
      <c r="S2302" s="4"/>
    </row>
    <row r="2303" spans="15:19" x14ac:dyDescent="0.25">
      <c r="O2303" s="4"/>
      <c r="P2303" s="4"/>
      <c r="Q2303" s="4"/>
      <c r="R2303" s="4"/>
      <c r="S2303" s="4"/>
    </row>
    <row r="2304" spans="15:19" x14ac:dyDescent="0.25">
      <c r="O2304" s="4"/>
      <c r="P2304" s="4"/>
      <c r="Q2304" s="4"/>
      <c r="R2304" s="4"/>
      <c r="S2304" s="4"/>
    </row>
    <row r="2305" spans="15:19" x14ac:dyDescent="0.25">
      <c r="O2305" s="4"/>
      <c r="P2305" s="4"/>
      <c r="Q2305" s="4"/>
      <c r="R2305" s="4"/>
      <c r="S2305" s="4"/>
    </row>
    <row r="2306" spans="15:19" x14ac:dyDescent="0.25">
      <c r="O2306" s="4"/>
      <c r="P2306" s="4"/>
      <c r="Q2306" s="4"/>
      <c r="R2306" s="4"/>
      <c r="S2306" s="4"/>
    </row>
    <row r="2307" spans="15:19" x14ac:dyDescent="0.25">
      <c r="O2307" s="4"/>
      <c r="P2307" s="4"/>
      <c r="Q2307" s="4"/>
      <c r="R2307" s="4"/>
      <c r="S2307" s="4"/>
    </row>
    <row r="2308" spans="15:19" x14ac:dyDescent="0.25">
      <c r="O2308" s="4"/>
      <c r="P2308" s="4"/>
      <c r="Q2308" s="4"/>
      <c r="R2308" s="4"/>
      <c r="S2308" s="4"/>
    </row>
    <row r="2309" spans="15:19" x14ac:dyDescent="0.25">
      <c r="O2309" s="4"/>
      <c r="P2309" s="4"/>
      <c r="Q2309" s="4"/>
      <c r="R2309" s="4"/>
      <c r="S2309" s="4"/>
    </row>
    <row r="2310" spans="15:19" x14ac:dyDescent="0.25">
      <c r="O2310" s="4"/>
      <c r="P2310" s="4"/>
      <c r="Q2310" s="4"/>
      <c r="R2310" s="4"/>
      <c r="S2310" s="4"/>
    </row>
    <row r="2311" spans="15:19" x14ac:dyDescent="0.25">
      <c r="O2311" s="4"/>
      <c r="P2311" s="4"/>
      <c r="Q2311" s="4"/>
      <c r="R2311" s="4"/>
      <c r="S2311" s="4"/>
    </row>
    <row r="2312" spans="15:19" x14ac:dyDescent="0.25">
      <c r="O2312" s="4"/>
      <c r="P2312" s="4"/>
      <c r="Q2312" s="4"/>
      <c r="R2312" s="4"/>
      <c r="S2312" s="4"/>
    </row>
    <row r="2313" spans="15:19" x14ac:dyDescent="0.25">
      <c r="O2313" s="4"/>
      <c r="P2313" s="4"/>
      <c r="Q2313" s="4"/>
      <c r="R2313" s="4"/>
      <c r="S2313" s="4"/>
    </row>
    <row r="2314" spans="15:19" x14ac:dyDescent="0.25">
      <c r="O2314" s="4"/>
      <c r="P2314" s="4"/>
      <c r="Q2314" s="4"/>
      <c r="R2314" s="4"/>
      <c r="S2314" s="4"/>
    </row>
    <row r="2315" spans="15:19" x14ac:dyDescent="0.25">
      <c r="O2315" s="4"/>
      <c r="P2315" s="4"/>
      <c r="Q2315" s="4"/>
      <c r="R2315" s="4"/>
      <c r="S2315" s="4"/>
    </row>
    <row r="2316" spans="15:19" x14ac:dyDescent="0.25">
      <c r="O2316" s="4"/>
      <c r="P2316" s="4"/>
      <c r="Q2316" s="4"/>
      <c r="R2316" s="4"/>
      <c r="S2316" s="4"/>
    </row>
    <row r="2317" spans="15:19" x14ac:dyDescent="0.25">
      <c r="O2317" s="4"/>
      <c r="P2317" s="4"/>
      <c r="Q2317" s="4"/>
      <c r="R2317" s="4"/>
      <c r="S2317" s="4"/>
    </row>
    <row r="2318" spans="15:19" x14ac:dyDescent="0.25">
      <c r="O2318" s="4"/>
      <c r="P2318" s="4"/>
      <c r="Q2318" s="4"/>
      <c r="R2318" s="4"/>
      <c r="S2318" s="4"/>
    </row>
    <row r="2319" spans="15:19" x14ac:dyDescent="0.25">
      <c r="O2319" s="4"/>
      <c r="P2319" s="4"/>
      <c r="Q2319" s="4"/>
      <c r="R2319" s="4"/>
      <c r="S2319" s="4"/>
    </row>
    <row r="2320" spans="15:19" x14ac:dyDescent="0.25">
      <c r="O2320" s="4"/>
      <c r="P2320" s="4"/>
      <c r="Q2320" s="4"/>
      <c r="R2320" s="4"/>
      <c r="S2320" s="4"/>
    </row>
    <row r="2321" spans="15:19" x14ac:dyDescent="0.25">
      <c r="O2321" s="4"/>
      <c r="P2321" s="4"/>
      <c r="Q2321" s="4"/>
      <c r="R2321" s="4"/>
      <c r="S2321" s="4"/>
    </row>
    <row r="2322" spans="15:19" x14ac:dyDescent="0.25">
      <c r="O2322" s="4"/>
      <c r="P2322" s="4"/>
      <c r="Q2322" s="4"/>
      <c r="R2322" s="4"/>
      <c r="S2322" s="4"/>
    </row>
    <row r="2323" spans="15:19" x14ac:dyDescent="0.25">
      <c r="O2323" s="4"/>
      <c r="P2323" s="4"/>
      <c r="Q2323" s="4"/>
      <c r="R2323" s="4"/>
      <c r="S2323" s="4"/>
    </row>
    <row r="2324" spans="15:19" x14ac:dyDescent="0.25">
      <c r="O2324" s="4"/>
      <c r="P2324" s="4"/>
      <c r="Q2324" s="4"/>
      <c r="R2324" s="4"/>
      <c r="S2324" s="4"/>
    </row>
    <row r="2325" spans="15:19" x14ac:dyDescent="0.25">
      <c r="O2325" s="4"/>
      <c r="P2325" s="4"/>
      <c r="Q2325" s="4"/>
      <c r="R2325" s="4"/>
      <c r="S2325" s="4"/>
    </row>
    <row r="2326" spans="15:19" x14ac:dyDescent="0.25">
      <c r="O2326" s="4"/>
      <c r="P2326" s="4"/>
      <c r="Q2326" s="4"/>
      <c r="R2326" s="4"/>
      <c r="S2326" s="4"/>
    </row>
    <row r="2327" spans="15:19" x14ac:dyDescent="0.25">
      <c r="O2327" s="4"/>
      <c r="P2327" s="4"/>
      <c r="Q2327" s="4"/>
      <c r="R2327" s="4"/>
      <c r="S2327" s="4"/>
    </row>
    <row r="2328" spans="15:19" x14ac:dyDescent="0.25">
      <c r="O2328" s="4"/>
      <c r="P2328" s="4"/>
      <c r="Q2328" s="4"/>
      <c r="R2328" s="4"/>
      <c r="S2328" s="4"/>
    </row>
    <row r="2329" spans="15:19" x14ac:dyDescent="0.25">
      <c r="O2329" s="4"/>
      <c r="P2329" s="4"/>
      <c r="Q2329" s="4"/>
      <c r="R2329" s="4"/>
      <c r="S2329" s="4"/>
    </row>
    <row r="2330" spans="15:19" x14ac:dyDescent="0.25">
      <c r="O2330" s="4"/>
      <c r="P2330" s="4"/>
      <c r="Q2330" s="4"/>
      <c r="R2330" s="4"/>
      <c r="S2330" s="4"/>
    </row>
    <row r="2331" spans="15:19" x14ac:dyDescent="0.25">
      <c r="O2331" s="4"/>
      <c r="P2331" s="4"/>
      <c r="Q2331" s="4"/>
      <c r="R2331" s="4"/>
      <c r="S2331" s="4"/>
    </row>
    <row r="2332" spans="15:19" x14ac:dyDescent="0.25">
      <c r="O2332" s="4"/>
      <c r="P2332" s="4"/>
      <c r="Q2332" s="4"/>
      <c r="R2332" s="4"/>
      <c r="S2332" s="4"/>
    </row>
    <row r="2333" spans="15:19" x14ac:dyDescent="0.25">
      <c r="O2333" s="4"/>
      <c r="P2333" s="4"/>
      <c r="Q2333" s="4"/>
      <c r="R2333" s="4"/>
      <c r="S2333" s="4"/>
    </row>
    <row r="2334" spans="15:19" x14ac:dyDescent="0.25">
      <c r="O2334" s="4"/>
      <c r="P2334" s="4"/>
      <c r="Q2334" s="4"/>
      <c r="R2334" s="4"/>
      <c r="S2334" s="4"/>
    </row>
    <row r="2335" spans="15:19" x14ac:dyDescent="0.25">
      <c r="O2335" s="4"/>
      <c r="P2335" s="4"/>
      <c r="Q2335" s="4"/>
      <c r="R2335" s="4"/>
      <c r="S2335" s="4"/>
    </row>
    <row r="2336" spans="15:19" x14ac:dyDescent="0.25">
      <c r="O2336" s="4"/>
      <c r="P2336" s="4"/>
      <c r="Q2336" s="4"/>
      <c r="R2336" s="4"/>
      <c r="S2336" s="4"/>
    </row>
    <row r="2337" spans="15:19" x14ac:dyDescent="0.25">
      <c r="O2337" s="4"/>
      <c r="P2337" s="4"/>
      <c r="Q2337" s="4"/>
      <c r="R2337" s="4"/>
      <c r="S2337" s="4"/>
    </row>
    <row r="2338" spans="15:19" x14ac:dyDescent="0.25">
      <c r="O2338" s="4"/>
      <c r="P2338" s="4"/>
      <c r="Q2338" s="4"/>
      <c r="R2338" s="4"/>
      <c r="S2338" s="4"/>
    </row>
    <row r="2339" spans="15:19" x14ac:dyDescent="0.25">
      <c r="O2339" s="4"/>
      <c r="P2339" s="4"/>
      <c r="Q2339" s="4"/>
      <c r="R2339" s="4"/>
      <c r="S2339" s="4"/>
    </row>
    <row r="2340" spans="15:19" x14ac:dyDescent="0.25">
      <c r="O2340" s="4"/>
      <c r="P2340" s="4"/>
      <c r="Q2340" s="4"/>
      <c r="R2340" s="4"/>
      <c r="S2340" s="4"/>
    </row>
    <row r="2341" spans="15:19" x14ac:dyDescent="0.25">
      <c r="O2341" s="4"/>
      <c r="P2341" s="4"/>
      <c r="Q2341" s="4"/>
      <c r="R2341" s="4"/>
      <c r="S2341" s="4"/>
    </row>
    <row r="2342" spans="15:19" x14ac:dyDescent="0.25">
      <c r="O2342" s="4"/>
      <c r="P2342" s="4"/>
      <c r="Q2342" s="4"/>
      <c r="R2342" s="4"/>
      <c r="S2342" s="4"/>
    </row>
    <row r="2343" spans="15:19" x14ac:dyDescent="0.25">
      <c r="O2343" s="4"/>
      <c r="P2343" s="4"/>
      <c r="Q2343" s="4"/>
      <c r="R2343" s="4"/>
      <c r="S2343" s="4"/>
    </row>
    <row r="2344" spans="15:19" x14ac:dyDescent="0.25">
      <c r="O2344" s="4"/>
      <c r="P2344" s="4"/>
      <c r="Q2344" s="4"/>
      <c r="R2344" s="4"/>
      <c r="S2344" s="4"/>
    </row>
    <row r="2345" spans="15:19" x14ac:dyDescent="0.25">
      <c r="O2345" s="4"/>
      <c r="P2345" s="4"/>
      <c r="Q2345" s="4"/>
      <c r="R2345" s="4"/>
      <c r="S2345" s="4"/>
    </row>
    <row r="2346" spans="15:19" x14ac:dyDescent="0.25">
      <c r="O2346" s="4"/>
      <c r="P2346" s="4"/>
      <c r="Q2346" s="4"/>
      <c r="R2346" s="4"/>
      <c r="S2346" s="4"/>
    </row>
    <row r="2347" spans="15:19" x14ac:dyDescent="0.25">
      <c r="O2347" s="4"/>
      <c r="P2347" s="4"/>
      <c r="Q2347" s="4"/>
      <c r="R2347" s="4"/>
      <c r="S2347" s="4"/>
    </row>
    <row r="2348" spans="15:19" x14ac:dyDescent="0.25">
      <c r="O2348" s="4"/>
      <c r="P2348" s="4"/>
      <c r="Q2348" s="4"/>
      <c r="R2348" s="4"/>
      <c r="S2348" s="4"/>
    </row>
    <row r="2349" spans="15:19" x14ac:dyDescent="0.25">
      <c r="O2349" s="4"/>
      <c r="P2349" s="4"/>
      <c r="Q2349" s="4"/>
      <c r="R2349" s="4"/>
      <c r="S2349" s="4"/>
    </row>
    <row r="2350" spans="15:19" x14ac:dyDescent="0.25">
      <c r="O2350" s="4"/>
      <c r="P2350" s="4"/>
      <c r="Q2350" s="4"/>
      <c r="R2350" s="4"/>
      <c r="S2350" s="4"/>
    </row>
    <row r="2351" spans="15:19" x14ac:dyDescent="0.25">
      <c r="O2351" s="4"/>
      <c r="P2351" s="4"/>
      <c r="Q2351" s="4"/>
      <c r="R2351" s="4"/>
      <c r="S2351" s="4"/>
    </row>
    <row r="2352" spans="15:19" x14ac:dyDescent="0.25">
      <c r="O2352" s="4"/>
      <c r="P2352" s="4"/>
      <c r="Q2352" s="4"/>
      <c r="R2352" s="4"/>
      <c r="S2352" s="4"/>
    </row>
    <row r="2353" spans="15:19" x14ac:dyDescent="0.25">
      <c r="O2353" s="4"/>
      <c r="P2353" s="4"/>
      <c r="Q2353" s="4"/>
      <c r="R2353" s="4"/>
      <c r="S2353" s="4"/>
    </row>
    <row r="2354" spans="15:19" x14ac:dyDescent="0.25">
      <c r="O2354" s="4"/>
      <c r="P2354" s="4"/>
      <c r="Q2354" s="4"/>
      <c r="R2354" s="4"/>
      <c r="S2354" s="4"/>
    </row>
    <row r="2355" spans="15:19" x14ac:dyDescent="0.25">
      <c r="O2355" s="4"/>
      <c r="P2355" s="4"/>
      <c r="Q2355" s="4"/>
      <c r="R2355" s="4"/>
      <c r="S2355" s="4"/>
    </row>
    <row r="2356" spans="15:19" x14ac:dyDescent="0.25">
      <c r="O2356" s="4"/>
      <c r="P2356" s="4"/>
      <c r="Q2356" s="4"/>
      <c r="R2356" s="4"/>
      <c r="S2356" s="4"/>
    </row>
    <row r="2357" spans="15:19" x14ac:dyDescent="0.25">
      <c r="O2357" s="4"/>
      <c r="P2357" s="4"/>
      <c r="Q2357" s="4"/>
      <c r="R2357" s="4"/>
      <c r="S2357" s="4"/>
    </row>
    <row r="2358" spans="15:19" x14ac:dyDescent="0.25">
      <c r="O2358" s="4"/>
      <c r="P2358" s="4"/>
      <c r="Q2358" s="4"/>
      <c r="R2358" s="4"/>
      <c r="S2358" s="4"/>
    </row>
    <row r="2359" spans="15:19" x14ac:dyDescent="0.25">
      <c r="O2359" s="4"/>
      <c r="P2359" s="4"/>
      <c r="Q2359" s="4"/>
      <c r="R2359" s="4"/>
      <c r="S2359" s="4"/>
    </row>
    <row r="2360" spans="15:19" x14ac:dyDescent="0.25">
      <c r="O2360" s="4"/>
      <c r="P2360" s="4"/>
      <c r="Q2360" s="4"/>
      <c r="R2360" s="4"/>
      <c r="S2360" s="4"/>
    </row>
    <row r="2361" spans="15:19" x14ac:dyDescent="0.25">
      <c r="O2361" s="4"/>
      <c r="P2361" s="4"/>
      <c r="Q2361" s="4"/>
      <c r="R2361" s="4"/>
      <c r="S2361" s="4"/>
    </row>
    <row r="2362" spans="15:19" x14ac:dyDescent="0.25">
      <c r="O2362" s="4"/>
      <c r="P2362" s="4"/>
      <c r="Q2362" s="4"/>
      <c r="R2362" s="4"/>
      <c r="S2362" s="4"/>
    </row>
    <row r="2363" spans="15:19" x14ac:dyDescent="0.25">
      <c r="O2363" s="4"/>
      <c r="P2363" s="4"/>
      <c r="Q2363" s="4"/>
      <c r="R2363" s="4"/>
      <c r="S2363" s="4"/>
    </row>
    <row r="2364" spans="15:19" x14ac:dyDescent="0.25">
      <c r="O2364" s="4"/>
      <c r="P2364" s="4"/>
      <c r="Q2364" s="4"/>
      <c r="R2364" s="4"/>
      <c r="S2364" s="4"/>
    </row>
    <row r="2365" spans="15:19" x14ac:dyDescent="0.25">
      <c r="O2365" s="4"/>
      <c r="P2365" s="4"/>
      <c r="Q2365" s="4"/>
      <c r="R2365" s="4"/>
      <c r="S2365" s="4"/>
    </row>
    <row r="2366" spans="15:19" x14ac:dyDescent="0.25">
      <c r="O2366" s="4"/>
      <c r="P2366" s="4"/>
      <c r="Q2366" s="4"/>
      <c r="R2366" s="4"/>
      <c r="S2366" s="4"/>
    </row>
    <row r="2367" spans="15:19" x14ac:dyDescent="0.25">
      <c r="O2367" s="4"/>
      <c r="P2367" s="4"/>
      <c r="Q2367" s="4"/>
      <c r="R2367" s="4"/>
      <c r="S2367" s="4"/>
    </row>
    <row r="2368" spans="15:19" x14ac:dyDescent="0.25">
      <c r="O2368" s="4"/>
      <c r="P2368" s="4"/>
      <c r="Q2368" s="4"/>
      <c r="R2368" s="4"/>
      <c r="S2368" s="4"/>
    </row>
    <row r="2369" spans="15:19" x14ac:dyDescent="0.25">
      <c r="O2369" s="4"/>
      <c r="P2369" s="4"/>
      <c r="Q2369" s="4"/>
      <c r="R2369" s="4"/>
      <c r="S2369" s="4"/>
    </row>
    <row r="2370" spans="15:19" x14ac:dyDescent="0.25">
      <c r="O2370" s="4"/>
      <c r="P2370" s="4"/>
      <c r="Q2370" s="4"/>
      <c r="R2370" s="4"/>
      <c r="S2370" s="4"/>
    </row>
    <row r="2371" spans="15:19" x14ac:dyDescent="0.25">
      <c r="O2371" s="4"/>
      <c r="P2371" s="4"/>
      <c r="Q2371" s="4"/>
      <c r="R2371" s="4"/>
      <c r="S2371" s="4"/>
    </row>
    <row r="2372" spans="15:19" x14ac:dyDescent="0.25">
      <c r="O2372" s="4"/>
      <c r="P2372" s="4"/>
      <c r="Q2372" s="4"/>
      <c r="R2372" s="4"/>
      <c r="S2372" s="4"/>
    </row>
    <row r="2373" spans="15:19" x14ac:dyDescent="0.25">
      <c r="O2373" s="4"/>
      <c r="P2373" s="4"/>
      <c r="Q2373" s="4"/>
      <c r="R2373" s="4"/>
      <c r="S2373" s="4"/>
    </row>
    <row r="2374" spans="15:19" x14ac:dyDescent="0.25">
      <c r="O2374" s="4"/>
      <c r="P2374" s="4"/>
      <c r="Q2374" s="4"/>
      <c r="R2374" s="4"/>
      <c r="S2374" s="4"/>
    </row>
    <row r="2375" spans="15:19" x14ac:dyDescent="0.25">
      <c r="O2375" s="4"/>
      <c r="P2375" s="4"/>
      <c r="Q2375" s="4"/>
      <c r="R2375" s="4"/>
      <c r="S2375" s="4"/>
    </row>
    <row r="2376" spans="15:19" x14ac:dyDescent="0.25">
      <c r="O2376" s="4"/>
      <c r="P2376" s="4"/>
      <c r="Q2376" s="4"/>
      <c r="R2376" s="4"/>
      <c r="S2376" s="4"/>
    </row>
    <row r="2377" spans="15:19" x14ac:dyDescent="0.25">
      <c r="O2377" s="4"/>
      <c r="P2377" s="4"/>
      <c r="Q2377" s="4"/>
      <c r="R2377" s="4"/>
      <c r="S2377" s="4"/>
    </row>
    <row r="2378" spans="15:19" x14ac:dyDescent="0.25">
      <c r="O2378" s="4"/>
      <c r="P2378" s="4"/>
      <c r="Q2378" s="4"/>
      <c r="R2378" s="4"/>
      <c r="S2378" s="4"/>
    </row>
    <row r="2379" spans="15:19" x14ac:dyDescent="0.25">
      <c r="O2379" s="4"/>
      <c r="P2379" s="4"/>
      <c r="Q2379" s="4"/>
      <c r="R2379" s="4"/>
      <c r="S2379" s="4"/>
    </row>
    <row r="2380" spans="15:19" x14ac:dyDescent="0.25">
      <c r="O2380" s="4"/>
      <c r="P2380" s="4"/>
      <c r="Q2380" s="4"/>
      <c r="R2380" s="4"/>
      <c r="S2380" s="4"/>
    </row>
    <row r="2381" spans="15:19" x14ac:dyDescent="0.25">
      <c r="O2381" s="4"/>
      <c r="P2381" s="4"/>
      <c r="Q2381" s="4"/>
      <c r="R2381" s="4"/>
      <c r="S2381" s="4"/>
    </row>
    <row r="2382" spans="15:19" x14ac:dyDescent="0.25">
      <c r="O2382" s="4"/>
      <c r="P2382" s="4"/>
      <c r="Q2382" s="4"/>
      <c r="R2382" s="4"/>
      <c r="S2382" s="4"/>
    </row>
    <row r="2383" spans="15:19" x14ac:dyDescent="0.25">
      <c r="O2383" s="4"/>
      <c r="P2383" s="4"/>
      <c r="Q2383" s="4"/>
      <c r="R2383" s="4"/>
      <c r="S2383" s="4"/>
    </row>
    <row r="2384" spans="15:19" x14ac:dyDescent="0.25">
      <c r="O2384" s="4"/>
      <c r="P2384" s="4"/>
      <c r="Q2384" s="4"/>
      <c r="R2384" s="4"/>
      <c r="S2384" s="4"/>
    </row>
    <row r="2385" spans="15:19" x14ac:dyDescent="0.25">
      <c r="O2385" s="4"/>
      <c r="P2385" s="4"/>
      <c r="Q2385" s="4"/>
      <c r="R2385" s="4"/>
      <c r="S2385" s="4"/>
    </row>
    <row r="2386" spans="15:19" x14ac:dyDescent="0.25">
      <c r="O2386" s="4"/>
      <c r="P2386" s="4"/>
      <c r="Q2386" s="4"/>
      <c r="R2386" s="4"/>
      <c r="S2386" s="4"/>
    </row>
    <row r="2387" spans="15:19" x14ac:dyDescent="0.25">
      <c r="O2387" s="4"/>
      <c r="P2387" s="4"/>
      <c r="Q2387" s="4"/>
      <c r="R2387" s="4"/>
      <c r="S2387" s="4"/>
    </row>
    <row r="2388" spans="15:19" x14ac:dyDescent="0.25">
      <c r="O2388" s="4"/>
      <c r="P2388" s="4"/>
      <c r="Q2388" s="4"/>
      <c r="R2388" s="4"/>
      <c r="S2388" s="4"/>
    </row>
    <row r="2389" spans="15:19" x14ac:dyDescent="0.25">
      <c r="O2389" s="4"/>
      <c r="P2389" s="4"/>
      <c r="Q2389" s="4"/>
      <c r="R2389" s="4"/>
      <c r="S2389" s="4"/>
    </row>
    <row r="2390" spans="15:19" x14ac:dyDescent="0.25">
      <c r="O2390" s="4"/>
      <c r="P2390" s="4"/>
      <c r="Q2390" s="4"/>
      <c r="R2390" s="4"/>
      <c r="S2390" s="4"/>
    </row>
    <row r="2391" spans="15:19" x14ac:dyDescent="0.25">
      <c r="O2391" s="4"/>
      <c r="P2391" s="4"/>
      <c r="Q2391" s="4"/>
      <c r="R2391" s="4"/>
      <c r="S2391" s="4"/>
    </row>
    <row r="2392" spans="15:19" x14ac:dyDescent="0.25">
      <c r="O2392" s="4"/>
      <c r="P2392" s="4"/>
      <c r="Q2392" s="4"/>
      <c r="R2392" s="4"/>
      <c r="S2392" s="4"/>
    </row>
    <row r="2393" spans="15:19" x14ac:dyDescent="0.25">
      <c r="O2393" s="4"/>
      <c r="P2393" s="4"/>
      <c r="Q2393" s="4"/>
      <c r="R2393" s="4"/>
      <c r="S2393" s="4"/>
    </row>
    <row r="2394" spans="15:19" x14ac:dyDescent="0.25">
      <c r="O2394" s="4"/>
      <c r="P2394" s="4"/>
      <c r="Q2394" s="4"/>
      <c r="R2394" s="4"/>
      <c r="S2394" s="4"/>
    </row>
    <row r="2395" spans="15:19" x14ac:dyDescent="0.25">
      <c r="O2395" s="4"/>
      <c r="P2395" s="4"/>
      <c r="Q2395" s="4"/>
      <c r="R2395" s="4"/>
      <c r="S2395" s="4"/>
    </row>
    <row r="2396" spans="15:19" x14ac:dyDescent="0.25">
      <c r="O2396" s="4"/>
      <c r="P2396" s="4"/>
      <c r="Q2396" s="4"/>
      <c r="R2396" s="4"/>
      <c r="S2396" s="4"/>
    </row>
    <row r="2397" spans="15:19" x14ac:dyDescent="0.25">
      <c r="O2397" s="4"/>
      <c r="P2397" s="4"/>
      <c r="Q2397" s="4"/>
      <c r="R2397" s="4"/>
      <c r="S2397" s="4"/>
    </row>
    <row r="2398" spans="15:19" x14ac:dyDescent="0.25">
      <c r="O2398" s="4"/>
      <c r="P2398" s="4"/>
      <c r="Q2398" s="4"/>
      <c r="R2398" s="4"/>
      <c r="S2398" s="4"/>
    </row>
    <row r="2399" spans="15:19" x14ac:dyDescent="0.25">
      <c r="O2399" s="4"/>
      <c r="P2399" s="4"/>
      <c r="Q2399" s="4"/>
      <c r="R2399" s="4"/>
      <c r="S2399" s="4"/>
    </row>
    <row r="2400" spans="15:19" x14ac:dyDescent="0.25">
      <c r="O2400" s="4"/>
      <c r="P2400" s="4"/>
      <c r="Q2400" s="4"/>
      <c r="R2400" s="4"/>
      <c r="S2400" s="4"/>
    </row>
    <row r="2401" spans="15:19" x14ac:dyDescent="0.25">
      <c r="O2401" s="4"/>
      <c r="P2401" s="4"/>
      <c r="Q2401" s="4"/>
      <c r="R2401" s="4"/>
      <c r="S2401" s="4"/>
    </row>
    <row r="2402" spans="15:19" x14ac:dyDescent="0.25">
      <c r="O2402" s="4"/>
      <c r="P2402" s="4"/>
      <c r="Q2402" s="4"/>
      <c r="R2402" s="4"/>
      <c r="S2402" s="4"/>
    </row>
    <row r="2403" spans="15:19" x14ac:dyDescent="0.25">
      <c r="O2403" s="4"/>
      <c r="P2403" s="4"/>
      <c r="Q2403" s="4"/>
      <c r="R2403" s="4"/>
      <c r="S2403" s="4"/>
    </row>
    <row r="2404" spans="15:19" x14ac:dyDescent="0.25">
      <c r="O2404" s="4"/>
      <c r="P2404" s="4"/>
      <c r="Q2404" s="4"/>
      <c r="R2404" s="4"/>
      <c r="S2404" s="4"/>
    </row>
    <row r="2405" spans="15:19" x14ac:dyDescent="0.25">
      <c r="O2405" s="4"/>
      <c r="P2405" s="4"/>
      <c r="Q2405" s="4"/>
      <c r="R2405" s="4"/>
      <c r="S2405" s="4"/>
    </row>
    <row r="2406" spans="15:19" x14ac:dyDescent="0.25">
      <c r="O2406" s="4"/>
      <c r="P2406" s="4"/>
      <c r="Q2406" s="4"/>
      <c r="R2406" s="4"/>
      <c r="S2406" s="4"/>
    </row>
    <row r="2407" spans="15:19" x14ac:dyDescent="0.25">
      <c r="O2407" s="4"/>
      <c r="P2407" s="4"/>
      <c r="Q2407" s="4"/>
      <c r="R2407" s="4"/>
      <c r="S2407" s="4"/>
    </row>
    <row r="2408" spans="15:19" x14ac:dyDescent="0.25">
      <c r="O2408" s="4"/>
      <c r="P2408" s="4"/>
      <c r="Q2408" s="4"/>
      <c r="R2408" s="4"/>
      <c r="S2408" s="4"/>
    </row>
    <row r="2409" spans="15:19" x14ac:dyDescent="0.25">
      <c r="O2409" s="4"/>
      <c r="P2409" s="4"/>
      <c r="Q2409" s="4"/>
      <c r="R2409" s="4"/>
      <c r="S2409" s="4"/>
    </row>
    <row r="2410" spans="15:19" x14ac:dyDescent="0.25">
      <c r="O2410" s="4"/>
      <c r="P2410" s="4"/>
      <c r="Q2410" s="4"/>
      <c r="R2410" s="4"/>
      <c r="S2410" s="4"/>
    </row>
    <row r="2411" spans="15:19" x14ac:dyDescent="0.25">
      <c r="O2411" s="4"/>
      <c r="P2411" s="4"/>
      <c r="Q2411" s="4"/>
      <c r="R2411" s="4"/>
      <c r="S2411" s="4"/>
    </row>
    <row r="2412" spans="15:19" x14ac:dyDescent="0.25">
      <c r="O2412" s="4"/>
      <c r="P2412" s="4"/>
      <c r="Q2412" s="4"/>
      <c r="R2412" s="4"/>
      <c r="S2412" s="4"/>
    </row>
    <row r="2413" spans="15:19" x14ac:dyDescent="0.25">
      <c r="O2413" s="4"/>
      <c r="P2413" s="4"/>
      <c r="Q2413" s="4"/>
      <c r="R2413" s="4"/>
      <c r="S2413" s="4"/>
    </row>
    <row r="2414" spans="15:19" x14ac:dyDescent="0.25">
      <c r="O2414" s="4"/>
      <c r="P2414" s="4"/>
      <c r="Q2414" s="4"/>
      <c r="R2414" s="4"/>
      <c r="S2414" s="4"/>
    </row>
    <row r="2415" spans="15:19" x14ac:dyDescent="0.25">
      <c r="O2415" s="4"/>
      <c r="P2415" s="4"/>
      <c r="Q2415" s="4"/>
      <c r="R2415" s="4"/>
      <c r="S2415" s="4"/>
    </row>
    <row r="2416" spans="15:19" x14ac:dyDescent="0.25">
      <c r="O2416" s="4"/>
      <c r="P2416" s="4"/>
      <c r="Q2416" s="4"/>
      <c r="R2416" s="4"/>
      <c r="S2416" s="4"/>
    </row>
    <row r="2417" spans="15:19" x14ac:dyDescent="0.25">
      <c r="O2417" s="4"/>
      <c r="P2417" s="4"/>
      <c r="Q2417" s="4"/>
      <c r="R2417" s="4"/>
      <c r="S2417" s="4"/>
    </row>
    <row r="2418" spans="15:19" x14ac:dyDescent="0.25">
      <c r="O2418" s="4"/>
      <c r="P2418" s="4"/>
      <c r="Q2418" s="4"/>
      <c r="R2418" s="4"/>
      <c r="S2418" s="4"/>
    </row>
    <row r="2419" spans="15:19" x14ac:dyDescent="0.25">
      <c r="O2419" s="4"/>
      <c r="P2419" s="4"/>
      <c r="Q2419" s="4"/>
      <c r="R2419" s="4"/>
      <c r="S2419" s="4"/>
    </row>
    <row r="2420" spans="15:19" x14ac:dyDescent="0.25">
      <c r="O2420" s="4"/>
      <c r="P2420" s="4"/>
      <c r="Q2420" s="4"/>
      <c r="R2420" s="4"/>
      <c r="S2420" s="4"/>
    </row>
    <row r="2421" spans="15:19" x14ac:dyDescent="0.25">
      <c r="O2421" s="4"/>
      <c r="P2421" s="4"/>
      <c r="Q2421" s="4"/>
      <c r="R2421" s="4"/>
      <c r="S2421" s="4"/>
    </row>
    <row r="2422" spans="15:19" x14ac:dyDescent="0.25">
      <c r="O2422" s="4"/>
      <c r="P2422" s="4"/>
      <c r="Q2422" s="4"/>
      <c r="R2422" s="4"/>
      <c r="S2422" s="4"/>
    </row>
    <row r="2423" spans="15:19" x14ac:dyDescent="0.25">
      <c r="O2423" s="4"/>
      <c r="P2423" s="4"/>
      <c r="Q2423" s="4"/>
      <c r="R2423" s="4"/>
      <c r="S2423" s="4"/>
    </row>
    <row r="2424" spans="15:19" x14ac:dyDescent="0.25">
      <c r="O2424" s="4"/>
      <c r="P2424" s="4"/>
      <c r="Q2424" s="4"/>
      <c r="R2424" s="4"/>
      <c r="S2424" s="4"/>
    </row>
    <row r="2425" spans="15:19" x14ac:dyDescent="0.25">
      <c r="O2425" s="4"/>
      <c r="P2425" s="4"/>
      <c r="Q2425" s="4"/>
      <c r="R2425" s="4"/>
      <c r="S2425" s="4"/>
    </row>
    <row r="2426" spans="15:19" x14ac:dyDescent="0.25">
      <c r="O2426" s="4"/>
      <c r="P2426" s="4"/>
      <c r="Q2426" s="4"/>
      <c r="R2426" s="4"/>
      <c r="S2426" s="4"/>
    </row>
    <row r="2427" spans="15:19" x14ac:dyDescent="0.25">
      <c r="O2427" s="4"/>
      <c r="P2427" s="4"/>
      <c r="Q2427" s="4"/>
      <c r="R2427" s="4"/>
      <c r="S2427" s="4"/>
    </row>
    <row r="2428" spans="15:19" x14ac:dyDescent="0.25">
      <c r="O2428" s="4"/>
      <c r="P2428" s="4"/>
      <c r="Q2428" s="4"/>
      <c r="R2428" s="4"/>
      <c r="S2428" s="4"/>
    </row>
    <row r="2429" spans="15:19" x14ac:dyDescent="0.25">
      <c r="O2429" s="4"/>
      <c r="P2429" s="4"/>
      <c r="Q2429" s="4"/>
      <c r="R2429" s="4"/>
      <c r="S2429" s="4"/>
    </row>
    <row r="2430" spans="15:19" x14ac:dyDescent="0.25">
      <c r="O2430" s="4"/>
      <c r="P2430" s="4"/>
      <c r="Q2430" s="4"/>
      <c r="R2430" s="4"/>
      <c r="S2430" s="4"/>
    </row>
    <row r="2431" spans="15:19" x14ac:dyDescent="0.25">
      <c r="O2431" s="4"/>
      <c r="P2431" s="4"/>
      <c r="Q2431" s="4"/>
      <c r="R2431" s="4"/>
      <c r="S2431" s="4"/>
    </row>
    <row r="2432" spans="15:19" x14ac:dyDescent="0.25">
      <c r="O2432" s="4"/>
      <c r="P2432" s="4"/>
      <c r="Q2432" s="4"/>
      <c r="R2432" s="4"/>
      <c r="S2432" s="4"/>
    </row>
    <row r="2433" spans="15:19" x14ac:dyDescent="0.25">
      <c r="O2433" s="4"/>
      <c r="P2433" s="4"/>
      <c r="Q2433" s="4"/>
      <c r="R2433" s="4"/>
      <c r="S2433" s="4"/>
    </row>
    <row r="2434" spans="15:19" x14ac:dyDescent="0.25">
      <c r="O2434" s="4"/>
      <c r="P2434" s="4"/>
      <c r="Q2434" s="4"/>
      <c r="R2434" s="4"/>
      <c r="S2434" s="4"/>
    </row>
    <row r="2435" spans="15:19" x14ac:dyDescent="0.25">
      <c r="O2435" s="4"/>
      <c r="P2435" s="4"/>
      <c r="Q2435" s="4"/>
      <c r="R2435" s="4"/>
      <c r="S2435" s="4"/>
    </row>
    <row r="2436" spans="15:19" x14ac:dyDescent="0.25">
      <c r="O2436" s="4"/>
      <c r="P2436" s="4"/>
      <c r="Q2436" s="4"/>
      <c r="R2436" s="4"/>
      <c r="S2436" s="4"/>
    </row>
    <row r="2437" spans="15:19" x14ac:dyDescent="0.25">
      <c r="O2437" s="4"/>
      <c r="P2437" s="4"/>
      <c r="Q2437" s="4"/>
      <c r="R2437" s="4"/>
      <c r="S2437" s="4"/>
    </row>
    <row r="2438" spans="15:19" x14ac:dyDescent="0.25">
      <c r="O2438" s="4"/>
      <c r="P2438" s="4"/>
      <c r="Q2438" s="4"/>
      <c r="R2438" s="4"/>
      <c r="S2438" s="4"/>
    </row>
    <row r="2439" spans="15:19" x14ac:dyDescent="0.25">
      <c r="O2439" s="4"/>
      <c r="P2439" s="4"/>
      <c r="Q2439" s="4"/>
      <c r="R2439" s="4"/>
      <c r="S2439" s="4"/>
    </row>
    <row r="2440" spans="15:19" x14ac:dyDescent="0.25">
      <c r="O2440" s="4"/>
      <c r="P2440" s="4"/>
      <c r="Q2440" s="4"/>
      <c r="R2440" s="4"/>
      <c r="S2440" s="4"/>
    </row>
    <row r="2441" spans="15:19" x14ac:dyDescent="0.25">
      <c r="O2441" s="4"/>
      <c r="P2441" s="4"/>
      <c r="Q2441" s="4"/>
      <c r="R2441" s="4"/>
      <c r="S2441" s="4"/>
    </row>
    <row r="2442" spans="15:19" x14ac:dyDescent="0.25">
      <c r="O2442" s="4"/>
      <c r="P2442" s="4"/>
      <c r="Q2442" s="4"/>
      <c r="R2442" s="4"/>
      <c r="S2442" s="4"/>
    </row>
    <row r="2443" spans="15:19" x14ac:dyDescent="0.25">
      <c r="O2443" s="4"/>
      <c r="P2443" s="4"/>
      <c r="Q2443" s="4"/>
      <c r="R2443" s="4"/>
      <c r="S2443" s="4"/>
    </row>
    <row r="2444" spans="15:19" x14ac:dyDescent="0.25">
      <c r="O2444" s="4"/>
      <c r="P2444" s="4"/>
      <c r="Q2444" s="4"/>
      <c r="R2444" s="4"/>
      <c r="S2444" s="4"/>
    </row>
    <row r="2445" spans="15:19" x14ac:dyDescent="0.25">
      <c r="O2445" s="4"/>
      <c r="P2445" s="4"/>
      <c r="Q2445" s="4"/>
      <c r="R2445" s="4"/>
      <c r="S2445" s="4"/>
    </row>
    <row r="2446" spans="15:19" x14ac:dyDescent="0.25">
      <c r="O2446" s="4"/>
      <c r="P2446" s="4"/>
      <c r="Q2446" s="4"/>
      <c r="R2446" s="4"/>
      <c r="S2446" s="4"/>
    </row>
    <row r="2447" spans="15:19" x14ac:dyDescent="0.25">
      <c r="O2447" s="4"/>
      <c r="P2447" s="4"/>
      <c r="Q2447" s="4"/>
      <c r="R2447" s="4"/>
      <c r="S2447" s="4"/>
    </row>
    <row r="2448" spans="15:19" x14ac:dyDescent="0.25">
      <c r="O2448" s="4"/>
      <c r="P2448" s="4"/>
      <c r="Q2448" s="4"/>
      <c r="R2448" s="4"/>
      <c r="S2448" s="4"/>
    </row>
    <row r="2449" spans="15:19" x14ac:dyDescent="0.25">
      <c r="O2449" s="4"/>
      <c r="P2449" s="4"/>
      <c r="Q2449" s="4"/>
      <c r="R2449" s="4"/>
      <c r="S2449" s="4"/>
    </row>
    <row r="2450" spans="15:19" x14ac:dyDescent="0.25">
      <c r="O2450" s="4"/>
      <c r="P2450" s="4"/>
      <c r="Q2450" s="4"/>
      <c r="R2450" s="4"/>
      <c r="S2450" s="4"/>
    </row>
    <row r="2451" spans="15:19" x14ac:dyDescent="0.25">
      <c r="O2451" s="4"/>
      <c r="P2451" s="4"/>
      <c r="Q2451" s="4"/>
      <c r="R2451" s="4"/>
      <c r="S2451" s="4"/>
    </row>
    <row r="2452" spans="15:19" x14ac:dyDescent="0.25">
      <c r="O2452" s="4"/>
      <c r="P2452" s="4"/>
      <c r="Q2452" s="4"/>
      <c r="R2452" s="4"/>
      <c r="S2452" s="4"/>
    </row>
    <row r="2453" spans="15:19" x14ac:dyDescent="0.25">
      <c r="O2453" s="4"/>
      <c r="P2453" s="4"/>
      <c r="Q2453" s="4"/>
      <c r="R2453" s="4"/>
      <c r="S2453" s="4"/>
    </row>
    <row r="2454" spans="15:19" x14ac:dyDescent="0.25">
      <c r="O2454" s="4"/>
      <c r="P2454" s="4"/>
      <c r="Q2454" s="4"/>
      <c r="R2454" s="4"/>
      <c r="S2454" s="4"/>
    </row>
    <row r="2455" spans="15:19" x14ac:dyDescent="0.25">
      <c r="O2455" s="4"/>
      <c r="P2455" s="4"/>
      <c r="Q2455" s="4"/>
      <c r="R2455" s="4"/>
      <c r="S2455" s="4"/>
    </row>
    <row r="2456" spans="15:19" x14ac:dyDescent="0.25">
      <c r="O2456" s="4"/>
      <c r="P2456" s="4"/>
      <c r="Q2456" s="4"/>
      <c r="R2456" s="4"/>
      <c r="S2456" s="4"/>
    </row>
    <row r="2457" spans="15:19" x14ac:dyDescent="0.25">
      <c r="O2457" s="4"/>
      <c r="P2457" s="4"/>
      <c r="Q2457" s="4"/>
      <c r="R2457" s="4"/>
      <c r="S2457" s="4"/>
    </row>
    <row r="2458" spans="15:19" x14ac:dyDescent="0.25">
      <c r="O2458" s="4"/>
      <c r="P2458" s="4"/>
      <c r="Q2458" s="4"/>
      <c r="R2458" s="4"/>
      <c r="S2458" s="4"/>
    </row>
    <row r="2459" spans="15:19" x14ac:dyDescent="0.25">
      <c r="O2459" s="4"/>
      <c r="P2459" s="4"/>
      <c r="Q2459" s="4"/>
      <c r="R2459" s="4"/>
      <c r="S2459" s="4"/>
    </row>
    <row r="2460" spans="15:19" x14ac:dyDescent="0.25">
      <c r="O2460" s="4"/>
      <c r="P2460" s="4"/>
      <c r="Q2460" s="4"/>
      <c r="R2460" s="4"/>
      <c r="S2460" s="4"/>
    </row>
    <row r="2461" spans="15:19" x14ac:dyDescent="0.25">
      <c r="O2461" s="4"/>
      <c r="P2461" s="4"/>
      <c r="Q2461" s="4"/>
      <c r="R2461" s="4"/>
      <c r="S2461" s="4"/>
    </row>
    <row r="2462" spans="15:19" x14ac:dyDescent="0.25">
      <c r="O2462" s="4"/>
      <c r="P2462" s="4"/>
      <c r="Q2462" s="4"/>
      <c r="R2462" s="4"/>
      <c r="S2462" s="4"/>
    </row>
    <row r="2463" spans="15:19" x14ac:dyDescent="0.25">
      <c r="O2463" s="4"/>
      <c r="P2463" s="4"/>
      <c r="Q2463" s="4"/>
      <c r="R2463" s="4"/>
      <c r="S2463" s="4"/>
    </row>
    <row r="2464" spans="15:19" x14ac:dyDescent="0.25">
      <c r="O2464" s="4"/>
      <c r="P2464" s="4"/>
      <c r="Q2464" s="4"/>
      <c r="R2464" s="4"/>
      <c r="S2464" s="4"/>
    </row>
    <row r="2465" spans="15:19" x14ac:dyDescent="0.25">
      <c r="O2465" s="4"/>
      <c r="P2465" s="4"/>
      <c r="Q2465" s="4"/>
      <c r="R2465" s="4"/>
      <c r="S2465" s="4"/>
    </row>
    <row r="2466" spans="15:19" x14ac:dyDescent="0.25">
      <c r="O2466" s="4"/>
      <c r="P2466" s="4"/>
      <c r="Q2466" s="4"/>
      <c r="R2466" s="4"/>
      <c r="S2466" s="4"/>
    </row>
    <row r="2467" spans="15:19" x14ac:dyDescent="0.25">
      <c r="O2467" s="4"/>
      <c r="P2467" s="4"/>
      <c r="Q2467" s="4"/>
      <c r="R2467" s="4"/>
      <c r="S2467" s="4"/>
    </row>
    <row r="2468" spans="15:19" x14ac:dyDescent="0.25">
      <c r="O2468" s="4"/>
      <c r="P2468" s="4"/>
      <c r="Q2468" s="4"/>
      <c r="R2468" s="4"/>
      <c r="S2468" s="4"/>
    </row>
    <row r="2469" spans="15:19" x14ac:dyDescent="0.25">
      <c r="O2469" s="4"/>
      <c r="P2469" s="4"/>
      <c r="Q2469" s="4"/>
      <c r="R2469" s="4"/>
      <c r="S2469" s="4"/>
    </row>
    <row r="2470" spans="15:19" x14ac:dyDescent="0.25">
      <c r="O2470" s="4"/>
      <c r="P2470" s="4"/>
      <c r="Q2470" s="4"/>
      <c r="R2470" s="4"/>
      <c r="S2470" s="4"/>
    </row>
    <row r="2471" spans="15:19" x14ac:dyDescent="0.25">
      <c r="O2471" s="4"/>
      <c r="P2471" s="4"/>
      <c r="Q2471" s="4"/>
      <c r="R2471" s="4"/>
      <c r="S2471" s="4"/>
    </row>
    <row r="2472" spans="15:19" x14ac:dyDescent="0.25">
      <c r="O2472" s="4"/>
      <c r="P2472" s="4"/>
      <c r="Q2472" s="4"/>
      <c r="R2472" s="4"/>
      <c r="S2472" s="4"/>
    </row>
    <row r="2473" spans="15:19" x14ac:dyDescent="0.25">
      <c r="O2473" s="4"/>
      <c r="P2473" s="4"/>
      <c r="Q2473" s="4"/>
      <c r="R2473" s="4"/>
      <c r="S2473" s="4"/>
    </row>
    <row r="2474" spans="15:19" x14ac:dyDescent="0.25">
      <c r="O2474" s="4"/>
      <c r="P2474" s="4"/>
      <c r="Q2474" s="4"/>
      <c r="R2474" s="4"/>
      <c r="S2474" s="4"/>
    </row>
    <row r="2475" spans="15:19" x14ac:dyDescent="0.25">
      <c r="O2475" s="4"/>
      <c r="P2475" s="4"/>
      <c r="Q2475" s="4"/>
      <c r="R2475" s="4"/>
      <c r="S2475" s="4"/>
    </row>
    <row r="2476" spans="15:19" x14ac:dyDescent="0.25">
      <c r="O2476" s="4"/>
      <c r="P2476" s="4"/>
      <c r="Q2476" s="4"/>
      <c r="R2476" s="4"/>
      <c r="S2476" s="4"/>
    </row>
    <row r="2477" spans="15:19" x14ac:dyDescent="0.25">
      <c r="O2477" s="4"/>
      <c r="P2477" s="4"/>
      <c r="Q2477" s="4"/>
      <c r="R2477" s="4"/>
      <c r="S2477" s="4"/>
    </row>
    <row r="2478" spans="15:19" x14ac:dyDescent="0.25">
      <c r="O2478" s="4"/>
      <c r="P2478" s="4"/>
      <c r="Q2478" s="4"/>
      <c r="R2478" s="4"/>
      <c r="S2478" s="4"/>
    </row>
    <row r="2479" spans="15:19" x14ac:dyDescent="0.25">
      <c r="O2479" s="4"/>
      <c r="P2479" s="4"/>
      <c r="Q2479" s="4"/>
      <c r="R2479" s="4"/>
      <c r="S2479" s="4"/>
    </row>
    <row r="2480" spans="15:19" x14ac:dyDescent="0.25">
      <c r="O2480" s="4"/>
      <c r="P2480" s="4"/>
      <c r="Q2480" s="4"/>
      <c r="R2480" s="4"/>
      <c r="S2480" s="4"/>
    </row>
    <row r="2481" spans="15:19" x14ac:dyDescent="0.25">
      <c r="O2481" s="4"/>
      <c r="P2481" s="4"/>
      <c r="Q2481" s="4"/>
      <c r="R2481" s="4"/>
      <c r="S2481" s="4"/>
    </row>
    <row r="2482" spans="15:19" x14ac:dyDescent="0.25">
      <c r="O2482" s="4"/>
      <c r="P2482" s="4"/>
      <c r="Q2482" s="4"/>
      <c r="R2482" s="4"/>
      <c r="S2482" s="4"/>
    </row>
    <row r="2483" spans="15:19" x14ac:dyDescent="0.25">
      <c r="O2483" s="4"/>
      <c r="P2483" s="4"/>
      <c r="Q2483" s="4"/>
      <c r="R2483" s="4"/>
      <c r="S2483" s="4"/>
    </row>
    <row r="2484" spans="15:19" x14ac:dyDescent="0.25">
      <c r="O2484" s="4"/>
      <c r="P2484" s="4"/>
      <c r="Q2484" s="4"/>
      <c r="R2484" s="4"/>
      <c r="S2484" s="4"/>
    </row>
    <row r="2485" spans="15:19" x14ac:dyDescent="0.25">
      <c r="O2485" s="4"/>
      <c r="P2485" s="4"/>
      <c r="Q2485" s="4"/>
      <c r="R2485" s="4"/>
      <c r="S2485" s="4"/>
    </row>
    <row r="2486" spans="15:19" x14ac:dyDescent="0.25">
      <c r="O2486" s="4"/>
      <c r="P2486" s="4"/>
      <c r="Q2486" s="4"/>
      <c r="R2486" s="4"/>
      <c r="S2486" s="4"/>
    </row>
    <row r="2487" spans="15:19" x14ac:dyDescent="0.25">
      <c r="O2487" s="4"/>
      <c r="P2487" s="4"/>
      <c r="Q2487" s="4"/>
      <c r="R2487" s="4"/>
      <c r="S2487" s="4"/>
    </row>
    <row r="2488" spans="15:19" x14ac:dyDescent="0.25">
      <c r="O2488" s="4"/>
      <c r="P2488" s="4"/>
      <c r="Q2488" s="4"/>
      <c r="R2488" s="4"/>
      <c r="S2488" s="4"/>
    </row>
    <row r="2489" spans="15:19" x14ac:dyDescent="0.25">
      <c r="O2489" s="4"/>
      <c r="P2489" s="4"/>
      <c r="Q2489" s="4"/>
      <c r="R2489" s="4"/>
      <c r="S2489" s="4"/>
    </row>
    <row r="2490" spans="15:19" x14ac:dyDescent="0.25">
      <c r="O2490" s="4"/>
      <c r="P2490" s="4"/>
      <c r="Q2490" s="4"/>
      <c r="R2490" s="4"/>
      <c r="S2490" s="4"/>
    </row>
    <row r="2491" spans="15:19" x14ac:dyDescent="0.25">
      <c r="O2491" s="4"/>
      <c r="P2491" s="4"/>
      <c r="Q2491" s="4"/>
      <c r="R2491" s="4"/>
      <c r="S2491" s="4"/>
    </row>
    <row r="2492" spans="15:19" x14ac:dyDescent="0.25">
      <c r="O2492" s="4"/>
      <c r="P2492" s="4"/>
      <c r="Q2492" s="4"/>
      <c r="R2492" s="4"/>
      <c r="S2492" s="4"/>
    </row>
    <row r="2493" spans="15:19" x14ac:dyDescent="0.25">
      <c r="O2493" s="4"/>
      <c r="P2493" s="4"/>
      <c r="Q2493" s="4"/>
      <c r="R2493" s="4"/>
      <c r="S2493" s="4"/>
    </row>
    <row r="2494" spans="15:19" x14ac:dyDescent="0.25">
      <c r="O2494" s="4"/>
      <c r="P2494" s="4"/>
      <c r="Q2494" s="4"/>
      <c r="R2494" s="4"/>
      <c r="S2494" s="4"/>
    </row>
    <row r="2495" spans="15:19" x14ac:dyDescent="0.25">
      <c r="O2495" s="4"/>
      <c r="P2495" s="4"/>
      <c r="Q2495" s="4"/>
      <c r="R2495" s="4"/>
      <c r="S2495" s="4"/>
    </row>
    <row r="2496" spans="15:19" x14ac:dyDescent="0.25">
      <c r="O2496" s="4"/>
      <c r="P2496" s="4"/>
      <c r="Q2496" s="4"/>
      <c r="R2496" s="4"/>
      <c r="S2496" s="4"/>
    </row>
    <row r="2497" spans="15:19" x14ac:dyDescent="0.25">
      <c r="O2497" s="4"/>
      <c r="P2497" s="4"/>
      <c r="Q2497" s="4"/>
      <c r="R2497" s="4"/>
      <c r="S2497" s="4"/>
    </row>
    <row r="2498" spans="15:19" x14ac:dyDescent="0.25">
      <c r="O2498" s="4"/>
      <c r="P2498" s="4"/>
      <c r="Q2498" s="4"/>
      <c r="R2498" s="4"/>
      <c r="S2498" s="4"/>
    </row>
    <row r="2499" spans="15:19" x14ac:dyDescent="0.25">
      <c r="O2499" s="4"/>
      <c r="P2499" s="4"/>
      <c r="Q2499" s="4"/>
      <c r="R2499" s="4"/>
      <c r="S2499" s="4"/>
    </row>
    <row r="2500" spans="15:19" x14ac:dyDescent="0.25">
      <c r="O2500" s="4"/>
      <c r="P2500" s="4"/>
      <c r="Q2500" s="4"/>
      <c r="R2500" s="4"/>
      <c r="S2500" s="4"/>
    </row>
    <row r="2501" spans="15:19" x14ac:dyDescent="0.25">
      <c r="O2501" s="4"/>
      <c r="P2501" s="4"/>
      <c r="Q2501" s="4"/>
      <c r="R2501" s="4"/>
      <c r="S2501" s="4"/>
    </row>
    <row r="2502" spans="15:19" x14ac:dyDescent="0.25">
      <c r="O2502" s="4"/>
      <c r="P2502" s="4"/>
      <c r="Q2502" s="4"/>
      <c r="R2502" s="4"/>
      <c r="S2502" s="4"/>
    </row>
    <row r="2503" spans="15:19" x14ac:dyDescent="0.25">
      <c r="O2503" s="4"/>
      <c r="P2503" s="4"/>
      <c r="Q2503" s="4"/>
      <c r="R2503" s="4"/>
      <c r="S2503" s="4"/>
    </row>
    <row r="2504" spans="15:19" x14ac:dyDescent="0.25">
      <c r="O2504" s="4"/>
      <c r="P2504" s="4"/>
      <c r="Q2504" s="4"/>
      <c r="R2504" s="4"/>
      <c r="S2504" s="4"/>
    </row>
    <row r="2505" spans="15:19" x14ac:dyDescent="0.25">
      <c r="O2505" s="4"/>
      <c r="P2505" s="4"/>
      <c r="Q2505" s="4"/>
      <c r="R2505" s="4"/>
      <c r="S2505" s="4"/>
    </row>
    <row r="2506" spans="15:19" x14ac:dyDescent="0.25">
      <c r="O2506" s="4"/>
      <c r="P2506" s="4"/>
      <c r="Q2506" s="4"/>
      <c r="R2506" s="4"/>
      <c r="S2506" s="4"/>
    </row>
    <row r="2507" spans="15:19" x14ac:dyDescent="0.25">
      <c r="O2507" s="4"/>
      <c r="P2507" s="4"/>
      <c r="Q2507" s="4"/>
      <c r="R2507" s="4"/>
      <c r="S2507" s="4"/>
    </row>
    <row r="2508" spans="15:19" x14ac:dyDescent="0.25">
      <c r="O2508" s="4"/>
      <c r="P2508" s="4"/>
      <c r="Q2508" s="4"/>
      <c r="R2508" s="4"/>
      <c r="S2508" s="4"/>
    </row>
    <row r="2509" spans="15:19" x14ac:dyDescent="0.25">
      <c r="O2509" s="4"/>
      <c r="P2509" s="4"/>
      <c r="Q2509" s="4"/>
      <c r="R2509" s="4"/>
      <c r="S2509" s="4"/>
    </row>
    <row r="2510" spans="15:19" x14ac:dyDescent="0.25">
      <c r="O2510" s="4"/>
      <c r="P2510" s="4"/>
      <c r="Q2510" s="4"/>
      <c r="R2510" s="4"/>
      <c r="S2510" s="4"/>
    </row>
    <row r="2511" spans="15:19" x14ac:dyDescent="0.25">
      <c r="O2511" s="4"/>
      <c r="P2511" s="4"/>
      <c r="Q2511" s="4"/>
      <c r="R2511" s="4"/>
      <c r="S2511" s="4"/>
    </row>
    <row r="2512" spans="15:19" x14ac:dyDescent="0.25">
      <c r="O2512" s="4"/>
      <c r="P2512" s="4"/>
      <c r="Q2512" s="4"/>
      <c r="R2512" s="4"/>
      <c r="S2512" s="4"/>
    </row>
    <row r="2513" spans="15:19" x14ac:dyDescent="0.25">
      <c r="O2513" s="4"/>
      <c r="P2513" s="4"/>
      <c r="Q2513" s="4"/>
      <c r="R2513" s="4"/>
      <c r="S2513" s="4"/>
    </row>
    <row r="2514" spans="15:19" x14ac:dyDescent="0.25">
      <c r="O2514" s="4"/>
      <c r="P2514" s="4"/>
      <c r="Q2514" s="4"/>
      <c r="R2514" s="4"/>
      <c r="S2514" s="4"/>
    </row>
    <row r="2515" spans="15:19" x14ac:dyDescent="0.25">
      <c r="O2515" s="4"/>
      <c r="P2515" s="4"/>
      <c r="Q2515" s="4"/>
      <c r="R2515" s="4"/>
      <c r="S2515" s="4"/>
    </row>
    <row r="2516" spans="15:19" x14ac:dyDescent="0.25">
      <c r="O2516" s="4"/>
      <c r="P2516" s="4"/>
      <c r="Q2516" s="4"/>
      <c r="R2516" s="4"/>
      <c r="S2516" s="4"/>
    </row>
    <row r="2517" spans="15:19" x14ac:dyDescent="0.25">
      <c r="O2517" s="4"/>
      <c r="P2517" s="4"/>
      <c r="Q2517" s="4"/>
      <c r="R2517" s="4"/>
      <c r="S2517" s="4"/>
    </row>
    <row r="2518" spans="15:19" x14ac:dyDescent="0.25">
      <c r="O2518" s="4"/>
      <c r="P2518" s="4"/>
      <c r="Q2518" s="4"/>
      <c r="R2518" s="4"/>
      <c r="S2518" s="4"/>
    </row>
    <row r="2519" spans="15:19" x14ac:dyDescent="0.25">
      <c r="O2519" s="4"/>
      <c r="P2519" s="4"/>
      <c r="Q2519" s="4"/>
      <c r="R2519" s="4"/>
      <c r="S2519" s="4"/>
    </row>
    <row r="2520" spans="15:19" x14ac:dyDescent="0.25">
      <c r="O2520" s="4"/>
      <c r="P2520" s="4"/>
      <c r="Q2520" s="4"/>
      <c r="R2520" s="4"/>
      <c r="S2520" s="4"/>
    </row>
    <row r="2521" spans="15:19" x14ac:dyDescent="0.25">
      <c r="O2521" s="4"/>
      <c r="P2521" s="4"/>
      <c r="Q2521" s="4"/>
      <c r="R2521" s="4"/>
      <c r="S2521" s="4"/>
    </row>
    <row r="2522" spans="15:19" x14ac:dyDescent="0.25">
      <c r="O2522" s="4"/>
      <c r="P2522" s="4"/>
      <c r="Q2522" s="4"/>
      <c r="R2522" s="4"/>
      <c r="S2522" s="4"/>
    </row>
    <row r="2523" spans="15:19" x14ac:dyDescent="0.25">
      <c r="O2523" s="4"/>
      <c r="P2523" s="4"/>
      <c r="Q2523" s="4"/>
      <c r="R2523" s="4"/>
      <c r="S2523" s="4"/>
    </row>
    <row r="2524" spans="15:19" x14ac:dyDescent="0.25">
      <c r="O2524" s="4"/>
      <c r="P2524" s="4"/>
      <c r="Q2524" s="4"/>
      <c r="R2524" s="4"/>
      <c r="S2524" s="4"/>
    </row>
    <row r="2525" spans="15:19" x14ac:dyDescent="0.25">
      <c r="O2525" s="4"/>
      <c r="P2525" s="4"/>
      <c r="Q2525" s="4"/>
      <c r="R2525" s="4"/>
      <c r="S2525" s="4"/>
    </row>
    <row r="2526" spans="15:19" x14ac:dyDescent="0.25">
      <c r="O2526" s="4"/>
      <c r="P2526" s="4"/>
      <c r="Q2526" s="4"/>
      <c r="R2526" s="4"/>
      <c r="S2526" s="4"/>
    </row>
    <row r="2527" spans="15:19" x14ac:dyDescent="0.25">
      <c r="O2527" s="4"/>
      <c r="P2527" s="4"/>
      <c r="Q2527" s="4"/>
      <c r="R2527" s="4"/>
      <c r="S2527" s="4"/>
    </row>
    <row r="2528" spans="15:19" x14ac:dyDescent="0.25">
      <c r="O2528" s="4"/>
      <c r="P2528" s="4"/>
      <c r="Q2528" s="4"/>
      <c r="R2528" s="4"/>
      <c r="S2528" s="4"/>
    </row>
    <row r="2529" spans="15:19" x14ac:dyDescent="0.25">
      <c r="O2529" s="4"/>
      <c r="P2529" s="4"/>
      <c r="Q2529" s="4"/>
      <c r="R2529" s="4"/>
      <c r="S2529" s="4"/>
    </row>
    <row r="2530" spans="15:19" x14ac:dyDescent="0.25">
      <c r="O2530" s="4"/>
      <c r="P2530" s="4"/>
      <c r="Q2530" s="4"/>
      <c r="R2530" s="4"/>
      <c r="S2530" s="4"/>
    </row>
    <row r="2531" spans="15:19" x14ac:dyDescent="0.25">
      <c r="O2531" s="4"/>
      <c r="P2531" s="4"/>
      <c r="Q2531" s="4"/>
      <c r="R2531" s="4"/>
      <c r="S2531" s="4"/>
    </row>
    <row r="2532" spans="15:19" x14ac:dyDescent="0.25">
      <c r="O2532" s="4"/>
      <c r="P2532" s="4"/>
      <c r="Q2532" s="4"/>
      <c r="R2532" s="4"/>
      <c r="S2532" s="4"/>
    </row>
    <row r="2533" spans="15:19" x14ac:dyDescent="0.25">
      <c r="O2533" s="4"/>
      <c r="P2533" s="4"/>
      <c r="Q2533" s="4"/>
      <c r="R2533" s="4"/>
      <c r="S2533" s="4"/>
    </row>
    <row r="2534" spans="15:19" x14ac:dyDescent="0.25">
      <c r="O2534" s="4"/>
      <c r="P2534" s="4"/>
      <c r="Q2534" s="4"/>
      <c r="R2534" s="4"/>
      <c r="S2534" s="4"/>
    </row>
    <row r="2535" spans="15:19" x14ac:dyDescent="0.25">
      <c r="O2535" s="4"/>
      <c r="P2535" s="4"/>
      <c r="Q2535" s="4"/>
      <c r="R2535" s="4"/>
      <c r="S2535" s="4"/>
    </row>
    <row r="2536" spans="15:19" x14ac:dyDescent="0.25">
      <c r="O2536" s="4"/>
      <c r="P2536" s="4"/>
      <c r="Q2536" s="4"/>
      <c r="R2536" s="4"/>
      <c r="S2536" s="4"/>
    </row>
    <row r="2537" spans="15:19" x14ac:dyDescent="0.25">
      <c r="O2537" s="4"/>
      <c r="P2537" s="4"/>
      <c r="Q2537" s="4"/>
      <c r="R2537" s="4"/>
      <c r="S2537" s="4"/>
    </row>
    <row r="2538" spans="15:19" x14ac:dyDescent="0.25">
      <c r="O2538" s="4"/>
      <c r="P2538" s="4"/>
      <c r="Q2538" s="4"/>
      <c r="R2538" s="4"/>
      <c r="S2538" s="4"/>
    </row>
    <row r="2539" spans="15:19" x14ac:dyDescent="0.25">
      <c r="O2539" s="4"/>
      <c r="P2539" s="4"/>
      <c r="Q2539" s="4"/>
      <c r="R2539" s="4"/>
      <c r="S2539" s="4"/>
    </row>
    <row r="2540" spans="15:19" x14ac:dyDescent="0.25">
      <c r="O2540" s="4"/>
      <c r="P2540" s="4"/>
      <c r="Q2540" s="4"/>
      <c r="R2540" s="4"/>
      <c r="S2540" s="4"/>
    </row>
    <row r="2541" spans="15:19" x14ac:dyDescent="0.25">
      <c r="O2541" s="4"/>
      <c r="P2541" s="4"/>
      <c r="Q2541" s="4"/>
      <c r="R2541" s="4"/>
      <c r="S2541" s="4"/>
    </row>
    <row r="2542" spans="15:19" x14ac:dyDescent="0.25">
      <c r="O2542" s="4"/>
      <c r="P2542" s="4"/>
      <c r="Q2542" s="4"/>
      <c r="R2542" s="4"/>
      <c r="S2542" s="4"/>
    </row>
    <row r="2543" spans="15:19" x14ac:dyDescent="0.25">
      <c r="O2543" s="4"/>
      <c r="P2543" s="4"/>
      <c r="Q2543" s="4"/>
      <c r="R2543" s="4"/>
      <c r="S2543" s="4"/>
    </row>
    <row r="2544" spans="15:19" x14ac:dyDescent="0.25">
      <c r="O2544" s="4"/>
      <c r="P2544" s="4"/>
      <c r="Q2544" s="4"/>
      <c r="R2544" s="4"/>
      <c r="S2544" s="4"/>
    </row>
    <row r="2545" spans="15:19" x14ac:dyDescent="0.25">
      <c r="O2545" s="4"/>
      <c r="P2545" s="4"/>
      <c r="Q2545" s="4"/>
      <c r="R2545" s="4"/>
      <c r="S2545" s="4"/>
    </row>
    <row r="2546" spans="15:19" x14ac:dyDescent="0.25">
      <c r="O2546" s="4"/>
      <c r="P2546" s="4"/>
      <c r="Q2546" s="4"/>
      <c r="R2546" s="4"/>
      <c r="S2546" s="4"/>
    </row>
    <row r="2547" spans="15:19" x14ac:dyDescent="0.25">
      <c r="O2547" s="4"/>
      <c r="P2547" s="4"/>
      <c r="Q2547" s="4"/>
      <c r="R2547" s="4"/>
      <c r="S2547" s="4"/>
    </row>
    <row r="2548" spans="15:19" x14ac:dyDescent="0.25">
      <c r="O2548" s="4"/>
      <c r="P2548" s="4"/>
      <c r="Q2548" s="4"/>
      <c r="R2548" s="4"/>
      <c r="S2548" s="4"/>
    </row>
    <row r="2549" spans="15:19" x14ac:dyDescent="0.25">
      <c r="O2549" s="4"/>
      <c r="P2549" s="4"/>
      <c r="Q2549" s="4"/>
      <c r="R2549" s="4"/>
      <c r="S2549" s="4"/>
    </row>
    <row r="2550" spans="15:19" x14ac:dyDescent="0.25">
      <c r="O2550" s="4"/>
      <c r="P2550" s="4"/>
      <c r="Q2550" s="4"/>
      <c r="R2550" s="4"/>
      <c r="S2550" s="4"/>
    </row>
    <row r="2551" spans="15:19" x14ac:dyDescent="0.25">
      <c r="O2551" s="4"/>
      <c r="P2551" s="4"/>
      <c r="Q2551" s="4"/>
      <c r="R2551" s="4"/>
      <c r="S2551" s="4"/>
    </row>
    <row r="2552" spans="15:19" x14ac:dyDescent="0.25">
      <c r="O2552" s="4"/>
      <c r="P2552" s="4"/>
      <c r="Q2552" s="4"/>
      <c r="R2552" s="4"/>
      <c r="S2552" s="4"/>
    </row>
    <row r="2553" spans="15:19" x14ac:dyDescent="0.25">
      <c r="O2553" s="4"/>
      <c r="P2553" s="4"/>
      <c r="Q2553" s="4"/>
      <c r="R2553" s="4"/>
      <c r="S2553" s="4"/>
    </row>
    <row r="2554" spans="15:19" x14ac:dyDescent="0.25">
      <c r="O2554" s="4"/>
      <c r="P2554" s="4"/>
      <c r="Q2554" s="4"/>
      <c r="R2554" s="4"/>
      <c r="S2554" s="4"/>
    </row>
    <row r="2555" spans="15:19" x14ac:dyDescent="0.25">
      <c r="O2555" s="4"/>
      <c r="P2555" s="4"/>
      <c r="Q2555" s="4"/>
      <c r="R2555" s="4"/>
      <c r="S2555" s="4"/>
    </row>
    <row r="2556" spans="15:19" x14ac:dyDescent="0.25">
      <c r="O2556" s="4"/>
      <c r="P2556" s="4"/>
      <c r="Q2556" s="4"/>
      <c r="R2556" s="4"/>
      <c r="S2556" s="4"/>
    </row>
    <row r="2557" spans="15:19" x14ac:dyDescent="0.25">
      <c r="O2557" s="4"/>
      <c r="P2557" s="4"/>
      <c r="Q2557" s="4"/>
      <c r="R2557" s="4"/>
      <c r="S2557" s="4"/>
    </row>
    <row r="2558" spans="15:19" x14ac:dyDescent="0.25">
      <c r="O2558" s="4"/>
      <c r="P2558" s="4"/>
      <c r="Q2558" s="4"/>
      <c r="R2558" s="4"/>
      <c r="S2558" s="4"/>
    </row>
    <row r="2559" spans="15:19" x14ac:dyDescent="0.25">
      <c r="O2559" s="4"/>
      <c r="P2559" s="4"/>
      <c r="Q2559" s="4"/>
      <c r="R2559" s="4"/>
      <c r="S2559" s="4"/>
    </row>
    <row r="2560" spans="15:19" x14ac:dyDescent="0.25">
      <c r="O2560" s="4"/>
      <c r="P2560" s="4"/>
      <c r="Q2560" s="4"/>
      <c r="R2560" s="4"/>
      <c r="S2560" s="4"/>
    </row>
    <row r="2561" spans="15:19" x14ac:dyDescent="0.25">
      <c r="O2561" s="4"/>
      <c r="P2561" s="4"/>
      <c r="Q2561" s="4"/>
      <c r="R2561" s="4"/>
      <c r="S2561" s="4"/>
    </row>
    <row r="2562" spans="15:19" x14ac:dyDescent="0.25">
      <c r="O2562" s="4"/>
      <c r="P2562" s="4"/>
      <c r="Q2562" s="4"/>
      <c r="R2562" s="4"/>
      <c r="S2562" s="4"/>
    </row>
    <row r="2563" spans="15:19" x14ac:dyDescent="0.25">
      <c r="O2563" s="4"/>
      <c r="P2563" s="4"/>
      <c r="Q2563" s="4"/>
      <c r="R2563" s="4"/>
      <c r="S2563" s="4"/>
    </row>
    <row r="2564" spans="15:19" x14ac:dyDescent="0.25">
      <c r="O2564" s="4"/>
      <c r="P2564" s="4"/>
      <c r="Q2564" s="4"/>
      <c r="R2564" s="4"/>
      <c r="S2564" s="4"/>
    </row>
    <row r="2565" spans="15:19" x14ac:dyDescent="0.25">
      <c r="O2565" s="4"/>
      <c r="P2565" s="4"/>
      <c r="Q2565" s="4"/>
      <c r="R2565" s="4"/>
      <c r="S2565" s="4"/>
    </row>
    <row r="2566" spans="15:19" x14ac:dyDescent="0.25">
      <c r="O2566" s="4"/>
      <c r="P2566" s="4"/>
      <c r="Q2566" s="4"/>
      <c r="R2566" s="4"/>
      <c r="S2566" s="4"/>
    </row>
    <row r="2567" spans="15:19" x14ac:dyDescent="0.25">
      <c r="O2567" s="4"/>
      <c r="P2567" s="4"/>
      <c r="Q2567" s="4"/>
      <c r="R2567" s="4"/>
      <c r="S2567" s="4"/>
    </row>
    <row r="2568" spans="15:19" x14ac:dyDescent="0.25">
      <c r="O2568" s="4"/>
      <c r="P2568" s="4"/>
      <c r="Q2568" s="4"/>
      <c r="R2568" s="4"/>
      <c r="S2568" s="4"/>
    </row>
    <row r="2569" spans="15:19" x14ac:dyDescent="0.25">
      <c r="O2569" s="4"/>
      <c r="P2569" s="4"/>
      <c r="Q2569" s="4"/>
      <c r="R2569" s="4"/>
      <c r="S2569" s="4"/>
    </row>
    <row r="2570" spans="15:19" x14ac:dyDescent="0.25">
      <c r="O2570" s="4"/>
      <c r="P2570" s="4"/>
      <c r="Q2570" s="4"/>
      <c r="R2570" s="4"/>
      <c r="S2570" s="4"/>
    </row>
    <row r="2571" spans="15:19" x14ac:dyDescent="0.25">
      <c r="O2571" s="4"/>
      <c r="P2571" s="4"/>
      <c r="Q2571" s="4"/>
      <c r="R2571" s="4"/>
      <c r="S2571" s="4"/>
    </row>
    <row r="2572" spans="15:19" x14ac:dyDescent="0.25">
      <c r="O2572" s="4"/>
      <c r="P2572" s="4"/>
      <c r="Q2572" s="4"/>
      <c r="R2572" s="4"/>
      <c r="S2572" s="4"/>
    </row>
    <row r="2573" spans="15:19" x14ac:dyDescent="0.25">
      <c r="O2573" s="4"/>
      <c r="P2573" s="4"/>
      <c r="Q2573" s="4"/>
      <c r="R2573" s="4"/>
      <c r="S2573" s="4"/>
    </row>
    <row r="2574" spans="15:19" x14ac:dyDescent="0.25">
      <c r="O2574" s="4"/>
      <c r="P2574" s="4"/>
      <c r="Q2574" s="4"/>
      <c r="R2574" s="4"/>
      <c r="S2574" s="4"/>
    </row>
    <row r="2575" spans="15:19" x14ac:dyDescent="0.25">
      <c r="O2575" s="4"/>
      <c r="P2575" s="4"/>
      <c r="Q2575" s="4"/>
      <c r="R2575" s="4"/>
      <c r="S2575" s="4"/>
    </row>
    <row r="2576" spans="15:19" x14ac:dyDescent="0.25">
      <c r="O2576" s="4"/>
      <c r="P2576" s="4"/>
      <c r="Q2576" s="4"/>
      <c r="R2576" s="4"/>
      <c r="S2576" s="4"/>
    </row>
    <row r="2577" spans="15:19" x14ac:dyDescent="0.25">
      <c r="O2577" s="4"/>
      <c r="P2577" s="4"/>
      <c r="Q2577" s="4"/>
      <c r="R2577" s="4"/>
      <c r="S2577" s="4"/>
    </row>
    <row r="2578" spans="15:19" x14ac:dyDescent="0.25">
      <c r="O2578" s="4"/>
      <c r="P2578" s="4"/>
      <c r="Q2578" s="4"/>
      <c r="R2578" s="4"/>
      <c r="S2578" s="4"/>
    </row>
    <row r="2579" spans="15:19" x14ac:dyDescent="0.25">
      <c r="O2579" s="4"/>
      <c r="P2579" s="4"/>
      <c r="Q2579" s="4"/>
      <c r="R2579" s="4"/>
      <c r="S2579" s="4"/>
    </row>
    <row r="2580" spans="15:19" x14ac:dyDescent="0.25">
      <c r="O2580" s="4"/>
      <c r="P2580" s="4"/>
      <c r="Q2580" s="4"/>
      <c r="R2580" s="4"/>
      <c r="S2580" s="4"/>
    </row>
    <row r="2581" spans="15:19" x14ac:dyDescent="0.25">
      <c r="O2581" s="4"/>
      <c r="P2581" s="4"/>
      <c r="Q2581" s="4"/>
      <c r="R2581" s="4"/>
      <c r="S2581" s="4"/>
    </row>
    <row r="2582" spans="15:19" x14ac:dyDescent="0.25">
      <c r="O2582" s="4"/>
      <c r="P2582" s="4"/>
      <c r="Q2582" s="4"/>
      <c r="R2582" s="4"/>
      <c r="S2582" s="4"/>
    </row>
    <row r="2583" spans="15:19" x14ac:dyDescent="0.25">
      <c r="O2583" s="4"/>
      <c r="P2583" s="4"/>
      <c r="Q2583" s="4"/>
      <c r="R2583" s="4"/>
      <c r="S2583" s="4"/>
    </row>
    <row r="2584" spans="15:19" x14ac:dyDescent="0.25">
      <c r="O2584" s="4"/>
      <c r="P2584" s="4"/>
      <c r="Q2584" s="4"/>
      <c r="R2584" s="4"/>
      <c r="S2584" s="4"/>
    </row>
    <row r="2585" spans="15:19" x14ac:dyDescent="0.25">
      <c r="O2585" s="4"/>
      <c r="P2585" s="4"/>
      <c r="Q2585" s="4"/>
      <c r="R2585" s="4"/>
      <c r="S2585" s="4"/>
    </row>
    <row r="2586" spans="15:19" x14ac:dyDescent="0.25">
      <c r="O2586" s="4"/>
      <c r="P2586" s="4"/>
      <c r="Q2586" s="4"/>
      <c r="R2586" s="4"/>
      <c r="S2586" s="4"/>
    </row>
    <row r="2587" spans="15:19" x14ac:dyDescent="0.25">
      <c r="O2587" s="4"/>
      <c r="P2587" s="4"/>
      <c r="Q2587" s="4"/>
      <c r="R2587" s="4"/>
      <c r="S2587" s="4"/>
    </row>
    <row r="2588" spans="15:19" x14ac:dyDescent="0.25">
      <c r="O2588" s="4"/>
      <c r="P2588" s="4"/>
      <c r="Q2588" s="4"/>
      <c r="R2588" s="4"/>
      <c r="S2588" s="4"/>
    </row>
    <row r="2589" spans="15:19" x14ac:dyDescent="0.25">
      <c r="O2589" s="4"/>
      <c r="P2589" s="4"/>
      <c r="Q2589" s="4"/>
      <c r="R2589" s="4"/>
      <c r="S2589" s="4"/>
    </row>
    <row r="2590" spans="15:19" x14ac:dyDescent="0.25">
      <c r="O2590" s="4"/>
      <c r="P2590" s="4"/>
      <c r="Q2590" s="4"/>
      <c r="R2590" s="4"/>
      <c r="S2590" s="4"/>
    </row>
    <row r="2591" spans="15:19" x14ac:dyDescent="0.25">
      <c r="O2591" s="4"/>
      <c r="P2591" s="4"/>
      <c r="Q2591" s="4"/>
      <c r="R2591" s="4"/>
      <c r="S2591" s="4"/>
    </row>
    <row r="2592" spans="15:19" x14ac:dyDescent="0.25">
      <c r="O2592" s="4"/>
      <c r="P2592" s="4"/>
      <c r="Q2592" s="4"/>
      <c r="R2592" s="4"/>
      <c r="S2592" s="4"/>
    </row>
    <row r="2593" spans="15:19" x14ac:dyDescent="0.25">
      <c r="O2593" s="4"/>
      <c r="P2593" s="4"/>
      <c r="Q2593" s="4"/>
      <c r="R2593" s="4"/>
      <c r="S2593" s="4"/>
    </row>
    <row r="2594" spans="15:19" x14ac:dyDescent="0.25">
      <c r="O2594" s="4"/>
      <c r="P2594" s="4"/>
      <c r="Q2594" s="4"/>
      <c r="R2594" s="4"/>
      <c r="S2594" s="4"/>
    </row>
    <row r="2595" spans="15:19" x14ac:dyDescent="0.25">
      <c r="O2595" s="4"/>
      <c r="P2595" s="4"/>
      <c r="Q2595" s="4"/>
      <c r="R2595" s="4"/>
      <c r="S2595" s="4"/>
    </row>
    <row r="2596" spans="15:19" x14ac:dyDescent="0.25">
      <c r="O2596" s="4"/>
      <c r="P2596" s="4"/>
      <c r="Q2596" s="4"/>
      <c r="R2596" s="4"/>
      <c r="S2596" s="4"/>
    </row>
    <row r="2597" spans="15:19" x14ac:dyDescent="0.25">
      <c r="O2597" s="4"/>
      <c r="P2597" s="4"/>
      <c r="Q2597" s="4"/>
      <c r="R2597" s="4"/>
      <c r="S2597" s="4"/>
    </row>
    <row r="2598" spans="15:19" x14ac:dyDescent="0.25">
      <c r="O2598" s="4"/>
      <c r="P2598" s="4"/>
      <c r="Q2598" s="4"/>
      <c r="R2598" s="4"/>
      <c r="S2598" s="4"/>
    </row>
    <row r="2599" spans="15:19" x14ac:dyDescent="0.25">
      <c r="O2599" s="4"/>
      <c r="P2599" s="4"/>
      <c r="Q2599" s="4"/>
      <c r="R2599" s="4"/>
      <c r="S2599" s="4"/>
    </row>
    <row r="2600" spans="15:19" x14ac:dyDescent="0.25">
      <c r="O2600" s="4"/>
      <c r="P2600" s="4"/>
      <c r="Q2600" s="4"/>
      <c r="R2600" s="4"/>
      <c r="S2600" s="4"/>
    </row>
    <row r="2601" spans="15:19" x14ac:dyDescent="0.25">
      <c r="O2601" s="4"/>
      <c r="P2601" s="4"/>
      <c r="Q2601" s="4"/>
      <c r="R2601" s="4"/>
      <c r="S2601" s="4"/>
    </row>
    <row r="2602" spans="15:19" x14ac:dyDescent="0.25">
      <c r="O2602" s="4"/>
      <c r="P2602" s="4"/>
      <c r="Q2602" s="4"/>
      <c r="R2602" s="4"/>
      <c r="S2602" s="4"/>
    </row>
    <row r="2603" spans="15:19" x14ac:dyDescent="0.25">
      <c r="O2603" s="4"/>
      <c r="P2603" s="4"/>
      <c r="Q2603" s="4"/>
      <c r="R2603" s="4"/>
      <c r="S2603" s="4"/>
    </row>
    <row r="2604" spans="15:19" x14ac:dyDescent="0.25">
      <c r="O2604" s="4"/>
      <c r="P2604" s="4"/>
      <c r="Q2604" s="4"/>
      <c r="R2604" s="4"/>
      <c r="S2604" s="4"/>
    </row>
    <row r="2605" spans="15:19" x14ac:dyDescent="0.25">
      <c r="O2605" s="4"/>
      <c r="P2605" s="4"/>
      <c r="Q2605" s="4"/>
      <c r="R2605" s="4"/>
      <c r="S2605" s="4"/>
    </row>
    <row r="2606" spans="15:19" x14ac:dyDescent="0.25">
      <c r="O2606" s="4"/>
      <c r="P2606" s="4"/>
      <c r="Q2606" s="4"/>
      <c r="R2606" s="4"/>
      <c r="S2606" s="4"/>
    </row>
    <row r="2607" spans="15:19" x14ac:dyDescent="0.25">
      <c r="O2607" s="4"/>
      <c r="P2607" s="4"/>
      <c r="Q2607" s="4"/>
      <c r="R2607" s="4"/>
      <c r="S2607" s="4"/>
    </row>
    <row r="2608" spans="15:19" x14ac:dyDescent="0.25">
      <c r="O2608" s="4"/>
      <c r="P2608" s="4"/>
      <c r="Q2608" s="4"/>
      <c r="R2608" s="4"/>
      <c r="S2608" s="4"/>
    </row>
    <row r="2609" spans="15:19" x14ac:dyDescent="0.25">
      <c r="O2609" s="4"/>
      <c r="P2609" s="4"/>
      <c r="Q2609" s="4"/>
      <c r="R2609" s="4"/>
      <c r="S2609" s="4"/>
    </row>
    <row r="2610" spans="15:19" x14ac:dyDescent="0.25">
      <c r="O2610" s="4"/>
      <c r="P2610" s="4"/>
      <c r="Q2610" s="4"/>
      <c r="R2610" s="4"/>
      <c r="S2610" s="4"/>
    </row>
    <row r="2611" spans="15:19" x14ac:dyDescent="0.25">
      <c r="O2611" s="4"/>
      <c r="P2611" s="4"/>
      <c r="Q2611" s="4"/>
      <c r="R2611" s="4"/>
      <c r="S2611" s="4"/>
    </row>
    <row r="2612" spans="15:19" x14ac:dyDescent="0.25">
      <c r="O2612" s="4"/>
      <c r="P2612" s="4"/>
      <c r="Q2612" s="4"/>
      <c r="R2612" s="4"/>
      <c r="S2612" s="4"/>
    </row>
    <row r="2613" spans="15:19" x14ac:dyDescent="0.25">
      <c r="O2613" s="4"/>
      <c r="P2613" s="4"/>
      <c r="Q2613" s="4"/>
      <c r="R2613" s="4"/>
      <c r="S2613" s="4"/>
    </row>
    <row r="2614" spans="15:19" x14ac:dyDescent="0.25">
      <c r="O2614" s="4"/>
      <c r="P2614" s="4"/>
      <c r="Q2614" s="4"/>
      <c r="R2614" s="4"/>
      <c r="S2614" s="4"/>
    </row>
    <row r="2615" spans="15:19" x14ac:dyDescent="0.25">
      <c r="O2615" s="4"/>
      <c r="P2615" s="4"/>
      <c r="Q2615" s="4"/>
      <c r="R2615" s="4"/>
      <c r="S2615" s="4"/>
    </row>
    <row r="2616" spans="15:19" x14ac:dyDescent="0.25">
      <c r="O2616" s="4"/>
      <c r="P2616" s="4"/>
      <c r="Q2616" s="4"/>
      <c r="R2616" s="4"/>
      <c r="S2616" s="4"/>
    </row>
    <row r="2617" spans="15:19" x14ac:dyDescent="0.25">
      <c r="O2617" s="4"/>
      <c r="P2617" s="4"/>
      <c r="Q2617" s="4"/>
      <c r="R2617" s="4"/>
      <c r="S2617" s="4"/>
    </row>
    <row r="2618" spans="15:19" x14ac:dyDescent="0.25">
      <c r="O2618" s="4"/>
      <c r="P2618" s="4"/>
      <c r="Q2618" s="4"/>
      <c r="R2618" s="4"/>
      <c r="S2618" s="4"/>
    </row>
    <row r="2619" spans="15:19" x14ac:dyDescent="0.25">
      <c r="O2619" s="4"/>
      <c r="P2619" s="4"/>
      <c r="Q2619" s="4"/>
      <c r="R2619" s="4"/>
      <c r="S2619" s="4"/>
    </row>
    <row r="2620" spans="15:19" x14ac:dyDescent="0.25">
      <c r="O2620" s="4"/>
      <c r="P2620" s="4"/>
      <c r="Q2620" s="4"/>
      <c r="R2620" s="4"/>
      <c r="S2620" s="4"/>
    </row>
    <row r="2621" spans="15:19" x14ac:dyDescent="0.25">
      <c r="O2621" s="4"/>
      <c r="P2621" s="4"/>
      <c r="Q2621" s="4"/>
      <c r="R2621" s="4"/>
      <c r="S2621" s="4"/>
    </row>
    <row r="2622" spans="15:19" x14ac:dyDescent="0.25">
      <c r="O2622" s="4"/>
      <c r="P2622" s="4"/>
      <c r="Q2622" s="4"/>
      <c r="R2622" s="4"/>
      <c r="S2622" s="4"/>
    </row>
    <row r="2623" spans="15:19" x14ac:dyDescent="0.25">
      <c r="O2623" s="4"/>
      <c r="P2623" s="4"/>
      <c r="Q2623" s="4"/>
      <c r="R2623" s="4"/>
      <c r="S2623" s="4"/>
    </row>
    <row r="2624" spans="15:19" x14ac:dyDescent="0.25">
      <c r="O2624" s="4"/>
      <c r="P2624" s="4"/>
      <c r="Q2624" s="4"/>
      <c r="R2624" s="4"/>
      <c r="S2624" s="4"/>
    </row>
    <row r="2625" spans="15:19" x14ac:dyDescent="0.25">
      <c r="O2625" s="4"/>
      <c r="P2625" s="4"/>
      <c r="Q2625" s="4"/>
      <c r="R2625" s="4"/>
      <c r="S2625" s="4"/>
    </row>
    <row r="2626" spans="15:19" x14ac:dyDescent="0.25">
      <c r="O2626" s="4"/>
      <c r="P2626" s="4"/>
      <c r="Q2626" s="4"/>
      <c r="R2626" s="4"/>
      <c r="S2626" s="4"/>
    </row>
    <row r="2627" spans="15:19" x14ac:dyDescent="0.25">
      <c r="O2627" s="4"/>
      <c r="P2627" s="4"/>
      <c r="Q2627" s="4"/>
      <c r="R2627" s="4"/>
      <c r="S2627" s="4"/>
    </row>
    <row r="2628" spans="15:19" x14ac:dyDescent="0.25">
      <c r="O2628" s="4"/>
      <c r="P2628" s="4"/>
      <c r="Q2628" s="4"/>
      <c r="R2628" s="4"/>
      <c r="S2628" s="4"/>
    </row>
    <row r="2629" spans="15:19" x14ac:dyDescent="0.25">
      <c r="O2629" s="4"/>
      <c r="P2629" s="4"/>
      <c r="Q2629" s="4"/>
      <c r="R2629" s="4"/>
      <c r="S2629" s="4"/>
    </row>
    <row r="2630" spans="15:19" x14ac:dyDescent="0.25">
      <c r="O2630" s="4"/>
      <c r="P2630" s="4"/>
      <c r="Q2630" s="4"/>
      <c r="R2630" s="4"/>
      <c r="S2630" s="4"/>
    </row>
    <row r="2631" spans="15:19" x14ac:dyDescent="0.25">
      <c r="O2631" s="4"/>
      <c r="P2631" s="4"/>
      <c r="Q2631" s="4"/>
      <c r="R2631" s="4"/>
      <c r="S2631" s="4"/>
    </row>
    <row r="2632" spans="15:19" x14ac:dyDescent="0.25">
      <c r="O2632" s="4"/>
      <c r="P2632" s="4"/>
      <c r="Q2632" s="4"/>
      <c r="R2632" s="4"/>
      <c r="S2632" s="4"/>
    </row>
    <row r="2633" spans="15:19" x14ac:dyDescent="0.25">
      <c r="O2633" s="4"/>
      <c r="P2633" s="4"/>
      <c r="Q2633" s="4"/>
      <c r="R2633" s="4"/>
      <c r="S2633" s="4"/>
    </row>
    <row r="2634" spans="15:19" x14ac:dyDescent="0.25">
      <c r="O2634" s="4"/>
      <c r="P2634" s="4"/>
      <c r="Q2634" s="4"/>
      <c r="R2634" s="4"/>
      <c r="S2634" s="4"/>
    </row>
    <row r="2635" spans="15:19" x14ac:dyDescent="0.25">
      <c r="O2635" s="4"/>
      <c r="P2635" s="4"/>
      <c r="Q2635" s="4"/>
      <c r="R2635" s="4"/>
      <c r="S2635" s="4"/>
    </row>
    <row r="2636" spans="15:19" x14ac:dyDescent="0.25">
      <c r="O2636" s="4"/>
      <c r="P2636" s="4"/>
      <c r="Q2636" s="4"/>
      <c r="R2636" s="4"/>
      <c r="S2636" s="4"/>
    </row>
    <row r="2637" spans="15:19" x14ac:dyDescent="0.25">
      <c r="O2637" s="4"/>
      <c r="P2637" s="4"/>
      <c r="Q2637" s="4"/>
      <c r="R2637" s="4"/>
      <c r="S2637" s="4"/>
    </row>
    <row r="2638" spans="15:19" x14ac:dyDescent="0.25">
      <c r="O2638" s="4"/>
      <c r="P2638" s="4"/>
      <c r="Q2638" s="4"/>
      <c r="R2638" s="4"/>
      <c r="S2638" s="4"/>
    </row>
    <row r="2639" spans="15:19" x14ac:dyDescent="0.25">
      <c r="O2639" s="4"/>
      <c r="P2639" s="4"/>
      <c r="Q2639" s="4"/>
      <c r="R2639" s="4"/>
      <c r="S2639" s="4"/>
    </row>
    <row r="2640" spans="15:19" x14ac:dyDescent="0.25">
      <c r="O2640" s="4"/>
      <c r="P2640" s="4"/>
      <c r="Q2640" s="4"/>
      <c r="R2640" s="4"/>
      <c r="S2640" s="4"/>
    </row>
    <row r="2641" spans="15:19" x14ac:dyDescent="0.25">
      <c r="O2641" s="4"/>
      <c r="P2641" s="4"/>
      <c r="Q2641" s="4"/>
      <c r="R2641" s="4"/>
      <c r="S2641" s="4"/>
    </row>
    <row r="2642" spans="15:19" x14ac:dyDescent="0.25">
      <c r="O2642" s="4"/>
      <c r="P2642" s="4"/>
      <c r="Q2642" s="4"/>
      <c r="R2642" s="4"/>
      <c r="S2642" s="4"/>
    </row>
    <row r="2643" spans="15:19" x14ac:dyDescent="0.25">
      <c r="O2643" s="4"/>
      <c r="P2643" s="4"/>
      <c r="Q2643" s="4"/>
      <c r="R2643" s="4"/>
      <c r="S2643" s="4"/>
    </row>
    <row r="2644" spans="15:19" x14ac:dyDescent="0.25">
      <c r="O2644" s="4"/>
      <c r="P2644" s="4"/>
      <c r="Q2644" s="4"/>
      <c r="R2644" s="4"/>
      <c r="S2644" s="4"/>
    </row>
    <row r="2645" spans="15:19" x14ac:dyDescent="0.25">
      <c r="O2645" s="4"/>
      <c r="P2645" s="4"/>
      <c r="Q2645" s="4"/>
      <c r="R2645" s="4"/>
      <c r="S2645" s="4"/>
    </row>
    <row r="2646" spans="15:19" x14ac:dyDescent="0.25">
      <c r="O2646" s="4"/>
      <c r="P2646" s="4"/>
      <c r="Q2646" s="4"/>
      <c r="R2646" s="4"/>
      <c r="S2646" s="4"/>
    </row>
    <row r="2647" spans="15:19" x14ac:dyDescent="0.25">
      <c r="O2647" s="4"/>
      <c r="P2647" s="4"/>
      <c r="Q2647" s="4"/>
      <c r="R2647" s="4"/>
      <c r="S2647" s="4"/>
    </row>
    <row r="2648" spans="15:19" x14ac:dyDescent="0.25">
      <c r="O2648" s="4"/>
      <c r="P2648" s="4"/>
      <c r="Q2648" s="4"/>
      <c r="R2648" s="4"/>
      <c r="S2648" s="4"/>
    </row>
    <row r="2649" spans="15:19" x14ac:dyDescent="0.25">
      <c r="O2649" s="4"/>
      <c r="P2649" s="4"/>
      <c r="Q2649" s="4"/>
      <c r="R2649" s="4"/>
      <c r="S2649" s="4"/>
    </row>
    <row r="2650" spans="15:19" x14ac:dyDescent="0.25">
      <c r="O2650" s="4"/>
      <c r="P2650" s="4"/>
      <c r="Q2650" s="4"/>
      <c r="R2650" s="4"/>
      <c r="S2650" s="4"/>
    </row>
    <row r="2651" spans="15:19" x14ac:dyDescent="0.25">
      <c r="O2651" s="4"/>
      <c r="P2651" s="4"/>
      <c r="Q2651" s="4"/>
      <c r="R2651" s="4"/>
      <c r="S2651" s="4"/>
    </row>
    <row r="2652" spans="15:19" x14ac:dyDescent="0.25">
      <c r="O2652" s="4"/>
      <c r="P2652" s="4"/>
      <c r="Q2652" s="4"/>
      <c r="R2652" s="4"/>
      <c r="S2652" s="4"/>
    </row>
    <row r="2653" spans="15:19" x14ac:dyDescent="0.25">
      <c r="O2653" s="4"/>
      <c r="P2653" s="4"/>
      <c r="Q2653" s="4"/>
      <c r="R2653" s="4"/>
      <c r="S2653" s="4"/>
    </row>
    <row r="2654" spans="15:19" x14ac:dyDescent="0.25">
      <c r="O2654" s="4"/>
      <c r="P2654" s="4"/>
      <c r="Q2654" s="4"/>
      <c r="R2654" s="4"/>
      <c r="S2654" s="4"/>
    </row>
    <row r="2655" spans="15:19" x14ac:dyDescent="0.25">
      <c r="O2655" s="4"/>
      <c r="P2655" s="4"/>
      <c r="Q2655" s="4"/>
      <c r="R2655" s="4"/>
      <c r="S2655" s="4"/>
    </row>
    <row r="2656" spans="15:19" x14ac:dyDescent="0.25">
      <c r="O2656" s="4"/>
      <c r="P2656" s="4"/>
      <c r="Q2656" s="4"/>
      <c r="R2656" s="4"/>
      <c r="S2656" s="4"/>
    </row>
    <row r="2657" spans="15:19" x14ac:dyDescent="0.25">
      <c r="O2657" s="4"/>
      <c r="P2657" s="4"/>
      <c r="Q2657" s="4"/>
      <c r="R2657" s="4"/>
      <c r="S2657" s="4"/>
    </row>
    <row r="2658" spans="15:19" x14ac:dyDescent="0.25">
      <c r="O2658" s="4"/>
      <c r="P2658" s="4"/>
      <c r="Q2658" s="4"/>
      <c r="R2658" s="4"/>
      <c r="S2658" s="4"/>
    </row>
    <row r="2659" spans="15:19" x14ac:dyDescent="0.25">
      <c r="O2659" s="4"/>
      <c r="P2659" s="4"/>
      <c r="Q2659" s="4"/>
      <c r="R2659" s="4"/>
      <c r="S2659" s="4"/>
    </row>
    <row r="2660" spans="15:19" x14ac:dyDescent="0.25">
      <c r="O2660" s="4"/>
      <c r="P2660" s="4"/>
      <c r="Q2660" s="4"/>
      <c r="R2660" s="4"/>
      <c r="S2660" s="4"/>
    </row>
    <row r="2661" spans="15:19" x14ac:dyDescent="0.25">
      <c r="O2661" s="4"/>
      <c r="P2661" s="4"/>
      <c r="Q2661" s="4"/>
      <c r="R2661" s="4"/>
      <c r="S2661" s="4"/>
    </row>
    <row r="2662" spans="15:19" x14ac:dyDescent="0.25">
      <c r="O2662" s="4"/>
      <c r="P2662" s="4"/>
      <c r="Q2662" s="4"/>
      <c r="R2662" s="4"/>
      <c r="S2662" s="4"/>
    </row>
    <row r="2663" spans="15:19" x14ac:dyDescent="0.25">
      <c r="O2663" s="4"/>
      <c r="P2663" s="4"/>
      <c r="Q2663" s="4"/>
      <c r="R2663" s="4"/>
      <c r="S2663" s="4"/>
    </row>
    <row r="2664" spans="15:19" x14ac:dyDescent="0.25">
      <c r="O2664" s="4"/>
      <c r="P2664" s="4"/>
      <c r="Q2664" s="4"/>
      <c r="R2664" s="4"/>
      <c r="S2664" s="4"/>
    </row>
    <row r="2665" spans="15:19" x14ac:dyDescent="0.25">
      <c r="O2665" s="4"/>
      <c r="P2665" s="4"/>
      <c r="Q2665" s="4"/>
      <c r="R2665" s="4"/>
      <c r="S2665" s="4"/>
    </row>
    <row r="2666" spans="15:19" x14ac:dyDescent="0.25">
      <c r="O2666" s="4"/>
      <c r="P2666" s="4"/>
      <c r="Q2666" s="4"/>
      <c r="R2666" s="4"/>
      <c r="S2666" s="4"/>
    </row>
    <row r="2667" spans="15:19" x14ac:dyDescent="0.25">
      <c r="O2667" s="4"/>
      <c r="P2667" s="4"/>
      <c r="Q2667" s="4"/>
      <c r="R2667" s="4"/>
      <c r="S2667" s="4"/>
    </row>
    <row r="2668" spans="15:19" x14ac:dyDescent="0.25">
      <c r="O2668" s="4"/>
      <c r="P2668" s="4"/>
      <c r="Q2668" s="4"/>
      <c r="R2668" s="4"/>
      <c r="S2668" s="4"/>
    </row>
    <row r="2669" spans="15:19" x14ac:dyDescent="0.25">
      <c r="O2669" s="4"/>
      <c r="P2669" s="4"/>
      <c r="Q2669" s="4"/>
      <c r="R2669" s="4"/>
      <c r="S2669" s="4"/>
    </row>
    <row r="2670" spans="15:19" x14ac:dyDescent="0.25">
      <c r="O2670" s="4"/>
      <c r="P2670" s="4"/>
      <c r="Q2670" s="4"/>
      <c r="R2670" s="4"/>
      <c r="S2670" s="4"/>
    </row>
    <row r="2671" spans="15:19" x14ac:dyDescent="0.25">
      <c r="O2671" s="4"/>
      <c r="P2671" s="4"/>
      <c r="Q2671" s="4"/>
      <c r="R2671" s="4"/>
      <c r="S2671" s="4"/>
    </row>
    <row r="2672" spans="15:19" x14ac:dyDescent="0.25">
      <c r="O2672" s="4"/>
      <c r="P2672" s="4"/>
      <c r="Q2672" s="4"/>
      <c r="R2672" s="4"/>
      <c r="S2672" s="4"/>
    </row>
    <row r="2673" spans="15:19" x14ac:dyDescent="0.25">
      <c r="O2673" s="4"/>
      <c r="P2673" s="4"/>
      <c r="Q2673" s="4"/>
      <c r="R2673" s="4"/>
      <c r="S2673" s="4"/>
    </row>
    <row r="2674" spans="15:19" x14ac:dyDescent="0.25">
      <c r="O2674" s="4"/>
      <c r="P2674" s="4"/>
      <c r="Q2674" s="4"/>
      <c r="R2674" s="4"/>
      <c r="S2674" s="4"/>
    </row>
    <row r="2675" spans="15:19" x14ac:dyDescent="0.25">
      <c r="O2675" s="4"/>
      <c r="P2675" s="4"/>
      <c r="Q2675" s="4"/>
      <c r="R2675" s="4"/>
      <c r="S2675" s="4"/>
    </row>
    <row r="2676" spans="15:19" x14ac:dyDescent="0.25">
      <c r="O2676" s="4"/>
      <c r="P2676" s="4"/>
      <c r="Q2676" s="4"/>
      <c r="R2676" s="4"/>
      <c r="S2676" s="4"/>
    </row>
    <row r="2677" spans="15:19" x14ac:dyDescent="0.25">
      <c r="O2677" s="4"/>
      <c r="P2677" s="4"/>
      <c r="Q2677" s="4"/>
      <c r="R2677" s="4"/>
      <c r="S2677" s="4"/>
    </row>
    <row r="2678" spans="15:19" x14ac:dyDescent="0.25">
      <c r="O2678" s="4"/>
      <c r="P2678" s="4"/>
      <c r="Q2678" s="4"/>
      <c r="R2678" s="4"/>
      <c r="S2678" s="4"/>
    </row>
    <row r="2679" spans="15:19" x14ac:dyDescent="0.25">
      <c r="O2679" s="4"/>
      <c r="P2679" s="4"/>
      <c r="Q2679" s="4"/>
      <c r="R2679" s="4"/>
      <c r="S2679" s="4"/>
    </row>
    <row r="2680" spans="15:19" x14ac:dyDescent="0.25">
      <c r="O2680" s="4"/>
      <c r="P2680" s="4"/>
      <c r="Q2680" s="4"/>
      <c r="R2680" s="4"/>
      <c r="S2680" s="4"/>
    </row>
    <row r="2681" spans="15:19" x14ac:dyDescent="0.25">
      <c r="O2681" s="4"/>
      <c r="P2681" s="4"/>
      <c r="Q2681" s="4"/>
      <c r="R2681" s="4"/>
      <c r="S2681" s="4"/>
    </row>
    <row r="2682" spans="15:19" x14ac:dyDescent="0.25">
      <c r="O2682" s="4"/>
      <c r="P2682" s="4"/>
      <c r="Q2682" s="4"/>
      <c r="R2682" s="4"/>
      <c r="S2682" s="4"/>
    </row>
    <row r="2683" spans="15:19" x14ac:dyDescent="0.25">
      <c r="O2683" s="4"/>
      <c r="P2683" s="4"/>
      <c r="Q2683" s="4"/>
      <c r="R2683" s="4"/>
      <c r="S2683" s="4"/>
    </row>
    <row r="2684" spans="15:19" x14ac:dyDescent="0.25">
      <c r="O2684" s="4"/>
      <c r="P2684" s="4"/>
      <c r="Q2684" s="4"/>
      <c r="R2684" s="4"/>
      <c r="S2684" s="4"/>
    </row>
    <row r="2685" spans="15:19" x14ac:dyDescent="0.25">
      <c r="O2685" s="4"/>
      <c r="P2685" s="4"/>
      <c r="Q2685" s="4"/>
      <c r="R2685" s="4"/>
      <c r="S2685" s="4"/>
    </row>
    <row r="2686" spans="15:19" x14ac:dyDescent="0.25">
      <c r="O2686" s="4"/>
      <c r="P2686" s="4"/>
      <c r="Q2686" s="4"/>
      <c r="R2686" s="4"/>
      <c r="S2686" s="4"/>
    </row>
    <row r="2687" spans="15:19" x14ac:dyDescent="0.25">
      <c r="O2687" s="4"/>
      <c r="P2687" s="4"/>
      <c r="Q2687" s="4"/>
      <c r="R2687" s="4"/>
      <c r="S2687" s="4"/>
    </row>
    <row r="2688" spans="15:19" x14ac:dyDescent="0.25">
      <c r="O2688" s="4"/>
      <c r="P2688" s="4"/>
      <c r="Q2688" s="4"/>
      <c r="R2688" s="4"/>
      <c r="S2688" s="4"/>
    </row>
    <row r="2689" spans="15:19" x14ac:dyDescent="0.25">
      <c r="O2689" s="4"/>
      <c r="P2689" s="4"/>
      <c r="Q2689" s="4"/>
      <c r="R2689" s="4"/>
      <c r="S2689" s="4"/>
    </row>
    <row r="2690" spans="15:19" x14ac:dyDescent="0.25">
      <c r="O2690" s="4"/>
      <c r="P2690" s="4"/>
      <c r="Q2690" s="4"/>
      <c r="R2690" s="4"/>
      <c r="S2690" s="4"/>
    </row>
    <row r="2691" spans="15:19" x14ac:dyDescent="0.25">
      <c r="O2691" s="4"/>
      <c r="P2691" s="4"/>
      <c r="Q2691" s="4"/>
      <c r="R2691" s="4"/>
      <c r="S2691" s="4"/>
    </row>
    <row r="2692" spans="15:19" x14ac:dyDescent="0.25">
      <c r="O2692" s="4"/>
      <c r="P2692" s="4"/>
      <c r="Q2692" s="4"/>
      <c r="R2692" s="4"/>
      <c r="S2692" s="4"/>
    </row>
    <row r="2693" spans="15:19" x14ac:dyDescent="0.25">
      <c r="O2693" s="4"/>
      <c r="P2693" s="4"/>
      <c r="Q2693" s="4"/>
      <c r="R2693" s="4"/>
      <c r="S2693" s="4"/>
    </row>
    <row r="2694" spans="15:19" x14ac:dyDescent="0.25">
      <c r="O2694" s="4"/>
      <c r="P2694" s="4"/>
      <c r="Q2694" s="4"/>
      <c r="R2694" s="4"/>
      <c r="S2694" s="4"/>
    </row>
    <row r="2695" spans="15:19" x14ac:dyDescent="0.25">
      <c r="O2695" s="4"/>
      <c r="P2695" s="4"/>
      <c r="Q2695" s="4"/>
      <c r="R2695" s="4"/>
      <c r="S2695" s="4"/>
    </row>
    <row r="2696" spans="15:19" x14ac:dyDescent="0.25">
      <c r="O2696" s="4"/>
      <c r="P2696" s="4"/>
      <c r="Q2696" s="4"/>
      <c r="R2696" s="4"/>
      <c r="S2696" s="4"/>
    </row>
    <row r="2697" spans="15:19" x14ac:dyDescent="0.25">
      <c r="O2697" s="4"/>
      <c r="P2697" s="4"/>
      <c r="Q2697" s="4"/>
      <c r="R2697" s="4"/>
      <c r="S2697" s="4"/>
    </row>
    <row r="2698" spans="15:19" x14ac:dyDescent="0.25">
      <c r="O2698" s="4"/>
      <c r="P2698" s="4"/>
      <c r="Q2698" s="4"/>
      <c r="R2698" s="4"/>
      <c r="S2698" s="4"/>
    </row>
    <row r="2699" spans="15:19" x14ac:dyDescent="0.25">
      <c r="O2699" s="4"/>
      <c r="P2699" s="4"/>
      <c r="Q2699" s="4"/>
      <c r="R2699" s="4"/>
      <c r="S2699" s="4"/>
    </row>
    <row r="2700" spans="15:19" x14ac:dyDescent="0.25">
      <c r="O2700" s="4"/>
      <c r="P2700" s="4"/>
      <c r="Q2700" s="4"/>
      <c r="R2700" s="4"/>
      <c r="S2700" s="4"/>
    </row>
    <row r="2701" spans="15:19" x14ac:dyDescent="0.25">
      <c r="O2701" s="4"/>
      <c r="P2701" s="4"/>
      <c r="Q2701" s="4"/>
      <c r="R2701" s="4"/>
      <c r="S2701" s="4"/>
    </row>
    <row r="2702" spans="15:19" x14ac:dyDescent="0.25">
      <c r="O2702" s="4"/>
      <c r="P2702" s="4"/>
      <c r="Q2702" s="4"/>
      <c r="R2702" s="4"/>
      <c r="S2702" s="4"/>
    </row>
    <row r="2703" spans="15:19" x14ac:dyDescent="0.25">
      <c r="O2703" s="4"/>
      <c r="P2703" s="4"/>
      <c r="Q2703" s="4"/>
      <c r="R2703" s="4"/>
      <c r="S2703" s="4"/>
    </row>
    <row r="2704" spans="15:19" x14ac:dyDescent="0.25">
      <c r="O2704" s="4"/>
      <c r="P2704" s="4"/>
      <c r="Q2704" s="4"/>
      <c r="R2704" s="4"/>
      <c r="S2704" s="4"/>
    </row>
    <row r="2705" spans="15:19" x14ac:dyDescent="0.25">
      <c r="O2705" s="4"/>
      <c r="P2705" s="4"/>
      <c r="Q2705" s="4"/>
      <c r="R2705" s="4"/>
      <c r="S2705" s="4"/>
    </row>
    <row r="2706" spans="15:19" x14ac:dyDescent="0.25">
      <c r="O2706" s="4"/>
      <c r="P2706" s="4"/>
      <c r="Q2706" s="4"/>
      <c r="R2706" s="4"/>
      <c r="S2706" s="4"/>
    </row>
    <row r="2707" spans="15:19" x14ac:dyDescent="0.25">
      <c r="O2707" s="4"/>
      <c r="P2707" s="4"/>
      <c r="Q2707" s="4"/>
      <c r="R2707" s="4"/>
      <c r="S2707" s="4"/>
    </row>
    <row r="2708" spans="15:19" x14ac:dyDescent="0.25">
      <c r="O2708" s="4"/>
      <c r="P2708" s="4"/>
      <c r="Q2708" s="4"/>
      <c r="R2708" s="4"/>
      <c r="S2708" s="4"/>
    </row>
    <row r="2709" spans="15:19" x14ac:dyDescent="0.25">
      <c r="O2709" s="4"/>
      <c r="P2709" s="4"/>
      <c r="Q2709" s="4"/>
      <c r="R2709" s="4"/>
      <c r="S2709" s="4"/>
    </row>
    <row r="2710" spans="15:19" x14ac:dyDescent="0.25">
      <c r="O2710" s="4"/>
      <c r="P2710" s="4"/>
      <c r="Q2710" s="4"/>
      <c r="R2710" s="4"/>
      <c r="S2710" s="4"/>
    </row>
    <row r="2711" spans="15:19" x14ac:dyDescent="0.25">
      <c r="O2711" s="4"/>
      <c r="P2711" s="4"/>
      <c r="Q2711" s="4"/>
      <c r="R2711" s="4"/>
      <c r="S2711" s="4"/>
    </row>
    <row r="2712" spans="15:19" x14ac:dyDescent="0.25">
      <c r="O2712" s="4"/>
      <c r="P2712" s="4"/>
      <c r="Q2712" s="4"/>
      <c r="R2712" s="4"/>
      <c r="S2712" s="4"/>
    </row>
    <row r="2713" spans="15:19" x14ac:dyDescent="0.25">
      <c r="O2713" s="4"/>
      <c r="P2713" s="4"/>
      <c r="Q2713" s="4"/>
      <c r="R2713" s="4"/>
      <c r="S2713" s="4"/>
    </row>
    <row r="2714" spans="15:19" x14ac:dyDescent="0.25">
      <c r="O2714" s="4"/>
      <c r="P2714" s="4"/>
      <c r="Q2714" s="4"/>
      <c r="R2714" s="4"/>
      <c r="S2714" s="4"/>
    </row>
    <row r="2715" spans="15:19" x14ac:dyDescent="0.25">
      <c r="O2715" s="4"/>
      <c r="P2715" s="4"/>
      <c r="Q2715" s="4"/>
      <c r="R2715" s="4"/>
      <c r="S2715" s="4"/>
    </row>
    <row r="2716" spans="15:19" x14ac:dyDescent="0.25">
      <c r="O2716" s="4"/>
      <c r="P2716" s="4"/>
      <c r="Q2716" s="4"/>
      <c r="R2716" s="4"/>
      <c r="S2716" s="4"/>
    </row>
    <row r="2717" spans="15:19" x14ac:dyDescent="0.25">
      <c r="O2717" s="4"/>
      <c r="P2717" s="4"/>
      <c r="Q2717" s="4"/>
      <c r="R2717" s="4"/>
      <c r="S2717" s="4"/>
    </row>
    <row r="2718" spans="15:19" x14ac:dyDescent="0.25">
      <c r="O2718" s="4"/>
      <c r="P2718" s="4"/>
      <c r="Q2718" s="4"/>
      <c r="R2718" s="4"/>
      <c r="S2718" s="4"/>
    </row>
    <row r="2719" spans="15:19" x14ac:dyDescent="0.25">
      <c r="O2719" s="4"/>
      <c r="P2719" s="4"/>
      <c r="Q2719" s="4"/>
      <c r="R2719" s="4"/>
      <c r="S2719" s="4"/>
    </row>
    <row r="2720" spans="15:19" x14ac:dyDescent="0.25">
      <c r="O2720" s="4"/>
      <c r="P2720" s="4"/>
      <c r="Q2720" s="4"/>
      <c r="R2720" s="4"/>
      <c r="S2720" s="4"/>
    </row>
    <row r="2721" spans="15:19" x14ac:dyDescent="0.25">
      <c r="O2721" s="4"/>
      <c r="P2721" s="4"/>
      <c r="Q2721" s="4"/>
      <c r="R2721" s="4"/>
      <c r="S2721" s="4"/>
    </row>
    <row r="2722" spans="15:19" x14ac:dyDescent="0.25">
      <c r="O2722" s="4"/>
      <c r="P2722" s="4"/>
      <c r="Q2722" s="4"/>
      <c r="R2722" s="4"/>
      <c r="S2722" s="4"/>
    </row>
    <row r="2723" spans="15:19" x14ac:dyDescent="0.25">
      <c r="O2723" s="4"/>
      <c r="P2723" s="4"/>
      <c r="Q2723" s="4"/>
      <c r="R2723" s="4"/>
      <c r="S2723" s="4"/>
    </row>
    <row r="2724" spans="15:19" x14ac:dyDescent="0.25">
      <c r="O2724" s="4"/>
      <c r="P2724" s="4"/>
      <c r="Q2724" s="4"/>
      <c r="R2724" s="4"/>
      <c r="S2724" s="4"/>
    </row>
    <row r="2725" spans="15:19" x14ac:dyDescent="0.25">
      <c r="O2725" s="4"/>
      <c r="P2725" s="4"/>
      <c r="Q2725" s="4"/>
      <c r="R2725" s="4"/>
      <c r="S2725" s="4"/>
    </row>
    <row r="2726" spans="15:19" x14ac:dyDescent="0.25">
      <c r="O2726" s="4"/>
      <c r="P2726" s="4"/>
      <c r="Q2726" s="4"/>
      <c r="R2726" s="4"/>
      <c r="S2726" s="4"/>
    </row>
    <row r="2727" spans="15:19" x14ac:dyDescent="0.25">
      <c r="O2727" s="4"/>
      <c r="P2727" s="4"/>
      <c r="Q2727" s="4"/>
      <c r="R2727" s="4"/>
      <c r="S2727" s="4"/>
    </row>
    <row r="2728" spans="15:19" x14ac:dyDescent="0.25">
      <c r="O2728" s="4"/>
      <c r="P2728" s="4"/>
      <c r="Q2728" s="4"/>
      <c r="R2728" s="4"/>
      <c r="S2728" s="4"/>
    </row>
    <row r="2729" spans="15:19" x14ac:dyDescent="0.25">
      <c r="O2729" s="4"/>
      <c r="P2729" s="4"/>
      <c r="Q2729" s="4"/>
      <c r="R2729" s="4"/>
      <c r="S2729" s="4"/>
    </row>
    <row r="2730" spans="15:19" x14ac:dyDescent="0.25">
      <c r="O2730" s="4"/>
      <c r="P2730" s="4"/>
      <c r="Q2730" s="4"/>
      <c r="R2730" s="4"/>
      <c r="S2730" s="4"/>
    </row>
    <row r="2731" spans="15:19" x14ac:dyDescent="0.25">
      <c r="O2731" s="4"/>
      <c r="P2731" s="4"/>
      <c r="Q2731" s="4"/>
      <c r="R2731" s="4"/>
      <c r="S2731" s="4"/>
    </row>
    <row r="2732" spans="15:19" x14ac:dyDescent="0.25">
      <c r="O2732" s="4"/>
      <c r="P2732" s="4"/>
      <c r="Q2732" s="4"/>
      <c r="R2732" s="4"/>
      <c r="S2732" s="4"/>
    </row>
    <row r="2733" spans="15:19" x14ac:dyDescent="0.25">
      <c r="O2733" s="4"/>
      <c r="P2733" s="4"/>
      <c r="Q2733" s="4"/>
      <c r="R2733" s="4"/>
      <c r="S2733" s="4"/>
    </row>
    <row r="2734" spans="15:19" x14ac:dyDescent="0.25">
      <c r="O2734" s="4"/>
      <c r="P2734" s="4"/>
      <c r="Q2734" s="4"/>
      <c r="R2734" s="4"/>
      <c r="S2734" s="4"/>
    </row>
    <row r="2735" spans="15:19" x14ac:dyDescent="0.25">
      <c r="O2735" s="4"/>
      <c r="P2735" s="4"/>
      <c r="Q2735" s="4"/>
      <c r="R2735" s="4"/>
      <c r="S2735" s="4"/>
    </row>
    <row r="2736" spans="15:19" x14ac:dyDescent="0.25">
      <c r="O2736" s="4"/>
      <c r="P2736" s="4"/>
      <c r="Q2736" s="4"/>
      <c r="R2736" s="4"/>
      <c r="S2736" s="4"/>
    </row>
    <row r="2737" spans="15:19" x14ac:dyDescent="0.25">
      <c r="O2737" s="4"/>
      <c r="P2737" s="4"/>
      <c r="Q2737" s="4"/>
      <c r="R2737" s="4"/>
      <c r="S2737" s="4"/>
    </row>
    <row r="2738" spans="15:19" x14ac:dyDescent="0.25">
      <c r="O2738" s="4"/>
      <c r="P2738" s="4"/>
      <c r="Q2738" s="4"/>
      <c r="R2738" s="4"/>
      <c r="S2738" s="4"/>
    </row>
    <row r="2739" spans="15:19" x14ac:dyDescent="0.25">
      <c r="O2739" s="4"/>
      <c r="P2739" s="4"/>
      <c r="Q2739" s="4"/>
      <c r="R2739" s="4"/>
      <c r="S2739" s="4"/>
    </row>
    <row r="2740" spans="15:19" x14ac:dyDescent="0.25">
      <c r="O2740" s="4"/>
      <c r="P2740" s="4"/>
      <c r="Q2740" s="4"/>
      <c r="R2740" s="4"/>
      <c r="S2740" s="4"/>
    </row>
    <row r="2741" spans="15:19" x14ac:dyDescent="0.25">
      <c r="O2741" s="4"/>
      <c r="P2741" s="4"/>
      <c r="Q2741" s="4"/>
      <c r="R2741" s="4"/>
      <c r="S2741" s="4"/>
    </row>
    <row r="2742" spans="15:19" x14ac:dyDescent="0.25">
      <c r="O2742" s="4"/>
      <c r="P2742" s="4"/>
      <c r="Q2742" s="4"/>
      <c r="R2742" s="4"/>
      <c r="S2742" s="4"/>
    </row>
    <row r="2743" spans="15:19" x14ac:dyDescent="0.25">
      <c r="O2743" s="4"/>
      <c r="P2743" s="4"/>
      <c r="Q2743" s="4"/>
      <c r="R2743" s="4"/>
      <c r="S2743" s="4"/>
    </row>
    <row r="2744" spans="15:19" x14ac:dyDescent="0.25">
      <c r="O2744" s="4"/>
      <c r="P2744" s="4"/>
      <c r="Q2744" s="4"/>
      <c r="R2744" s="4"/>
      <c r="S2744" s="4"/>
    </row>
    <row r="2745" spans="15:19" x14ac:dyDescent="0.25">
      <c r="O2745" s="4"/>
      <c r="P2745" s="4"/>
      <c r="Q2745" s="4"/>
      <c r="R2745" s="4"/>
      <c r="S2745" s="4"/>
    </row>
    <row r="2746" spans="15:19" x14ac:dyDescent="0.25">
      <c r="O2746" s="4"/>
      <c r="P2746" s="4"/>
      <c r="Q2746" s="4"/>
      <c r="R2746" s="4"/>
      <c r="S2746" s="4"/>
    </row>
    <row r="2747" spans="15:19" x14ac:dyDescent="0.25">
      <c r="O2747" s="4"/>
      <c r="P2747" s="4"/>
      <c r="Q2747" s="4"/>
      <c r="R2747" s="4"/>
      <c r="S2747" s="4"/>
    </row>
    <row r="2748" spans="15:19" x14ac:dyDescent="0.25">
      <c r="O2748" s="4"/>
      <c r="P2748" s="4"/>
      <c r="Q2748" s="4"/>
      <c r="R2748" s="4"/>
      <c r="S2748" s="4"/>
    </row>
    <row r="2749" spans="15:19" x14ac:dyDescent="0.25">
      <c r="O2749" s="4"/>
      <c r="P2749" s="4"/>
      <c r="Q2749" s="4"/>
      <c r="R2749" s="4"/>
      <c r="S2749" s="4"/>
    </row>
    <row r="2750" spans="15:19" x14ac:dyDescent="0.25">
      <c r="O2750" s="4"/>
      <c r="P2750" s="4"/>
      <c r="Q2750" s="4"/>
      <c r="R2750" s="4"/>
      <c r="S2750" s="4"/>
    </row>
    <row r="2751" spans="15:19" x14ac:dyDescent="0.25">
      <c r="O2751" s="4"/>
      <c r="P2751" s="4"/>
      <c r="Q2751" s="4"/>
      <c r="R2751" s="4"/>
      <c r="S2751" s="4"/>
    </row>
    <row r="2752" spans="15:19" x14ac:dyDescent="0.25">
      <c r="O2752" s="4"/>
      <c r="P2752" s="4"/>
      <c r="Q2752" s="4"/>
      <c r="R2752" s="4"/>
      <c r="S2752" s="4"/>
    </row>
    <row r="2753" spans="15:19" x14ac:dyDescent="0.25">
      <c r="O2753" s="4"/>
      <c r="P2753" s="4"/>
      <c r="Q2753" s="4"/>
      <c r="R2753" s="4"/>
      <c r="S2753" s="4"/>
    </row>
    <row r="2754" spans="15:19" x14ac:dyDescent="0.25">
      <c r="O2754" s="4"/>
      <c r="P2754" s="4"/>
      <c r="Q2754" s="4"/>
      <c r="R2754" s="4"/>
      <c r="S2754" s="4"/>
    </row>
    <row r="2755" spans="15:19" x14ac:dyDescent="0.25">
      <c r="O2755" s="4"/>
      <c r="P2755" s="4"/>
      <c r="Q2755" s="4"/>
      <c r="R2755" s="4"/>
      <c r="S2755" s="4"/>
    </row>
    <row r="2756" spans="15:19" x14ac:dyDescent="0.25">
      <c r="O2756" s="4"/>
      <c r="P2756" s="4"/>
      <c r="Q2756" s="4"/>
      <c r="R2756" s="4"/>
      <c r="S2756" s="4"/>
    </row>
    <row r="2757" spans="15:19" x14ac:dyDescent="0.25">
      <c r="O2757" s="4"/>
      <c r="P2757" s="4"/>
      <c r="Q2757" s="4"/>
      <c r="R2757" s="4"/>
      <c r="S2757" s="4"/>
    </row>
    <row r="2758" spans="15:19" x14ac:dyDescent="0.25">
      <c r="O2758" s="4"/>
      <c r="P2758" s="4"/>
      <c r="Q2758" s="4"/>
      <c r="R2758" s="4"/>
      <c r="S2758" s="4"/>
    </row>
    <row r="2759" spans="15:19" x14ac:dyDescent="0.25">
      <c r="O2759" s="4"/>
      <c r="P2759" s="4"/>
      <c r="Q2759" s="4"/>
      <c r="R2759" s="4"/>
      <c r="S2759" s="4"/>
    </row>
    <row r="2760" spans="15:19" x14ac:dyDescent="0.25">
      <c r="O2760" s="4"/>
      <c r="P2760" s="4"/>
      <c r="Q2760" s="4"/>
      <c r="R2760" s="4"/>
      <c r="S2760" s="4"/>
    </row>
    <row r="2761" spans="15:19" x14ac:dyDescent="0.25">
      <c r="O2761" s="4"/>
      <c r="P2761" s="4"/>
      <c r="Q2761" s="4"/>
      <c r="R2761" s="4"/>
      <c r="S2761" s="4"/>
    </row>
    <row r="2762" spans="15:19" x14ac:dyDescent="0.25">
      <c r="O2762" s="4"/>
      <c r="P2762" s="4"/>
      <c r="Q2762" s="4"/>
      <c r="R2762" s="4"/>
      <c r="S2762" s="4"/>
    </row>
    <row r="2763" spans="15:19" x14ac:dyDescent="0.25">
      <c r="O2763" s="4"/>
      <c r="P2763" s="4"/>
      <c r="Q2763" s="4"/>
      <c r="R2763" s="4"/>
      <c r="S2763" s="4"/>
    </row>
    <row r="2764" spans="15:19" x14ac:dyDescent="0.25">
      <c r="O2764" s="4"/>
      <c r="P2764" s="4"/>
      <c r="Q2764" s="4"/>
      <c r="R2764" s="4"/>
      <c r="S2764" s="4"/>
    </row>
    <row r="2765" spans="15:19" x14ac:dyDescent="0.25">
      <c r="O2765" s="4"/>
      <c r="P2765" s="4"/>
      <c r="Q2765" s="4"/>
      <c r="R2765" s="4"/>
      <c r="S2765" s="4"/>
    </row>
    <row r="2766" spans="15:19" x14ac:dyDescent="0.25">
      <c r="O2766" s="4"/>
      <c r="P2766" s="4"/>
      <c r="Q2766" s="4"/>
      <c r="R2766" s="4"/>
      <c r="S2766" s="4"/>
    </row>
    <row r="2767" spans="15:19" x14ac:dyDescent="0.25">
      <c r="O2767" s="4"/>
      <c r="P2767" s="4"/>
      <c r="Q2767" s="4"/>
      <c r="R2767" s="4"/>
      <c r="S2767" s="4"/>
    </row>
    <row r="2768" spans="15:19" x14ac:dyDescent="0.25">
      <c r="O2768" s="4"/>
      <c r="P2768" s="4"/>
      <c r="Q2768" s="4"/>
      <c r="R2768" s="4"/>
      <c r="S2768" s="4"/>
    </row>
    <row r="2769" spans="15:19" x14ac:dyDescent="0.25">
      <c r="O2769" s="4"/>
      <c r="P2769" s="4"/>
      <c r="Q2769" s="4"/>
      <c r="R2769" s="4"/>
      <c r="S2769" s="4"/>
    </row>
    <row r="2770" spans="15:19" x14ac:dyDescent="0.25">
      <c r="O2770" s="4"/>
      <c r="P2770" s="4"/>
      <c r="Q2770" s="4"/>
      <c r="R2770" s="4"/>
      <c r="S2770" s="4"/>
    </row>
    <row r="2771" spans="15:19" x14ac:dyDescent="0.25">
      <c r="O2771" s="4"/>
      <c r="P2771" s="4"/>
      <c r="Q2771" s="4"/>
      <c r="R2771" s="4"/>
      <c r="S2771" s="4"/>
    </row>
    <row r="2772" spans="15:19" x14ac:dyDescent="0.25">
      <c r="O2772" s="4"/>
      <c r="P2772" s="4"/>
      <c r="Q2772" s="4"/>
      <c r="R2772" s="4"/>
      <c r="S2772" s="4"/>
    </row>
    <row r="2773" spans="15:19" x14ac:dyDescent="0.25">
      <c r="O2773" s="4"/>
      <c r="P2773" s="4"/>
      <c r="Q2773" s="4"/>
      <c r="R2773" s="4"/>
      <c r="S2773" s="4"/>
    </row>
    <row r="2774" spans="15:19" x14ac:dyDescent="0.25">
      <c r="O2774" s="4"/>
      <c r="P2774" s="4"/>
      <c r="Q2774" s="4"/>
      <c r="R2774" s="4"/>
      <c r="S2774" s="4"/>
    </row>
    <row r="2775" spans="15:19" x14ac:dyDescent="0.25">
      <c r="O2775" s="4"/>
      <c r="P2775" s="4"/>
      <c r="Q2775" s="4"/>
      <c r="R2775" s="4"/>
      <c r="S2775" s="4"/>
    </row>
    <row r="2776" spans="15:19" x14ac:dyDescent="0.25">
      <c r="O2776" s="4"/>
      <c r="P2776" s="4"/>
      <c r="Q2776" s="4"/>
      <c r="R2776" s="4"/>
      <c r="S2776" s="4"/>
    </row>
    <row r="2777" spans="15:19" x14ac:dyDescent="0.25">
      <c r="O2777" s="4"/>
      <c r="P2777" s="4"/>
      <c r="Q2777" s="4"/>
      <c r="R2777" s="4"/>
      <c r="S2777" s="4"/>
    </row>
    <row r="2778" spans="15:19" x14ac:dyDescent="0.25">
      <c r="O2778" s="4"/>
      <c r="P2778" s="4"/>
      <c r="Q2778" s="4"/>
      <c r="R2778" s="4"/>
      <c r="S2778" s="4"/>
    </row>
    <row r="2779" spans="15:19" x14ac:dyDescent="0.25">
      <c r="O2779" s="4"/>
      <c r="P2779" s="4"/>
      <c r="Q2779" s="4"/>
      <c r="R2779" s="4"/>
      <c r="S2779" s="4"/>
    </row>
    <row r="2780" spans="15:19" x14ac:dyDescent="0.25">
      <c r="O2780" s="4"/>
      <c r="P2780" s="4"/>
      <c r="Q2780" s="4"/>
      <c r="R2780" s="4"/>
      <c r="S2780" s="4"/>
    </row>
    <row r="2781" spans="15:19" x14ac:dyDescent="0.25">
      <c r="O2781" s="4"/>
      <c r="P2781" s="4"/>
      <c r="Q2781" s="4"/>
      <c r="R2781" s="4"/>
      <c r="S2781" s="4"/>
    </row>
    <row r="2782" spans="15:19" x14ac:dyDescent="0.25">
      <c r="O2782" s="4"/>
      <c r="P2782" s="4"/>
      <c r="Q2782" s="4"/>
      <c r="R2782" s="4"/>
      <c r="S2782" s="4"/>
    </row>
    <row r="2783" spans="15:19" x14ac:dyDescent="0.25">
      <c r="O2783" s="4"/>
      <c r="P2783" s="4"/>
      <c r="Q2783" s="4"/>
      <c r="R2783" s="4"/>
      <c r="S2783" s="4"/>
    </row>
    <row r="2784" spans="15:19" x14ac:dyDescent="0.25">
      <c r="O2784" s="4"/>
      <c r="P2784" s="4"/>
      <c r="Q2784" s="4"/>
      <c r="R2784" s="4"/>
      <c r="S2784" s="4"/>
    </row>
    <row r="2785" spans="15:19" x14ac:dyDescent="0.25">
      <c r="O2785" s="4"/>
      <c r="P2785" s="4"/>
      <c r="Q2785" s="4"/>
      <c r="R2785" s="4"/>
      <c r="S2785" s="4"/>
    </row>
    <row r="2786" spans="15:19" x14ac:dyDescent="0.25">
      <c r="O2786" s="4"/>
      <c r="P2786" s="4"/>
      <c r="Q2786" s="4"/>
      <c r="R2786" s="4"/>
      <c r="S2786" s="4"/>
    </row>
    <row r="2787" spans="15:19" x14ac:dyDescent="0.25">
      <c r="O2787" s="4"/>
      <c r="P2787" s="4"/>
      <c r="Q2787" s="4"/>
      <c r="R2787" s="4"/>
      <c r="S2787" s="4"/>
    </row>
    <row r="2788" spans="15:19" x14ac:dyDescent="0.25">
      <c r="O2788" s="4"/>
      <c r="P2788" s="4"/>
      <c r="Q2788" s="4"/>
      <c r="R2788" s="4"/>
      <c r="S2788" s="4"/>
    </row>
    <row r="2789" spans="15:19" x14ac:dyDescent="0.25">
      <c r="O2789" s="4"/>
      <c r="P2789" s="4"/>
      <c r="Q2789" s="4"/>
      <c r="R2789" s="4"/>
      <c r="S2789" s="4"/>
    </row>
    <row r="2790" spans="15:19" x14ac:dyDescent="0.25">
      <c r="O2790" s="4"/>
      <c r="P2790" s="4"/>
      <c r="Q2790" s="4"/>
      <c r="R2790" s="4"/>
      <c r="S2790" s="4"/>
    </row>
    <row r="2791" spans="15:19" x14ac:dyDescent="0.25">
      <c r="O2791" s="4"/>
      <c r="P2791" s="4"/>
      <c r="Q2791" s="4"/>
      <c r="R2791" s="4"/>
      <c r="S2791" s="4"/>
    </row>
    <row r="2792" spans="15:19" x14ac:dyDescent="0.25">
      <c r="O2792" s="4"/>
      <c r="P2792" s="4"/>
      <c r="Q2792" s="4"/>
      <c r="R2792" s="4"/>
      <c r="S2792" s="4"/>
    </row>
    <row r="2793" spans="15:19" x14ac:dyDescent="0.25">
      <c r="O2793" s="4"/>
      <c r="P2793" s="4"/>
      <c r="Q2793" s="4"/>
      <c r="R2793" s="4"/>
      <c r="S2793" s="4"/>
    </row>
    <row r="2794" spans="15:19" x14ac:dyDescent="0.25">
      <c r="O2794" s="4"/>
      <c r="P2794" s="4"/>
      <c r="Q2794" s="4"/>
      <c r="R2794" s="4"/>
      <c r="S2794" s="4"/>
    </row>
    <row r="2795" spans="15:19" x14ac:dyDescent="0.25">
      <c r="O2795" s="4"/>
      <c r="P2795" s="4"/>
      <c r="Q2795" s="4"/>
      <c r="R2795" s="4"/>
      <c r="S2795" s="4"/>
    </row>
    <row r="2796" spans="15:19" x14ac:dyDescent="0.25">
      <c r="O2796" s="4"/>
      <c r="P2796" s="4"/>
      <c r="Q2796" s="4"/>
      <c r="R2796" s="4"/>
      <c r="S2796" s="4"/>
    </row>
    <row r="2797" spans="15:19" x14ac:dyDescent="0.25">
      <c r="O2797" s="4"/>
      <c r="P2797" s="4"/>
      <c r="Q2797" s="4"/>
      <c r="R2797" s="4"/>
      <c r="S2797" s="4"/>
    </row>
    <row r="2798" spans="15:19" x14ac:dyDescent="0.25">
      <c r="O2798" s="4"/>
      <c r="P2798" s="4"/>
      <c r="Q2798" s="4"/>
      <c r="R2798" s="4"/>
      <c r="S2798" s="4"/>
    </row>
    <row r="2799" spans="15:19" x14ac:dyDescent="0.25">
      <c r="O2799" s="4"/>
      <c r="P2799" s="4"/>
      <c r="Q2799" s="4"/>
      <c r="R2799" s="4"/>
      <c r="S2799" s="4"/>
    </row>
    <row r="2800" spans="15:19" x14ac:dyDescent="0.25">
      <c r="O2800" s="4"/>
      <c r="P2800" s="4"/>
      <c r="Q2800" s="4"/>
      <c r="R2800" s="4"/>
      <c r="S2800" s="4"/>
    </row>
    <row r="2801" spans="15:19" x14ac:dyDescent="0.25">
      <c r="O2801" s="4"/>
      <c r="P2801" s="4"/>
      <c r="Q2801" s="4"/>
      <c r="R2801" s="4"/>
      <c r="S2801" s="4"/>
    </row>
    <row r="2802" spans="15:19" x14ac:dyDescent="0.25">
      <c r="O2802" s="4"/>
      <c r="P2802" s="4"/>
      <c r="Q2802" s="4"/>
      <c r="R2802" s="4"/>
      <c r="S2802" s="4"/>
    </row>
    <row r="2803" spans="15:19" x14ac:dyDescent="0.25">
      <c r="O2803" s="4"/>
      <c r="P2803" s="4"/>
      <c r="Q2803" s="4"/>
      <c r="R2803" s="4"/>
      <c r="S2803" s="4"/>
    </row>
    <row r="2804" spans="15:19" x14ac:dyDescent="0.25">
      <c r="O2804" s="4"/>
      <c r="P2804" s="4"/>
      <c r="Q2804" s="4"/>
      <c r="R2804" s="4"/>
      <c r="S2804" s="4"/>
    </row>
    <row r="2805" spans="15:19" x14ac:dyDescent="0.25">
      <c r="O2805" s="4"/>
      <c r="P2805" s="4"/>
      <c r="Q2805" s="4"/>
      <c r="R2805" s="4"/>
      <c r="S2805" s="4"/>
    </row>
    <row r="2806" spans="15:19" x14ac:dyDescent="0.25">
      <c r="O2806" s="4"/>
      <c r="P2806" s="4"/>
      <c r="Q2806" s="4"/>
      <c r="R2806" s="4"/>
      <c r="S2806" s="4"/>
    </row>
    <row r="2807" spans="15:19" x14ac:dyDescent="0.25">
      <c r="O2807" s="4"/>
      <c r="P2807" s="4"/>
      <c r="Q2807" s="4"/>
      <c r="R2807" s="4"/>
      <c r="S2807" s="4"/>
    </row>
    <row r="2808" spans="15:19" x14ac:dyDescent="0.25">
      <c r="O2808" s="4"/>
      <c r="P2808" s="4"/>
      <c r="Q2808" s="4"/>
      <c r="R2808" s="4"/>
      <c r="S2808" s="4"/>
    </row>
    <row r="2809" spans="15:19" x14ac:dyDescent="0.25">
      <c r="O2809" s="4"/>
      <c r="P2809" s="4"/>
      <c r="Q2809" s="4"/>
      <c r="R2809" s="4"/>
      <c r="S2809" s="4"/>
    </row>
    <row r="2810" spans="15:19" x14ac:dyDescent="0.25">
      <c r="O2810" s="4"/>
      <c r="P2810" s="4"/>
      <c r="Q2810" s="4"/>
      <c r="R2810" s="4"/>
      <c r="S2810" s="4"/>
    </row>
    <row r="2811" spans="15:19" x14ac:dyDescent="0.25">
      <c r="O2811" s="4"/>
      <c r="P2811" s="4"/>
      <c r="Q2811" s="4"/>
      <c r="R2811" s="4"/>
      <c r="S2811" s="4"/>
    </row>
    <row r="2812" spans="15:19" x14ac:dyDescent="0.25">
      <c r="O2812" s="4"/>
      <c r="P2812" s="4"/>
      <c r="Q2812" s="4"/>
      <c r="R2812" s="4"/>
      <c r="S2812" s="4"/>
    </row>
    <row r="2813" spans="15:19" x14ac:dyDescent="0.25">
      <c r="O2813" s="4"/>
      <c r="P2813" s="4"/>
      <c r="Q2813" s="4"/>
      <c r="R2813" s="4"/>
      <c r="S2813" s="4"/>
    </row>
    <row r="2814" spans="15:19" x14ac:dyDescent="0.25">
      <c r="O2814" s="4"/>
      <c r="P2814" s="4"/>
      <c r="Q2814" s="4"/>
      <c r="R2814" s="4"/>
      <c r="S2814" s="4"/>
    </row>
    <row r="2815" spans="15:19" x14ac:dyDescent="0.25">
      <c r="O2815" s="4"/>
      <c r="P2815" s="4"/>
      <c r="Q2815" s="4"/>
      <c r="R2815" s="4"/>
      <c r="S2815" s="4"/>
    </row>
    <row r="2816" spans="15:19" x14ac:dyDescent="0.25">
      <c r="O2816" s="4"/>
      <c r="P2816" s="4"/>
      <c r="Q2816" s="4"/>
      <c r="R2816" s="4"/>
      <c r="S2816" s="4"/>
    </row>
    <row r="2817" spans="15:19" x14ac:dyDescent="0.25">
      <c r="O2817" s="4"/>
      <c r="P2817" s="4"/>
      <c r="Q2817" s="4"/>
      <c r="R2817" s="4"/>
      <c r="S2817" s="4"/>
    </row>
    <row r="2818" spans="15:19" x14ac:dyDescent="0.25">
      <c r="O2818" s="4"/>
      <c r="P2818" s="4"/>
      <c r="Q2818" s="4"/>
      <c r="R2818" s="4"/>
      <c r="S2818" s="4"/>
    </row>
    <row r="2819" spans="15:19" x14ac:dyDescent="0.25">
      <c r="O2819" s="4"/>
      <c r="P2819" s="4"/>
      <c r="Q2819" s="4"/>
      <c r="R2819" s="4"/>
      <c r="S2819" s="4"/>
    </row>
    <row r="2820" spans="15:19" x14ac:dyDescent="0.25">
      <c r="O2820" s="4"/>
      <c r="P2820" s="4"/>
      <c r="Q2820" s="4"/>
      <c r="R2820" s="4"/>
      <c r="S2820" s="4"/>
    </row>
    <row r="2821" spans="15:19" x14ac:dyDescent="0.25">
      <c r="O2821" s="4"/>
      <c r="P2821" s="4"/>
      <c r="Q2821" s="4"/>
      <c r="R2821" s="4"/>
      <c r="S2821" s="4"/>
    </row>
    <row r="2822" spans="15:19" x14ac:dyDescent="0.25">
      <c r="O2822" s="4"/>
      <c r="P2822" s="4"/>
      <c r="Q2822" s="4"/>
      <c r="R2822" s="4"/>
      <c r="S2822" s="4"/>
    </row>
    <row r="2823" spans="15:19" x14ac:dyDescent="0.25">
      <c r="O2823" s="4"/>
      <c r="P2823" s="4"/>
      <c r="Q2823" s="4"/>
      <c r="R2823" s="4"/>
      <c r="S2823" s="4"/>
    </row>
    <row r="2824" spans="15:19" x14ac:dyDescent="0.25">
      <c r="O2824" s="4"/>
      <c r="P2824" s="4"/>
      <c r="Q2824" s="4"/>
      <c r="R2824" s="4"/>
      <c r="S2824" s="4"/>
    </row>
    <row r="2825" spans="15:19" x14ac:dyDescent="0.25">
      <c r="O2825" s="4"/>
      <c r="P2825" s="4"/>
      <c r="Q2825" s="4"/>
      <c r="R2825" s="4"/>
      <c r="S2825" s="4"/>
    </row>
    <row r="2826" spans="15:19" x14ac:dyDescent="0.25">
      <c r="O2826" s="4"/>
      <c r="P2826" s="4"/>
      <c r="Q2826" s="4"/>
      <c r="R2826" s="4"/>
      <c r="S2826" s="4"/>
    </row>
    <row r="2827" spans="15:19" x14ac:dyDescent="0.25">
      <c r="O2827" s="4"/>
      <c r="P2827" s="4"/>
      <c r="Q2827" s="4"/>
      <c r="R2827" s="4"/>
      <c r="S2827" s="4"/>
    </row>
    <row r="2828" spans="15:19" x14ac:dyDescent="0.25">
      <c r="O2828" s="4"/>
      <c r="P2828" s="4"/>
      <c r="Q2828" s="4"/>
      <c r="R2828" s="4"/>
      <c r="S2828" s="4"/>
    </row>
    <row r="2829" spans="15:19" x14ac:dyDescent="0.25">
      <c r="O2829" s="4"/>
      <c r="P2829" s="4"/>
      <c r="Q2829" s="4"/>
      <c r="R2829" s="4"/>
      <c r="S2829" s="4"/>
    </row>
    <row r="2830" spans="15:19" x14ac:dyDescent="0.25">
      <c r="O2830" s="4"/>
      <c r="P2830" s="4"/>
      <c r="Q2830" s="4"/>
      <c r="R2830" s="4"/>
      <c r="S2830" s="4"/>
    </row>
    <row r="2831" spans="15:19" x14ac:dyDescent="0.25">
      <c r="O2831" s="4"/>
      <c r="P2831" s="4"/>
      <c r="Q2831" s="4"/>
      <c r="R2831" s="4"/>
      <c r="S2831" s="4"/>
    </row>
    <row r="2832" spans="15:19" x14ac:dyDescent="0.25">
      <c r="O2832" s="4"/>
      <c r="P2832" s="4"/>
      <c r="Q2832" s="4"/>
      <c r="R2832" s="4"/>
      <c r="S2832" s="4"/>
    </row>
    <row r="2833" spans="15:19" x14ac:dyDescent="0.25">
      <c r="O2833" s="4"/>
      <c r="P2833" s="4"/>
      <c r="Q2833" s="4"/>
      <c r="R2833" s="4"/>
      <c r="S2833" s="4"/>
    </row>
    <row r="2834" spans="15:19" x14ac:dyDescent="0.25">
      <c r="O2834" s="4"/>
      <c r="P2834" s="4"/>
      <c r="Q2834" s="4"/>
      <c r="R2834" s="4"/>
      <c r="S2834" s="4"/>
    </row>
    <row r="2835" spans="15:19" x14ac:dyDescent="0.25">
      <c r="O2835" s="4"/>
      <c r="P2835" s="4"/>
      <c r="Q2835" s="4"/>
      <c r="R2835" s="4"/>
      <c r="S2835" s="4"/>
    </row>
    <row r="2836" spans="15:19" x14ac:dyDescent="0.25">
      <c r="O2836" s="4"/>
      <c r="P2836" s="4"/>
      <c r="Q2836" s="4"/>
      <c r="R2836" s="4"/>
      <c r="S2836" s="4"/>
    </row>
    <row r="2837" spans="15:19" x14ac:dyDescent="0.25">
      <c r="O2837" s="4"/>
      <c r="P2837" s="4"/>
      <c r="Q2837" s="4"/>
      <c r="R2837" s="4"/>
      <c r="S2837" s="4"/>
    </row>
    <row r="2838" spans="15:19" x14ac:dyDescent="0.25">
      <c r="O2838" s="4"/>
      <c r="P2838" s="4"/>
      <c r="Q2838" s="4"/>
      <c r="R2838" s="4"/>
      <c r="S2838" s="4"/>
    </row>
    <row r="2839" spans="15:19" x14ac:dyDescent="0.25">
      <c r="O2839" s="4"/>
      <c r="P2839" s="4"/>
      <c r="Q2839" s="4"/>
      <c r="R2839" s="4"/>
      <c r="S2839" s="4"/>
    </row>
    <row r="2840" spans="15:19" x14ac:dyDescent="0.25">
      <c r="O2840" s="4"/>
      <c r="P2840" s="4"/>
      <c r="Q2840" s="4"/>
      <c r="R2840" s="4"/>
      <c r="S2840" s="4"/>
    </row>
    <row r="2841" spans="15:19" x14ac:dyDescent="0.25">
      <c r="O2841" s="4"/>
      <c r="P2841" s="4"/>
      <c r="Q2841" s="4"/>
      <c r="R2841" s="4"/>
      <c r="S2841" s="4"/>
    </row>
    <row r="2842" spans="15:19" x14ac:dyDescent="0.25">
      <c r="O2842" s="4"/>
      <c r="P2842" s="4"/>
      <c r="Q2842" s="4"/>
      <c r="R2842" s="4"/>
      <c r="S2842" s="4"/>
    </row>
    <row r="2843" spans="15:19" x14ac:dyDescent="0.25">
      <c r="O2843" s="4"/>
      <c r="P2843" s="4"/>
      <c r="Q2843" s="4"/>
      <c r="R2843" s="4"/>
      <c r="S2843" s="4"/>
    </row>
    <row r="2844" spans="15:19" x14ac:dyDescent="0.25">
      <c r="O2844" s="4"/>
      <c r="P2844" s="4"/>
      <c r="Q2844" s="4"/>
      <c r="R2844" s="4"/>
      <c r="S2844" s="4"/>
    </row>
    <row r="2845" spans="15:19" x14ac:dyDescent="0.25">
      <c r="O2845" s="4"/>
      <c r="P2845" s="4"/>
      <c r="Q2845" s="4"/>
      <c r="R2845" s="4"/>
      <c r="S2845" s="4"/>
    </row>
    <row r="2846" spans="15:19" x14ac:dyDescent="0.25">
      <c r="O2846" s="4"/>
      <c r="P2846" s="4"/>
      <c r="Q2846" s="4"/>
      <c r="R2846" s="4"/>
      <c r="S2846" s="4"/>
    </row>
    <row r="2847" spans="15:19" x14ac:dyDescent="0.25">
      <c r="O2847" s="4"/>
      <c r="P2847" s="4"/>
      <c r="Q2847" s="4"/>
      <c r="R2847" s="4"/>
      <c r="S2847" s="4"/>
    </row>
    <row r="2848" spans="15:19" x14ac:dyDescent="0.25">
      <c r="O2848" s="4"/>
      <c r="P2848" s="4"/>
      <c r="Q2848" s="4"/>
      <c r="R2848" s="4"/>
      <c r="S2848" s="4"/>
    </row>
    <row r="2849" spans="15:19" x14ac:dyDescent="0.25">
      <c r="O2849" s="4"/>
      <c r="P2849" s="4"/>
      <c r="Q2849" s="4"/>
      <c r="R2849" s="4"/>
      <c r="S2849" s="4"/>
    </row>
    <row r="2850" spans="15:19" x14ac:dyDescent="0.25">
      <c r="O2850" s="4"/>
      <c r="P2850" s="4"/>
      <c r="Q2850" s="4"/>
      <c r="R2850" s="4"/>
      <c r="S2850" s="4"/>
    </row>
    <row r="2851" spans="15:19" x14ac:dyDescent="0.25">
      <c r="O2851" s="4"/>
      <c r="P2851" s="4"/>
      <c r="Q2851" s="4"/>
      <c r="R2851" s="4"/>
      <c r="S2851" s="4"/>
    </row>
    <row r="2852" spans="15:19" x14ac:dyDescent="0.25">
      <c r="O2852" s="4"/>
      <c r="P2852" s="4"/>
      <c r="Q2852" s="4"/>
      <c r="R2852" s="4"/>
      <c r="S2852" s="4"/>
    </row>
    <row r="2853" spans="15:19" x14ac:dyDescent="0.25">
      <c r="O2853" s="4"/>
      <c r="P2853" s="4"/>
      <c r="Q2853" s="4"/>
      <c r="R2853" s="4"/>
      <c r="S2853" s="4"/>
    </row>
    <row r="2854" spans="15:19" x14ac:dyDescent="0.25">
      <c r="O2854" s="4"/>
      <c r="P2854" s="4"/>
      <c r="Q2854" s="4"/>
      <c r="R2854" s="4"/>
      <c r="S2854" s="4"/>
    </row>
    <row r="2855" spans="15:19" x14ac:dyDescent="0.25">
      <c r="O2855" s="4"/>
      <c r="P2855" s="4"/>
      <c r="Q2855" s="4"/>
      <c r="R2855" s="4"/>
      <c r="S2855" s="4"/>
    </row>
    <row r="2856" spans="15:19" x14ac:dyDescent="0.25">
      <c r="O2856" s="4"/>
      <c r="P2856" s="4"/>
      <c r="Q2856" s="4"/>
      <c r="R2856" s="4"/>
      <c r="S2856" s="4"/>
    </row>
    <row r="2857" spans="15:19" x14ac:dyDescent="0.25">
      <c r="O2857" s="4"/>
      <c r="P2857" s="4"/>
      <c r="Q2857" s="4"/>
      <c r="R2857" s="4"/>
      <c r="S2857" s="4"/>
    </row>
    <row r="2858" spans="15:19" x14ac:dyDescent="0.25">
      <c r="O2858" s="4"/>
      <c r="P2858" s="4"/>
      <c r="Q2858" s="4"/>
      <c r="R2858" s="4"/>
      <c r="S2858" s="4"/>
    </row>
    <row r="2859" spans="15:19" x14ac:dyDescent="0.25">
      <c r="O2859" s="4"/>
      <c r="P2859" s="4"/>
      <c r="Q2859" s="4"/>
      <c r="R2859" s="4"/>
      <c r="S2859" s="4"/>
    </row>
    <row r="2860" spans="15:19" x14ac:dyDescent="0.25">
      <c r="O2860" s="4"/>
      <c r="P2860" s="4"/>
      <c r="Q2860" s="4"/>
      <c r="R2860" s="4"/>
      <c r="S2860" s="4"/>
    </row>
    <row r="2861" spans="15:19" x14ac:dyDescent="0.25">
      <c r="O2861" s="4"/>
      <c r="P2861" s="4"/>
      <c r="Q2861" s="4"/>
      <c r="R2861" s="4"/>
      <c r="S2861" s="4"/>
    </row>
    <row r="2862" spans="15:19" x14ac:dyDescent="0.25">
      <c r="O2862" s="4"/>
      <c r="P2862" s="4"/>
      <c r="Q2862" s="4"/>
      <c r="R2862" s="4"/>
      <c r="S2862" s="4"/>
    </row>
    <row r="2863" spans="15:19" x14ac:dyDescent="0.25">
      <c r="O2863" s="4"/>
      <c r="P2863" s="4"/>
      <c r="Q2863" s="4"/>
      <c r="R2863" s="4"/>
      <c r="S2863" s="4"/>
    </row>
    <row r="2864" spans="15:19" x14ac:dyDescent="0.25">
      <c r="O2864" s="4"/>
      <c r="P2864" s="4"/>
      <c r="Q2864" s="4"/>
      <c r="R2864" s="4"/>
      <c r="S2864" s="4"/>
    </row>
    <row r="2865" spans="15:19" x14ac:dyDescent="0.25">
      <c r="O2865" s="4"/>
      <c r="P2865" s="4"/>
      <c r="Q2865" s="4"/>
      <c r="R2865" s="4"/>
      <c r="S2865" s="4"/>
    </row>
    <row r="2866" spans="15:19" x14ac:dyDescent="0.25">
      <c r="O2866" s="4"/>
      <c r="P2866" s="4"/>
      <c r="Q2866" s="4"/>
      <c r="R2866" s="4"/>
      <c r="S2866" s="4"/>
    </row>
    <row r="2867" spans="15:19" x14ac:dyDescent="0.25">
      <c r="O2867" s="4"/>
      <c r="P2867" s="4"/>
      <c r="Q2867" s="4"/>
      <c r="R2867" s="4"/>
      <c r="S2867" s="4"/>
    </row>
    <row r="2868" spans="15:19" x14ac:dyDescent="0.25">
      <c r="O2868" s="4"/>
      <c r="P2868" s="4"/>
      <c r="Q2868" s="4"/>
      <c r="R2868" s="4"/>
      <c r="S2868" s="4"/>
    </row>
    <row r="2869" spans="15:19" x14ac:dyDescent="0.25">
      <c r="O2869" s="4"/>
      <c r="P2869" s="4"/>
      <c r="Q2869" s="4"/>
      <c r="R2869" s="4"/>
      <c r="S2869" s="4"/>
    </row>
    <row r="2870" spans="15:19" x14ac:dyDescent="0.25">
      <c r="O2870" s="4"/>
      <c r="P2870" s="4"/>
      <c r="Q2870" s="4"/>
      <c r="R2870" s="4"/>
      <c r="S2870" s="4"/>
    </row>
    <row r="2871" spans="15:19" x14ac:dyDescent="0.25">
      <c r="O2871" s="4"/>
      <c r="P2871" s="4"/>
      <c r="Q2871" s="4"/>
      <c r="R2871" s="4"/>
      <c r="S2871" s="4"/>
    </row>
    <row r="2872" spans="15:19" x14ac:dyDescent="0.25">
      <c r="O2872" s="4"/>
      <c r="P2872" s="4"/>
      <c r="Q2872" s="4"/>
      <c r="R2872" s="4"/>
      <c r="S2872" s="4"/>
    </row>
    <row r="2873" spans="15:19" x14ac:dyDescent="0.25">
      <c r="O2873" s="4"/>
      <c r="P2873" s="4"/>
      <c r="Q2873" s="4"/>
      <c r="R2873" s="4"/>
      <c r="S2873" s="4"/>
    </row>
    <row r="2874" spans="15:19" x14ac:dyDescent="0.25">
      <c r="O2874" s="4"/>
      <c r="P2874" s="4"/>
      <c r="Q2874" s="4"/>
      <c r="R2874" s="4"/>
      <c r="S2874" s="4"/>
    </row>
    <row r="2875" spans="15:19" x14ac:dyDescent="0.25">
      <c r="O2875" s="4"/>
      <c r="P2875" s="4"/>
      <c r="Q2875" s="4"/>
      <c r="R2875" s="4"/>
      <c r="S2875" s="4"/>
    </row>
    <row r="2876" spans="15:19" x14ac:dyDescent="0.25">
      <c r="O2876" s="4"/>
      <c r="P2876" s="4"/>
      <c r="Q2876" s="4"/>
      <c r="R2876" s="4"/>
      <c r="S2876" s="4"/>
    </row>
    <row r="2877" spans="15:19" x14ac:dyDescent="0.25">
      <c r="O2877" s="4"/>
      <c r="P2877" s="4"/>
      <c r="Q2877" s="4"/>
      <c r="R2877" s="4"/>
      <c r="S2877" s="4"/>
    </row>
    <row r="2878" spans="15:19" x14ac:dyDescent="0.25">
      <c r="O2878" s="4"/>
      <c r="P2878" s="4"/>
      <c r="Q2878" s="4"/>
      <c r="R2878" s="4"/>
      <c r="S2878" s="4"/>
    </row>
    <row r="2879" spans="15:19" x14ac:dyDescent="0.25">
      <c r="O2879" s="4"/>
      <c r="P2879" s="4"/>
      <c r="Q2879" s="4"/>
      <c r="R2879" s="4"/>
      <c r="S2879" s="4"/>
    </row>
    <row r="2880" spans="15:19" x14ac:dyDescent="0.25">
      <c r="O2880" s="4"/>
      <c r="P2880" s="4"/>
      <c r="Q2880" s="4"/>
      <c r="R2880" s="4"/>
      <c r="S2880" s="4"/>
    </row>
    <row r="2881" spans="15:19" x14ac:dyDescent="0.25">
      <c r="O2881" s="4"/>
      <c r="P2881" s="4"/>
      <c r="Q2881" s="4"/>
      <c r="R2881" s="4"/>
      <c r="S2881" s="4"/>
    </row>
    <row r="2882" spans="15:19" x14ac:dyDescent="0.25">
      <c r="O2882" s="4"/>
      <c r="P2882" s="4"/>
      <c r="Q2882" s="4"/>
      <c r="R2882" s="4"/>
      <c r="S2882" s="4"/>
    </row>
    <row r="2883" spans="15:19" x14ac:dyDescent="0.25">
      <c r="O2883" s="4"/>
      <c r="P2883" s="4"/>
      <c r="Q2883" s="4"/>
      <c r="R2883" s="4"/>
      <c r="S2883" s="4"/>
    </row>
    <row r="2884" spans="15:19" x14ac:dyDescent="0.25">
      <c r="O2884" s="4"/>
      <c r="P2884" s="4"/>
      <c r="Q2884" s="4"/>
      <c r="R2884" s="4"/>
      <c r="S2884" s="4"/>
    </row>
    <row r="2885" spans="15:19" x14ac:dyDescent="0.25">
      <c r="O2885" s="4"/>
      <c r="P2885" s="4"/>
      <c r="Q2885" s="4"/>
      <c r="R2885" s="4"/>
      <c r="S2885" s="4"/>
    </row>
    <row r="2886" spans="15:19" x14ac:dyDescent="0.25">
      <c r="O2886" s="4"/>
      <c r="P2886" s="4"/>
      <c r="Q2886" s="4"/>
      <c r="R2886" s="4"/>
      <c r="S2886" s="4"/>
    </row>
    <row r="2887" spans="15:19" x14ac:dyDescent="0.25">
      <c r="O2887" s="4"/>
      <c r="P2887" s="4"/>
      <c r="Q2887" s="4"/>
      <c r="R2887" s="4"/>
      <c r="S2887" s="4"/>
    </row>
    <row r="2888" spans="15:19" x14ac:dyDescent="0.25">
      <c r="O2888" s="4"/>
      <c r="P2888" s="4"/>
      <c r="Q2888" s="4"/>
      <c r="R2888" s="4"/>
      <c r="S2888" s="4"/>
    </row>
    <row r="2889" spans="15:19" x14ac:dyDescent="0.25">
      <c r="O2889" s="4"/>
      <c r="P2889" s="4"/>
      <c r="Q2889" s="4"/>
      <c r="R2889" s="4"/>
      <c r="S2889" s="4"/>
    </row>
    <row r="2890" spans="15:19" x14ac:dyDescent="0.25">
      <c r="O2890" s="4"/>
      <c r="P2890" s="4"/>
      <c r="Q2890" s="4"/>
      <c r="R2890" s="4"/>
      <c r="S2890" s="4"/>
    </row>
    <row r="2891" spans="15:19" x14ac:dyDescent="0.25">
      <c r="O2891" s="4"/>
      <c r="P2891" s="4"/>
      <c r="Q2891" s="4"/>
      <c r="R2891" s="4"/>
      <c r="S2891" s="4"/>
    </row>
    <row r="2892" spans="15:19" x14ac:dyDescent="0.25">
      <c r="O2892" s="4"/>
      <c r="P2892" s="4"/>
      <c r="Q2892" s="4"/>
      <c r="R2892" s="4"/>
      <c r="S2892" s="4"/>
    </row>
    <row r="2893" spans="15:19" x14ac:dyDescent="0.25">
      <c r="O2893" s="4"/>
      <c r="P2893" s="4"/>
      <c r="Q2893" s="4"/>
      <c r="R2893" s="4"/>
      <c r="S2893" s="4"/>
    </row>
    <row r="2894" spans="15:19" x14ac:dyDescent="0.25">
      <c r="O2894" s="4"/>
      <c r="P2894" s="4"/>
      <c r="Q2894" s="4"/>
      <c r="R2894" s="4"/>
      <c r="S2894" s="4"/>
    </row>
    <row r="2895" spans="15:19" x14ac:dyDescent="0.25">
      <c r="O2895" s="4"/>
      <c r="P2895" s="4"/>
      <c r="Q2895" s="4"/>
      <c r="R2895" s="4"/>
      <c r="S2895" s="4"/>
    </row>
    <row r="2896" spans="15:19" x14ac:dyDescent="0.25">
      <c r="O2896" s="4"/>
      <c r="P2896" s="4"/>
      <c r="Q2896" s="4"/>
      <c r="R2896" s="4"/>
      <c r="S2896" s="4"/>
    </row>
    <row r="2897" spans="15:19" x14ac:dyDescent="0.25">
      <c r="O2897" s="4"/>
      <c r="P2897" s="4"/>
      <c r="Q2897" s="4"/>
      <c r="R2897" s="4"/>
      <c r="S2897" s="4"/>
    </row>
    <row r="2898" spans="15:19" x14ac:dyDescent="0.25">
      <c r="O2898" s="4"/>
      <c r="P2898" s="4"/>
      <c r="Q2898" s="4"/>
      <c r="R2898" s="4"/>
      <c r="S2898" s="4"/>
    </row>
    <row r="2899" spans="15:19" x14ac:dyDescent="0.25">
      <c r="O2899" s="4"/>
      <c r="P2899" s="4"/>
      <c r="Q2899" s="4"/>
      <c r="R2899" s="4"/>
      <c r="S2899" s="4"/>
    </row>
    <row r="2900" spans="15:19" x14ac:dyDescent="0.25">
      <c r="O2900" s="4"/>
      <c r="P2900" s="4"/>
      <c r="Q2900" s="4"/>
      <c r="R2900" s="4"/>
      <c r="S2900" s="4"/>
    </row>
    <row r="2901" spans="15:19" x14ac:dyDescent="0.25">
      <c r="O2901" s="4"/>
      <c r="P2901" s="4"/>
      <c r="Q2901" s="4"/>
      <c r="R2901" s="4"/>
      <c r="S2901" s="4"/>
    </row>
    <row r="2902" spans="15:19" x14ac:dyDescent="0.25">
      <c r="O2902" s="4"/>
      <c r="P2902" s="4"/>
      <c r="Q2902" s="4"/>
      <c r="R2902" s="4"/>
      <c r="S2902" s="4"/>
    </row>
    <row r="2903" spans="15:19" x14ac:dyDescent="0.25">
      <c r="O2903" s="4"/>
      <c r="P2903" s="4"/>
      <c r="Q2903" s="4"/>
      <c r="R2903" s="4"/>
      <c r="S2903" s="4"/>
    </row>
    <row r="2904" spans="15:19" x14ac:dyDescent="0.25">
      <c r="O2904" s="4"/>
      <c r="P2904" s="4"/>
      <c r="Q2904" s="4"/>
      <c r="R2904" s="4"/>
      <c r="S2904" s="4"/>
    </row>
    <row r="2905" spans="15:19" x14ac:dyDescent="0.25">
      <c r="O2905" s="4"/>
      <c r="P2905" s="4"/>
      <c r="Q2905" s="4"/>
      <c r="R2905" s="4"/>
      <c r="S2905" s="4"/>
    </row>
    <row r="2906" spans="15:19" x14ac:dyDescent="0.25">
      <c r="O2906" s="4"/>
      <c r="P2906" s="4"/>
      <c r="Q2906" s="4"/>
      <c r="R2906" s="4"/>
      <c r="S2906" s="4"/>
    </row>
    <row r="2907" spans="15:19" x14ac:dyDescent="0.25">
      <c r="O2907" s="4"/>
      <c r="P2907" s="4"/>
      <c r="Q2907" s="4"/>
      <c r="R2907" s="4"/>
      <c r="S2907" s="4"/>
    </row>
    <row r="2908" spans="15:19" x14ac:dyDescent="0.25">
      <c r="O2908" s="4"/>
      <c r="P2908" s="4"/>
      <c r="Q2908" s="4"/>
      <c r="R2908" s="4"/>
      <c r="S2908" s="4"/>
    </row>
    <row r="2909" spans="15:19" x14ac:dyDescent="0.25">
      <c r="O2909" s="4"/>
      <c r="P2909" s="4"/>
      <c r="Q2909" s="4"/>
      <c r="R2909" s="4"/>
      <c r="S2909" s="4"/>
    </row>
    <row r="2910" spans="15:19" x14ac:dyDescent="0.25">
      <c r="O2910" s="4"/>
      <c r="P2910" s="4"/>
      <c r="Q2910" s="4"/>
      <c r="R2910" s="4"/>
      <c r="S2910" s="4"/>
    </row>
    <row r="2911" spans="15:19" x14ac:dyDescent="0.25">
      <c r="O2911" s="4"/>
      <c r="P2911" s="4"/>
      <c r="Q2911" s="4"/>
      <c r="R2911" s="4"/>
      <c r="S2911" s="4"/>
    </row>
    <row r="2912" spans="15:19" x14ac:dyDescent="0.25">
      <c r="O2912" s="4"/>
      <c r="P2912" s="4"/>
      <c r="Q2912" s="4"/>
      <c r="R2912" s="4"/>
      <c r="S2912" s="4"/>
    </row>
    <row r="2913" spans="15:19" x14ac:dyDescent="0.25">
      <c r="O2913" s="4"/>
      <c r="P2913" s="4"/>
      <c r="Q2913" s="4"/>
      <c r="R2913" s="4"/>
      <c r="S2913" s="4"/>
    </row>
    <row r="2914" spans="15:19" x14ac:dyDescent="0.25">
      <c r="O2914" s="4"/>
      <c r="P2914" s="4"/>
      <c r="Q2914" s="4"/>
      <c r="R2914" s="4"/>
      <c r="S2914" s="4"/>
    </row>
    <row r="2915" spans="15:19" x14ac:dyDescent="0.25">
      <c r="O2915" s="4"/>
      <c r="P2915" s="4"/>
      <c r="Q2915" s="4"/>
      <c r="R2915" s="4"/>
      <c r="S2915" s="4"/>
    </row>
    <row r="2916" spans="15:19" x14ac:dyDescent="0.25">
      <c r="O2916" s="4"/>
      <c r="P2916" s="4"/>
      <c r="Q2916" s="4"/>
      <c r="R2916" s="4"/>
      <c r="S2916" s="4"/>
    </row>
    <row r="2917" spans="15:19" x14ac:dyDescent="0.25">
      <c r="O2917" s="4"/>
      <c r="P2917" s="4"/>
      <c r="Q2917" s="4"/>
      <c r="R2917" s="4"/>
      <c r="S2917" s="4"/>
    </row>
    <row r="2918" spans="15:19" x14ac:dyDescent="0.25">
      <c r="O2918" s="4"/>
      <c r="P2918" s="4"/>
      <c r="Q2918" s="4"/>
      <c r="R2918" s="4"/>
      <c r="S2918" s="4"/>
    </row>
    <row r="2919" spans="15:19" x14ac:dyDescent="0.25">
      <c r="O2919" s="4"/>
      <c r="P2919" s="4"/>
      <c r="Q2919" s="4"/>
      <c r="R2919" s="4"/>
      <c r="S2919" s="4"/>
    </row>
    <row r="2920" spans="15:19" x14ac:dyDescent="0.25">
      <c r="O2920" s="4"/>
      <c r="P2920" s="4"/>
      <c r="Q2920" s="4"/>
      <c r="R2920" s="4"/>
      <c r="S2920" s="4"/>
    </row>
    <row r="2921" spans="15:19" x14ac:dyDescent="0.25">
      <c r="O2921" s="4"/>
      <c r="P2921" s="4"/>
      <c r="Q2921" s="4"/>
      <c r="R2921" s="4"/>
      <c r="S2921" s="4"/>
    </row>
    <row r="2922" spans="15:19" x14ac:dyDescent="0.25">
      <c r="O2922" s="4"/>
      <c r="P2922" s="4"/>
      <c r="Q2922" s="4"/>
      <c r="R2922" s="4"/>
      <c r="S2922" s="4"/>
    </row>
    <row r="2923" spans="15:19" x14ac:dyDescent="0.25">
      <c r="O2923" s="4"/>
      <c r="P2923" s="4"/>
      <c r="Q2923" s="4"/>
      <c r="R2923" s="4"/>
      <c r="S2923" s="4"/>
    </row>
    <row r="2924" spans="15:19" x14ac:dyDescent="0.25">
      <c r="O2924" s="4"/>
      <c r="P2924" s="4"/>
      <c r="Q2924" s="4"/>
      <c r="R2924" s="4"/>
      <c r="S2924" s="4"/>
    </row>
    <row r="2925" spans="15:19" x14ac:dyDescent="0.25">
      <c r="O2925" s="4"/>
      <c r="P2925" s="4"/>
      <c r="Q2925" s="4"/>
      <c r="R2925" s="4"/>
      <c r="S2925" s="4"/>
    </row>
    <row r="2926" spans="15:19" x14ac:dyDescent="0.25">
      <c r="O2926" s="4"/>
      <c r="P2926" s="4"/>
      <c r="Q2926" s="4"/>
      <c r="R2926" s="4"/>
      <c r="S2926" s="4"/>
    </row>
    <row r="2927" spans="15:19" x14ac:dyDescent="0.25">
      <c r="O2927" s="4"/>
      <c r="P2927" s="4"/>
      <c r="Q2927" s="4"/>
      <c r="R2927" s="4"/>
      <c r="S2927" s="4"/>
    </row>
    <row r="2928" spans="15:19" x14ac:dyDescent="0.25">
      <c r="O2928" s="4"/>
      <c r="P2928" s="4"/>
      <c r="Q2928" s="4"/>
      <c r="R2928" s="4"/>
      <c r="S2928" s="4"/>
    </row>
    <row r="2929" spans="15:19" x14ac:dyDescent="0.25">
      <c r="O2929" s="4"/>
      <c r="P2929" s="4"/>
      <c r="Q2929" s="4"/>
      <c r="R2929" s="4"/>
      <c r="S2929" s="4"/>
    </row>
    <row r="2930" spans="15:19" x14ac:dyDescent="0.25">
      <c r="O2930" s="4"/>
      <c r="P2930" s="4"/>
      <c r="Q2930" s="4"/>
      <c r="R2930" s="4"/>
      <c r="S2930" s="4"/>
    </row>
    <row r="2931" spans="15:19" x14ac:dyDescent="0.25">
      <c r="O2931" s="4"/>
      <c r="P2931" s="4"/>
      <c r="Q2931" s="4"/>
      <c r="R2931" s="4"/>
      <c r="S2931" s="4"/>
    </row>
    <row r="2932" spans="15:19" x14ac:dyDescent="0.25">
      <c r="O2932" s="4"/>
      <c r="P2932" s="4"/>
      <c r="Q2932" s="4"/>
      <c r="R2932" s="4"/>
      <c r="S2932" s="4"/>
    </row>
    <row r="2933" spans="15:19" x14ac:dyDescent="0.25">
      <c r="O2933" s="4"/>
      <c r="P2933" s="4"/>
      <c r="Q2933" s="4"/>
      <c r="R2933" s="4"/>
      <c r="S2933" s="4"/>
    </row>
    <row r="2934" spans="15:19" x14ac:dyDescent="0.25">
      <c r="O2934" s="4"/>
      <c r="P2934" s="4"/>
      <c r="Q2934" s="4"/>
      <c r="R2934" s="4"/>
      <c r="S2934" s="4"/>
    </row>
    <row r="2935" spans="15:19" x14ac:dyDescent="0.25">
      <c r="O2935" s="4"/>
      <c r="P2935" s="4"/>
      <c r="Q2935" s="4"/>
      <c r="R2935" s="4"/>
      <c r="S2935" s="4"/>
    </row>
    <row r="2936" spans="15:19" x14ac:dyDescent="0.25">
      <c r="O2936" s="4"/>
      <c r="P2936" s="4"/>
      <c r="Q2936" s="4"/>
      <c r="R2936" s="4"/>
      <c r="S2936" s="4"/>
    </row>
    <row r="2937" spans="15:19" x14ac:dyDescent="0.25">
      <c r="O2937" s="4"/>
      <c r="P2937" s="4"/>
      <c r="Q2937" s="4"/>
      <c r="R2937" s="4"/>
      <c r="S2937" s="4"/>
    </row>
    <row r="2938" spans="15:19" x14ac:dyDescent="0.25">
      <c r="O2938" s="4"/>
      <c r="P2938" s="4"/>
      <c r="Q2938" s="4"/>
      <c r="R2938" s="4"/>
      <c r="S2938" s="4"/>
    </row>
    <row r="2939" spans="15:19" x14ac:dyDescent="0.25">
      <c r="O2939" s="4"/>
      <c r="P2939" s="4"/>
      <c r="Q2939" s="4"/>
      <c r="R2939" s="4"/>
      <c r="S2939" s="4"/>
    </row>
    <row r="2940" spans="15:19" x14ac:dyDescent="0.25">
      <c r="O2940" s="4"/>
      <c r="P2940" s="4"/>
      <c r="Q2940" s="4"/>
      <c r="R2940" s="4"/>
      <c r="S2940" s="4"/>
    </row>
    <row r="2941" spans="15:19" x14ac:dyDescent="0.25">
      <c r="O2941" s="4"/>
      <c r="P2941" s="4"/>
      <c r="Q2941" s="4"/>
      <c r="R2941" s="4"/>
      <c r="S2941" s="4"/>
    </row>
    <row r="2942" spans="15:19" x14ac:dyDescent="0.25">
      <c r="O2942" s="4"/>
      <c r="P2942" s="4"/>
      <c r="Q2942" s="4"/>
      <c r="R2942" s="4"/>
      <c r="S2942" s="4"/>
    </row>
    <row r="2943" spans="15:19" x14ac:dyDescent="0.25">
      <c r="O2943" s="4"/>
      <c r="P2943" s="4"/>
      <c r="Q2943" s="4"/>
      <c r="R2943" s="4"/>
      <c r="S2943" s="4"/>
    </row>
    <row r="2944" spans="15:19" x14ac:dyDescent="0.25">
      <c r="O2944" s="4"/>
      <c r="P2944" s="4"/>
      <c r="Q2944" s="4"/>
      <c r="R2944" s="4"/>
      <c r="S2944" s="4"/>
    </row>
    <row r="2945" spans="15:19" x14ac:dyDescent="0.25">
      <c r="O2945" s="4"/>
      <c r="P2945" s="4"/>
      <c r="Q2945" s="4"/>
      <c r="R2945" s="4"/>
      <c r="S2945" s="4"/>
    </row>
    <row r="2946" spans="15:19" x14ac:dyDescent="0.25">
      <c r="O2946" s="4"/>
      <c r="P2946" s="4"/>
      <c r="Q2946" s="4"/>
      <c r="R2946" s="4"/>
      <c r="S2946" s="4"/>
    </row>
    <row r="2947" spans="15:19" x14ac:dyDescent="0.25">
      <c r="O2947" s="4"/>
      <c r="P2947" s="4"/>
      <c r="Q2947" s="4"/>
      <c r="R2947" s="4"/>
      <c r="S2947" s="4"/>
    </row>
    <row r="2948" spans="15:19" x14ac:dyDescent="0.25">
      <c r="O2948" s="4"/>
      <c r="P2948" s="4"/>
      <c r="Q2948" s="4"/>
      <c r="R2948" s="4"/>
      <c r="S2948" s="4"/>
    </row>
    <row r="2949" spans="15:19" x14ac:dyDescent="0.25">
      <c r="O2949" s="4"/>
      <c r="P2949" s="4"/>
      <c r="Q2949" s="4"/>
      <c r="R2949" s="4"/>
      <c r="S2949" s="4"/>
    </row>
    <row r="2950" spans="15:19" x14ac:dyDescent="0.25">
      <c r="O2950" s="4"/>
      <c r="P2950" s="4"/>
      <c r="Q2950" s="4"/>
      <c r="R2950" s="4"/>
      <c r="S2950" s="4"/>
    </row>
    <row r="2951" spans="15:19" x14ac:dyDescent="0.25">
      <c r="O2951" s="4"/>
      <c r="P2951" s="4"/>
      <c r="Q2951" s="4"/>
      <c r="R2951" s="4"/>
      <c r="S2951" s="4"/>
    </row>
    <row r="2952" spans="15:19" x14ac:dyDescent="0.25">
      <c r="O2952" s="4"/>
      <c r="P2952" s="4"/>
      <c r="Q2952" s="4"/>
      <c r="R2952" s="4"/>
      <c r="S2952" s="4"/>
    </row>
    <row r="2953" spans="15:19" x14ac:dyDescent="0.25">
      <c r="O2953" s="4"/>
      <c r="P2953" s="4"/>
      <c r="Q2953" s="4"/>
      <c r="R2953" s="4"/>
      <c r="S2953" s="4"/>
    </row>
    <row r="2954" spans="15:19" x14ac:dyDescent="0.25">
      <c r="O2954" s="4"/>
      <c r="P2954" s="4"/>
      <c r="Q2954" s="4"/>
      <c r="R2954" s="4"/>
      <c r="S2954" s="4"/>
    </row>
    <row r="2955" spans="15:19" x14ac:dyDescent="0.25">
      <c r="O2955" s="4"/>
      <c r="P2955" s="4"/>
      <c r="Q2955" s="4"/>
      <c r="R2955" s="4"/>
      <c r="S2955" s="4"/>
    </row>
    <row r="2956" spans="15:19" x14ac:dyDescent="0.25">
      <c r="O2956" s="4"/>
      <c r="P2956" s="4"/>
      <c r="Q2956" s="4"/>
      <c r="R2956" s="4"/>
      <c r="S2956" s="4"/>
    </row>
    <row r="2957" spans="15:19" x14ac:dyDescent="0.25">
      <c r="O2957" s="4"/>
      <c r="P2957" s="4"/>
      <c r="Q2957" s="4"/>
      <c r="R2957" s="4"/>
      <c r="S2957" s="4"/>
    </row>
    <row r="2958" spans="15:19" x14ac:dyDescent="0.25">
      <c r="O2958" s="4"/>
      <c r="P2958" s="4"/>
      <c r="Q2958" s="4"/>
      <c r="R2958" s="4"/>
      <c r="S2958" s="4"/>
    </row>
    <row r="2959" spans="15:19" x14ac:dyDescent="0.25">
      <c r="O2959" s="4"/>
      <c r="P2959" s="4"/>
      <c r="Q2959" s="4"/>
      <c r="R2959" s="4"/>
      <c r="S2959" s="4"/>
    </row>
    <row r="2960" spans="15:19" x14ac:dyDescent="0.25">
      <c r="O2960" s="4"/>
      <c r="P2960" s="4"/>
      <c r="Q2960" s="4"/>
      <c r="R2960" s="4"/>
      <c r="S2960" s="4"/>
    </row>
    <row r="2961" spans="15:19" x14ac:dyDescent="0.25">
      <c r="O2961" s="4"/>
      <c r="P2961" s="4"/>
      <c r="Q2961" s="4"/>
      <c r="R2961" s="4"/>
      <c r="S2961" s="4"/>
    </row>
    <row r="2962" spans="15:19" x14ac:dyDescent="0.25">
      <c r="O2962" s="4"/>
      <c r="P2962" s="4"/>
      <c r="Q2962" s="4"/>
      <c r="R2962" s="4"/>
      <c r="S2962" s="4"/>
    </row>
    <row r="2963" spans="15:19" x14ac:dyDescent="0.25">
      <c r="O2963" s="4"/>
      <c r="P2963" s="4"/>
      <c r="Q2963" s="4"/>
      <c r="R2963" s="4"/>
      <c r="S2963" s="4"/>
    </row>
    <row r="2964" spans="15:19" x14ac:dyDescent="0.25">
      <c r="O2964" s="4"/>
      <c r="P2964" s="4"/>
      <c r="Q2964" s="4"/>
      <c r="R2964" s="4"/>
      <c r="S2964" s="4"/>
    </row>
    <row r="2965" spans="15:19" x14ac:dyDescent="0.25">
      <c r="O2965" s="4"/>
      <c r="P2965" s="4"/>
      <c r="Q2965" s="4"/>
      <c r="R2965" s="4"/>
      <c r="S2965" s="4"/>
    </row>
    <row r="2966" spans="15:19" x14ac:dyDescent="0.25">
      <c r="O2966" s="4"/>
      <c r="P2966" s="4"/>
      <c r="Q2966" s="4"/>
      <c r="R2966" s="4"/>
      <c r="S2966" s="4"/>
    </row>
    <row r="2967" spans="15:19" x14ac:dyDescent="0.25">
      <c r="O2967" s="4"/>
      <c r="P2967" s="4"/>
      <c r="Q2967" s="4"/>
      <c r="R2967" s="4"/>
      <c r="S2967" s="4"/>
    </row>
    <row r="2968" spans="15:19" x14ac:dyDescent="0.25">
      <c r="O2968" s="4"/>
      <c r="P2968" s="4"/>
      <c r="Q2968" s="4"/>
      <c r="R2968" s="4"/>
      <c r="S2968" s="4"/>
    </row>
    <row r="2969" spans="15:19" x14ac:dyDescent="0.25">
      <c r="O2969" s="4"/>
      <c r="P2969" s="4"/>
      <c r="Q2969" s="4"/>
      <c r="R2969" s="4"/>
      <c r="S2969" s="4"/>
    </row>
    <row r="2970" spans="15:19" x14ac:dyDescent="0.25">
      <c r="O2970" s="4"/>
      <c r="P2970" s="4"/>
      <c r="Q2970" s="4"/>
      <c r="R2970" s="4"/>
      <c r="S2970" s="4"/>
    </row>
    <row r="2971" spans="15:19" x14ac:dyDescent="0.25">
      <c r="O2971" s="4"/>
      <c r="P2971" s="4"/>
      <c r="Q2971" s="4"/>
      <c r="R2971" s="4"/>
      <c r="S2971" s="4"/>
    </row>
    <row r="2972" spans="15:19" x14ac:dyDescent="0.25">
      <c r="O2972" s="4"/>
      <c r="P2972" s="4"/>
      <c r="Q2972" s="4"/>
      <c r="R2972" s="4"/>
      <c r="S2972" s="4"/>
    </row>
    <row r="2973" spans="15:19" x14ac:dyDescent="0.25">
      <c r="O2973" s="4"/>
      <c r="P2973" s="4"/>
      <c r="Q2973" s="4"/>
      <c r="R2973" s="4"/>
      <c r="S2973" s="4"/>
    </row>
    <row r="2974" spans="15:19" x14ac:dyDescent="0.25">
      <c r="O2974" s="4"/>
      <c r="P2974" s="4"/>
      <c r="Q2974" s="4"/>
      <c r="R2974" s="4"/>
      <c r="S2974" s="4"/>
    </row>
    <row r="2975" spans="15:19" x14ac:dyDescent="0.25">
      <c r="O2975" s="4"/>
      <c r="P2975" s="4"/>
      <c r="Q2975" s="4"/>
      <c r="R2975" s="4"/>
      <c r="S2975" s="4"/>
    </row>
    <row r="2976" spans="15:19" x14ac:dyDescent="0.25">
      <c r="O2976" s="4"/>
      <c r="P2976" s="4"/>
      <c r="Q2976" s="4"/>
      <c r="R2976" s="4"/>
      <c r="S2976" s="4"/>
    </row>
    <row r="2977" spans="15:19" x14ac:dyDescent="0.25">
      <c r="O2977" s="4"/>
      <c r="P2977" s="4"/>
      <c r="Q2977" s="4"/>
      <c r="R2977" s="4"/>
      <c r="S2977" s="4"/>
    </row>
    <row r="2978" spans="15:19" x14ac:dyDescent="0.25">
      <c r="O2978" s="4"/>
      <c r="P2978" s="4"/>
      <c r="Q2978" s="4"/>
      <c r="R2978" s="4"/>
      <c r="S2978" s="4"/>
    </row>
    <row r="2979" spans="15:19" x14ac:dyDescent="0.25">
      <c r="O2979" s="4"/>
      <c r="P2979" s="4"/>
      <c r="Q2979" s="4"/>
      <c r="R2979" s="4"/>
      <c r="S2979" s="4"/>
    </row>
    <row r="2980" spans="15:19" x14ac:dyDescent="0.25">
      <c r="O2980" s="4"/>
      <c r="P2980" s="4"/>
      <c r="Q2980" s="4"/>
      <c r="R2980" s="4"/>
      <c r="S2980" s="4"/>
    </row>
    <row r="2981" spans="15:19" x14ac:dyDescent="0.25">
      <c r="O2981" s="4"/>
      <c r="P2981" s="4"/>
      <c r="Q2981" s="4"/>
      <c r="R2981" s="4"/>
      <c r="S2981" s="4"/>
    </row>
    <row r="2982" spans="15:19" x14ac:dyDescent="0.25">
      <c r="O2982" s="4"/>
      <c r="P2982" s="4"/>
      <c r="Q2982" s="4"/>
      <c r="R2982" s="4"/>
      <c r="S2982" s="4"/>
    </row>
    <row r="2983" spans="15:19" x14ac:dyDescent="0.25">
      <c r="O2983" s="4"/>
      <c r="P2983" s="4"/>
      <c r="Q2983" s="4"/>
      <c r="R2983" s="4"/>
      <c r="S2983" s="4"/>
    </row>
    <row r="2984" spans="15:19" x14ac:dyDescent="0.25">
      <c r="O2984" s="4"/>
      <c r="P2984" s="4"/>
      <c r="Q2984" s="4"/>
      <c r="R2984" s="4"/>
      <c r="S2984" s="4"/>
    </row>
    <row r="2985" spans="15:19" x14ac:dyDescent="0.25">
      <c r="O2985" s="4"/>
      <c r="P2985" s="4"/>
      <c r="Q2985" s="4"/>
      <c r="R2985" s="4"/>
      <c r="S2985" s="4"/>
    </row>
    <row r="2986" spans="15:19" x14ac:dyDescent="0.25">
      <c r="O2986" s="4"/>
      <c r="P2986" s="4"/>
      <c r="Q2986" s="4"/>
      <c r="R2986" s="4"/>
      <c r="S2986" s="4"/>
    </row>
    <row r="2987" spans="15:19" x14ac:dyDescent="0.25">
      <c r="O2987" s="4"/>
      <c r="P2987" s="4"/>
      <c r="Q2987" s="4"/>
      <c r="R2987" s="4"/>
      <c r="S2987" s="4"/>
    </row>
    <row r="2988" spans="15:19" x14ac:dyDescent="0.25">
      <c r="O2988" s="4"/>
      <c r="P2988" s="4"/>
      <c r="Q2988" s="4"/>
      <c r="R2988" s="4"/>
      <c r="S2988" s="4"/>
    </row>
    <row r="2989" spans="15:19" x14ac:dyDescent="0.25">
      <c r="O2989" s="4"/>
      <c r="P2989" s="4"/>
      <c r="Q2989" s="4"/>
      <c r="R2989" s="4"/>
      <c r="S2989" s="4"/>
    </row>
    <row r="2990" spans="15:19" x14ac:dyDescent="0.25">
      <c r="O2990" s="4"/>
      <c r="P2990" s="4"/>
      <c r="Q2990" s="4"/>
      <c r="R2990" s="4"/>
      <c r="S2990" s="4"/>
    </row>
    <row r="2991" spans="15:19" x14ac:dyDescent="0.25">
      <c r="O2991" s="4"/>
      <c r="P2991" s="4"/>
      <c r="Q2991" s="4"/>
      <c r="R2991" s="4"/>
      <c r="S2991" s="4"/>
    </row>
    <row r="2992" spans="15:19" x14ac:dyDescent="0.25">
      <c r="O2992" s="4"/>
      <c r="P2992" s="4"/>
      <c r="Q2992" s="4"/>
      <c r="R2992" s="4"/>
      <c r="S2992" s="4"/>
    </row>
    <row r="2993" spans="15:19" x14ac:dyDescent="0.25">
      <c r="O2993" s="4"/>
      <c r="P2993" s="4"/>
      <c r="Q2993" s="4"/>
      <c r="R2993" s="4"/>
      <c r="S2993" s="4"/>
    </row>
    <row r="2994" spans="15:19" x14ac:dyDescent="0.25">
      <c r="O2994" s="4"/>
      <c r="P2994" s="4"/>
      <c r="Q2994" s="4"/>
      <c r="R2994" s="4"/>
      <c r="S2994" s="4"/>
    </row>
    <row r="2995" spans="15:19" x14ac:dyDescent="0.25">
      <c r="O2995" s="4"/>
      <c r="P2995" s="4"/>
      <c r="Q2995" s="4"/>
      <c r="R2995" s="4"/>
      <c r="S2995" s="4"/>
    </row>
    <row r="2996" spans="15:19" x14ac:dyDescent="0.25">
      <c r="O2996" s="4"/>
      <c r="P2996" s="4"/>
      <c r="Q2996" s="4"/>
      <c r="R2996" s="4"/>
      <c r="S2996" s="4"/>
    </row>
    <row r="2997" spans="15:19" x14ac:dyDescent="0.25">
      <c r="O2997" s="4"/>
      <c r="P2997" s="4"/>
      <c r="Q2997" s="4"/>
      <c r="R2997" s="4"/>
      <c r="S2997" s="4"/>
    </row>
    <row r="2998" spans="15:19" x14ac:dyDescent="0.25">
      <c r="O2998" s="4"/>
      <c r="P2998" s="4"/>
      <c r="Q2998" s="4"/>
      <c r="R2998" s="4"/>
      <c r="S2998" s="4"/>
    </row>
    <row r="2999" spans="15:19" x14ac:dyDescent="0.25">
      <c r="O2999" s="4"/>
      <c r="P2999" s="4"/>
      <c r="Q2999" s="4"/>
      <c r="R2999" s="4"/>
      <c r="S2999" s="4"/>
    </row>
    <row r="3000" spans="15:19" x14ac:dyDescent="0.25">
      <c r="O3000" s="4"/>
      <c r="P3000" s="4"/>
      <c r="Q3000" s="4"/>
      <c r="R3000" s="4"/>
      <c r="S3000" s="4"/>
    </row>
    <row r="3001" spans="15:19" x14ac:dyDescent="0.25">
      <c r="O3001" s="4"/>
      <c r="P3001" s="4"/>
      <c r="Q3001" s="4"/>
      <c r="R3001" s="4"/>
      <c r="S3001" s="4"/>
    </row>
    <row r="3002" spans="15:19" x14ac:dyDescent="0.25">
      <c r="O3002" s="4"/>
      <c r="P3002" s="4"/>
      <c r="Q3002" s="4"/>
      <c r="R3002" s="4"/>
      <c r="S3002" s="4"/>
    </row>
    <row r="3003" spans="15:19" x14ac:dyDescent="0.25">
      <c r="O3003" s="4"/>
      <c r="P3003" s="4"/>
      <c r="Q3003" s="4"/>
      <c r="R3003" s="4"/>
      <c r="S3003" s="4"/>
    </row>
    <row r="3004" spans="15:19" x14ac:dyDescent="0.25">
      <c r="O3004" s="4"/>
      <c r="P3004" s="4"/>
      <c r="Q3004" s="4"/>
      <c r="R3004" s="4"/>
      <c r="S3004" s="4"/>
    </row>
    <row r="3005" spans="15:19" x14ac:dyDescent="0.25">
      <c r="O3005" s="4"/>
      <c r="P3005" s="4"/>
      <c r="Q3005" s="4"/>
      <c r="R3005" s="4"/>
      <c r="S3005" s="4"/>
    </row>
    <row r="3006" spans="15:19" x14ac:dyDescent="0.25">
      <c r="O3006" s="4"/>
      <c r="P3006" s="4"/>
      <c r="Q3006" s="4"/>
      <c r="R3006" s="4"/>
      <c r="S3006" s="4"/>
    </row>
    <row r="3007" spans="15:19" x14ac:dyDescent="0.25">
      <c r="O3007" s="4"/>
      <c r="P3007" s="4"/>
      <c r="Q3007" s="4"/>
      <c r="R3007" s="4"/>
      <c r="S3007" s="4"/>
    </row>
    <row r="3008" spans="15:19" x14ac:dyDescent="0.25">
      <c r="O3008" s="4"/>
      <c r="P3008" s="4"/>
      <c r="Q3008" s="4"/>
      <c r="R3008" s="4"/>
      <c r="S3008" s="4"/>
    </row>
    <row r="3009" spans="15:19" x14ac:dyDescent="0.25">
      <c r="O3009" s="4"/>
      <c r="P3009" s="4"/>
      <c r="Q3009" s="4"/>
      <c r="R3009" s="4"/>
      <c r="S3009" s="4"/>
    </row>
    <row r="3010" spans="15:19" x14ac:dyDescent="0.25">
      <c r="O3010" s="4"/>
      <c r="P3010" s="4"/>
      <c r="Q3010" s="4"/>
      <c r="R3010" s="4"/>
      <c r="S3010" s="4"/>
    </row>
    <row r="3011" spans="15:19" x14ac:dyDescent="0.25">
      <c r="O3011" s="4"/>
      <c r="P3011" s="4"/>
      <c r="Q3011" s="4"/>
      <c r="R3011" s="4"/>
      <c r="S3011" s="4"/>
    </row>
    <row r="3012" spans="15:19" x14ac:dyDescent="0.25">
      <c r="O3012" s="4"/>
      <c r="P3012" s="4"/>
      <c r="Q3012" s="4"/>
      <c r="R3012" s="4"/>
      <c r="S3012" s="4"/>
    </row>
    <row r="3013" spans="15:19" x14ac:dyDescent="0.25">
      <c r="O3013" s="4"/>
      <c r="P3013" s="4"/>
      <c r="Q3013" s="4"/>
      <c r="R3013" s="4"/>
      <c r="S3013" s="4"/>
    </row>
    <row r="3014" spans="15:19" x14ac:dyDescent="0.25">
      <c r="O3014" s="4"/>
      <c r="P3014" s="4"/>
      <c r="Q3014" s="4"/>
      <c r="R3014" s="4"/>
      <c r="S3014" s="4"/>
    </row>
    <row r="3015" spans="15:19" x14ac:dyDescent="0.25">
      <c r="O3015" s="4"/>
      <c r="P3015" s="4"/>
      <c r="Q3015" s="4"/>
      <c r="R3015" s="4"/>
      <c r="S3015" s="4"/>
    </row>
    <row r="3016" spans="15:19" x14ac:dyDescent="0.25">
      <c r="O3016" s="4"/>
      <c r="P3016" s="4"/>
      <c r="Q3016" s="4"/>
      <c r="R3016" s="4"/>
      <c r="S3016" s="4"/>
    </row>
    <row r="3017" spans="15:19" x14ac:dyDescent="0.25">
      <c r="O3017" s="4"/>
      <c r="P3017" s="4"/>
      <c r="Q3017" s="4"/>
      <c r="R3017" s="4"/>
      <c r="S3017" s="4"/>
    </row>
    <row r="3018" spans="15:19" x14ac:dyDescent="0.25">
      <c r="O3018" s="4"/>
      <c r="P3018" s="4"/>
      <c r="Q3018" s="4"/>
      <c r="R3018" s="4"/>
      <c r="S3018" s="4"/>
    </row>
    <row r="3019" spans="15:19" x14ac:dyDescent="0.25">
      <c r="O3019" s="4"/>
      <c r="P3019" s="4"/>
      <c r="Q3019" s="4"/>
      <c r="R3019" s="4"/>
      <c r="S3019" s="4"/>
    </row>
    <row r="3020" spans="15:19" x14ac:dyDescent="0.25">
      <c r="O3020" s="4"/>
      <c r="P3020" s="4"/>
      <c r="Q3020" s="4"/>
      <c r="R3020" s="4"/>
      <c r="S3020" s="4"/>
    </row>
    <row r="3021" spans="15:19" x14ac:dyDescent="0.25">
      <c r="O3021" s="4"/>
      <c r="P3021" s="4"/>
      <c r="Q3021" s="4"/>
      <c r="R3021" s="4"/>
      <c r="S3021" s="4"/>
    </row>
    <row r="3022" spans="15:19" x14ac:dyDescent="0.25">
      <c r="O3022" s="4"/>
      <c r="P3022" s="4"/>
      <c r="Q3022" s="4"/>
      <c r="R3022" s="4"/>
      <c r="S3022" s="4"/>
    </row>
    <row r="3023" spans="15:19" x14ac:dyDescent="0.25">
      <c r="O3023" s="4"/>
      <c r="P3023" s="4"/>
      <c r="Q3023" s="4"/>
      <c r="R3023" s="4"/>
      <c r="S3023" s="4"/>
    </row>
    <row r="3024" spans="15:19" x14ac:dyDescent="0.25">
      <c r="O3024" s="4"/>
      <c r="P3024" s="4"/>
      <c r="Q3024" s="4"/>
      <c r="R3024" s="4"/>
      <c r="S3024" s="4"/>
    </row>
    <row r="3025" spans="15:19" x14ac:dyDescent="0.25">
      <c r="O3025" s="4"/>
      <c r="P3025" s="4"/>
      <c r="Q3025" s="4"/>
      <c r="R3025" s="4"/>
      <c r="S3025" s="4"/>
    </row>
    <row r="3026" spans="15:19" x14ac:dyDescent="0.25">
      <c r="O3026" s="4"/>
      <c r="P3026" s="4"/>
      <c r="Q3026" s="4"/>
      <c r="R3026" s="4"/>
      <c r="S3026" s="4"/>
    </row>
    <row r="3027" spans="15:19" x14ac:dyDescent="0.25">
      <c r="O3027" s="4"/>
      <c r="P3027" s="4"/>
      <c r="Q3027" s="4"/>
      <c r="R3027" s="4"/>
      <c r="S3027" s="4"/>
    </row>
    <row r="3028" spans="15:19" x14ac:dyDescent="0.25">
      <c r="O3028" s="4"/>
      <c r="P3028" s="4"/>
      <c r="Q3028" s="4"/>
      <c r="R3028" s="4"/>
      <c r="S3028" s="4"/>
    </row>
    <row r="3029" spans="15:19" x14ac:dyDescent="0.25">
      <c r="O3029" s="4"/>
      <c r="P3029" s="4"/>
      <c r="Q3029" s="4"/>
      <c r="R3029" s="4"/>
      <c r="S3029" s="4"/>
    </row>
    <row r="3030" spans="15:19" x14ac:dyDescent="0.25">
      <c r="O3030" s="4"/>
      <c r="P3030" s="4"/>
      <c r="Q3030" s="4"/>
      <c r="R3030" s="4"/>
      <c r="S3030" s="4"/>
    </row>
    <row r="3031" spans="15:19" x14ac:dyDescent="0.25">
      <c r="O3031" s="4"/>
      <c r="P3031" s="4"/>
      <c r="Q3031" s="4"/>
      <c r="R3031" s="4"/>
      <c r="S3031" s="4"/>
    </row>
    <row r="3032" spans="15:19" x14ac:dyDescent="0.25">
      <c r="O3032" s="4"/>
      <c r="P3032" s="4"/>
      <c r="Q3032" s="4"/>
      <c r="R3032" s="4"/>
      <c r="S3032" s="4"/>
    </row>
    <row r="3033" spans="15:19" x14ac:dyDescent="0.25">
      <c r="O3033" s="4"/>
      <c r="P3033" s="4"/>
      <c r="Q3033" s="4"/>
      <c r="R3033" s="4"/>
      <c r="S3033" s="4"/>
    </row>
    <row r="3034" spans="15:19" x14ac:dyDescent="0.25">
      <c r="O3034" s="4"/>
      <c r="P3034" s="4"/>
      <c r="Q3034" s="4"/>
      <c r="R3034" s="4"/>
      <c r="S3034" s="4"/>
    </row>
    <row r="3035" spans="15:19" x14ac:dyDescent="0.25">
      <c r="O3035" s="4"/>
      <c r="P3035" s="4"/>
      <c r="Q3035" s="4"/>
      <c r="R3035" s="4"/>
      <c r="S3035" s="4"/>
    </row>
    <row r="3036" spans="15:19" x14ac:dyDescent="0.25">
      <c r="O3036" s="4"/>
      <c r="P3036" s="4"/>
      <c r="Q3036" s="4"/>
      <c r="R3036" s="4"/>
      <c r="S3036" s="4"/>
    </row>
    <row r="3037" spans="15:19" x14ac:dyDescent="0.25">
      <c r="O3037" s="4"/>
      <c r="P3037" s="4"/>
      <c r="Q3037" s="4"/>
      <c r="R3037" s="4"/>
      <c r="S3037" s="4"/>
    </row>
    <row r="3038" spans="15:19" x14ac:dyDescent="0.25">
      <c r="O3038" s="4"/>
      <c r="P3038" s="4"/>
      <c r="Q3038" s="4"/>
      <c r="R3038" s="4"/>
      <c r="S3038" s="4"/>
    </row>
    <row r="3039" spans="15:19" x14ac:dyDescent="0.25">
      <c r="O3039" s="4"/>
      <c r="P3039" s="4"/>
      <c r="Q3039" s="4"/>
      <c r="R3039" s="4"/>
      <c r="S3039" s="4"/>
    </row>
    <row r="3040" spans="15:19" x14ac:dyDescent="0.25">
      <c r="O3040" s="4"/>
      <c r="P3040" s="4"/>
      <c r="Q3040" s="4"/>
      <c r="R3040" s="4"/>
      <c r="S3040" s="4"/>
    </row>
    <row r="3041" spans="15:19" x14ac:dyDescent="0.25">
      <c r="O3041" s="4"/>
      <c r="P3041" s="4"/>
      <c r="Q3041" s="4"/>
      <c r="R3041" s="4"/>
      <c r="S3041" s="4"/>
    </row>
    <row r="3042" spans="15:19" x14ac:dyDescent="0.25">
      <c r="O3042" s="4"/>
      <c r="P3042" s="4"/>
      <c r="Q3042" s="4"/>
      <c r="R3042" s="4"/>
      <c r="S3042" s="4"/>
    </row>
    <row r="3043" spans="15:19" x14ac:dyDescent="0.25">
      <c r="O3043" s="4"/>
      <c r="P3043" s="4"/>
      <c r="Q3043" s="4"/>
      <c r="R3043" s="4"/>
      <c r="S3043" s="4"/>
    </row>
    <row r="3044" spans="15:19" x14ac:dyDescent="0.25">
      <c r="O3044" s="4"/>
      <c r="P3044" s="4"/>
      <c r="Q3044" s="4"/>
      <c r="R3044" s="4"/>
      <c r="S3044" s="4"/>
    </row>
    <row r="3045" spans="15:19" x14ac:dyDescent="0.25">
      <c r="O3045" s="4"/>
      <c r="P3045" s="4"/>
      <c r="Q3045" s="4"/>
      <c r="R3045" s="4"/>
      <c r="S3045" s="4"/>
    </row>
    <row r="3046" spans="15:19" x14ac:dyDescent="0.25">
      <c r="O3046" s="4"/>
      <c r="P3046" s="4"/>
      <c r="Q3046" s="4"/>
      <c r="R3046" s="4"/>
      <c r="S3046" s="4"/>
    </row>
    <row r="3047" spans="15:19" x14ac:dyDescent="0.25">
      <c r="O3047" s="4"/>
      <c r="P3047" s="4"/>
      <c r="Q3047" s="4"/>
      <c r="R3047" s="4"/>
      <c r="S3047" s="4"/>
    </row>
    <row r="3048" spans="15:19" x14ac:dyDescent="0.25">
      <c r="O3048" s="4"/>
      <c r="P3048" s="4"/>
      <c r="Q3048" s="4"/>
      <c r="R3048" s="4"/>
      <c r="S3048" s="4"/>
    </row>
    <row r="3049" spans="15:19" x14ac:dyDescent="0.25">
      <c r="O3049" s="4"/>
      <c r="P3049" s="4"/>
      <c r="Q3049" s="4"/>
      <c r="R3049" s="4"/>
      <c r="S3049" s="4"/>
    </row>
    <row r="3050" spans="15:19" x14ac:dyDescent="0.25">
      <c r="O3050" s="4"/>
      <c r="P3050" s="4"/>
      <c r="Q3050" s="4"/>
      <c r="R3050" s="4"/>
      <c r="S3050" s="4"/>
    </row>
    <row r="3051" spans="15:19" x14ac:dyDescent="0.25">
      <c r="O3051" s="4"/>
      <c r="P3051" s="4"/>
      <c r="Q3051" s="4"/>
      <c r="R3051" s="4"/>
      <c r="S3051" s="4"/>
    </row>
    <row r="3052" spans="15:19" x14ac:dyDescent="0.25">
      <c r="O3052" s="4"/>
      <c r="P3052" s="4"/>
      <c r="Q3052" s="4"/>
      <c r="R3052" s="4"/>
      <c r="S3052" s="4"/>
    </row>
    <row r="3053" spans="15:19" x14ac:dyDescent="0.25">
      <c r="O3053" s="4"/>
      <c r="P3053" s="4"/>
      <c r="Q3053" s="4"/>
      <c r="R3053" s="4"/>
      <c r="S3053" s="4"/>
    </row>
    <row r="3054" spans="15:19" x14ac:dyDescent="0.25">
      <c r="O3054" s="4"/>
      <c r="P3054" s="4"/>
      <c r="Q3054" s="4"/>
      <c r="R3054" s="4"/>
      <c r="S3054" s="4"/>
    </row>
    <row r="3055" spans="15:19" x14ac:dyDescent="0.25">
      <c r="O3055" s="4"/>
      <c r="P3055" s="4"/>
      <c r="Q3055" s="4"/>
      <c r="R3055" s="4"/>
      <c r="S3055" s="4"/>
    </row>
    <row r="3056" spans="15:19" x14ac:dyDescent="0.25">
      <c r="O3056" s="4"/>
      <c r="P3056" s="4"/>
      <c r="Q3056" s="4"/>
      <c r="R3056" s="4"/>
      <c r="S3056" s="4"/>
    </row>
    <row r="3057" spans="15:19" x14ac:dyDescent="0.25">
      <c r="O3057" s="4"/>
      <c r="P3057" s="4"/>
      <c r="Q3057" s="4"/>
      <c r="R3057" s="4"/>
      <c r="S3057" s="4"/>
    </row>
    <row r="3058" spans="15:19" x14ac:dyDescent="0.25">
      <c r="O3058" s="4"/>
      <c r="P3058" s="4"/>
      <c r="Q3058" s="4"/>
      <c r="R3058" s="4"/>
      <c r="S3058" s="4"/>
    </row>
    <row r="3059" spans="15:19" x14ac:dyDescent="0.25">
      <c r="O3059" s="4"/>
      <c r="P3059" s="4"/>
      <c r="Q3059" s="4"/>
      <c r="R3059" s="4"/>
      <c r="S3059" s="4"/>
    </row>
    <row r="3060" spans="15:19" x14ac:dyDescent="0.25">
      <c r="O3060" s="4"/>
      <c r="P3060" s="4"/>
      <c r="Q3060" s="4"/>
      <c r="R3060" s="4"/>
      <c r="S3060" s="4"/>
    </row>
    <row r="3061" spans="15:19" x14ac:dyDescent="0.25">
      <c r="O3061" s="4"/>
      <c r="P3061" s="4"/>
      <c r="Q3061" s="4"/>
      <c r="R3061" s="4"/>
      <c r="S3061" s="4"/>
    </row>
    <row r="3062" spans="15:19" x14ac:dyDescent="0.25">
      <c r="O3062" s="4"/>
      <c r="P3062" s="4"/>
      <c r="Q3062" s="4"/>
      <c r="R3062" s="4"/>
      <c r="S3062" s="4"/>
    </row>
    <row r="3063" spans="15:19" x14ac:dyDescent="0.25">
      <c r="O3063" s="4"/>
      <c r="P3063" s="4"/>
      <c r="Q3063" s="4"/>
      <c r="R3063" s="4"/>
      <c r="S3063" s="4"/>
    </row>
    <row r="3064" spans="15:19" x14ac:dyDescent="0.25">
      <c r="O3064" s="4"/>
      <c r="P3064" s="4"/>
      <c r="Q3064" s="4"/>
      <c r="R3064" s="4"/>
      <c r="S3064" s="4"/>
    </row>
    <row r="3065" spans="15:19" x14ac:dyDescent="0.25">
      <c r="O3065" s="4"/>
      <c r="P3065" s="4"/>
      <c r="Q3065" s="4"/>
      <c r="R3065" s="4"/>
      <c r="S3065" s="4"/>
    </row>
    <row r="3066" spans="15:19" x14ac:dyDescent="0.25">
      <c r="O3066" s="4"/>
      <c r="P3066" s="4"/>
      <c r="Q3066" s="4"/>
      <c r="R3066" s="4"/>
      <c r="S3066" s="4"/>
    </row>
    <row r="3067" spans="15:19" x14ac:dyDescent="0.25">
      <c r="O3067" s="4"/>
      <c r="P3067" s="4"/>
      <c r="Q3067" s="4"/>
      <c r="R3067" s="4"/>
      <c r="S3067" s="4"/>
    </row>
    <row r="3068" spans="15:19" x14ac:dyDescent="0.25">
      <c r="O3068" s="4"/>
      <c r="P3068" s="4"/>
      <c r="Q3068" s="4"/>
      <c r="R3068" s="4"/>
      <c r="S3068" s="4"/>
    </row>
    <row r="3069" spans="15:19" x14ac:dyDescent="0.25">
      <c r="O3069" s="4"/>
      <c r="P3069" s="4"/>
      <c r="Q3069" s="4"/>
      <c r="R3069" s="4"/>
      <c r="S3069" s="4"/>
    </row>
    <row r="3070" spans="15:19" x14ac:dyDescent="0.25">
      <c r="O3070" s="4"/>
      <c r="P3070" s="4"/>
      <c r="Q3070" s="4"/>
      <c r="R3070" s="4"/>
      <c r="S3070" s="4"/>
    </row>
    <row r="3071" spans="15:19" x14ac:dyDescent="0.25">
      <c r="O3071" s="4"/>
      <c r="P3071" s="4"/>
      <c r="Q3071" s="4"/>
      <c r="R3071" s="4"/>
      <c r="S3071" s="4"/>
    </row>
    <row r="3072" spans="15:19" x14ac:dyDescent="0.25">
      <c r="O3072" s="4"/>
      <c r="P3072" s="4"/>
      <c r="Q3072" s="4"/>
      <c r="R3072" s="4"/>
      <c r="S3072" s="4"/>
    </row>
    <row r="3073" spans="15:19" x14ac:dyDescent="0.25">
      <c r="O3073" s="4"/>
      <c r="P3073" s="4"/>
      <c r="Q3073" s="4"/>
      <c r="R3073" s="4"/>
      <c r="S3073" s="4"/>
    </row>
    <row r="3074" spans="15:19" x14ac:dyDescent="0.25">
      <c r="O3074" s="4"/>
      <c r="P3074" s="4"/>
      <c r="Q3074" s="4"/>
      <c r="R3074" s="4"/>
      <c r="S3074" s="4"/>
    </row>
    <row r="3075" spans="15:19" x14ac:dyDescent="0.25">
      <c r="O3075" s="4"/>
      <c r="P3075" s="4"/>
      <c r="Q3075" s="4"/>
      <c r="R3075" s="4"/>
      <c r="S3075" s="4"/>
    </row>
    <row r="3076" spans="15:19" x14ac:dyDescent="0.25">
      <c r="O3076" s="4"/>
      <c r="P3076" s="4"/>
      <c r="Q3076" s="4"/>
      <c r="R3076" s="4"/>
      <c r="S3076" s="4"/>
    </row>
    <row r="3077" spans="15:19" x14ac:dyDescent="0.25">
      <c r="O3077" s="4"/>
      <c r="P3077" s="4"/>
      <c r="Q3077" s="4"/>
      <c r="R3077" s="4"/>
      <c r="S3077" s="4"/>
    </row>
    <row r="3078" spans="15:19" x14ac:dyDescent="0.25">
      <c r="O3078" s="4"/>
      <c r="P3078" s="4"/>
      <c r="Q3078" s="4"/>
      <c r="R3078" s="4"/>
      <c r="S3078" s="4"/>
    </row>
    <row r="3079" spans="15:19" x14ac:dyDescent="0.25">
      <c r="O3079" s="4"/>
      <c r="P3079" s="4"/>
      <c r="Q3079" s="4"/>
      <c r="R3079" s="4"/>
      <c r="S3079" s="4"/>
    </row>
    <row r="3080" spans="15:19" x14ac:dyDescent="0.25">
      <c r="O3080" s="4"/>
      <c r="P3080" s="4"/>
      <c r="Q3080" s="4"/>
      <c r="R3080" s="4"/>
      <c r="S3080" s="4"/>
    </row>
    <row r="3081" spans="15:19" x14ac:dyDescent="0.25">
      <c r="O3081" s="4"/>
      <c r="P3081" s="4"/>
      <c r="Q3081" s="4"/>
      <c r="R3081" s="4"/>
      <c r="S3081" s="4"/>
    </row>
    <row r="3082" spans="15:19" x14ac:dyDescent="0.25">
      <c r="O3082" s="4"/>
      <c r="P3082" s="4"/>
      <c r="Q3082" s="4"/>
      <c r="R3082" s="4"/>
      <c r="S3082" s="4"/>
    </row>
    <row r="3083" spans="15:19" x14ac:dyDescent="0.25">
      <c r="O3083" s="4"/>
      <c r="P3083" s="4"/>
      <c r="Q3083" s="4"/>
      <c r="R3083" s="4"/>
      <c r="S3083" s="4"/>
    </row>
    <row r="3084" spans="15:19" x14ac:dyDescent="0.25">
      <c r="O3084" s="4"/>
      <c r="P3084" s="4"/>
      <c r="Q3084" s="4"/>
      <c r="R3084" s="4"/>
      <c r="S3084" s="4"/>
    </row>
    <row r="3085" spans="15:19" x14ac:dyDescent="0.25">
      <c r="O3085" s="4"/>
      <c r="P3085" s="4"/>
      <c r="Q3085" s="4"/>
      <c r="R3085" s="4"/>
      <c r="S3085" s="4"/>
    </row>
    <row r="3086" spans="15:19" x14ac:dyDescent="0.25">
      <c r="O3086" s="4"/>
      <c r="P3086" s="4"/>
      <c r="Q3086" s="4"/>
      <c r="R3086" s="4"/>
      <c r="S3086" s="4"/>
    </row>
    <row r="3087" spans="15:19" x14ac:dyDescent="0.25">
      <c r="O3087" s="4"/>
      <c r="P3087" s="4"/>
      <c r="Q3087" s="4"/>
      <c r="R3087" s="4"/>
      <c r="S3087" s="4"/>
    </row>
    <row r="3088" spans="15:19" x14ac:dyDescent="0.25">
      <c r="O3088" s="4"/>
      <c r="P3088" s="4"/>
      <c r="Q3088" s="4"/>
      <c r="R3088" s="4"/>
      <c r="S3088" s="4"/>
    </row>
    <row r="3089" spans="15:19" x14ac:dyDescent="0.25">
      <c r="O3089" s="4"/>
      <c r="P3089" s="4"/>
      <c r="Q3089" s="4"/>
      <c r="R3089" s="4"/>
      <c r="S3089" s="4"/>
    </row>
    <row r="3090" spans="15:19" x14ac:dyDescent="0.25">
      <c r="O3090" s="4"/>
      <c r="P3090" s="4"/>
      <c r="Q3090" s="4"/>
      <c r="R3090" s="4"/>
      <c r="S3090" s="4"/>
    </row>
    <row r="3091" spans="15:19" x14ac:dyDescent="0.25">
      <c r="O3091" s="4"/>
      <c r="P3091" s="4"/>
      <c r="Q3091" s="4"/>
      <c r="R3091" s="4"/>
      <c r="S3091" s="4"/>
    </row>
    <row r="3092" spans="15:19" x14ac:dyDescent="0.25">
      <c r="O3092" s="4"/>
      <c r="P3092" s="4"/>
      <c r="Q3092" s="4"/>
      <c r="R3092" s="4"/>
      <c r="S3092" s="4"/>
    </row>
    <row r="3093" spans="15:19" x14ac:dyDescent="0.25">
      <c r="O3093" s="4"/>
      <c r="P3093" s="4"/>
      <c r="Q3093" s="4"/>
      <c r="R3093" s="4"/>
      <c r="S3093" s="4"/>
    </row>
    <row r="3094" spans="15:19" x14ac:dyDescent="0.25">
      <c r="O3094" s="4"/>
      <c r="P3094" s="4"/>
      <c r="Q3094" s="4"/>
      <c r="R3094" s="4"/>
      <c r="S3094" s="4"/>
    </row>
    <row r="3095" spans="15:19" x14ac:dyDescent="0.25">
      <c r="O3095" s="4"/>
      <c r="P3095" s="4"/>
      <c r="Q3095" s="4"/>
      <c r="R3095" s="4"/>
      <c r="S3095" s="4"/>
    </row>
    <row r="3096" spans="15:19" x14ac:dyDescent="0.25">
      <c r="O3096" s="4"/>
      <c r="P3096" s="4"/>
      <c r="Q3096" s="4"/>
      <c r="R3096" s="4"/>
      <c r="S3096" s="4"/>
    </row>
    <row r="3097" spans="15:19" x14ac:dyDescent="0.25">
      <c r="O3097" s="4"/>
      <c r="P3097" s="4"/>
      <c r="Q3097" s="4"/>
      <c r="R3097" s="4"/>
      <c r="S3097" s="4"/>
    </row>
    <row r="3098" spans="15:19" x14ac:dyDescent="0.25">
      <c r="O3098" s="4"/>
      <c r="P3098" s="4"/>
      <c r="Q3098" s="4"/>
      <c r="R3098" s="4"/>
      <c r="S3098" s="4"/>
    </row>
    <row r="3099" spans="15:19" x14ac:dyDescent="0.25">
      <c r="O3099" s="4"/>
      <c r="P3099" s="4"/>
      <c r="Q3099" s="4"/>
      <c r="R3099" s="4"/>
      <c r="S3099" s="4"/>
    </row>
    <row r="3100" spans="15:19" x14ac:dyDescent="0.25">
      <c r="O3100" s="4"/>
      <c r="P3100" s="4"/>
      <c r="Q3100" s="4"/>
      <c r="R3100" s="4"/>
      <c r="S3100" s="4"/>
    </row>
    <row r="3101" spans="15:19" x14ac:dyDescent="0.25">
      <c r="O3101" s="4"/>
      <c r="P3101" s="4"/>
      <c r="Q3101" s="4"/>
      <c r="R3101" s="4"/>
      <c r="S3101" s="4"/>
    </row>
    <row r="3102" spans="15:19" x14ac:dyDescent="0.25">
      <c r="O3102" s="4"/>
      <c r="P3102" s="4"/>
      <c r="Q3102" s="4"/>
      <c r="R3102" s="4"/>
      <c r="S3102" s="4"/>
    </row>
    <row r="3103" spans="15:19" x14ac:dyDescent="0.25">
      <c r="O3103" s="4"/>
      <c r="P3103" s="4"/>
      <c r="Q3103" s="4"/>
      <c r="R3103" s="4"/>
      <c r="S3103" s="4"/>
    </row>
    <row r="3104" spans="15:19" x14ac:dyDescent="0.25">
      <c r="O3104" s="4"/>
      <c r="P3104" s="4"/>
      <c r="Q3104" s="4"/>
      <c r="R3104" s="4"/>
      <c r="S3104" s="4"/>
    </row>
    <row r="3105" spans="15:19" x14ac:dyDescent="0.25">
      <c r="O3105" s="4"/>
      <c r="P3105" s="4"/>
      <c r="Q3105" s="4"/>
      <c r="R3105" s="4"/>
      <c r="S3105" s="4"/>
    </row>
    <row r="3106" spans="15:19" x14ac:dyDescent="0.25">
      <c r="O3106" s="4"/>
      <c r="P3106" s="4"/>
      <c r="Q3106" s="4"/>
      <c r="R3106" s="4"/>
      <c r="S3106" s="4"/>
    </row>
    <row r="3107" spans="15:19" x14ac:dyDescent="0.25">
      <c r="O3107" s="4"/>
      <c r="P3107" s="4"/>
      <c r="Q3107" s="4"/>
      <c r="R3107" s="4"/>
      <c r="S3107" s="4"/>
    </row>
    <row r="3108" spans="15:19" x14ac:dyDescent="0.25">
      <c r="O3108" s="4"/>
      <c r="P3108" s="4"/>
      <c r="Q3108" s="4"/>
      <c r="R3108" s="4"/>
      <c r="S3108" s="4"/>
    </row>
    <row r="3109" spans="15:19" x14ac:dyDescent="0.25">
      <c r="O3109" s="4"/>
      <c r="P3109" s="4"/>
      <c r="Q3109" s="4"/>
      <c r="R3109" s="4"/>
      <c r="S3109" s="4"/>
    </row>
    <row r="3110" spans="15:19" x14ac:dyDescent="0.25">
      <c r="O3110" s="4"/>
      <c r="P3110" s="4"/>
      <c r="Q3110" s="4"/>
      <c r="R3110" s="4"/>
      <c r="S3110" s="4"/>
    </row>
    <row r="3111" spans="15:19" x14ac:dyDescent="0.25">
      <c r="O3111" s="4"/>
      <c r="P3111" s="4"/>
      <c r="Q3111" s="4"/>
      <c r="R3111" s="4"/>
      <c r="S3111" s="4"/>
    </row>
    <row r="3112" spans="15:19" x14ac:dyDescent="0.25">
      <c r="O3112" s="4"/>
      <c r="P3112" s="4"/>
      <c r="Q3112" s="4"/>
      <c r="R3112" s="4"/>
      <c r="S3112" s="4"/>
    </row>
    <row r="3113" spans="15:19" x14ac:dyDescent="0.25">
      <c r="O3113" s="4"/>
      <c r="P3113" s="4"/>
      <c r="Q3113" s="4"/>
      <c r="R3113" s="4"/>
      <c r="S3113" s="4"/>
    </row>
    <row r="3114" spans="15:19" x14ac:dyDescent="0.25">
      <c r="O3114" s="4"/>
      <c r="P3114" s="4"/>
      <c r="Q3114" s="4"/>
      <c r="R3114" s="4"/>
      <c r="S3114" s="4"/>
    </row>
    <row r="3115" spans="15:19" x14ac:dyDescent="0.25">
      <c r="O3115" s="4"/>
      <c r="P3115" s="4"/>
      <c r="Q3115" s="4"/>
      <c r="R3115" s="4"/>
      <c r="S3115" s="4"/>
    </row>
    <row r="3116" spans="15:19" x14ac:dyDescent="0.25">
      <c r="O3116" s="4"/>
      <c r="P3116" s="4"/>
      <c r="Q3116" s="4"/>
      <c r="R3116" s="4"/>
      <c r="S3116" s="4"/>
    </row>
    <row r="3117" spans="15:19" x14ac:dyDescent="0.25">
      <c r="O3117" s="4"/>
      <c r="P3117" s="4"/>
      <c r="Q3117" s="4"/>
      <c r="R3117" s="4"/>
      <c r="S3117" s="4"/>
    </row>
    <row r="3118" spans="15:19" x14ac:dyDescent="0.25">
      <c r="O3118" s="4"/>
      <c r="P3118" s="4"/>
      <c r="Q3118" s="4"/>
      <c r="R3118" s="4"/>
      <c r="S3118" s="4"/>
    </row>
    <row r="3119" spans="15:19" x14ac:dyDescent="0.25">
      <c r="O3119" s="4"/>
      <c r="P3119" s="4"/>
      <c r="Q3119" s="4"/>
      <c r="R3119" s="4"/>
      <c r="S3119" s="4"/>
    </row>
    <row r="3120" spans="15:19" x14ac:dyDescent="0.25">
      <c r="O3120" s="4"/>
      <c r="P3120" s="4"/>
      <c r="Q3120" s="4"/>
      <c r="R3120" s="4"/>
      <c r="S3120" s="4"/>
    </row>
    <row r="3121" spans="15:19" x14ac:dyDescent="0.25">
      <c r="O3121" s="4"/>
      <c r="P3121" s="4"/>
      <c r="Q3121" s="4"/>
      <c r="R3121" s="4"/>
      <c r="S3121" s="4"/>
    </row>
    <row r="3122" spans="15:19" x14ac:dyDescent="0.25">
      <c r="O3122" s="4"/>
      <c r="P3122" s="4"/>
      <c r="Q3122" s="4"/>
      <c r="R3122" s="4"/>
      <c r="S3122" s="4"/>
    </row>
    <row r="3123" spans="15:19" x14ac:dyDescent="0.25">
      <c r="O3123" s="4"/>
      <c r="P3123" s="4"/>
      <c r="Q3123" s="4"/>
      <c r="R3123" s="4"/>
      <c r="S3123" s="4"/>
    </row>
    <row r="3124" spans="15:19" x14ac:dyDescent="0.25">
      <c r="O3124" s="4"/>
      <c r="P3124" s="4"/>
      <c r="Q3124" s="4"/>
      <c r="R3124" s="4"/>
      <c r="S3124" s="4"/>
    </row>
    <row r="3125" spans="15:19" x14ac:dyDescent="0.25">
      <c r="O3125" s="4"/>
      <c r="P3125" s="4"/>
      <c r="Q3125" s="4"/>
      <c r="R3125" s="4"/>
      <c r="S3125" s="4"/>
    </row>
    <row r="3126" spans="15:19" x14ac:dyDescent="0.25">
      <c r="O3126" s="4"/>
      <c r="P3126" s="4"/>
      <c r="Q3126" s="4"/>
      <c r="R3126" s="4"/>
      <c r="S3126" s="4"/>
    </row>
    <row r="3127" spans="15:19" x14ac:dyDescent="0.25">
      <c r="O3127" s="4"/>
      <c r="P3127" s="4"/>
      <c r="Q3127" s="4"/>
      <c r="R3127" s="4"/>
      <c r="S3127" s="4"/>
    </row>
    <row r="3128" spans="15:19" x14ac:dyDescent="0.25">
      <c r="O3128" s="4"/>
      <c r="P3128" s="4"/>
      <c r="Q3128" s="4"/>
      <c r="R3128" s="4"/>
      <c r="S3128" s="4"/>
    </row>
    <row r="3129" spans="15:19" x14ac:dyDescent="0.25">
      <c r="O3129" s="4"/>
      <c r="P3129" s="4"/>
      <c r="Q3129" s="4"/>
      <c r="R3129" s="4"/>
      <c r="S3129" s="4"/>
    </row>
    <row r="3130" spans="15:19" x14ac:dyDescent="0.25">
      <c r="O3130" s="4"/>
      <c r="P3130" s="4"/>
      <c r="Q3130" s="4"/>
      <c r="R3130" s="4"/>
      <c r="S3130" s="4"/>
    </row>
    <row r="3131" spans="15:19" x14ac:dyDescent="0.25">
      <c r="O3131" s="4"/>
      <c r="P3131" s="4"/>
      <c r="Q3131" s="4"/>
      <c r="R3131" s="4"/>
      <c r="S3131" s="4"/>
    </row>
    <row r="3132" spans="15:19" x14ac:dyDescent="0.25">
      <c r="O3132" s="4"/>
      <c r="P3132" s="4"/>
      <c r="Q3132" s="4"/>
      <c r="R3132" s="4"/>
      <c r="S3132" s="4"/>
    </row>
    <row r="3133" spans="15:19" x14ac:dyDescent="0.25">
      <c r="O3133" s="4"/>
      <c r="P3133" s="4"/>
      <c r="Q3133" s="4"/>
      <c r="R3133" s="4"/>
      <c r="S3133" s="4"/>
    </row>
    <row r="3134" spans="15:19" x14ac:dyDescent="0.25">
      <c r="O3134" s="4"/>
      <c r="P3134" s="4"/>
      <c r="Q3134" s="4"/>
      <c r="R3134" s="4"/>
      <c r="S3134" s="4"/>
    </row>
    <row r="3135" spans="15:19" x14ac:dyDescent="0.25">
      <c r="O3135" s="4"/>
      <c r="P3135" s="4"/>
      <c r="Q3135" s="4"/>
      <c r="R3135" s="4"/>
      <c r="S3135" s="4"/>
    </row>
    <row r="3136" spans="15:19" x14ac:dyDescent="0.25">
      <c r="O3136" s="4"/>
      <c r="P3136" s="4"/>
      <c r="Q3136" s="4"/>
      <c r="R3136" s="4"/>
      <c r="S3136" s="4"/>
    </row>
    <row r="3137" spans="15:19" x14ac:dyDescent="0.25">
      <c r="O3137" s="4"/>
      <c r="P3137" s="4"/>
      <c r="Q3137" s="4"/>
      <c r="R3137" s="4"/>
      <c r="S3137" s="4"/>
    </row>
    <row r="3138" spans="15:19" x14ac:dyDescent="0.25">
      <c r="O3138" s="4"/>
      <c r="P3138" s="4"/>
      <c r="Q3138" s="4"/>
      <c r="R3138" s="4"/>
      <c r="S3138" s="4"/>
    </row>
    <row r="3139" spans="15:19" x14ac:dyDescent="0.25">
      <c r="O3139" s="4"/>
      <c r="P3139" s="4"/>
      <c r="Q3139" s="4"/>
      <c r="R3139" s="4"/>
      <c r="S3139" s="4"/>
    </row>
    <row r="3140" spans="15:19" x14ac:dyDescent="0.25">
      <c r="O3140" s="4"/>
      <c r="P3140" s="4"/>
      <c r="Q3140" s="4"/>
      <c r="R3140" s="4"/>
      <c r="S3140" s="4"/>
    </row>
    <row r="3141" spans="15:19" x14ac:dyDescent="0.25">
      <c r="O3141" s="4"/>
      <c r="P3141" s="4"/>
      <c r="Q3141" s="4"/>
      <c r="R3141" s="4"/>
      <c r="S3141" s="4"/>
    </row>
    <row r="3142" spans="15:19" x14ac:dyDescent="0.25">
      <c r="O3142" s="4"/>
      <c r="P3142" s="4"/>
      <c r="Q3142" s="4"/>
      <c r="R3142" s="4"/>
      <c r="S3142" s="4"/>
    </row>
    <row r="3143" spans="15:19" x14ac:dyDescent="0.25">
      <c r="O3143" s="4"/>
      <c r="P3143" s="4"/>
      <c r="Q3143" s="4"/>
      <c r="R3143" s="4"/>
      <c r="S3143" s="4"/>
    </row>
    <row r="3144" spans="15:19" x14ac:dyDescent="0.25">
      <c r="O3144" s="4"/>
      <c r="P3144" s="4"/>
      <c r="Q3144" s="4"/>
      <c r="R3144" s="4"/>
      <c r="S3144" s="4"/>
    </row>
    <row r="3145" spans="15:19" x14ac:dyDescent="0.25">
      <c r="O3145" s="4"/>
      <c r="P3145" s="4"/>
      <c r="Q3145" s="4"/>
      <c r="R3145" s="4"/>
      <c r="S3145" s="4"/>
    </row>
    <row r="3146" spans="15:19" x14ac:dyDescent="0.25">
      <c r="O3146" s="4"/>
      <c r="P3146" s="4"/>
      <c r="Q3146" s="4"/>
      <c r="R3146" s="4"/>
      <c r="S3146" s="4"/>
    </row>
    <row r="3147" spans="15:19" x14ac:dyDescent="0.25">
      <c r="O3147" s="4"/>
      <c r="P3147" s="4"/>
      <c r="Q3147" s="4"/>
      <c r="R3147" s="4"/>
      <c r="S3147" s="4"/>
    </row>
    <row r="3148" spans="15:19" x14ac:dyDescent="0.25">
      <c r="O3148" s="4"/>
      <c r="P3148" s="4"/>
      <c r="Q3148" s="4"/>
      <c r="R3148" s="4"/>
      <c r="S3148" s="4"/>
    </row>
    <row r="3149" spans="15:19" x14ac:dyDescent="0.25">
      <c r="O3149" s="4"/>
      <c r="P3149" s="4"/>
      <c r="Q3149" s="4"/>
      <c r="R3149" s="4"/>
      <c r="S3149" s="4"/>
    </row>
    <row r="3150" spans="15:19" x14ac:dyDescent="0.25">
      <c r="O3150" s="4"/>
      <c r="P3150" s="4"/>
      <c r="Q3150" s="4"/>
      <c r="R3150" s="4"/>
      <c r="S3150" s="4"/>
    </row>
    <row r="3151" spans="15:19" x14ac:dyDescent="0.25">
      <c r="O3151" s="4"/>
      <c r="P3151" s="4"/>
      <c r="Q3151" s="4"/>
      <c r="R3151" s="4"/>
      <c r="S3151" s="4"/>
    </row>
    <row r="3152" spans="15:19" x14ac:dyDescent="0.25">
      <c r="O3152" s="4"/>
      <c r="P3152" s="4"/>
      <c r="Q3152" s="4"/>
      <c r="R3152" s="4"/>
      <c r="S3152" s="4"/>
    </row>
    <row r="3153" spans="15:19" x14ac:dyDescent="0.25">
      <c r="O3153" s="4"/>
      <c r="P3153" s="4"/>
      <c r="Q3153" s="4"/>
      <c r="R3153" s="4"/>
      <c r="S3153" s="4"/>
    </row>
    <row r="3154" spans="15:19" x14ac:dyDescent="0.25">
      <c r="O3154" s="4"/>
      <c r="P3154" s="4"/>
      <c r="Q3154" s="4"/>
      <c r="R3154" s="4"/>
      <c r="S3154" s="4"/>
    </row>
    <row r="3155" spans="15:19" x14ac:dyDescent="0.25">
      <c r="O3155" s="4"/>
      <c r="P3155" s="4"/>
      <c r="Q3155" s="4"/>
      <c r="R3155" s="4"/>
      <c r="S3155" s="4"/>
    </row>
    <row r="3156" spans="15:19" x14ac:dyDescent="0.25">
      <c r="O3156" s="4"/>
      <c r="P3156" s="4"/>
      <c r="Q3156" s="4"/>
      <c r="R3156" s="4"/>
      <c r="S3156" s="4"/>
    </row>
    <row r="3157" spans="15:19" x14ac:dyDescent="0.25">
      <c r="O3157" s="4"/>
      <c r="P3157" s="4"/>
      <c r="Q3157" s="4"/>
      <c r="R3157" s="4"/>
      <c r="S3157" s="4"/>
    </row>
    <row r="3158" spans="15:19" x14ac:dyDescent="0.25">
      <c r="O3158" s="4"/>
      <c r="P3158" s="4"/>
      <c r="Q3158" s="4"/>
      <c r="R3158" s="4"/>
      <c r="S3158" s="4"/>
    </row>
    <row r="3159" spans="15:19" x14ac:dyDescent="0.25">
      <c r="O3159" s="4"/>
      <c r="P3159" s="4"/>
      <c r="Q3159" s="4"/>
      <c r="R3159" s="4"/>
      <c r="S3159" s="4"/>
    </row>
    <row r="3160" spans="15:19" x14ac:dyDescent="0.25">
      <c r="O3160" s="4"/>
      <c r="P3160" s="4"/>
      <c r="Q3160" s="4"/>
      <c r="R3160" s="4"/>
      <c r="S3160" s="4"/>
    </row>
    <row r="3161" spans="15:19" x14ac:dyDescent="0.25">
      <c r="O3161" s="4"/>
      <c r="P3161" s="4"/>
      <c r="Q3161" s="4"/>
      <c r="R3161" s="4"/>
      <c r="S3161" s="4"/>
    </row>
    <row r="3162" spans="15:19" x14ac:dyDescent="0.25">
      <c r="O3162" s="4"/>
      <c r="P3162" s="4"/>
      <c r="Q3162" s="4"/>
      <c r="R3162" s="4"/>
      <c r="S3162" s="4"/>
    </row>
    <row r="3163" spans="15:19" x14ac:dyDescent="0.25">
      <c r="O3163" s="4"/>
      <c r="P3163" s="4"/>
      <c r="Q3163" s="4"/>
      <c r="R3163" s="4"/>
      <c r="S3163" s="4"/>
    </row>
    <row r="3164" spans="15:19" x14ac:dyDescent="0.25">
      <c r="O3164" s="4"/>
      <c r="P3164" s="4"/>
      <c r="Q3164" s="4"/>
      <c r="R3164" s="4"/>
      <c r="S3164" s="4"/>
    </row>
    <row r="3165" spans="15:19" x14ac:dyDescent="0.25">
      <c r="O3165" s="4"/>
      <c r="P3165" s="4"/>
      <c r="Q3165" s="4"/>
      <c r="R3165" s="4"/>
      <c r="S3165" s="4"/>
    </row>
    <row r="3166" spans="15:19" x14ac:dyDescent="0.25">
      <c r="O3166" s="4"/>
      <c r="P3166" s="4"/>
      <c r="Q3166" s="4"/>
      <c r="R3166" s="4"/>
      <c r="S3166" s="4"/>
    </row>
    <row r="3167" spans="15:19" x14ac:dyDescent="0.25">
      <c r="O3167" s="4"/>
      <c r="P3167" s="4"/>
      <c r="Q3167" s="4"/>
      <c r="R3167" s="4"/>
      <c r="S3167" s="4"/>
    </row>
    <row r="3168" spans="15:19" x14ac:dyDescent="0.25">
      <c r="O3168" s="4"/>
      <c r="P3168" s="4"/>
      <c r="Q3168" s="4"/>
      <c r="R3168" s="4"/>
      <c r="S3168" s="4"/>
    </row>
    <row r="3169" spans="15:19" x14ac:dyDescent="0.25">
      <c r="O3169" s="4"/>
      <c r="P3169" s="4"/>
      <c r="Q3169" s="4"/>
      <c r="R3169" s="4"/>
      <c r="S3169" s="4"/>
    </row>
    <row r="3170" spans="15:19" x14ac:dyDescent="0.25">
      <c r="O3170" s="4"/>
      <c r="P3170" s="4"/>
      <c r="Q3170" s="4"/>
      <c r="R3170" s="4"/>
      <c r="S3170" s="4"/>
    </row>
    <row r="3171" spans="15:19" x14ac:dyDescent="0.25">
      <c r="O3171" s="4"/>
      <c r="P3171" s="4"/>
      <c r="Q3171" s="4"/>
      <c r="R3171" s="4"/>
      <c r="S3171" s="4"/>
    </row>
    <row r="3172" spans="15:19" x14ac:dyDescent="0.25">
      <c r="O3172" s="4"/>
      <c r="P3172" s="4"/>
      <c r="Q3172" s="4"/>
      <c r="R3172" s="4"/>
      <c r="S3172" s="4"/>
    </row>
    <row r="3173" spans="15:19" x14ac:dyDescent="0.25">
      <c r="O3173" s="4"/>
      <c r="P3173" s="4"/>
      <c r="Q3173" s="4"/>
      <c r="R3173" s="4"/>
      <c r="S3173" s="4"/>
    </row>
    <row r="3174" spans="15:19" x14ac:dyDescent="0.25">
      <c r="O3174" s="4"/>
      <c r="P3174" s="4"/>
      <c r="Q3174" s="4"/>
      <c r="R3174" s="4"/>
      <c r="S3174" s="4"/>
    </row>
    <row r="3175" spans="15:19" x14ac:dyDescent="0.25">
      <c r="O3175" s="4"/>
      <c r="P3175" s="4"/>
      <c r="Q3175" s="4"/>
      <c r="R3175" s="4"/>
      <c r="S3175" s="4"/>
    </row>
    <row r="3176" spans="15:19" x14ac:dyDescent="0.25">
      <c r="O3176" s="4"/>
      <c r="P3176" s="4"/>
      <c r="Q3176" s="4"/>
      <c r="R3176" s="4"/>
      <c r="S3176" s="4"/>
    </row>
    <row r="3177" spans="15:19" x14ac:dyDescent="0.25">
      <c r="O3177" s="4"/>
      <c r="P3177" s="4"/>
      <c r="Q3177" s="4"/>
      <c r="R3177" s="4"/>
      <c r="S3177" s="4"/>
    </row>
    <row r="3178" spans="15:19" x14ac:dyDescent="0.25">
      <c r="O3178" s="4"/>
      <c r="P3178" s="4"/>
      <c r="Q3178" s="4"/>
      <c r="R3178" s="4"/>
      <c r="S3178" s="4"/>
    </row>
    <row r="3179" spans="15:19" x14ac:dyDescent="0.25">
      <c r="O3179" s="4"/>
      <c r="P3179" s="4"/>
      <c r="Q3179" s="4"/>
      <c r="R3179" s="4"/>
      <c r="S3179" s="4"/>
    </row>
    <row r="3180" spans="15:19" x14ac:dyDescent="0.25">
      <c r="O3180" s="4"/>
      <c r="P3180" s="4"/>
      <c r="Q3180" s="4"/>
      <c r="R3180" s="4"/>
      <c r="S3180" s="4"/>
    </row>
    <row r="3181" spans="15:19" x14ac:dyDescent="0.25">
      <c r="O3181" s="4"/>
      <c r="P3181" s="4"/>
      <c r="Q3181" s="4"/>
      <c r="R3181" s="4"/>
      <c r="S3181" s="4"/>
    </row>
    <row r="3182" spans="15:19" x14ac:dyDescent="0.25">
      <c r="O3182" s="4"/>
      <c r="P3182" s="4"/>
      <c r="Q3182" s="4"/>
      <c r="R3182" s="4"/>
      <c r="S3182" s="4"/>
    </row>
    <row r="3183" spans="15:19" x14ac:dyDescent="0.25">
      <c r="O3183" s="4"/>
      <c r="P3183" s="4"/>
      <c r="Q3183" s="4"/>
      <c r="R3183" s="4"/>
      <c r="S3183" s="4"/>
    </row>
    <row r="3184" spans="15:19" x14ac:dyDescent="0.25">
      <c r="O3184" s="4"/>
      <c r="P3184" s="4"/>
      <c r="Q3184" s="4"/>
      <c r="R3184" s="4"/>
      <c r="S3184" s="4"/>
    </row>
    <row r="3185" spans="15:19" x14ac:dyDescent="0.25">
      <c r="O3185" s="4"/>
      <c r="P3185" s="4"/>
      <c r="Q3185" s="4"/>
      <c r="R3185" s="4"/>
      <c r="S3185" s="4"/>
    </row>
    <row r="3186" spans="15:19" x14ac:dyDescent="0.25">
      <c r="O3186" s="4"/>
      <c r="P3186" s="4"/>
      <c r="Q3186" s="4"/>
      <c r="R3186" s="4"/>
      <c r="S3186" s="4"/>
    </row>
    <row r="3187" spans="15:19" x14ac:dyDescent="0.25">
      <c r="O3187" s="4"/>
      <c r="P3187" s="4"/>
      <c r="Q3187" s="4"/>
      <c r="R3187" s="4"/>
      <c r="S3187" s="4"/>
    </row>
    <row r="3188" spans="15:19" x14ac:dyDescent="0.25">
      <c r="O3188" s="4"/>
      <c r="P3188" s="4"/>
      <c r="Q3188" s="4"/>
      <c r="R3188" s="4"/>
      <c r="S3188" s="4"/>
    </row>
    <row r="3189" spans="15:19" x14ac:dyDescent="0.25">
      <c r="O3189" s="4"/>
      <c r="P3189" s="4"/>
      <c r="Q3189" s="4"/>
      <c r="R3189" s="4"/>
      <c r="S3189" s="4"/>
    </row>
    <row r="3190" spans="15:19" x14ac:dyDescent="0.25">
      <c r="O3190" s="4"/>
      <c r="P3190" s="4"/>
      <c r="Q3190" s="4"/>
      <c r="R3190" s="4"/>
      <c r="S3190" s="4"/>
    </row>
    <row r="3191" spans="15:19" x14ac:dyDescent="0.25">
      <c r="O3191" s="4"/>
      <c r="P3191" s="4"/>
      <c r="Q3191" s="4"/>
      <c r="R3191" s="4"/>
      <c r="S3191" s="4"/>
    </row>
    <row r="3192" spans="15:19" x14ac:dyDescent="0.25">
      <c r="O3192" s="4"/>
      <c r="P3192" s="4"/>
      <c r="Q3192" s="4"/>
      <c r="R3192" s="4"/>
      <c r="S3192" s="4"/>
    </row>
    <row r="3193" spans="15:19" x14ac:dyDescent="0.25">
      <c r="O3193" s="4"/>
      <c r="P3193" s="4"/>
      <c r="Q3193" s="4"/>
      <c r="R3193" s="4"/>
      <c r="S3193" s="4"/>
    </row>
    <row r="3194" spans="15:19" x14ac:dyDescent="0.25">
      <c r="O3194" s="4"/>
      <c r="P3194" s="4"/>
      <c r="Q3194" s="4"/>
      <c r="R3194" s="4"/>
      <c r="S3194" s="4"/>
    </row>
    <row r="3195" spans="15:19" x14ac:dyDescent="0.25">
      <c r="O3195" s="4"/>
      <c r="P3195" s="4"/>
      <c r="Q3195" s="4"/>
      <c r="R3195" s="4"/>
      <c r="S3195" s="4"/>
    </row>
    <row r="3196" spans="15:19" x14ac:dyDescent="0.25">
      <c r="O3196" s="4"/>
      <c r="P3196" s="4"/>
      <c r="Q3196" s="4"/>
      <c r="R3196" s="4"/>
      <c r="S3196" s="4"/>
    </row>
    <row r="3197" spans="15:19" x14ac:dyDescent="0.25">
      <c r="O3197" s="4"/>
      <c r="P3197" s="4"/>
      <c r="Q3197" s="4"/>
      <c r="R3197" s="4"/>
      <c r="S3197" s="4"/>
    </row>
    <row r="3198" spans="15:19" x14ac:dyDescent="0.25">
      <c r="O3198" s="4"/>
      <c r="P3198" s="4"/>
      <c r="Q3198" s="4"/>
      <c r="R3198" s="4"/>
      <c r="S3198" s="4"/>
    </row>
    <row r="3199" spans="15:19" x14ac:dyDescent="0.25">
      <c r="O3199" s="4"/>
      <c r="P3199" s="4"/>
      <c r="Q3199" s="4"/>
      <c r="R3199" s="4"/>
      <c r="S3199" s="4"/>
    </row>
    <row r="3200" spans="15:19" x14ac:dyDescent="0.25">
      <c r="O3200" s="4"/>
      <c r="P3200" s="4"/>
      <c r="Q3200" s="4"/>
      <c r="R3200" s="4"/>
      <c r="S3200" s="4"/>
    </row>
    <row r="3201" spans="15:19" x14ac:dyDescent="0.25">
      <c r="O3201" s="4"/>
      <c r="P3201" s="4"/>
      <c r="Q3201" s="4"/>
      <c r="R3201" s="4"/>
      <c r="S3201" s="4"/>
    </row>
    <row r="3202" spans="15:19" x14ac:dyDescent="0.25">
      <c r="O3202" s="4"/>
      <c r="P3202" s="4"/>
      <c r="Q3202" s="4"/>
      <c r="R3202" s="4"/>
      <c r="S3202" s="4"/>
    </row>
    <row r="3203" spans="15:19" x14ac:dyDescent="0.25">
      <c r="O3203" s="4"/>
      <c r="P3203" s="4"/>
      <c r="Q3203" s="4"/>
      <c r="R3203" s="4"/>
      <c r="S3203" s="4"/>
    </row>
    <row r="3204" spans="15:19" x14ac:dyDescent="0.25">
      <c r="O3204" s="4"/>
      <c r="P3204" s="4"/>
      <c r="Q3204" s="4"/>
      <c r="R3204" s="4"/>
      <c r="S3204" s="4"/>
    </row>
    <row r="3205" spans="15:19" x14ac:dyDescent="0.25">
      <c r="O3205" s="4"/>
      <c r="P3205" s="4"/>
      <c r="Q3205" s="4"/>
      <c r="R3205" s="4"/>
      <c r="S3205" s="4"/>
    </row>
    <row r="3206" spans="15:19" x14ac:dyDescent="0.25">
      <c r="O3206" s="4"/>
      <c r="P3206" s="4"/>
      <c r="Q3206" s="4"/>
      <c r="R3206" s="4"/>
      <c r="S3206" s="4"/>
    </row>
    <row r="3207" spans="15:19" x14ac:dyDescent="0.25">
      <c r="O3207" s="4"/>
      <c r="P3207" s="4"/>
      <c r="Q3207" s="4"/>
      <c r="R3207" s="4"/>
      <c r="S3207" s="4"/>
    </row>
    <row r="3208" spans="15:19" x14ac:dyDescent="0.25">
      <c r="O3208" s="4"/>
      <c r="P3208" s="4"/>
      <c r="Q3208" s="4"/>
      <c r="R3208" s="4"/>
      <c r="S3208" s="4"/>
    </row>
    <row r="3209" spans="15:19" x14ac:dyDescent="0.25">
      <c r="O3209" s="4"/>
      <c r="P3209" s="4"/>
      <c r="Q3209" s="4"/>
      <c r="R3209" s="4"/>
      <c r="S3209" s="4"/>
    </row>
    <row r="3210" spans="15:19" x14ac:dyDescent="0.25">
      <c r="O3210" s="4"/>
      <c r="P3210" s="4"/>
      <c r="Q3210" s="4"/>
      <c r="R3210" s="4"/>
      <c r="S3210" s="4"/>
    </row>
    <row r="3211" spans="15:19" x14ac:dyDescent="0.25">
      <c r="O3211" s="4"/>
      <c r="P3211" s="4"/>
      <c r="Q3211" s="4"/>
      <c r="R3211" s="4"/>
      <c r="S3211" s="4"/>
    </row>
    <row r="3212" spans="15:19" x14ac:dyDescent="0.25">
      <c r="O3212" s="4"/>
      <c r="P3212" s="4"/>
      <c r="Q3212" s="4"/>
      <c r="R3212" s="4"/>
      <c r="S3212" s="4"/>
    </row>
    <row r="3213" spans="15:19" x14ac:dyDescent="0.25">
      <c r="O3213" s="4"/>
      <c r="P3213" s="4"/>
      <c r="Q3213" s="4"/>
      <c r="R3213" s="4"/>
      <c r="S3213" s="4"/>
    </row>
    <row r="3214" spans="15:19" x14ac:dyDescent="0.25">
      <c r="O3214" s="4"/>
      <c r="P3214" s="4"/>
      <c r="Q3214" s="4"/>
      <c r="R3214" s="4"/>
      <c r="S3214" s="4"/>
    </row>
    <row r="3215" spans="15:19" x14ac:dyDescent="0.25">
      <c r="O3215" s="4"/>
      <c r="P3215" s="4"/>
      <c r="Q3215" s="4"/>
      <c r="R3215" s="4"/>
      <c r="S3215" s="4"/>
    </row>
    <row r="3216" spans="15:19" x14ac:dyDescent="0.25">
      <c r="O3216" s="4"/>
      <c r="P3216" s="4"/>
      <c r="Q3216" s="4"/>
      <c r="R3216" s="4"/>
      <c r="S3216" s="4"/>
    </row>
    <row r="3217" spans="15:19" x14ac:dyDescent="0.25">
      <c r="O3217" s="4"/>
      <c r="P3217" s="4"/>
      <c r="Q3217" s="4"/>
      <c r="R3217" s="4"/>
      <c r="S3217" s="4"/>
    </row>
    <row r="3218" spans="15:19" x14ac:dyDescent="0.25">
      <c r="O3218" s="4"/>
      <c r="P3218" s="4"/>
      <c r="Q3218" s="4"/>
      <c r="R3218" s="4"/>
      <c r="S3218" s="4"/>
    </row>
    <row r="3219" spans="15:19" x14ac:dyDescent="0.25">
      <c r="O3219" s="4"/>
      <c r="P3219" s="4"/>
      <c r="Q3219" s="4"/>
      <c r="R3219" s="4"/>
      <c r="S3219" s="4"/>
    </row>
    <row r="3220" spans="15:19" x14ac:dyDescent="0.25">
      <c r="O3220" s="4"/>
      <c r="P3220" s="4"/>
      <c r="Q3220" s="4"/>
      <c r="R3220" s="4"/>
      <c r="S3220" s="4"/>
    </row>
    <row r="3221" spans="15:19" x14ac:dyDescent="0.25">
      <c r="O3221" s="4"/>
      <c r="P3221" s="4"/>
      <c r="Q3221" s="4"/>
      <c r="R3221" s="4"/>
      <c r="S3221" s="4"/>
    </row>
    <row r="3222" spans="15:19" x14ac:dyDescent="0.25">
      <c r="O3222" s="4"/>
      <c r="P3222" s="4"/>
      <c r="Q3222" s="4"/>
      <c r="R3222" s="4"/>
      <c r="S3222" s="4"/>
    </row>
    <row r="3223" spans="15:19" x14ac:dyDescent="0.25">
      <c r="O3223" s="4"/>
      <c r="P3223" s="4"/>
      <c r="Q3223" s="4"/>
      <c r="R3223" s="4"/>
      <c r="S3223" s="4"/>
    </row>
    <row r="3224" spans="15:19" x14ac:dyDescent="0.25">
      <c r="O3224" s="4"/>
      <c r="P3224" s="4"/>
      <c r="Q3224" s="4"/>
      <c r="R3224" s="4"/>
      <c r="S3224" s="4"/>
    </row>
    <row r="3225" spans="15:19" x14ac:dyDescent="0.25">
      <c r="O3225" s="4"/>
      <c r="P3225" s="4"/>
      <c r="Q3225" s="4"/>
      <c r="R3225" s="4"/>
      <c r="S3225" s="4"/>
    </row>
    <row r="3226" spans="15:19" x14ac:dyDescent="0.25">
      <c r="O3226" s="4"/>
      <c r="P3226" s="4"/>
      <c r="Q3226" s="4"/>
      <c r="R3226" s="4"/>
      <c r="S3226" s="4"/>
    </row>
    <row r="3227" spans="15:19" x14ac:dyDescent="0.25">
      <c r="O3227" s="4"/>
      <c r="P3227" s="4"/>
      <c r="Q3227" s="4"/>
      <c r="R3227" s="4"/>
      <c r="S3227" s="4"/>
    </row>
    <row r="3228" spans="15:19" x14ac:dyDescent="0.25">
      <c r="O3228" s="4"/>
      <c r="P3228" s="4"/>
      <c r="Q3228" s="4"/>
      <c r="R3228" s="4"/>
      <c r="S3228" s="4"/>
    </row>
    <row r="3229" spans="15:19" x14ac:dyDescent="0.25">
      <c r="O3229" s="4"/>
      <c r="P3229" s="4"/>
      <c r="Q3229" s="4"/>
      <c r="R3229" s="4"/>
      <c r="S3229" s="4"/>
    </row>
    <row r="3230" spans="15:19" x14ac:dyDescent="0.25">
      <c r="O3230" s="4"/>
      <c r="P3230" s="4"/>
      <c r="Q3230" s="4"/>
      <c r="R3230" s="4"/>
      <c r="S3230" s="4"/>
    </row>
    <row r="3231" spans="15:19" x14ac:dyDescent="0.25">
      <c r="O3231" s="4"/>
      <c r="P3231" s="4"/>
      <c r="Q3231" s="4"/>
      <c r="R3231" s="4"/>
      <c r="S3231" s="4"/>
    </row>
    <row r="3232" spans="15:19" x14ac:dyDescent="0.25">
      <c r="O3232" s="4"/>
      <c r="P3232" s="4"/>
      <c r="Q3232" s="4"/>
      <c r="R3232" s="4"/>
      <c r="S3232" s="4"/>
    </row>
    <row r="3233" spans="15:19" x14ac:dyDescent="0.25">
      <c r="O3233" s="4"/>
      <c r="P3233" s="4"/>
      <c r="Q3233" s="4"/>
      <c r="R3233" s="4"/>
      <c r="S3233" s="4"/>
    </row>
    <row r="3234" spans="15:19" x14ac:dyDescent="0.25">
      <c r="O3234" s="4"/>
      <c r="P3234" s="4"/>
      <c r="Q3234" s="4"/>
      <c r="R3234" s="4"/>
      <c r="S3234" s="4"/>
    </row>
    <row r="3235" spans="15:19" x14ac:dyDescent="0.25">
      <c r="O3235" s="4"/>
      <c r="P3235" s="4"/>
      <c r="Q3235" s="4"/>
      <c r="R3235" s="4"/>
      <c r="S3235" s="4"/>
    </row>
    <row r="3236" spans="15:19" x14ac:dyDescent="0.25">
      <c r="O3236" s="4"/>
      <c r="P3236" s="4"/>
      <c r="Q3236" s="4"/>
      <c r="R3236" s="4"/>
      <c r="S3236" s="4"/>
    </row>
    <row r="3237" spans="15:19" x14ac:dyDescent="0.25">
      <c r="O3237" s="4"/>
      <c r="P3237" s="4"/>
      <c r="Q3237" s="4"/>
      <c r="R3237" s="4"/>
      <c r="S3237" s="4"/>
    </row>
    <row r="3238" spans="15:19" x14ac:dyDescent="0.25">
      <c r="O3238" s="4"/>
      <c r="P3238" s="4"/>
      <c r="Q3238" s="4"/>
      <c r="R3238" s="4"/>
      <c r="S3238" s="4"/>
    </row>
    <row r="3239" spans="15:19" x14ac:dyDescent="0.25">
      <c r="O3239" s="4"/>
      <c r="P3239" s="4"/>
      <c r="Q3239" s="4"/>
      <c r="R3239" s="4"/>
      <c r="S3239" s="4"/>
    </row>
    <row r="3240" spans="15:19" x14ac:dyDescent="0.25">
      <c r="O3240" s="4"/>
      <c r="P3240" s="4"/>
      <c r="Q3240" s="4"/>
      <c r="R3240" s="4"/>
      <c r="S3240" s="4"/>
    </row>
    <row r="3241" spans="15:19" x14ac:dyDescent="0.25">
      <c r="O3241" s="4"/>
      <c r="P3241" s="4"/>
      <c r="Q3241" s="4"/>
      <c r="R3241" s="4"/>
      <c r="S3241" s="4"/>
    </row>
    <row r="3242" spans="15:19" x14ac:dyDescent="0.25">
      <c r="O3242" s="4"/>
      <c r="P3242" s="4"/>
      <c r="Q3242" s="4"/>
      <c r="R3242" s="4"/>
      <c r="S3242" s="4"/>
    </row>
    <row r="3243" spans="15:19" x14ac:dyDescent="0.25">
      <c r="O3243" s="4"/>
      <c r="P3243" s="4"/>
      <c r="Q3243" s="4"/>
      <c r="R3243" s="4"/>
      <c r="S3243" s="4"/>
    </row>
    <row r="3244" spans="15:19" x14ac:dyDescent="0.25">
      <c r="O3244" s="4"/>
      <c r="P3244" s="4"/>
      <c r="Q3244" s="4"/>
      <c r="R3244" s="4"/>
      <c r="S3244" s="4"/>
    </row>
    <row r="3245" spans="15:19" x14ac:dyDescent="0.25">
      <c r="O3245" s="4"/>
      <c r="P3245" s="4"/>
      <c r="Q3245" s="4"/>
      <c r="R3245" s="4"/>
      <c r="S3245" s="4"/>
    </row>
    <row r="3246" spans="15:19" x14ac:dyDescent="0.25">
      <c r="O3246" s="4"/>
      <c r="P3246" s="4"/>
      <c r="Q3246" s="4"/>
      <c r="R3246" s="4"/>
      <c r="S3246" s="4"/>
    </row>
    <row r="3247" spans="15:19" x14ac:dyDescent="0.25">
      <c r="O3247" s="4"/>
      <c r="P3247" s="4"/>
      <c r="Q3247" s="4"/>
      <c r="R3247" s="4"/>
      <c r="S3247" s="4"/>
    </row>
    <row r="3248" spans="15:19" x14ac:dyDescent="0.25">
      <c r="O3248" s="4"/>
      <c r="P3248" s="4"/>
      <c r="Q3248" s="4"/>
      <c r="R3248" s="4"/>
      <c r="S3248" s="4"/>
    </row>
    <row r="3249" spans="15:19" x14ac:dyDescent="0.25">
      <c r="O3249" s="4"/>
      <c r="P3249" s="4"/>
      <c r="Q3249" s="4"/>
      <c r="R3249" s="4"/>
      <c r="S3249" s="4"/>
    </row>
    <row r="3250" spans="15:19" x14ac:dyDescent="0.25">
      <c r="O3250" s="4"/>
      <c r="P3250" s="4"/>
      <c r="Q3250" s="4"/>
      <c r="R3250" s="4"/>
      <c r="S3250" s="4"/>
    </row>
    <row r="3251" spans="15:19" x14ac:dyDescent="0.25">
      <c r="O3251" s="4"/>
      <c r="P3251" s="4"/>
      <c r="Q3251" s="4"/>
      <c r="R3251" s="4"/>
      <c r="S3251" s="4"/>
    </row>
    <row r="3252" spans="15:19" x14ac:dyDescent="0.25">
      <c r="O3252" s="4"/>
      <c r="P3252" s="4"/>
      <c r="Q3252" s="4"/>
      <c r="R3252" s="4"/>
      <c r="S3252" s="4"/>
    </row>
    <row r="3253" spans="15:19" x14ac:dyDescent="0.25">
      <c r="O3253" s="4"/>
      <c r="P3253" s="4"/>
      <c r="Q3253" s="4"/>
      <c r="R3253" s="4"/>
      <c r="S3253" s="4"/>
    </row>
    <row r="3254" spans="15:19" x14ac:dyDescent="0.25">
      <c r="O3254" s="4"/>
      <c r="P3254" s="4"/>
      <c r="Q3254" s="4"/>
      <c r="R3254" s="4"/>
      <c r="S3254" s="4"/>
    </row>
    <row r="3255" spans="15:19" x14ac:dyDescent="0.25">
      <c r="O3255" s="4"/>
      <c r="P3255" s="4"/>
      <c r="Q3255" s="4"/>
      <c r="R3255" s="4"/>
      <c r="S3255" s="4"/>
    </row>
    <row r="3256" spans="15:19" x14ac:dyDescent="0.25">
      <c r="O3256" s="4"/>
      <c r="P3256" s="4"/>
      <c r="Q3256" s="4"/>
      <c r="R3256" s="4"/>
      <c r="S3256" s="4"/>
    </row>
    <row r="3257" spans="15:19" x14ac:dyDescent="0.25">
      <c r="O3257" s="4"/>
      <c r="P3257" s="4"/>
      <c r="Q3257" s="4"/>
      <c r="R3257" s="4"/>
      <c r="S3257" s="4"/>
    </row>
    <row r="3258" spans="15:19" x14ac:dyDescent="0.25">
      <c r="O3258" s="4"/>
      <c r="P3258" s="4"/>
      <c r="Q3258" s="4"/>
      <c r="R3258" s="4"/>
      <c r="S3258" s="4"/>
    </row>
    <row r="3259" spans="15:19" x14ac:dyDescent="0.25">
      <c r="O3259" s="4"/>
      <c r="P3259" s="4"/>
      <c r="Q3259" s="4"/>
      <c r="R3259" s="4"/>
      <c r="S3259" s="4"/>
    </row>
    <row r="3260" spans="15:19" x14ac:dyDescent="0.25">
      <c r="O3260" s="4"/>
      <c r="P3260" s="4"/>
      <c r="Q3260" s="4"/>
      <c r="R3260" s="4"/>
      <c r="S3260" s="4"/>
    </row>
    <row r="3261" spans="15:19" x14ac:dyDescent="0.25">
      <c r="O3261" s="4"/>
      <c r="P3261" s="4"/>
      <c r="Q3261" s="4"/>
      <c r="R3261" s="4"/>
      <c r="S3261" s="4"/>
    </row>
    <row r="3262" spans="15:19" x14ac:dyDescent="0.25">
      <c r="O3262" s="4"/>
      <c r="P3262" s="4"/>
      <c r="Q3262" s="4"/>
      <c r="R3262" s="4"/>
      <c r="S3262" s="4"/>
    </row>
    <row r="3263" spans="15:19" x14ac:dyDescent="0.25">
      <c r="O3263" s="4"/>
      <c r="P3263" s="4"/>
      <c r="Q3263" s="4"/>
      <c r="R3263" s="4"/>
      <c r="S3263" s="4"/>
    </row>
    <row r="3264" spans="15:19" x14ac:dyDescent="0.25">
      <c r="O3264" s="4"/>
      <c r="P3264" s="4"/>
      <c r="Q3264" s="4"/>
      <c r="R3264" s="4"/>
      <c r="S3264" s="4"/>
    </row>
    <row r="3265" spans="15:19" x14ac:dyDescent="0.25">
      <c r="O3265" s="4"/>
      <c r="P3265" s="4"/>
      <c r="Q3265" s="4"/>
      <c r="R3265" s="4"/>
      <c r="S3265" s="4"/>
    </row>
    <row r="3266" spans="15:19" x14ac:dyDescent="0.25">
      <c r="O3266" s="4"/>
      <c r="P3266" s="4"/>
      <c r="Q3266" s="4"/>
      <c r="R3266" s="4"/>
      <c r="S3266" s="4"/>
    </row>
    <row r="3267" spans="15:19" x14ac:dyDescent="0.25">
      <c r="O3267" s="4"/>
      <c r="P3267" s="4"/>
      <c r="Q3267" s="4"/>
      <c r="R3267" s="4"/>
      <c r="S3267" s="4"/>
    </row>
    <row r="3268" spans="15:19" x14ac:dyDescent="0.25">
      <c r="O3268" s="4"/>
      <c r="P3268" s="4"/>
      <c r="Q3268" s="4"/>
      <c r="R3268" s="4"/>
      <c r="S3268" s="4"/>
    </row>
    <row r="3269" spans="15:19" x14ac:dyDescent="0.25">
      <c r="O3269" s="4"/>
      <c r="P3269" s="4"/>
      <c r="Q3269" s="4"/>
      <c r="R3269" s="4"/>
      <c r="S3269" s="4"/>
    </row>
    <row r="3270" spans="15:19" x14ac:dyDescent="0.25">
      <c r="O3270" s="4"/>
      <c r="P3270" s="4"/>
      <c r="Q3270" s="4"/>
      <c r="R3270" s="4"/>
      <c r="S3270" s="4"/>
    </row>
    <row r="3271" spans="15:19" x14ac:dyDescent="0.25">
      <c r="O3271" s="4"/>
      <c r="P3271" s="4"/>
      <c r="Q3271" s="4"/>
      <c r="R3271" s="4"/>
      <c r="S3271" s="4"/>
    </row>
    <row r="3272" spans="15:19" x14ac:dyDescent="0.25">
      <c r="O3272" s="4"/>
      <c r="P3272" s="4"/>
      <c r="Q3272" s="4"/>
      <c r="R3272" s="4"/>
      <c r="S3272" s="4"/>
    </row>
    <row r="3273" spans="15:19" x14ac:dyDescent="0.25">
      <c r="O3273" s="4"/>
      <c r="P3273" s="4"/>
      <c r="Q3273" s="4"/>
      <c r="R3273" s="4"/>
      <c r="S3273" s="4"/>
    </row>
    <row r="3274" spans="15:19" x14ac:dyDescent="0.25">
      <c r="O3274" s="4"/>
      <c r="P3274" s="4"/>
      <c r="Q3274" s="4"/>
      <c r="R3274" s="4"/>
      <c r="S3274" s="4"/>
    </row>
    <row r="3275" spans="15:19" x14ac:dyDescent="0.25">
      <c r="O3275" s="4"/>
      <c r="P3275" s="4"/>
      <c r="Q3275" s="4"/>
      <c r="R3275" s="4"/>
      <c r="S3275" s="4"/>
    </row>
    <row r="3276" spans="15:19" x14ac:dyDescent="0.25">
      <c r="O3276" s="4"/>
      <c r="P3276" s="4"/>
      <c r="Q3276" s="4"/>
      <c r="R3276" s="4"/>
      <c r="S3276" s="4"/>
    </row>
    <row r="3277" spans="15:19" x14ac:dyDescent="0.25">
      <c r="O3277" s="4"/>
      <c r="P3277" s="4"/>
      <c r="Q3277" s="4"/>
      <c r="R3277" s="4"/>
      <c r="S3277" s="4"/>
    </row>
    <row r="3278" spans="15:19" x14ac:dyDescent="0.25">
      <c r="O3278" s="4"/>
      <c r="P3278" s="4"/>
      <c r="Q3278" s="4"/>
      <c r="R3278" s="4"/>
      <c r="S3278" s="4"/>
    </row>
    <row r="3279" spans="15:19" x14ac:dyDescent="0.25">
      <c r="O3279" s="4"/>
      <c r="P3279" s="4"/>
      <c r="Q3279" s="4"/>
      <c r="R3279" s="4"/>
      <c r="S3279" s="4"/>
    </row>
    <row r="3280" spans="15:19" x14ac:dyDescent="0.25">
      <c r="O3280" s="4"/>
      <c r="P3280" s="4"/>
      <c r="Q3280" s="4"/>
      <c r="R3280" s="4"/>
      <c r="S3280" s="4"/>
    </row>
    <row r="3281" spans="15:19" x14ac:dyDescent="0.25">
      <c r="O3281" s="4"/>
      <c r="P3281" s="4"/>
      <c r="Q3281" s="4"/>
      <c r="R3281" s="4"/>
      <c r="S3281" s="4"/>
    </row>
    <row r="3282" spans="15:19" x14ac:dyDescent="0.25">
      <c r="O3282" s="4"/>
      <c r="P3282" s="4"/>
      <c r="Q3282" s="4"/>
      <c r="R3282" s="4"/>
      <c r="S3282" s="4"/>
    </row>
    <row r="3283" spans="15:19" x14ac:dyDescent="0.25">
      <c r="O3283" s="4"/>
      <c r="P3283" s="4"/>
      <c r="Q3283" s="4"/>
      <c r="R3283" s="4"/>
      <c r="S3283" s="4"/>
    </row>
    <row r="3284" spans="15:19" x14ac:dyDescent="0.25">
      <c r="O3284" s="4"/>
      <c r="P3284" s="4"/>
      <c r="Q3284" s="4"/>
      <c r="R3284" s="4"/>
      <c r="S3284" s="4"/>
    </row>
    <row r="3285" spans="15:19" x14ac:dyDescent="0.25">
      <c r="O3285" s="4"/>
      <c r="P3285" s="4"/>
      <c r="Q3285" s="4"/>
      <c r="R3285" s="4"/>
      <c r="S3285" s="4"/>
    </row>
    <row r="3286" spans="15:19" x14ac:dyDescent="0.25">
      <c r="O3286" s="4"/>
      <c r="P3286" s="4"/>
      <c r="Q3286" s="4"/>
      <c r="R3286" s="4"/>
      <c r="S3286" s="4"/>
    </row>
    <row r="3287" spans="15:19" x14ac:dyDescent="0.25">
      <c r="O3287" s="4"/>
      <c r="P3287" s="4"/>
      <c r="Q3287" s="4"/>
      <c r="R3287" s="4"/>
      <c r="S3287" s="4"/>
    </row>
    <row r="3288" spans="15:19" x14ac:dyDescent="0.25">
      <c r="O3288" s="4"/>
      <c r="P3288" s="4"/>
      <c r="Q3288" s="4"/>
      <c r="R3288" s="4"/>
      <c r="S3288" s="4"/>
    </row>
    <row r="3289" spans="15:19" x14ac:dyDescent="0.25">
      <c r="O3289" s="4"/>
      <c r="P3289" s="4"/>
      <c r="Q3289" s="4"/>
      <c r="R3289" s="4"/>
      <c r="S3289" s="4"/>
    </row>
    <row r="3290" spans="15:19" x14ac:dyDescent="0.25">
      <c r="O3290" s="4"/>
      <c r="P3290" s="4"/>
      <c r="Q3290" s="4"/>
      <c r="R3290" s="4"/>
      <c r="S3290" s="4"/>
    </row>
    <row r="3291" spans="15:19" x14ac:dyDescent="0.25">
      <c r="O3291" s="4"/>
      <c r="P3291" s="4"/>
      <c r="Q3291" s="4"/>
      <c r="R3291" s="4"/>
      <c r="S3291" s="4"/>
    </row>
    <row r="3292" spans="15:19" x14ac:dyDescent="0.25">
      <c r="O3292" s="4"/>
      <c r="P3292" s="4"/>
      <c r="Q3292" s="4"/>
      <c r="R3292" s="4"/>
      <c r="S3292" s="4"/>
    </row>
    <row r="3293" spans="15:19" x14ac:dyDescent="0.25">
      <c r="O3293" s="4"/>
      <c r="P3293" s="4"/>
      <c r="Q3293" s="4"/>
      <c r="R3293" s="4"/>
      <c r="S3293" s="4"/>
    </row>
    <row r="3294" spans="15:19" x14ac:dyDescent="0.25">
      <c r="O3294" s="4"/>
      <c r="P3294" s="4"/>
      <c r="Q3294" s="4"/>
      <c r="R3294" s="4"/>
      <c r="S3294" s="4"/>
    </row>
    <row r="3295" spans="15:19" x14ac:dyDescent="0.25">
      <c r="O3295" s="4"/>
      <c r="P3295" s="4"/>
      <c r="Q3295" s="4"/>
      <c r="R3295" s="4"/>
      <c r="S3295" s="4"/>
    </row>
    <row r="3296" spans="15:19" x14ac:dyDescent="0.25">
      <c r="O3296" s="4"/>
      <c r="P3296" s="4"/>
      <c r="Q3296" s="4"/>
      <c r="R3296" s="4"/>
      <c r="S3296" s="4"/>
    </row>
    <row r="3297" spans="15:19" x14ac:dyDescent="0.25">
      <c r="O3297" s="4"/>
      <c r="P3297" s="4"/>
      <c r="Q3297" s="4"/>
      <c r="R3297" s="4"/>
      <c r="S3297" s="4"/>
    </row>
    <row r="3298" spans="15:19" x14ac:dyDescent="0.25">
      <c r="O3298" s="4"/>
      <c r="P3298" s="4"/>
      <c r="Q3298" s="4"/>
      <c r="R3298" s="4"/>
      <c r="S3298" s="4"/>
    </row>
    <row r="3299" spans="15:19" x14ac:dyDescent="0.25">
      <c r="O3299" s="4"/>
      <c r="P3299" s="4"/>
      <c r="Q3299" s="4"/>
      <c r="R3299" s="4"/>
      <c r="S3299" s="4"/>
    </row>
    <row r="3300" spans="15:19" x14ac:dyDescent="0.25">
      <c r="O3300" s="4"/>
      <c r="P3300" s="4"/>
      <c r="Q3300" s="4"/>
      <c r="R3300" s="4"/>
      <c r="S3300" s="4"/>
    </row>
    <row r="3301" spans="15:19" x14ac:dyDescent="0.25">
      <c r="O3301" s="4"/>
      <c r="P3301" s="4"/>
      <c r="Q3301" s="4"/>
      <c r="R3301" s="4"/>
      <c r="S3301" s="4"/>
    </row>
    <row r="3302" spans="15:19" x14ac:dyDescent="0.25">
      <c r="O3302" s="4"/>
      <c r="P3302" s="4"/>
      <c r="Q3302" s="4"/>
      <c r="R3302" s="4"/>
      <c r="S3302" s="4"/>
    </row>
    <row r="3303" spans="15:19" x14ac:dyDescent="0.25">
      <c r="O3303" s="4"/>
      <c r="P3303" s="4"/>
      <c r="Q3303" s="4"/>
      <c r="R3303" s="4"/>
      <c r="S3303" s="4"/>
    </row>
    <row r="3304" spans="15:19" x14ac:dyDescent="0.25">
      <c r="O3304" s="4"/>
      <c r="P3304" s="4"/>
      <c r="Q3304" s="4"/>
      <c r="R3304" s="4"/>
      <c r="S3304" s="4"/>
    </row>
    <row r="3305" spans="15:19" x14ac:dyDescent="0.25">
      <c r="O3305" s="4"/>
      <c r="P3305" s="4"/>
      <c r="Q3305" s="4"/>
      <c r="R3305" s="4"/>
      <c r="S3305" s="4"/>
    </row>
    <row r="3306" spans="15:19" x14ac:dyDescent="0.25">
      <c r="O3306" s="4"/>
      <c r="P3306" s="4"/>
      <c r="Q3306" s="4"/>
      <c r="R3306" s="4"/>
      <c r="S3306" s="4"/>
    </row>
    <row r="3307" spans="15:19" x14ac:dyDescent="0.25">
      <c r="O3307" s="4"/>
      <c r="P3307" s="4"/>
      <c r="Q3307" s="4"/>
      <c r="R3307" s="4"/>
      <c r="S3307" s="4"/>
    </row>
    <row r="3308" spans="15:19" x14ac:dyDescent="0.25">
      <c r="O3308" s="4"/>
      <c r="P3308" s="4"/>
      <c r="Q3308" s="4"/>
      <c r="R3308" s="4"/>
      <c r="S3308" s="4"/>
    </row>
    <row r="3309" spans="15:19" x14ac:dyDescent="0.25">
      <c r="O3309" s="4"/>
      <c r="P3309" s="4"/>
      <c r="Q3309" s="4"/>
      <c r="R3309" s="4"/>
      <c r="S3309" s="4"/>
    </row>
    <row r="3310" spans="15:19" x14ac:dyDescent="0.25">
      <c r="O3310" s="4"/>
      <c r="P3310" s="4"/>
      <c r="Q3310" s="4"/>
      <c r="R3310" s="4"/>
      <c r="S3310" s="4"/>
    </row>
    <row r="3311" spans="15:19" x14ac:dyDescent="0.25">
      <c r="O3311" s="4"/>
      <c r="P3311" s="4"/>
      <c r="Q3311" s="4"/>
      <c r="R3311" s="4"/>
      <c r="S3311" s="4"/>
    </row>
    <row r="3312" spans="15:19" x14ac:dyDescent="0.25">
      <c r="O3312" s="4"/>
      <c r="P3312" s="4"/>
      <c r="Q3312" s="4"/>
      <c r="R3312" s="4"/>
      <c r="S3312" s="4"/>
    </row>
    <row r="3313" spans="15:19" x14ac:dyDescent="0.25">
      <c r="O3313" s="4"/>
      <c r="P3313" s="4"/>
      <c r="Q3313" s="4"/>
      <c r="R3313" s="4"/>
      <c r="S3313" s="4"/>
    </row>
    <row r="3314" spans="15:19" x14ac:dyDescent="0.25">
      <c r="O3314" s="4"/>
      <c r="P3314" s="4"/>
      <c r="Q3314" s="4"/>
      <c r="R3314" s="4"/>
      <c r="S3314" s="4"/>
    </row>
    <row r="3315" spans="15:19" x14ac:dyDescent="0.25">
      <c r="O3315" s="4"/>
      <c r="P3315" s="4"/>
      <c r="Q3315" s="4"/>
      <c r="R3315" s="4"/>
      <c r="S3315" s="4"/>
    </row>
    <row r="3316" spans="15:19" x14ac:dyDescent="0.25">
      <c r="O3316" s="4"/>
      <c r="P3316" s="4"/>
      <c r="Q3316" s="4"/>
      <c r="R3316" s="4"/>
      <c r="S3316" s="4"/>
    </row>
    <row r="3317" spans="15:19" x14ac:dyDescent="0.25">
      <c r="O3317" s="4"/>
      <c r="P3317" s="4"/>
      <c r="Q3317" s="4"/>
      <c r="R3317" s="4"/>
      <c r="S3317" s="4"/>
    </row>
    <row r="3318" spans="15:19" x14ac:dyDescent="0.25">
      <c r="O3318" s="4"/>
      <c r="P3318" s="4"/>
      <c r="Q3318" s="4"/>
      <c r="R3318" s="4"/>
      <c r="S3318" s="4"/>
    </row>
    <row r="3319" spans="15:19" x14ac:dyDescent="0.25">
      <c r="O3319" s="4"/>
      <c r="P3319" s="4"/>
      <c r="Q3319" s="4"/>
      <c r="R3319" s="4"/>
      <c r="S3319" s="4"/>
    </row>
    <row r="3320" spans="15:19" x14ac:dyDescent="0.25">
      <c r="O3320" s="4"/>
      <c r="P3320" s="4"/>
      <c r="Q3320" s="4"/>
      <c r="R3320" s="4"/>
      <c r="S3320" s="4"/>
    </row>
    <row r="3321" spans="15:19" x14ac:dyDescent="0.25">
      <c r="O3321" s="4"/>
      <c r="P3321" s="4"/>
      <c r="Q3321" s="4"/>
      <c r="R3321" s="4"/>
      <c r="S3321" s="4"/>
    </row>
    <row r="3322" spans="15:19" x14ac:dyDescent="0.25">
      <c r="O3322" s="4"/>
      <c r="P3322" s="4"/>
      <c r="Q3322" s="4"/>
      <c r="R3322" s="4"/>
      <c r="S3322" s="4"/>
    </row>
    <row r="3323" spans="15:19" x14ac:dyDescent="0.25">
      <c r="O3323" s="4"/>
      <c r="P3323" s="4"/>
      <c r="Q3323" s="4"/>
      <c r="R3323" s="4"/>
      <c r="S3323" s="4"/>
    </row>
    <row r="3324" spans="15:19" x14ac:dyDescent="0.25">
      <c r="O3324" s="4"/>
      <c r="P3324" s="4"/>
      <c r="Q3324" s="4"/>
      <c r="R3324" s="4"/>
      <c r="S3324" s="4"/>
    </row>
    <row r="3325" spans="15:19" x14ac:dyDescent="0.25">
      <c r="O3325" s="4"/>
      <c r="P3325" s="4"/>
      <c r="Q3325" s="4"/>
      <c r="R3325" s="4"/>
      <c r="S3325" s="4"/>
    </row>
    <row r="3326" spans="15:19" x14ac:dyDescent="0.25">
      <c r="O3326" s="4"/>
      <c r="P3326" s="4"/>
      <c r="Q3326" s="4"/>
      <c r="R3326" s="4"/>
      <c r="S3326" s="4"/>
    </row>
    <row r="3327" spans="15:19" x14ac:dyDescent="0.25">
      <c r="O3327" s="4"/>
      <c r="P3327" s="4"/>
      <c r="Q3327" s="4"/>
      <c r="R3327" s="4"/>
      <c r="S3327" s="4"/>
    </row>
    <row r="3328" spans="15:19" x14ac:dyDescent="0.25">
      <c r="O3328" s="4"/>
      <c r="P3328" s="4"/>
      <c r="Q3328" s="4"/>
      <c r="R3328" s="4"/>
      <c r="S3328" s="4"/>
    </row>
    <row r="3329" spans="15:19" x14ac:dyDescent="0.25">
      <c r="O3329" s="4"/>
      <c r="P3329" s="4"/>
      <c r="Q3329" s="4"/>
      <c r="R3329" s="4"/>
      <c r="S3329" s="4"/>
    </row>
    <row r="3330" spans="15:19" x14ac:dyDescent="0.25">
      <c r="O3330" s="4"/>
      <c r="P3330" s="4"/>
      <c r="Q3330" s="4"/>
      <c r="R3330" s="4"/>
      <c r="S3330" s="4"/>
    </row>
    <row r="3331" spans="15:19" x14ac:dyDescent="0.25">
      <c r="O3331" s="4"/>
      <c r="P3331" s="4"/>
      <c r="Q3331" s="4"/>
      <c r="R3331" s="4"/>
      <c r="S3331" s="4"/>
    </row>
    <row r="3332" spans="15:19" x14ac:dyDescent="0.25">
      <c r="O3332" s="4"/>
      <c r="P3332" s="4"/>
      <c r="Q3332" s="4"/>
      <c r="R3332" s="4"/>
      <c r="S3332" s="4"/>
    </row>
    <row r="3333" spans="15:19" x14ac:dyDescent="0.25">
      <c r="O3333" s="4"/>
      <c r="P3333" s="4"/>
      <c r="Q3333" s="4"/>
      <c r="R3333" s="4"/>
      <c r="S3333" s="4"/>
    </row>
    <row r="3334" spans="15:19" x14ac:dyDescent="0.25">
      <c r="O3334" s="4"/>
      <c r="P3334" s="4"/>
      <c r="Q3334" s="4"/>
      <c r="R3334" s="4"/>
      <c r="S3334" s="4"/>
    </row>
    <row r="3335" spans="15:19" x14ac:dyDescent="0.25">
      <c r="O3335" s="4"/>
      <c r="P3335" s="4"/>
      <c r="Q3335" s="4"/>
      <c r="R3335" s="4"/>
      <c r="S3335" s="4"/>
    </row>
    <row r="3336" spans="15:19" x14ac:dyDescent="0.25">
      <c r="O3336" s="4"/>
      <c r="P3336" s="4"/>
      <c r="Q3336" s="4"/>
      <c r="R3336" s="4"/>
      <c r="S3336" s="4"/>
    </row>
    <row r="3337" spans="15:19" x14ac:dyDescent="0.25">
      <c r="O3337" s="4"/>
      <c r="P3337" s="4"/>
      <c r="Q3337" s="4"/>
      <c r="R3337" s="4"/>
      <c r="S3337" s="4"/>
    </row>
    <row r="3338" spans="15:19" x14ac:dyDescent="0.25">
      <c r="O3338" s="4"/>
      <c r="P3338" s="4"/>
      <c r="Q3338" s="4"/>
      <c r="R3338" s="4"/>
      <c r="S3338" s="4"/>
    </row>
    <row r="3339" spans="15:19" x14ac:dyDescent="0.25">
      <c r="O3339" s="4"/>
      <c r="P3339" s="4"/>
      <c r="Q3339" s="4"/>
      <c r="R3339" s="4"/>
      <c r="S3339" s="4"/>
    </row>
    <row r="3340" spans="15:19" x14ac:dyDescent="0.25">
      <c r="O3340" s="4"/>
      <c r="P3340" s="4"/>
      <c r="Q3340" s="4"/>
      <c r="R3340" s="4"/>
      <c r="S3340" s="4"/>
    </row>
    <row r="3341" spans="15:19" x14ac:dyDescent="0.25">
      <c r="O3341" s="4"/>
      <c r="P3341" s="4"/>
      <c r="Q3341" s="4"/>
      <c r="R3341" s="4"/>
      <c r="S3341" s="4"/>
    </row>
    <row r="3342" spans="15:19" x14ac:dyDescent="0.25">
      <c r="O3342" s="4"/>
      <c r="P3342" s="4"/>
      <c r="Q3342" s="4"/>
      <c r="R3342" s="4"/>
      <c r="S3342" s="4"/>
    </row>
    <row r="3343" spans="15:19" x14ac:dyDescent="0.25">
      <c r="O3343" s="4"/>
      <c r="P3343" s="4"/>
      <c r="Q3343" s="4"/>
      <c r="R3343" s="4"/>
      <c r="S3343" s="4"/>
    </row>
    <row r="3344" spans="15:19" x14ac:dyDescent="0.25">
      <c r="O3344" s="4"/>
      <c r="P3344" s="4"/>
      <c r="Q3344" s="4"/>
      <c r="R3344" s="4"/>
      <c r="S3344" s="4"/>
    </row>
    <row r="3345" spans="15:19" x14ac:dyDescent="0.25">
      <c r="O3345" s="4"/>
      <c r="P3345" s="4"/>
      <c r="Q3345" s="4"/>
      <c r="R3345" s="4"/>
      <c r="S3345" s="4"/>
    </row>
    <row r="3346" spans="15:19" x14ac:dyDescent="0.25">
      <c r="O3346" s="4"/>
      <c r="P3346" s="4"/>
      <c r="Q3346" s="4"/>
      <c r="R3346" s="4"/>
      <c r="S3346" s="4"/>
    </row>
    <row r="3347" spans="15:19" x14ac:dyDescent="0.25">
      <c r="O3347" s="4"/>
      <c r="P3347" s="4"/>
      <c r="Q3347" s="4"/>
      <c r="R3347" s="4"/>
      <c r="S3347" s="4"/>
    </row>
    <row r="3348" spans="15:19" x14ac:dyDescent="0.25">
      <c r="O3348" s="4"/>
      <c r="P3348" s="4"/>
      <c r="Q3348" s="4"/>
      <c r="R3348" s="4"/>
      <c r="S3348" s="4"/>
    </row>
    <row r="3349" spans="15:19" x14ac:dyDescent="0.25">
      <c r="O3349" s="4"/>
      <c r="P3349" s="4"/>
      <c r="Q3349" s="4"/>
      <c r="R3349" s="4"/>
      <c r="S3349" s="4"/>
    </row>
    <row r="3350" spans="15:19" x14ac:dyDescent="0.25">
      <c r="O3350" s="4"/>
      <c r="P3350" s="4"/>
      <c r="Q3350" s="4"/>
      <c r="R3350" s="4"/>
      <c r="S3350" s="4"/>
    </row>
    <row r="3351" spans="15:19" x14ac:dyDescent="0.25">
      <c r="O3351" s="4"/>
      <c r="P3351" s="4"/>
      <c r="Q3351" s="4"/>
      <c r="R3351" s="4"/>
      <c r="S3351" s="4"/>
    </row>
    <row r="3352" spans="15:19" x14ac:dyDescent="0.25">
      <c r="O3352" s="4"/>
      <c r="P3352" s="4"/>
      <c r="Q3352" s="4"/>
      <c r="R3352" s="4"/>
      <c r="S3352" s="4"/>
    </row>
    <row r="3353" spans="15:19" x14ac:dyDescent="0.25">
      <c r="O3353" s="4"/>
      <c r="P3353" s="4"/>
      <c r="Q3353" s="4"/>
      <c r="R3353" s="4"/>
      <c r="S3353" s="4"/>
    </row>
    <row r="3354" spans="15:19" x14ac:dyDescent="0.25">
      <c r="O3354" s="4"/>
      <c r="P3354" s="4"/>
      <c r="Q3354" s="4"/>
      <c r="R3354" s="4"/>
      <c r="S3354" s="4"/>
    </row>
    <row r="3355" spans="15:19" x14ac:dyDescent="0.25">
      <c r="O3355" s="4"/>
      <c r="P3355" s="4"/>
      <c r="Q3355" s="4"/>
      <c r="R3355" s="4"/>
      <c r="S3355" s="4"/>
    </row>
    <row r="3356" spans="15:19" x14ac:dyDescent="0.25">
      <c r="O3356" s="4"/>
      <c r="P3356" s="4"/>
      <c r="Q3356" s="4"/>
      <c r="R3356" s="4"/>
      <c r="S3356" s="4"/>
    </row>
    <row r="3357" spans="15:19" x14ac:dyDescent="0.25">
      <c r="O3357" s="4"/>
      <c r="P3357" s="4"/>
      <c r="Q3357" s="4"/>
      <c r="R3357" s="4"/>
      <c r="S3357" s="4"/>
    </row>
    <row r="3358" spans="15:19" x14ac:dyDescent="0.25">
      <c r="O3358" s="4"/>
      <c r="P3358" s="4"/>
      <c r="Q3358" s="4"/>
      <c r="R3358" s="4"/>
      <c r="S3358" s="4"/>
    </row>
    <row r="3359" spans="15:19" x14ac:dyDescent="0.25">
      <c r="O3359" s="4"/>
      <c r="P3359" s="4"/>
      <c r="Q3359" s="4"/>
      <c r="R3359" s="4"/>
      <c r="S3359" s="4"/>
    </row>
    <row r="3360" spans="15:19" x14ac:dyDescent="0.25">
      <c r="O3360" s="4"/>
      <c r="P3360" s="4"/>
      <c r="Q3360" s="4"/>
      <c r="R3360" s="4"/>
      <c r="S3360" s="4"/>
    </row>
    <row r="3361" spans="15:19" x14ac:dyDescent="0.25">
      <c r="O3361" s="4"/>
      <c r="P3361" s="4"/>
      <c r="Q3361" s="4"/>
      <c r="R3361" s="4"/>
      <c r="S3361" s="4"/>
    </row>
    <row r="3362" spans="15:19" x14ac:dyDescent="0.25">
      <c r="O3362" s="4"/>
      <c r="P3362" s="4"/>
      <c r="Q3362" s="4"/>
      <c r="R3362" s="4"/>
      <c r="S3362" s="4"/>
    </row>
    <row r="3363" spans="15:19" x14ac:dyDescent="0.25">
      <c r="O3363" s="4"/>
      <c r="P3363" s="4"/>
      <c r="Q3363" s="4"/>
      <c r="R3363" s="4"/>
      <c r="S3363" s="4"/>
    </row>
    <row r="3364" spans="15:19" x14ac:dyDescent="0.25">
      <c r="O3364" s="4"/>
      <c r="P3364" s="4"/>
      <c r="Q3364" s="4"/>
      <c r="R3364" s="4"/>
      <c r="S3364" s="4"/>
    </row>
    <row r="3365" spans="15:19" x14ac:dyDescent="0.25">
      <c r="O3365" s="4"/>
      <c r="P3365" s="4"/>
      <c r="Q3365" s="4"/>
      <c r="R3365" s="4"/>
      <c r="S3365" s="4"/>
    </row>
    <row r="3366" spans="15:19" x14ac:dyDescent="0.25">
      <c r="O3366" s="4"/>
      <c r="P3366" s="4"/>
      <c r="Q3366" s="4"/>
      <c r="R3366" s="4"/>
      <c r="S3366" s="4"/>
    </row>
    <row r="3367" spans="15:19" x14ac:dyDescent="0.25">
      <c r="O3367" s="4"/>
      <c r="P3367" s="4"/>
      <c r="Q3367" s="4"/>
      <c r="R3367" s="4"/>
      <c r="S3367" s="4"/>
    </row>
    <row r="3368" spans="15:19" x14ac:dyDescent="0.25">
      <c r="O3368" s="4"/>
      <c r="P3368" s="4"/>
      <c r="Q3368" s="4"/>
      <c r="R3368" s="4"/>
      <c r="S3368" s="4"/>
    </row>
    <row r="3369" spans="15:19" x14ac:dyDescent="0.25">
      <c r="O3369" s="4"/>
      <c r="P3369" s="4"/>
      <c r="Q3369" s="4"/>
      <c r="R3369" s="4"/>
      <c r="S3369" s="4"/>
    </row>
    <row r="3370" spans="15:19" x14ac:dyDescent="0.25">
      <c r="O3370" s="4"/>
      <c r="P3370" s="4"/>
      <c r="Q3370" s="4"/>
      <c r="R3370" s="4"/>
      <c r="S3370" s="4"/>
    </row>
    <row r="3371" spans="15:19" x14ac:dyDescent="0.25">
      <c r="O3371" s="4"/>
      <c r="P3371" s="4"/>
      <c r="Q3371" s="4"/>
      <c r="R3371" s="4"/>
      <c r="S3371" s="4"/>
    </row>
    <row r="3372" spans="15:19" x14ac:dyDescent="0.25">
      <c r="O3372" s="4"/>
      <c r="P3372" s="4"/>
      <c r="Q3372" s="4"/>
      <c r="R3372" s="4"/>
      <c r="S3372" s="4"/>
    </row>
    <row r="3373" spans="15:19" x14ac:dyDescent="0.25">
      <c r="O3373" s="4"/>
      <c r="P3373" s="4"/>
      <c r="Q3373" s="4"/>
      <c r="R3373" s="4"/>
      <c r="S3373" s="4"/>
    </row>
    <row r="3374" spans="15:19" x14ac:dyDescent="0.25">
      <c r="O3374" s="4"/>
      <c r="P3374" s="4"/>
      <c r="Q3374" s="4"/>
      <c r="R3374" s="4"/>
      <c r="S3374" s="4"/>
    </row>
    <row r="3375" spans="15:19" x14ac:dyDescent="0.25">
      <c r="O3375" s="4"/>
      <c r="P3375" s="4"/>
      <c r="Q3375" s="4"/>
      <c r="R3375" s="4"/>
      <c r="S3375" s="4"/>
    </row>
    <row r="3376" spans="15:19" x14ac:dyDescent="0.25">
      <c r="O3376" s="4"/>
      <c r="P3376" s="4"/>
      <c r="Q3376" s="4"/>
      <c r="R3376" s="4"/>
      <c r="S3376" s="4"/>
    </row>
    <row r="3377" spans="15:19" x14ac:dyDescent="0.25">
      <c r="O3377" s="4"/>
      <c r="P3377" s="4"/>
      <c r="Q3377" s="4"/>
      <c r="R3377" s="4"/>
      <c r="S3377" s="4"/>
    </row>
    <row r="3378" spans="15:19" x14ac:dyDescent="0.25">
      <c r="O3378" s="4"/>
      <c r="P3378" s="4"/>
      <c r="Q3378" s="4"/>
      <c r="R3378" s="4"/>
      <c r="S3378" s="4"/>
    </row>
    <row r="3379" spans="15:19" x14ac:dyDescent="0.25">
      <c r="O3379" s="4"/>
      <c r="P3379" s="4"/>
      <c r="Q3379" s="4"/>
      <c r="R3379" s="4"/>
      <c r="S3379" s="4"/>
    </row>
    <row r="3380" spans="15:19" x14ac:dyDescent="0.25">
      <c r="O3380" s="4"/>
      <c r="P3380" s="4"/>
      <c r="Q3380" s="4"/>
      <c r="R3380" s="4"/>
      <c r="S3380" s="4"/>
    </row>
    <row r="3381" spans="15:19" x14ac:dyDescent="0.25">
      <c r="O3381" s="4"/>
      <c r="P3381" s="4"/>
      <c r="Q3381" s="4"/>
      <c r="R3381" s="4"/>
      <c r="S3381" s="4"/>
    </row>
    <row r="3382" spans="15:19" x14ac:dyDescent="0.25">
      <c r="O3382" s="4"/>
      <c r="P3382" s="4"/>
      <c r="Q3382" s="4"/>
      <c r="R3382" s="4"/>
      <c r="S3382" s="4"/>
    </row>
    <row r="3383" spans="15:19" x14ac:dyDescent="0.25">
      <c r="O3383" s="4"/>
      <c r="P3383" s="4"/>
      <c r="Q3383" s="4"/>
      <c r="R3383" s="4"/>
      <c r="S3383" s="4"/>
    </row>
    <row r="3384" spans="15:19" x14ac:dyDescent="0.25">
      <c r="O3384" s="4"/>
      <c r="P3384" s="4"/>
      <c r="Q3384" s="4"/>
      <c r="R3384" s="4"/>
      <c r="S3384" s="4"/>
    </row>
    <row r="3385" spans="15:19" x14ac:dyDescent="0.25">
      <c r="O3385" s="4"/>
      <c r="P3385" s="4"/>
      <c r="Q3385" s="4"/>
      <c r="R3385" s="4"/>
      <c r="S3385" s="4"/>
    </row>
    <row r="3386" spans="15:19" x14ac:dyDescent="0.25">
      <c r="O3386" s="4"/>
      <c r="P3386" s="4"/>
      <c r="Q3386" s="4"/>
      <c r="R3386" s="4"/>
      <c r="S3386" s="4"/>
    </row>
    <row r="3387" spans="15:19" x14ac:dyDescent="0.25">
      <c r="O3387" s="4"/>
      <c r="P3387" s="4"/>
      <c r="Q3387" s="4"/>
      <c r="R3387" s="4"/>
      <c r="S3387" s="4"/>
    </row>
    <row r="3388" spans="15:19" x14ac:dyDescent="0.25">
      <c r="O3388" s="4"/>
      <c r="P3388" s="4"/>
      <c r="Q3388" s="4"/>
      <c r="R3388" s="4"/>
      <c r="S3388" s="4"/>
    </row>
    <row r="3389" spans="15:19" x14ac:dyDescent="0.25">
      <c r="O3389" s="4"/>
      <c r="P3389" s="4"/>
      <c r="Q3389" s="4"/>
      <c r="R3389" s="4"/>
      <c r="S3389" s="4"/>
    </row>
    <row r="3390" spans="15:19" x14ac:dyDescent="0.25">
      <c r="O3390" s="4"/>
      <c r="P3390" s="4"/>
      <c r="Q3390" s="4"/>
      <c r="R3390" s="4"/>
      <c r="S3390" s="4"/>
    </row>
    <row r="3391" spans="15:19" x14ac:dyDescent="0.25">
      <c r="O3391" s="4"/>
      <c r="P3391" s="4"/>
      <c r="Q3391" s="4"/>
      <c r="R3391" s="4"/>
      <c r="S3391" s="4"/>
    </row>
    <row r="3392" spans="15:19" x14ac:dyDescent="0.25">
      <c r="O3392" s="4"/>
      <c r="P3392" s="4"/>
      <c r="Q3392" s="4"/>
      <c r="R3392" s="4"/>
      <c r="S3392" s="4"/>
    </row>
    <row r="3393" spans="15:19" x14ac:dyDescent="0.25">
      <c r="O3393" s="4"/>
      <c r="P3393" s="4"/>
      <c r="Q3393" s="4"/>
      <c r="R3393" s="4"/>
      <c r="S3393" s="4"/>
    </row>
    <row r="3394" spans="15:19" x14ac:dyDescent="0.25">
      <c r="O3394" s="4"/>
      <c r="P3394" s="4"/>
      <c r="Q3394" s="4"/>
      <c r="R3394" s="4"/>
      <c r="S3394" s="4"/>
    </row>
    <row r="3395" spans="15:19" x14ac:dyDescent="0.25">
      <c r="O3395" s="4"/>
      <c r="P3395" s="4"/>
      <c r="Q3395" s="4"/>
      <c r="R3395" s="4"/>
      <c r="S3395" s="4"/>
    </row>
    <row r="3396" spans="15:19" x14ac:dyDescent="0.25">
      <c r="O3396" s="4"/>
      <c r="P3396" s="4"/>
      <c r="Q3396" s="4"/>
      <c r="R3396" s="4"/>
      <c r="S3396" s="4"/>
    </row>
    <row r="3397" spans="15:19" x14ac:dyDescent="0.25">
      <c r="O3397" s="4"/>
      <c r="P3397" s="4"/>
      <c r="Q3397" s="4"/>
      <c r="R3397" s="4"/>
      <c r="S3397" s="4"/>
    </row>
    <row r="3398" spans="15:19" x14ac:dyDescent="0.25">
      <c r="O3398" s="4"/>
      <c r="P3398" s="4"/>
      <c r="Q3398" s="4"/>
      <c r="R3398" s="4"/>
      <c r="S3398" s="4"/>
    </row>
    <row r="3399" spans="15:19" x14ac:dyDescent="0.25">
      <c r="O3399" s="4"/>
      <c r="P3399" s="4"/>
      <c r="Q3399" s="4"/>
      <c r="R3399" s="4"/>
      <c r="S3399" s="4"/>
    </row>
    <row r="3400" spans="15:19" x14ac:dyDescent="0.25">
      <c r="O3400" s="4"/>
      <c r="P3400" s="4"/>
      <c r="Q3400" s="4"/>
      <c r="R3400" s="4"/>
      <c r="S3400" s="4"/>
    </row>
    <row r="3401" spans="15:19" x14ac:dyDescent="0.25">
      <c r="O3401" s="4"/>
      <c r="P3401" s="4"/>
      <c r="Q3401" s="4"/>
      <c r="R3401" s="4"/>
      <c r="S3401" s="4"/>
    </row>
    <row r="3402" spans="15:19" x14ac:dyDescent="0.25">
      <c r="O3402" s="4"/>
      <c r="P3402" s="4"/>
      <c r="Q3402" s="4"/>
      <c r="R3402" s="4"/>
      <c r="S3402" s="4"/>
    </row>
    <row r="3403" spans="15:19" x14ac:dyDescent="0.25">
      <c r="O3403" s="4"/>
      <c r="P3403" s="4"/>
      <c r="Q3403" s="4"/>
      <c r="R3403" s="4"/>
      <c r="S3403" s="4"/>
    </row>
    <row r="3404" spans="15:19" x14ac:dyDescent="0.25">
      <c r="O3404" s="4"/>
      <c r="P3404" s="4"/>
      <c r="Q3404" s="4"/>
      <c r="R3404" s="4"/>
      <c r="S3404" s="4"/>
    </row>
    <row r="3405" spans="15:19" x14ac:dyDescent="0.25">
      <c r="O3405" s="4"/>
      <c r="P3405" s="4"/>
      <c r="Q3405" s="4"/>
      <c r="R3405" s="4"/>
      <c r="S3405" s="4"/>
    </row>
    <row r="3406" spans="15:19" x14ac:dyDescent="0.25">
      <c r="O3406" s="4"/>
      <c r="P3406" s="4"/>
      <c r="Q3406" s="4"/>
      <c r="R3406" s="4"/>
      <c r="S3406" s="4"/>
    </row>
    <row r="3407" spans="15:19" x14ac:dyDescent="0.25">
      <c r="O3407" s="4"/>
      <c r="P3407" s="4"/>
      <c r="Q3407" s="4"/>
      <c r="R3407" s="4"/>
      <c r="S3407" s="4"/>
    </row>
    <row r="3408" spans="15:19" x14ac:dyDescent="0.25">
      <c r="O3408" s="4"/>
      <c r="P3408" s="4"/>
      <c r="Q3408" s="4"/>
      <c r="R3408" s="4"/>
      <c r="S3408" s="4"/>
    </row>
    <row r="3409" spans="15:19" x14ac:dyDescent="0.25">
      <c r="O3409" s="4"/>
      <c r="P3409" s="4"/>
      <c r="Q3409" s="4"/>
      <c r="R3409" s="4"/>
      <c r="S3409" s="4"/>
    </row>
    <row r="3410" spans="15:19" x14ac:dyDescent="0.25">
      <c r="O3410" s="4"/>
      <c r="P3410" s="4"/>
      <c r="Q3410" s="4"/>
      <c r="R3410" s="4"/>
      <c r="S3410" s="4"/>
    </row>
    <row r="3411" spans="15:19" x14ac:dyDescent="0.25">
      <c r="O3411" s="4"/>
      <c r="P3411" s="4"/>
      <c r="Q3411" s="4"/>
      <c r="R3411" s="4"/>
      <c r="S3411" s="4"/>
    </row>
    <row r="3412" spans="15:19" x14ac:dyDescent="0.25">
      <c r="O3412" s="4"/>
      <c r="P3412" s="4"/>
      <c r="Q3412" s="4"/>
      <c r="R3412" s="4"/>
      <c r="S3412" s="4"/>
    </row>
    <row r="3413" spans="15:19" x14ac:dyDescent="0.25">
      <c r="O3413" s="4"/>
      <c r="P3413" s="4"/>
      <c r="Q3413" s="4"/>
      <c r="R3413" s="4"/>
      <c r="S3413" s="4"/>
    </row>
    <row r="3414" spans="15:19" x14ac:dyDescent="0.25">
      <c r="O3414" s="4"/>
      <c r="P3414" s="4"/>
      <c r="Q3414" s="4"/>
      <c r="R3414" s="4"/>
      <c r="S3414" s="4"/>
    </row>
    <row r="3415" spans="15:19" x14ac:dyDescent="0.25">
      <c r="O3415" s="4"/>
      <c r="P3415" s="4"/>
      <c r="Q3415" s="4"/>
      <c r="R3415" s="4"/>
      <c r="S3415" s="4"/>
    </row>
    <row r="3416" spans="15:19" x14ac:dyDescent="0.25">
      <c r="O3416" s="4"/>
      <c r="P3416" s="4"/>
      <c r="Q3416" s="4"/>
      <c r="R3416" s="4"/>
      <c r="S3416" s="4"/>
    </row>
    <row r="3417" spans="15:19" x14ac:dyDescent="0.25">
      <c r="O3417" s="4"/>
      <c r="P3417" s="4"/>
      <c r="Q3417" s="4"/>
      <c r="R3417" s="4"/>
      <c r="S3417" s="4"/>
    </row>
    <row r="3418" spans="15:19" x14ac:dyDescent="0.25">
      <c r="O3418" s="4"/>
      <c r="P3418" s="4"/>
      <c r="Q3418" s="4"/>
      <c r="R3418" s="4"/>
      <c r="S3418" s="4"/>
    </row>
    <row r="3419" spans="15:19" x14ac:dyDescent="0.25">
      <c r="O3419" s="4"/>
      <c r="P3419" s="4"/>
      <c r="Q3419" s="4"/>
      <c r="R3419" s="4"/>
      <c r="S3419" s="4"/>
    </row>
    <row r="3420" spans="15:19" x14ac:dyDescent="0.25">
      <c r="O3420" s="4"/>
      <c r="P3420" s="4"/>
      <c r="Q3420" s="4"/>
      <c r="R3420" s="4"/>
      <c r="S3420" s="4"/>
    </row>
    <row r="3421" spans="15:19" x14ac:dyDescent="0.25">
      <c r="O3421" s="4"/>
      <c r="P3421" s="4"/>
      <c r="Q3421" s="4"/>
      <c r="R3421" s="4"/>
      <c r="S3421" s="4"/>
    </row>
    <row r="3422" spans="15:19" x14ac:dyDescent="0.25">
      <c r="O3422" s="4"/>
      <c r="P3422" s="4"/>
      <c r="Q3422" s="4"/>
      <c r="R3422" s="4"/>
      <c r="S3422" s="4"/>
    </row>
    <row r="3423" spans="15:19" x14ac:dyDescent="0.25">
      <c r="O3423" s="4"/>
      <c r="P3423" s="4"/>
      <c r="Q3423" s="4"/>
      <c r="R3423" s="4"/>
      <c r="S3423" s="4"/>
    </row>
    <row r="3424" spans="15:19" x14ac:dyDescent="0.25">
      <c r="O3424" s="4"/>
      <c r="P3424" s="4"/>
      <c r="Q3424" s="4"/>
      <c r="R3424" s="4"/>
      <c r="S3424" s="4"/>
    </row>
    <row r="3425" spans="15:19" x14ac:dyDescent="0.25">
      <c r="O3425" s="4"/>
      <c r="P3425" s="4"/>
      <c r="Q3425" s="4"/>
      <c r="R3425" s="4"/>
      <c r="S3425" s="4"/>
    </row>
    <row r="3426" spans="15:19" x14ac:dyDescent="0.25">
      <c r="O3426" s="4"/>
      <c r="P3426" s="4"/>
      <c r="Q3426" s="4"/>
      <c r="R3426" s="4"/>
      <c r="S3426" s="4"/>
    </row>
    <row r="3427" spans="15:19" x14ac:dyDescent="0.25">
      <c r="O3427" s="4"/>
      <c r="P3427" s="4"/>
      <c r="Q3427" s="4"/>
      <c r="R3427" s="4"/>
      <c r="S3427" s="4"/>
    </row>
    <row r="3428" spans="15:19" x14ac:dyDescent="0.25">
      <c r="O3428" s="4"/>
      <c r="P3428" s="4"/>
      <c r="Q3428" s="4"/>
      <c r="R3428" s="4"/>
      <c r="S3428" s="4"/>
    </row>
    <row r="3429" spans="15:19" x14ac:dyDescent="0.25">
      <c r="O3429" s="4"/>
      <c r="P3429" s="4"/>
      <c r="Q3429" s="4"/>
      <c r="R3429" s="4"/>
      <c r="S3429" s="4"/>
    </row>
    <row r="3430" spans="15:19" x14ac:dyDescent="0.25">
      <c r="O3430" s="4"/>
      <c r="P3430" s="4"/>
      <c r="Q3430" s="4"/>
      <c r="R3430" s="4"/>
      <c r="S3430" s="4"/>
    </row>
    <row r="3431" spans="15:19" x14ac:dyDescent="0.25">
      <c r="O3431" s="4"/>
      <c r="P3431" s="4"/>
      <c r="Q3431" s="4"/>
      <c r="R3431" s="4"/>
      <c r="S3431" s="4"/>
    </row>
    <row r="3432" spans="15:19" x14ac:dyDescent="0.25">
      <c r="O3432" s="4"/>
      <c r="P3432" s="4"/>
      <c r="Q3432" s="4"/>
      <c r="R3432" s="4"/>
      <c r="S3432" s="4"/>
    </row>
    <row r="3433" spans="15:19" x14ac:dyDescent="0.25">
      <c r="O3433" s="4"/>
      <c r="P3433" s="4"/>
      <c r="Q3433" s="4"/>
      <c r="R3433" s="4"/>
      <c r="S3433" s="4"/>
    </row>
    <row r="3434" spans="15:19" x14ac:dyDescent="0.25">
      <c r="O3434" s="4"/>
      <c r="P3434" s="4"/>
      <c r="Q3434" s="4"/>
      <c r="R3434" s="4"/>
      <c r="S3434" s="4"/>
    </row>
    <row r="3435" spans="15:19" x14ac:dyDescent="0.25">
      <c r="O3435" s="4"/>
      <c r="P3435" s="4"/>
      <c r="Q3435" s="4"/>
      <c r="R3435" s="4"/>
      <c r="S3435" s="4"/>
    </row>
    <row r="3436" spans="15:19" x14ac:dyDescent="0.25">
      <c r="O3436" s="4"/>
      <c r="P3436" s="4"/>
      <c r="Q3436" s="4"/>
      <c r="R3436" s="4"/>
      <c r="S3436" s="4"/>
    </row>
    <row r="3437" spans="15:19" x14ac:dyDescent="0.25">
      <c r="O3437" s="4"/>
      <c r="P3437" s="4"/>
      <c r="Q3437" s="4"/>
      <c r="R3437" s="4"/>
      <c r="S3437" s="4"/>
    </row>
    <row r="3438" spans="15:19" x14ac:dyDescent="0.25">
      <c r="O3438" s="4"/>
      <c r="P3438" s="4"/>
      <c r="Q3438" s="4"/>
      <c r="R3438" s="4"/>
      <c r="S3438" s="4"/>
    </row>
    <row r="3439" spans="15:19" x14ac:dyDescent="0.25">
      <c r="O3439" s="4"/>
      <c r="P3439" s="4"/>
      <c r="Q3439" s="4"/>
      <c r="R3439" s="4"/>
      <c r="S3439" s="4"/>
    </row>
    <row r="3440" spans="15:19" x14ac:dyDescent="0.25">
      <c r="O3440" s="4"/>
      <c r="P3440" s="4"/>
      <c r="Q3440" s="4"/>
      <c r="R3440" s="4"/>
      <c r="S3440" s="4"/>
    </row>
    <row r="3441" spans="15:19" x14ac:dyDescent="0.25">
      <c r="O3441" s="4"/>
      <c r="P3441" s="4"/>
      <c r="Q3441" s="4"/>
      <c r="R3441" s="4"/>
      <c r="S3441" s="4"/>
    </row>
    <row r="3442" spans="15:19" x14ac:dyDescent="0.25">
      <c r="O3442" s="4"/>
      <c r="P3442" s="4"/>
      <c r="Q3442" s="4"/>
      <c r="R3442" s="4"/>
      <c r="S3442" s="4"/>
    </row>
    <row r="3443" spans="15:19" x14ac:dyDescent="0.25">
      <c r="O3443" s="4"/>
      <c r="P3443" s="4"/>
      <c r="Q3443" s="4"/>
      <c r="R3443" s="4"/>
      <c r="S3443" s="4"/>
    </row>
    <row r="3444" spans="15:19" x14ac:dyDescent="0.25">
      <c r="O3444" s="4"/>
      <c r="P3444" s="4"/>
      <c r="Q3444" s="4"/>
      <c r="R3444" s="4"/>
      <c r="S3444" s="4"/>
    </row>
    <row r="3445" spans="15:19" x14ac:dyDescent="0.25">
      <c r="O3445" s="4"/>
      <c r="P3445" s="4"/>
      <c r="Q3445" s="4"/>
      <c r="R3445" s="4"/>
      <c r="S3445" s="4"/>
    </row>
    <row r="3446" spans="15:19" x14ac:dyDescent="0.25">
      <c r="O3446" s="4"/>
      <c r="P3446" s="4"/>
      <c r="Q3446" s="4"/>
      <c r="R3446" s="4"/>
      <c r="S3446" s="4"/>
    </row>
    <row r="3447" spans="15:19" x14ac:dyDescent="0.25">
      <c r="O3447" s="4"/>
      <c r="P3447" s="4"/>
      <c r="Q3447" s="4"/>
      <c r="R3447" s="4"/>
      <c r="S3447" s="4"/>
    </row>
    <row r="3448" spans="15:19" x14ac:dyDescent="0.25">
      <c r="O3448" s="4"/>
      <c r="P3448" s="4"/>
      <c r="Q3448" s="4"/>
      <c r="R3448" s="4"/>
      <c r="S3448" s="4"/>
    </row>
    <row r="3449" spans="15:19" x14ac:dyDescent="0.25">
      <c r="O3449" s="4"/>
      <c r="P3449" s="4"/>
      <c r="Q3449" s="4"/>
      <c r="R3449" s="4"/>
      <c r="S3449" s="4"/>
    </row>
    <row r="3450" spans="15:19" x14ac:dyDescent="0.25">
      <c r="O3450" s="4"/>
      <c r="P3450" s="4"/>
      <c r="Q3450" s="4"/>
      <c r="R3450" s="4"/>
      <c r="S3450" s="4"/>
    </row>
    <row r="3451" spans="15:19" x14ac:dyDescent="0.25">
      <c r="O3451" s="4"/>
      <c r="P3451" s="4"/>
      <c r="Q3451" s="4"/>
      <c r="R3451" s="4"/>
      <c r="S3451" s="4"/>
    </row>
    <row r="3452" spans="15:19" x14ac:dyDescent="0.25">
      <c r="O3452" s="4"/>
      <c r="P3452" s="4"/>
      <c r="Q3452" s="4"/>
      <c r="R3452" s="4"/>
      <c r="S3452" s="4"/>
    </row>
    <row r="3453" spans="15:19" x14ac:dyDescent="0.25">
      <c r="O3453" s="4"/>
      <c r="P3453" s="4"/>
      <c r="Q3453" s="4"/>
      <c r="R3453" s="4"/>
      <c r="S3453" s="4"/>
    </row>
    <row r="3454" spans="15:19" x14ac:dyDescent="0.25">
      <c r="O3454" s="4"/>
      <c r="P3454" s="4"/>
      <c r="Q3454" s="4"/>
      <c r="R3454" s="4"/>
      <c r="S3454" s="4"/>
    </row>
    <row r="3455" spans="15:19" x14ac:dyDescent="0.25">
      <c r="O3455" s="4"/>
      <c r="P3455" s="4"/>
      <c r="Q3455" s="4"/>
      <c r="R3455" s="4"/>
      <c r="S3455" s="4"/>
    </row>
    <row r="3456" spans="15:19" x14ac:dyDescent="0.25">
      <c r="O3456" s="4"/>
      <c r="P3456" s="4"/>
      <c r="Q3456" s="4"/>
      <c r="R3456" s="4"/>
      <c r="S3456" s="4"/>
    </row>
    <row r="3457" spans="15:19" x14ac:dyDescent="0.25">
      <c r="O3457" s="4"/>
      <c r="P3457" s="4"/>
      <c r="Q3457" s="4"/>
      <c r="R3457" s="4"/>
      <c r="S3457" s="4"/>
    </row>
    <row r="3458" spans="15:19" x14ac:dyDescent="0.25">
      <c r="O3458" s="4"/>
      <c r="P3458" s="4"/>
      <c r="Q3458" s="4"/>
      <c r="R3458" s="4"/>
      <c r="S3458" s="4"/>
    </row>
    <row r="3459" spans="15:19" x14ac:dyDescent="0.25">
      <c r="O3459" s="4"/>
      <c r="P3459" s="4"/>
      <c r="Q3459" s="4"/>
      <c r="R3459" s="4"/>
      <c r="S3459" s="4"/>
    </row>
    <row r="3460" spans="15:19" x14ac:dyDescent="0.25">
      <c r="O3460" s="4"/>
      <c r="P3460" s="4"/>
      <c r="Q3460" s="4"/>
      <c r="R3460" s="4"/>
      <c r="S3460" s="4"/>
    </row>
    <row r="3461" spans="15:19" x14ac:dyDescent="0.25">
      <c r="O3461" s="4"/>
      <c r="P3461" s="4"/>
      <c r="Q3461" s="4"/>
      <c r="R3461" s="4"/>
      <c r="S3461" s="4"/>
    </row>
    <row r="3462" spans="15:19" x14ac:dyDescent="0.25">
      <c r="O3462" s="4"/>
      <c r="P3462" s="4"/>
      <c r="Q3462" s="4"/>
      <c r="R3462" s="4"/>
      <c r="S3462" s="4"/>
    </row>
    <row r="3463" spans="15:19" x14ac:dyDescent="0.25">
      <c r="O3463" s="4"/>
      <c r="P3463" s="4"/>
      <c r="Q3463" s="4"/>
      <c r="R3463" s="4"/>
      <c r="S3463" s="4"/>
    </row>
    <row r="3464" spans="15:19" x14ac:dyDescent="0.25">
      <c r="O3464" s="4"/>
      <c r="P3464" s="4"/>
      <c r="Q3464" s="4"/>
      <c r="R3464" s="4"/>
      <c r="S3464" s="4"/>
    </row>
    <row r="3465" spans="15:19" x14ac:dyDescent="0.25">
      <c r="O3465" s="4"/>
      <c r="P3465" s="4"/>
      <c r="Q3465" s="4"/>
      <c r="R3465" s="4"/>
      <c r="S3465" s="4"/>
    </row>
    <row r="3466" spans="15:19" x14ac:dyDescent="0.25">
      <c r="O3466" s="4"/>
      <c r="P3466" s="4"/>
      <c r="Q3466" s="4"/>
      <c r="R3466" s="4"/>
      <c r="S3466" s="4"/>
    </row>
    <row r="3467" spans="15:19" x14ac:dyDescent="0.25">
      <c r="O3467" s="4"/>
      <c r="P3467" s="4"/>
      <c r="Q3467" s="4"/>
      <c r="R3467" s="4"/>
      <c r="S3467" s="4"/>
    </row>
    <row r="3468" spans="15:19" x14ac:dyDescent="0.25">
      <c r="O3468" s="4"/>
      <c r="P3468" s="4"/>
      <c r="Q3468" s="4"/>
      <c r="R3468" s="4"/>
      <c r="S3468" s="4"/>
    </row>
    <row r="3469" spans="15:19" x14ac:dyDescent="0.25">
      <c r="O3469" s="4"/>
      <c r="P3469" s="4"/>
      <c r="Q3469" s="4"/>
      <c r="R3469" s="4"/>
      <c r="S3469" s="4"/>
    </row>
    <row r="3470" spans="15:19" x14ac:dyDescent="0.25">
      <c r="O3470" s="4"/>
      <c r="P3470" s="4"/>
      <c r="Q3470" s="4"/>
      <c r="R3470" s="4"/>
      <c r="S3470" s="4"/>
    </row>
    <row r="3471" spans="15:19" x14ac:dyDescent="0.25">
      <c r="O3471" s="4"/>
      <c r="P3471" s="4"/>
      <c r="Q3471" s="4"/>
      <c r="R3471" s="4"/>
      <c r="S3471" s="4"/>
    </row>
    <row r="3472" spans="15:19" x14ac:dyDescent="0.25">
      <c r="O3472" s="4"/>
      <c r="P3472" s="4"/>
      <c r="Q3472" s="4"/>
      <c r="R3472" s="4"/>
      <c r="S3472" s="4"/>
    </row>
    <row r="3473" spans="15:19" x14ac:dyDescent="0.25">
      <c r="O3473" s="4"/>
      <c r="P3473" s="4"/>
      <c r="Q3473" s="4"/>
      <c r="R3473" s="4"/>
      <c r="S3473" s="4"/>
    </row>
    <row r="3474" spans="15:19" x14ac:dyDescent="0.25">
      <c r="O3474" s="4"/>
      <c r="P3474" s="4"/>
      <c r="Q3474" s="4"/>
      <c r="R3474" s="4"/>
      <c r="S3474" s="4"/>
    </row>
    <row r="3475" spans="15:19" x14ac:dyDescent="0.25">
      <c r="O3475" s="4"/>
      <c r="P3475" s="4"/>
      <c r="Q3475" s="4"/>
      <c r="R3475" s="4"/>
      <c r="S3475" s="4"/>
    </row>
    <row r="3476" spans="15:19" x14ac:dyDescent="0.25">
      <c r="O3476" s="4"/>
      <c r="P3476" s="4"/>
      <c r="Q3476" s="4"/>
      <c r="R3476" s="4"/>
      <c r="S3476" s="4"/>
    </row>
    <row r="3477" spans="15:19" x14ac:dyDescent="0.25">
      <c r="O3477" s="4"/>
      <c r="P3477" s="4"/>
      <c r="Q3477" s="4"/>
      <c r="R3477" s="4"/>
      <c r="S3477" s="4"/>
    </row>
    <row r="3478" spans="15:19" x14ac:dyDescent="0.25">
      <c r="O3478" s="4"/>
      <c r="P3478" s="4"/>
      <c r="Q3478" s="4"/>
      <c r="R3478" s="4"/>
      <c r="S3478" s="4"/>
    </row>
    <row r="3479" spans="15:19" x14ac:dyDescent="0.25">
      <c r="O3479" s="4"/>
      <c r="P3479" s="4"/>
      <c r="Q3479" s="4"/>
      <c r="R3479" s="4"/>
      <c r="S3479" s="4"/>
    </row>
    <row r="3480" spans="15:19" x14ac:dyDescent="0.25">
      <c r="O3480" s="4"/>
      <c r="P3480" s="4"/>
      <c r="Q3480" s="4"/>
      <c r="R3480" s="4"/>
      <c r="S3480" s="4"/>
    </row>
    <row r="3481" spans="15:19" x14ac:dyDescent="0.25">
      <c r="O3481" s="4"/>
      <c r="P3481" s="4"/>
      <c r="Q3481" s="4"/>
      <c r="R3481" s="4"/>
      <c r="S3481" s="4"/>
    </row>
    <row r="3482" spans="15:19" x14ac:dyDescent="0.25">
      <c r="O3482" s="4"/>
      <c r="P3482" s="4"/>
      <c r="Q3482" s="4"/>
      <c r="R3482" s="4"/>
      <c r="S3482" s="4"/>
    </row>
    <row r="3483" spans="15:19" x14ac:dyDescent="0.25">
      <c r="O3483" s="4"/>
      <c r="P3483" s="4"/>
      <c r="Q3483" s="4"/>
      <c r="R3483" s="4"/>
      <c r="S3483" s="4"/>
    </row>
    <row r="3484" spans="15:19" x14ac:dyDescent="0.25">
      <c r="O3484" s="4"/>
      <c r="P3484" s="4"/>
      <c r="Q3484" s="4"/>
      <c r="R3484" s="4"/>
      <c r="S3484" s="4"/>
    </row>
    <row r="3485" spans="15:19" x14ac:dyDescent="0.25">
      <c r="O3485" s="4"/>
      <c r="P3485" s="4"/>
      <c r="Q3485" s="4"/>
      <c r="R3485" s="4"/>
      <c r="S3485" s="4"/>
    </row>
    <row r="3486" spans="15:19" x14ac:dyDescent="0.25">
      <c r="O3486" s="4"/>
      <c r="P3486" s="4"/>
      <c r="Q3486" s="4"/>
      <c r="R3486" s="4"/>
      <c r="S3486" s="4"/>
    </row>
    <row r="3487" spans="15:19" x14ac:dyDescent="0.25">
      <c r="O3487" s="4"/>
      <c r="P3487" s="4"/>
      <c r="Q3487" s="4"/>
      <c r="R3487" s="4"/>
      <c r="S3487" s="4"/>
    </row>
    <row r="3488" spans="15:19" x14ac:dyDescent="0.25">
      <c r="O3488" s="4"/>
      <c r="P3488" s="4"/>
      <c r="Q3488" s="4"/>
      <c r="R3488" s="4"/>
      <c r="S3488" s="4"/>
    </row>
    <row r="3489" spans="15:19" x14ac:dyDescent="0.25">
      <c r="O3489" s="4"/>
      <c r="P3489" s="4"/>
      <c r="Q3489" s="4"/>
      <c r="R3489" s="4"/>
      <c r="S3489" s="4"/>
    </row>
    <row r="3490" spans="15:19" x14ac:dyDescent="0.25">
      <c r="O3490" s="4"/>
      <c r="P3490" s="4"/>
      <c r="Q3490" s="4"/>
      <c r="R3490" s="4"/>
      <c r="S3490" s="4"/>
    </row>
    <row r="3491" spans="15:19" x14ac:dyDescent="0.25">
      <c r="O3491" s="4"/>
      <c r="P3491" s="4"/>
      <c r="Q3491" s="4"/>
      <c r="R3491" s="4"/>
      <c r="S3491" s="4"/>
    </row>
    <row r="3492" spans="15:19" x14ac:dyDescent="0.25">
      <c r="O3492" s="4"/>
      <c r="P3492" s="4"/>
      <c r="Q3492" s="4"/>
      <c r="R3492" s="4"/>
      <c r="S3492" s="4"/>
    </row>
    <row r="3493" spans="15:19" x14ac:dyDescent="0.25">
      <c r="O3493" s="4"/>
      <c r="P3493" s="4"/>
      <c r="Q3493" s="4"/>
      <c r="R3493" s="4"/>
      <c r="S3493" s="4"/>
    </row>
    <row r="3494" spans="15:19" x14ac:dyDescent="0.25">
      <c r="O3494" s="4"/>
      <c r="P3494" s="4"/>
      <c r="Q3494" s="4"/>
      <c r="R3494" s="4"/>
      <c r="S3494" s="4"/>
    </row>
    <row r="3495" spans="15:19" x14ac:dyDescent="0.25">
      <c r="O3495" s="4"/>
      <c r="P3495" s="4"/>
      <c r="Q3495" s="4"/>
      <c r="R3495" s="4"/>
      <c r="S3495" s="4"/>
    </row>
    <row r="3496" spans="15:19" x14ac:dyDescent="0.25">
      <c r="O3496" s="4"/>
      <c r="P3496" s="4"/>
      <c r="Q3496" s="4"/>
      <c r="R3496" s="4"/>
      <c r="S3496" s="4"/>
    </row>
    <row r="3497" spans="15:19" x14ac:dyDescent="0.25">
      <c r="O3497" s="4"/>
      <c r="P3497" s="4"/>
      <c r="Q3497" s="4"/>
      <c r="R3497" s="4"/>
      <c r="S3497" s="4"/>
    </row>
    <row r="3498" spans="15:19" x14ac:dyDescent="0.25">
      <c r="O3498" s="4"/>
      <c r="P3498" s="4"/>
      <c r="Q3498" s="4"/>
      <c r="R3498" s="4"/>
      <c r="S3498" s="4"/>
    </row>
    <row r="3499" spans="15:19" x14ac:dyDescent="0.25">
      <c r="O3499" s="4"/>
      <c r="P3499" s="4"/>
      <c r="Q3499" s="4"/>
      <c r="R3499" s="4"/>
      <c r="S3499" s="4"/>
    </row>
    <row r="3500" spans="15:19" x14ac:dyDescent="0.25">
      <c r="O3500" s="4"/>
      <c r="P3500" s="4"/>
      <c r="Q3500" s="4"/>
      <c r="R3500" s="4"/>
      <c r="S3500" s="4"/>
    </row>
    <row r="3501" spans="15:19" x14ac:dyDescent="0.25">
      <c r="O3501" s="4"/>
      <c r="P3501" s="4"/>
      <c r="Q3501" s="4"/>
      <c r="R3501" s="4"/>
      <c r="S3501" s="4"/>
    </row>
    <row r="3502" spans="15:19" x14ac:dyDescent="0.25">
      <c r="O3502" s="4"/>
      <c r="P3502" s="4"/>
      <c r="Q3502" s="4"/>
      <c r="R3502" s="4"/>
      <c r="S3502" s="4"/>
    </row>
    <row r="3503" spans="15:19" x14ac:dyDescent="0.25">
      <c r="O3503" s="4"/>
      <c r="P3503" s="4"/>
      <c r="Q3503" s="4"/>
      <c r="R3503" s="4"/>
      <c r="S3503" s="4"/>
    </row>
    <row r="3504" spans="15:19" x14ac:dyDescent="0.25">
      <c r="O3504" s="4"/>
      <c r="P3504" s="4"/>
      <c r="Q3504" s="4"/>
      <c r="R3504" s="4"/>
      <c r="S3504" s="4"/>
    </row>
    <row r="3505" spans="15:19" x14ac:dyDescent="0.25">
      <c r="O3505" s="4"/>
      <c r="P3505" s="4"/>
      <c r="Q3505" s="4"/>
      <c r="R3505" s="4"/>
      <c r="S3505" s="4"/>
    </row>
    <row r="3506" spans="15:19" x14ac:dyDescent="0.25">
      <c r="O3506" s="4"/>
      <c r="P3506" s="4"/>
      <c r="Q3506" s="4"/>
      <c r="R3506" s="4"/>
      <c r="S3506" s="4"/>
    </row>
    <row r="3507" spans="15:19" x14ac:dyDescent="0.25">
      <c r="O3507" s="4"/>
      <c r="P3507" s="4"/>
      <c r="Q3507" s="4"/>
      <c r="R3507" s="4"/>
      <c r="S3507" s="4"/>
    </row>
    <row r="3508" spans="15:19" x14ac:dyDescent="0.25">
      <c r="O3508" s="4"/>
      <c r="P3508" s="4"/>
      <c r="Q3508" s="4"/>
      <c r="R3508" s="4"/>
      <c r="S3508" s="4"/>
    </row>
    <row r="3509" spans="15:19" x14ac:dyDescent="0.25">
      <c r="O3509" s="4"/>
      <c r="P3509" s="4"/>
      <c r="Q3509" s="4"/>
      <c r="R3509" s="4"/>
      <c r="S3509" s="4"/>
    </row>
    <row r="3510" spans="15:19" x14ac:dyDescent="0.25">
      <c r="O3510" s="4"/>
      <c r="P3510" s="4"/>
      <c r="Q3510" s="4"/>
      <c r="R3510" s="4"/>
      <c r="S3510" s="4"/>
    </row>
    <row r="3511" spans="15:19" x14ac:dyDescent="0.25">
      <c r="O3511" s="4"/>
      <c r="P3511" s="4"/>
      <c r="Q3511" s="4"/>
      <c r="R3511" s="4"/>
      <c r="S3511" s="4"/>
    </row>
    <row r="3512" spans="15:19" x14ac:dyDescent="0.25">
      <c r="O3512" s="4"/>
      <c r="P3512" s="4"/>
      <c r="Q3512" s="4"/>
      <c r="R3512" s="4"/>
      <c r="S3512" s="4"/>
    </row>
    <row r="3513" spans="15:19" x14ac:dyDescent="0.25">
      <c r="O3513" s="4"/>
      <c r="P3513" s="4"/>
      <c r="Q3513" s="4"/>
      <c r="R3513" s="4"/>
      <c r="S3513" s="4"/>
    </row>
    <row r="3514" spans="15:19" x14ac:dyDescent="0.25">
      <c r="O3514" s="4"/>
      <c r="P3514" s="4"/>
      <c r="Q3514" s="4"/>
      <c r="R3514" s="4"/>
      <c r="S3514" s="4"/>
    </row>
    <row r="3515" spans="15:19" x14ac:dyDescent="0.25">
      <c r="O3515" s="4"/>
      <c r="P3515" s="4"/>
      <c r="Q3515" s="4"/>
      <c r="R3515" s="4"/>
      <c r="S3515" s="4"/>
    </row>
    <row r="3516" spans="15:19" x14ac:dyDescent="0.25">
      <c r="O3516" s="4"/>
      <c r="P3516" s="4"/>
      <c r="Q3516" s="4"/>
      <c r="R3516" s="4"/>
      <c r="S3516" s="4"/>
    </row>
    <row r="3517" spans="15:19" x14ac:dyDescent="0.25">
      <c r="O3517" s="4"/>
      <c r="P3517" s="4"/>
      <c r="Q3517" s="4"/>
      <c r="R3517" s="4"/>
      <c r="S3517" s="4"/>
    </row>
    <row r="3518" spans="15:19" x14ac:dyDescent="0.25">
      <c r="O3518" s="4"/>
      <c r="P3518" s="4"/>
      <c r="Q3518" s="4"/>
      <c r="R3518" s="4"/>
      <c r="S3518" s="4"/>
    </row>
    <row r="3519" spans="15:19" x14ac:dyDescent="0.25">
      <c r="O3519" s="4"/>
      <c r="P3519" s="4"/>
      <c r="Q3519" s="4"/>
      <c r="R3519" s="4"/>
      <c r="S3519" s="4"/>
    </row>
    <row r="3520" spans="15:19" x14ac:dyDescent="0.25">
      <c r="O3520" s="4"/>
      <c r="P3520" s="4"/>
      <c r="Q3520" s="4"/>
      <c r="R3520" s="4"/>
      <c r="S3520" s="4"/>
    </row>
    <row r="3521" spans="15:19" x14ac:dyDescent="0.25">
      <c r="O3521" s="4"/>
      <c r="P3521" s="4"/>
      <c r="Q3521" s="4"/>
      <c r="R3521" s="4"/>
      <c r="S3521" s="4"/>
    </row>
    <row r="3522" spans="15:19" x14ac:dyDescent="0.25">
      <c r="O3522" s="4"/>
      <c r="P3522" s="4"/>
      <c r="Q3522" s="4"/>
      <c r="R3522" s="4"/>
      <c r="S3522" s="4"/>
    </row>
    <row r="3523" spans="15:19" x14ac:dyDescent="0.25">
      <c r="O3523" s="4"/>
      <c r="P3523" s="4"/>
      <c r="Q3523" s="4"/>
      <c r="R3523" s="4"/>
      <c r="S3523" s="4"/>
    </row>
    <row r="3524" spans="15:19" x14ac:dyDescent="0.25">
      <c r="O3524" s="4"/>
      <c r="P3524" s="4"/>
      <c r="Q3524" s="4"/>
      <c r="R3524" s="4"/>
      <c r="S3524" s="4"/>
    </row>
    <row r="3525" spans="15:19" x14ac:dyDescent="0.25">
      <c r="O3525" s="4"/>
      <c r="P3525" s="4"/>
      <c r="Q3525" s="4"/>
      <c r="R3525" s="4"/>
      <c r="S3525" s="4"/>
    </row>
    <row r="3526" spans="15:19" x14ac:dyDescent="0.25">
      <c r="O3526" s="4"/>
      <c r="P3526" s="4"/>
      <c r="Q3526" s="4"/>
      <c r="R3526" s="4"/>
      <c r="S3526" s="4"/>
    </row>
    <row r="3527" spans="15:19" x14ac:dyDescent="0.25">
      <c r="O3527" s="4"/>
      <c r="P3527" s="4"/>
      <c r="Q3527" s="4"/>
      <c r="R3527" s="4"/>
      <c r="S3527" s="4"/>
    </row>
    <row r="3528" spans="15:19" x14ac:dyDescent="0.25">
      <c r="O3528" s="4"/>
      <c r="P3528" s="4"/>
      <c r="Q3528" s="4"/>
      <c r="R3528" s="4"/>
      <c r="S3528" s="4"/>
    </row>
    <row r="3529" spans="15:19" x14ac:dyDescent="0.25">
      <c r="O3529" s="4"/>
      <c r="P3529" s="4"/>
      <c r="Q3529" s="4"/>
      <c r="R3529" s="4"/>
      <c r="S3529" s="4"/>
    </row>
    <row r="3530" spans="15:19" x14ac:dyDescent="0.25">
      <c r="O3530" s="4"/>
      <c r="P3530" s="4"/>
      <c r="Q3530" s="4"/>
      <c r="R3530" s="4"/>
      <c r="S3530" s="4"/>
    </row>
    <row r="3531" spans="15:19" x14ac:dyDescent="0.25">
      <c r="O3531" s="4"/>
      <c r="P3531" s="4"/>
      <c r="Q3531" s="4"/>
      <c r="R3531" s="4"/>
      <c r="S3531" s="4"/>
    </row>
    <row r="3532" spans="15:19" x14ac:dyDescent="0.25">
      <c r="O3532" s="4"/>
      <c r="P3532" s="4"/>
      <c r="Q3532" s="4"/>
      <c r="R3532" s="4"/>
      <c r="S3532" s="4"/>
    </row>
    <row r="3533" spans="15:19" x14ac:dyDescent="0.25">
      <c r="O3533" s="4"/>
      <c r="P3533" s="4"/>
      <c r="Q3533" s="4"/>
      <c r="R3533" s="4"/>
      <c r="S3533" s="4"/>
    </row>
    <row r="3534" spans="15:19" x14ac:dyDescent="0.25">
      <c r="O3534" s="4"/>
      <c r="P3534" s="4"/>
      <c r="Q3534" s="4"/>
      <c r="R3534" s="4"/>
      <c r="S3534" s="4"/>
    </row>
    <row r="3535" spans="15:19" x14ac:dyDescent="0.25">
      <c r="O3535" s="4"/>
      <c r="P3535" s="4"/>
      <c r="Q3535" s="4"/>
      <c r="R3535" s="4"/>
      <c r="S3535" s="4"/>
    </row>
    <row r="3536" spans="15:19" x14ac:dyDescent="0.25">
      <c r="O3536" s="4"/>
      <c r="P3536" s="4"/>
      <c r="Q3536" s="4"/>
      <c r="R3536" s="4"/>
      <c r="S3536" s="4"/>
    </row>
    <row r="3537" spans="15:19" x14ac:dyDescent="0.25">
      <c r="O3537" s="4"/>
      <c r="P3537" s="4"/>
      <c r="Q3537" s="4"/>
      <c r="R3537" s="4"/>
      <c r="S3537" s="4"/>
    </row>
    <row r="3538" spans="15:19" x14ac:dyDescent="0.25">
      <c r="O3538" s="4"/>
      <c r="P3538" s="4"/>
      <c r="Q3538" s="4"/>
      <c r="R3538" s="4"/>
      <c r="S3538" s="4"/>
    </row>
    <row r="3539" spans="15:19" x14ac:dyDescent="0.25">
      <c r="O3539" s="4"/>
      <c r="P3539" s="4"/>
      <c r="Q3539" s="4"/>
      <c r="R3539" s="4"/>
      <c r="S3539" s="4"/>
    </row>
    <row r="3540" spans="15:19" x14ac:dyDescent="0.25">
      <c r="O3540" s="4"/>
      <c r="P3540" s="4"/>
      <c r="Q3540" s="4"/>
      <c r="R3540" s="4"/>
      <c r="S3540" s="4"/>
    </row>
    <row r="3541" spans="15:19" x14ac:dyDescent="0.25">
      <c r="O3541" s="4"/>
      <c r="P3541" s="4"/>
      <c r="Q3541" s="4"/>
      <c r="R3541" s="4"/>
      <c r="S3541" s="4"/>
    </row>
    <row r="3542" spans="15:19" x14ac:dyDescent="0.25">
      <c r="O3542" s="4"/>
      <c r="P3542" s="4"/>
      <c r="Q3542" s="4"/>
      <c r="R3542" s="4"/>
      <c r="S3542" s="4"/>
    </row>
    <row r="3543" spans="15:19" x14ac:dyDescent="0.25">
      <c r="O3543" s="4"/>
      <c r="P3543" s="4"/>
      <c r="Q3543" s="4"/>
      <c r="R3543" s="4"/>
      <c r="S3543" s="4"/>
    </row>
    <row r="3544" spans="15:19" x14ac:dyDescent="0.25">
      <c r="O3544" s="4"/>
      <c r="P3544" s="4"/>
      <c r="Q3544" s="4"/>
      <c r="R3544" s="4"/>
      <c r="S3544" s="4"/>
    </row>
    <row r="3545" spans="15:19" x14ac:dyDescent="0.25">
      <c r="O3545" s="4"/>
      <c r="P3545" s="4"/>
      <c r="Q3545" s="4"/>
      <c r="R3545" s="4"/>
      <c r="S3545" s="4"/>
    </row>
    <row r="3546" spans="15:19" x14ac:dyDescent="0.25">
      <c r="O3546" s="4"/>
      <c r="P3546" s="4"/>
      <c r="Q3546" s="4"/>
      <c r="R3546" s="4"/>
      <c r="S3546" s="4"/>
    </row>
    <row r="3547" spans="15:19" x14ac:dyDescent="0.25">
      <c r="O3547" s="4"/>
      <c r="P3547" s="4"/>
      <c r="Q3547" s="4"/>
      <c r="R3547" s="4"/>
      <c r="S3547" s="4"/>
    </row>
    <row r="3548" spans="15:19" x14ac:dyDescent="0.25">
      <c r="O3548" s="4"/>
      <c r="P3548" s="4"/>
      <c r="Q3548" s="4"/>
      <c r="R3548" s="4"/>
      <c r="S3548" s="4"/>
    </row>
    <row r="3549" spans="15:19" x14ac:dyDescent="0.25">
      <c r="O3549" s="4"/>
      <c r="P3549" s="4"/>
      <c r="Q3549" s="4"/>
      <c r="R3549" s="4"/>
      <c r="S3549" s="4"/>
    </row>
    <row r="3550" spans="15:19" x14ac:dyDescent="0.25">
      <c r="O3550" s="4"/>
      <c r="P3550" s="4"/>
      <c r="Q3550" s="4"/>
      <c r="R3550" s="4"/>
      <c r="S3550" s="4"/>
    </row>
    <row r="3551" spans="15:19" x14ac:dyDescent="0.25">
      <c r="O3551" s="4"/>
      <c r="P3551" s="4"/>
      <c r="Q3551" s="4"/>
      <c r="R3551" s="4"/>
      <c r="S3551" s="4"/>
    </row>
    <row r="3552" spans="15:19" x14ac:dyDescent="0.25">
      <c r="O3552" s="4"/>
      <c r="P3552" s="4"/>
      <c r="Q3552" s="4"/>
      <c r="R3552" s="4"/>
      <c r="S3552" s="4"/>
    </row>
    <row r="3553" spans="15:19" x14ac:dyDescent="0.25">
      <c r="O3553" s="4"/>
      <c r="P3553" s="4"/>
      <c r="Q3553" s="4"/>
      <c r="R3553" s="4"/>
      <c r="S3553" s="4"/>
    </row>
    <row r="3554" spans="15:19" x14ac:dyDescent="0.25">
      <c r="O3554" s="4"/>
      <c r="P3554" s="4"/>
      <c r="Q3554" s="4"/>
      <c r="R3554" s="4"/>
      <c r="S3554" s="4"/>
    </row>
    <row r="3555" spans="15:19" x14ac:dyDescent="0.25">
      <c r="O3555" s="4"/>
      <c r="P3555" s="4"/>
      <c r="Q3555" s="4"/>
      <c r="R3555" s="4"/>
      <c r="S3555" s="4"/>
    </row>
    <row r="3556" spans="15:19" x14ac:dyDescent="0.25">
      <c r="O3556" s="4"/>
      <c r="P3556" s="4"/>
      <c r="Q3556" s="4"/>
      <c r="R3556" s="4"/>
      <c r="S3556" s="4"/>
    </row>
    <row r="3557" spans="15:19" x14ac:dyDescent="0.25">
      <c r="O3557" s="4"/>
      <c r="P3557" s="4"/>
      <c r="Q3557" s="4"/>
      <c r="R3557" s="4"/>
      <c r="S3557" s="4"/>
    </row>
    <row r="3558" spans="15:19" x14ac:dyDescent="0.25">
      <c r="O3558" s="4"/>
      <c r="P3558" s="4"/>
      <c r="Q3558" s="4"/>
      <c r="R3558" s="4"/>
      <c r="S3558" s="4"/>
    </row>
    <row r="3559" spans="15:19" x14ac:dyDescent="0.25">
      <c r="O3559" s="4"/>
      <c r="P3559" s="4"/>
      <c r="Q3559" s="4"/>
      <c r="R3559" s="4"/>
      <c r="S3559" s="4"/>
    </row>
    <row r="3560" spans="15:19" x14ac:dyDescent="0.25">
      <c r="O3560" s="4"/>
      <c r="P3560" s="4"/>
      <c r="Q3560" s="4"/>
      <c r="R3560" s="4"/>
      <c r="S3560" s="4"/>
    </row>
    <row r="3561" spans="15:19" x14ac:dyDescent="0.25">
      <c r="O3561" s="4"/>
      <c r="P3561" s="4"/>
      <c r="Q3561" s="4"/>
      <c r="R3561" s="4"/>
      <c r="S3561" s="4"/>
    </row>
    <row r="3562" spans="15:19" x14ac:dyDescent="0.25">
      <c r="O3562" s="4"/>
      <c r="P3562" s="4"/>
      <c r="Q3562" s="4"/>
      <c r="R3562" s="4"/>
      <c r="S3562" s="4"/>
    </row>
    <row r="3563" spans="15:19" x14ac:dyDescent="0.25">
      <c r="O3563" s="4"/>
      <c r="P3563" s="4"/>
      <c r="Q3563" s="4"/>
      <c r="R3563" s="4"/>
      <c r="S3563" s="4"/>
    </row>
    <row r="3564" spans="15:19" x14ac:dyDescent="0.25">
      <c r="O3564" s="4"/>
      <c r="P3564" s="4"/>
      <c r="Q3564" s="4"/>
      <c r="R3564" s="4"/>
      <c r="S3564" s="4"/>
    </row>
    <row r="3565" spans="15:19" x14ac:dyDescent="0.25">
      <c r="O3565" s="4"/>
      <c r="P3565" s="4"/>
      <c r="Q3565" s="4"/>
      <c r="R3565" s="4"/>
      <c r="S3565" s="4"/>
    </row>
    <row r="3566" spans="15:19" x14ac:dyDescent="0.25">
      <c r="O3566" s="4"/>
      <c r="P3566" s="4"/>
      <c r="Q3566" s="4"/>
      <c r="R3566" s="4"/>
      <c r="S3566" s="4"/>
    </row>
    <row r="3567" spans="15:19" x14ac:dyDescent="0.25">
      <c r="O3567" s="4"/>
      <c r="P3567" s="4"/>
      <c r="Q3567" s="4"/>
      <c r="R3567" s="4"/>
      <c r="S3567" s="4"/>
    </row>
    <row r="3568" spans="15:19" x14ac:dyDescent="0.25">
      <c r="O3568" s="4"/>
      <c r="P3568" s="4"/>
      <c r="Q3568" s="4"/>
      <c r="R3568" s="4"/>
      <c r="S3568" s="4"/>
    </row>
    <row r="3569" spans="15:19" x14ac:dyDescent="0.25">
      <c r="O3569" s="4"/>
      <c r="P3569" s="4"/>
      <c r="Q3569" s="4"/>
      <c r="R3569" s="4"/>
      <c r="S3569" s="4"/>
    </row>
    <row r="3570" spans="15:19" x14ac:dyDescent="0.25">
      <c r="O3570" s="4"/>
      <c r="P3570" s="4"/>
      <c r="Q3570" s="4"/>
      <c r="R3570" s="4"/>
      <c r="S3570" s="4"/>
    </row>
    <row r="3571" spans="15:19" x14ac:dyDescent="0.25">
      <c r="O3571" s="4"/>
      <c r="P3571" s="4"/>
      <c r="Q3571" s="4"/>
      <c r="R3571" s="4"/>
      <c r="S3571" s="4"/>
    </row>
    <row r="3572" spans="15:19" x14ac:dyDescent="0.25">
      <c r="O3572" s="4"/>
      <c r="P3572" s="4"/>
      <c r="Q3572" s="4"/>
      <c r="R3572" s="4"/>
      <c r="S3572" s="4"/>
    </row>
    <row r="3573" spans="15:19" x14ac:dyDescent="0.25">
      <c r="O3573" s="4"/>
      <c r="P3573" s="4"/>
      <c r="Q3573" s="4"/>
      <c r="R3573" s="4"/>
      <c r="S3573" s="4"/>
    </row>
    <row r="3574" spans="15:19" x14ac:dyDescent="0.25">
      <c r="O3574" s="4"/>
      <c r="P3574" s="4"/>
      <c r="Q3574" s="4"/>
      <c r="R3574" s="4"/>
      <c r="S3574" s="4"/>
    </row>
    <row r="3575" spans="15:19" x14ac:dyDescent="0.25">
      <c r="O3575" s="4"/>
      <c r="P3575" s="4"/>
      <c r="Q3575" s="4"/>
      <c r="R3575" s="4"/>
      <c r="S3575" s="4"/>
    </row>
    <row r="3576" spans="15:19" x14ac:dyDescent="0.25">
      <c r="O3576" s="4"/>
      <c r="P3576" s="4"/>
      <c r="Q3576" s="4"/>
      <c r="R3576" s="4"/>
      <c r="S3576" s="4"/>
    </row>
    <row r="3577" spans="15:19" x14ac:dyDescent="0.25">
      <c r="O3577" s="4"/>
      <c r="P3577" s="4"/>
      <c r="Q3577" s="4"/>
      <c r="R3577" s="4"/>
      <c r="S3577" s="4"/>
    </row>
    <row r="3578" spans="15:19" x14ac:dyDescent="0.25">
      <c r="O3578" s="4"/>
      <c r="P3578" s="4"/>
      <c r="Q3578" s="4"/>
      <c r="R3578" s="4"/>
      <c r="S3578" s="4"/>
    </row>
    <row r="3579" spans="15:19" x14ac:dyDescent="0.25">
      <c r="O3579" s="4"/>
      <c r="P3579" s="4"/>
      <c r="Q3579" s="4"/>
      <c r="R3579" s="4"/>
      <c r="S3579" s="4"/>
    </row>
    <row r="3580" spans="15:19" x14ac:dyDescent="0.25">
      <c r="O3580" s="4"/>
      <c r="P3580" s="4"/>
      <c r="Q3580" s="4"/>
      <c r="R3580" s="4"/>
      <c r="S3580" s="4"/>
    </row>
    <row r="3581" spans="15:19" x14ac:dyDescent="0.25">
      <c r="O3581" s="4"/>
      <c r="P3581" s="4"/>
      <c r="Q3581" s="4"/>
      <c r="R3581" s="4"/>
      <c r="S3581" s="4"/>
    </row>
    <row r="3582" spans="15:19" x14ac:dyDescent="0.25">
      <c r="O3582" s="4"/>
      <c r="P3582" s="4"/>
      <c r="Q3582" s="4"/>
      <c r="R3582" s="4"/>
      <c r="S3582" s="4"/>
    </row>
    <row r="3583" spans="15:19" x14ac:dyDescent="0.25">
      <c r="O3583" s="4"/>
      <c r="P3583" s="4"/>
      <c r="Q3583" s="4"/>
      <c r="R3583" s="4"/>
      <c r="S3583" s="4"/>
    </row>
    <row r="3584" spans="15:19" x14ac:dyDescent="0.25">
      <c r="O3584" s="4"/>
      <c r="P3584" s="4"/>
      <c r="Q3584" s="4"/>
      <c r="R3584" s="4"/>
      <c r="S3584" s="4"/>
    </row>
    <row r="3585" spans="15:19" x14ac:dyDescent="0.25">
      <c r="O3585" s="4"/>
      <c r="P3585" s="4"/>
      <c r="Q3585" s="4"/>
      <c r="R3585" s="4"/>
      <c r="S3585" s="4"/>
    </row>
    <row r="3586" spans="15:19" x14ac:dyDescent="0.25">
      <c r="O3586" s="4"/>
      <c r="P3586" s="4"/>
      <c r="Q3586" s="4"/>
      <c r="R3586" s="4"/>
      <c r="S3586" s="4"/>
    </row>
    <row r="3587" spans="15:19" x14ac:dyDescent="0.25">
      <c r="O3587" s="4"/>
      <c r="P3587" s="4"/>
      <c r="Q3587" s="4"/>
      <c r="R3587" s="4"/>
      <c r="S3587" s="4"/>
    </row>
    <row r="3588" spans="15:19" x14ac:dyDescent="0.25">
      <c r="O3588" s="4"/>
      <c r="P3588" s="4"/>
      <c r="Q3588" s="4"/>
      <c r="R3588" s="4"/>
      <c r="S3588" s="4"/>
    </row>
    <row r="3589" spans="15:19" x14ac:dyDescent="0.25">
      <c r="O3589" s="4"/>
      <c r="P3589" s="4"/>
      <c r="Q3589" s="4"/>
      <c r="R3589" s="4"/>
      <c r="S3589" s="4"/>
    </row>
    <row r="3590" spans="15:19" x14ac:dyDescent="0.25">
      <c r="O3590" s="4"/>
      <c r="P3590" s="4"/>
      <c r="Q3590" s="4"/>
      <c r="R3590" s="4"/>
      <c r="S3590" s="4"/>
    </row>
    <row r="3591" spans="15:19" x14ac:dyDescent="0.25">
      <c r="O3591" s="4"/>
      <c r="P3591" s="4"/>
      <c r="Q3591" s="4"/>
      <c r="R3591" s="4"/>
      <c r="S3591" s="4"/>
    </row>
    <row r="3592" spans="15:19" x14ac:dyDescent="0.25">
      <c r="O3592" s="4"/>
      <c r="P3592" s="4"/>
      <c r="Q3592" s="4"/>
      <c r="R3592" s="4"/>
      <c r="S3592" s="4"/>
    </row>
    <row r="3593" spans="15:19" x14ac:dyDescent="0.25">
      <c r="O3593" s="4"/>
      <c r="P3593" s="4"/>
      <c r="Q3593" s="4"/>
      <c r="R3593" s="4"/>
      <c r="S3593" s="4"/>
    </row>
    <row r="3594" spans="15:19" x14ac:dyDescent="0.25">
      <c r="O3594" s="4"/>
      <c r="P3594" s="4"/>
      <c r="Q3594" s="4"/>
      <c r="R3594" s="4"/>
      <c r="S3594" s="4"/>
    </row>
    <row r="3595" spans="15:19" x14ac:dyDescent="0.25">
      <c r="O3595" s="4"/>
      <c r="P3595" s="4"/>
      <c r="Q3595" s="4"/>
      <c r="R3595" s="4"/>
      <c r="S3595" s="4"/>
    </row>
    <row r="3596" spans="15:19" x14ac:dyDescent="0.25">
      <c r="O3596" s="4"/>
      <c r="P3596" s="4"/>
      <c r="Q3596" s="4"/>
      <c r="R3596" s="4"/>
      <c r="S3596" s="4"/>
    </row>
    <row r="3597" spans="15:19" x14ac:dyDescent="0.25">
      <c r="O3597" s="4"/>
      <c r="P3597" s="4"/>
      <c r="Q3597" s="4"/>
      <c r="R3597" s="4"/>
      <c r="S3597" s="4"/>
    </row>
    <row r="3598" spans="15:19" x14ac:dyDescent="0.25">
      <c r="O3598" s="4"/>
      <c r="P3598" s="4"/>
      <c r="Q3598" s="4"/>
      <c r="R3598" s="4"/>
      <c r="S3598" s="4"/>
    </row>
    <row r="3599" spans="15:19" x14ac:dyDescent="0.25">
      <c r="O3599" s="4"/>
      <c r="P3599" s="4"/>
      <c r="Q3599" s="4"/>
      <c r="R3599" s="4"/>
      <c r="S3599" s="4"/>
    </row>
    <row r="3600" spans="15:19" x14ac:dyDescent="0.25">
      <c r="O3600" s="4"/>
      <c r="P3600" s="4"/>
      <c r="Q3600" s="4"/>
      <c r="R3600" s="4"/>
      <c r="S3600" s="4"/>
    </row>
    <row r="3601" spans="15:19" x14ac:dyDescent="0.25">
      <c r="O3601" s="4"/>
      <c r="P3601" s="4"/>
      <c r="Q3601" s="4"/>
      <c r="R3601" s="4"/>
      <c r="S3601" s="4"/>
    </row>
    <row r="3602" spans="15:19" x14ac:dyDescent="0.25">
      <c r="O3602" s="4"/>
      <c r="P3602" s="4"/>
      <c r="Q3602" s="4"/>
      <c r="R3602" s="4"/>
      <c r="S3602" s="4"/>
    </row>
    <row r="3603" spans="15:19" x14ac:dyDescent="0.25">
      <c r="O3603" s="4"/>
      <c r="P3603" s="4"/>
      <c r="Q3603" s="4"/>
      <c r="R3603" s="4"/>
      <c r="S3603" s="4"/>
    </row>
    <row r="3604" spans="15:19" x14ac:dyDescent="0.25">
      <c r="O3604" s="4"/>
      <c r="P3604" s="4"/>
      <c r="Q3604" s="4"/>
      <c r="R3604" s="4"/>
      <c r="S3604" s="4"/>
    </row>
    <row r="3605" spans="15:19" x14ac:dyDescent="0.25">
      <c r="O3605" s="4"/>
      <c r="P3605" s="4"/>
      <c r="Q3605" s="4"/>
      <c r="R3605" s="4"/>
      <c r="S3605" s="4"/>
    </row>
    <row r="3606" spans="15:19" x14ac:dyDescent="0.25">
      <c r="O3606" s="4"/>
      <c r="P3606" s="4"/>
      <c r="Q3606" s="4"/>
      <c r="R3606" s="4"/>
      <c r="S3606" s="4"/>
    </row>
    <row r="3607" spans="15:19" x14ac:dyDescent="0.25">
      <c r="O3607" s="4"/>
      <c r="P3607" s="4"/>
      <c r="Q3607" s="4"/>
      <c r="R3607" s="4"/>
      <c r="S3607" s="4"/>
    </row>
    <row r="3608" spans="15:19" x14ac:dyDescent="0.25">
      <c r="O3608" s="4"/>
      <c r="P3608" s="4"/>
      <c r="Q3608" s="4"/>
      <c r="R3608" s="4"/>
      <c r="S3608" s="4"/>
    </row>
    <row r="3609" spans="15:19" x14ac:dyDescent="0.25">
      <c r="O3609" s="4"/>
      <c r="P3609" s="4"/>
      <c r="Q3609" s="4"/>
      <c r="R3609" s="4"/>
      <c r="S3609" s="4"/>
    </row>
    <row r="3610" spans="15:19" x14ac:dyDescent="0.25">
      <c r="O3610" s="4"/>
      <c r="P3610" s="4"/>
      <c r="Q3610" s="4"/>
      <c r="R3610" s="4"/>
      <c r="S3610" s="4"/>
    </row>
    <row r="3611" spans="15:19" x14ac:dyDescent="0.25">
      <c r="O3611" s="4"/>
      <c r="P3611" s="4"/>
      <c r="Q3611" s="4"/>
      <c r="R3611" s="4"/>
      <c r="S3611" s="4"/>
    </row>
    <row r="3612" spans="15:19" x14ac:dyDescent="0.25">
      <c r="O3612" s="4"/>
      <c r="P3612" s="4"/>
      <c r="Q3612" s="4"/>
      <c r="R3612" s="4"/>
      <c r="S3612" s="4"/>
    </row>
    <row r="3613" spans="15:19" x14ac:dyDescent="0.25">
      <c r="O3613" s="4"/>
      <c r="P3613" s="4"/>
      <c r="Q3613" s="4"/>
      <c r="R3613" s="4"/>
      <c r="S3613" s="4"/>
    </row>
    <row r="3614" spans="15:19" x14ac:dyDescent="0.25">
      <c r="O3614" s="4"/>
      <c r="P3614" s="4"/>
      <c r="Q3614" s="4"/>
      <c r="R3614" s="4"/>
      <c r="S3614" s="4"/>
    </row>
    <row r="3615" spans="15:19" x14ac:dyDescent="0.25">
      <c r="O3615" s="4"/>
      <c r="P3615" s="4"/>
      <c r="Q3615" s="4"/>
      <c r="R3615" s="4"/>
      <c r="S3615" s="4"/>
    </row>
    <row r="3616" spans="15:19" x14ac:dyDescent="0.25">
      <c r="O3616" s="4"/>
      <c r="P3616" s="4"/>
      <c r="Q3616" s="4"/>
      <c r="R3616" s="4"/>
      <c r="S3616" s="4"/>
    </row>
    <row r="3617" spans="15:19" x14ac:dyDescent="0.25">
      <c r="O3617" s="4"/>
      <c r="P3617" s="4"/>
      <c r="Q3617" s="4"/>
      <c r="R3617" s="4"/>
      <c r="S3617" s="4"/>
    </row>
    <row r="3618" spans="15:19" x14ac:dyDescent="0.25">
      <c r="O3618" s="4"/>
      <c r="P3618" s="4"/>
      <c r="Q3618" s="4"/>
      <c r="R3618" s="4"/>
      <c r="S3618" s="4"/>
    </row>
    <row r="3619" spans="15:19" x14ac:dyDescent="0.25">
      <c r="O3619" s="4"/>
      <c r="P3619" s="4"/>
      <c r="Q3619" s="4"/>
      <c r="R3619" s="4"/>
      <c r="S3619" s="4"/>
    </row>
    <row r="3620" spans="15:19" x14ac:dyDescent="0.25">
      <c r="O3620" s="4"/>
      <c r="P3620" s="4"/>
      <c r="Q3620" s="4"/>
      <c r="R3620" s="4"/>
      <c r="S3620" s="4"/>
    </row>
    <row r="3621" spans="15:19" x14ac:dyDescent="0.25">
      <c r="O3621" s="4"/>
      <c r="P3621" s="4"/>
      <c r="Q3621" s="4"/>
      <c r="R3621" s="4"/>
      <c r="S3621" s="4"/>
    </row>
    <row r="3622" spans="15:19" x14ac:dyDescent="0.25">
      <c r="O3622" s="4"/>
      <c r="P3622" s="4"/>
      <c r="Q3622" s="4"/>
      <c r="R3622" s="4"/>
      <c r="S3622" s="4"/>
    </row>
    <row r="3623" spans="15:19" x14ac:dyDescent="0.25">
      <c r="O3623" s="4"/>
      <c r="P3623" s="4"/>
      <c r="Q3623" s="4"/>
      <c r="R3623" s="4"/>
      <c r="S3623" s="4"/>
    </row>
    <row r="3624" spans="15:19" x14ac:dyDescent="0.25">
      <c r="O3624" s="4"/>
      <c r="P3624" s="4"/>
      <c r="Q3624" s="4"/>
      <c r="R3624" s="4"/>
      <c r="S3624" s="4"/>
    </row>
    <row r="3625" spans="15:19" x14ac:dyDescent="0.25">
      <c r="O3625" s="4"/>
      <c r="P3625" s="4"/>
      <c r="Q3625" s="4"/>
      <c r="R3625" s="4"/>
      <c r="S3625" s="4"/>
    </row>
    <row r="3626" spans="15:19" x14ac:dyDescent="0.25">
      <c r="O3626" s="4"/>
      <c r="P3626" s="4"/>
      <c r="Q3626" s="4"/>
      <c r="R3626" s="4"/>
      <c r="S3626" s="4"/>
    </row>
    <row r="3627" spans="15:19" x14ac:dyDescent="0.25">
      <c r="O3627" s="4"/>
      <c r="P3627" s="4"/>
      <c r="Q3627" s="4"/>
      <c r="R3627" s="4"/>
      <c r="S3627" s="4"/>
    </row>
    <row r="3628" spans="15:19" x14ac:dyDescent="0.25">
      <c r="O3628" s="4"/>
      <c r="P3628" s="4"/>
      <c r="Q3628" s="4"/>
      <c r="R3628" s="4"/>
      <c r="S3628" s="4"/>
    </row>
    <row r="3629" spans="15:19" x14ac:dyDescent="0.25">
      <c r="O3629" s="4"/>
      <c r="P3629" s="4"/>
      <c r="Q3629" s="4"/>
      <c r="R3629" s="4"/>
      <c r="S3629" s="4"/>
    </row>
    <row r="3630" spans="15:19" x14ac:dyDescent="0.25">
      <c r="O3630" s="4"/>
      <c r="P3630" s="4"/>
      <c r="Q3630" s="4"/>
      <c r="R3630" s="4"/>
      <c r="S3630" s="4"/>
    </row>
    <row r="3631" spans="15:19" x14ac:dyDescent="0.25">
      <c r="O3631" s="4"/>
      <c r="P3631" s="4"/>
      <c r="Q3631" s="4"/>
      <c r="R3631" s="4"/>
      <c r="S3631" s="4"/>
    </row>
    <row r="3632" spans="15:19" x14ac:dyDescent="0.25">
      <c r="O3632" s="4"/>
      <c r="P3632" s="4"/>
      <c r="Q3632" s="4"/>
      <c r="R3632" s="4"/>
      <c r="S3632" s="4"/>
    </row>
    <row r="3633" spans="15:19" x14ac:dyDescent="0.25">
      <c r="O3633" s="4"/>
      <c r="P3633" s="4"/>
      <c r="Q3633" s="4"/>
      <c r="R3633" s="4"/>
      <c r="S3633" s="4"/>
    </row>
    <row r="3634" spans="15:19" x14ac:dyDescent="0.25">
      <c r="O3634" s="4"/>
      <c r="P3634" s="4"/>
      <c r="Q3634" s="4"/>
      <c r="R3634" s="4"/>
      <c r="S3634" s="4"/>
    </row>
    <row r="3635" spans="15:19" x14ac:dyDescent="0.25">
      <c r="O3635" s="4"/>
      <c r="P3635" s="4"/>
      <c r="Q3635" s="4"/>
      <c r="R3635" s="4"/>
      <c r="S3635" s="4"/>
    </row>
    <row r="3636" spans="15:19" x14ac:dyDescent="0.25">
      <c r="O3636" s="4"/>
      <c r="P3636" s="4"/>
      <c r="Q3636" s="4"/>
      <c r="R3636" s="4"/>
      <c r="S3636" s="4"/>
    </row>
    <row r="3637" spans="15:19" x14ac:dyDescent="0.25">
      <c r="O3637" s="4"/>
      <c r="P3637" s="4"/>
      <c r="Q3637" s="4"/>
      <c r="R3637" s="4"/>
      <c r="S3637" s="4"/>
    </row>
    <row r="3638" spans="15:19" x14ac:dyDescent="0.25">
      <c r="O3638" s="4"/>
      <c r="P3638" s="4"/>
      <c r="Q3638" s="4"/>
      <c r="R3638" s="4"/>
      <c r="S3638" s="4"/>
    </row>
    <row r="3639" spans="15:19" x14ac:dyDescent="0.25">
      <c r="O3639" s="4"/>
      <c r="P3639" s="4"/>
      <c r="Q3639" s="4"/>
      <c r="R3639" s="4"/>
      <c r="S3639" s="4"/>
    </row>
    <row r="3640" spans="15:19" x14ac:dyDescent="0.25">
      <c r="O3640" s="4"/>
      <c r="P3640" s="4"/>
      <c r="Q3640" s="4"/>
      <c r="R3640" s="4"/>
      <c r="S3640" s="4"/>
    </row>
    <row r="3641" spans="15:19" x14ac:dyDescent="0.25">
      <c r="O3641" s="4"/>
      <c r="P3641" s="4"/>
      <c r="Q3641" s="4"/>
      <c r="R3641" s="4"/>
      <c r="S3641" s="4"/>
    </row>
    <row r="3642" spans="15:19" x14ac:dyDescent="0.25">
      <c r="O3642" s="4"/>
      <c r="P3642" s="4"/>
      <c r="Q3642" s="4"/>
      <c r="R3642" s="4"/>
      <c r="S3642" s="4"/>
    </row>
    <row r="3643" spans="15:19" x14ac:dyDescent="0.25">
      <c r="O3643" s="4"/>
      <c r="P3643" s="4"/>
      <c r="Q3643" s="4"/>
      <c r="R3643" s="4"/>
      <c r="S3643" s="4"/>
    </row>
    <row r="3644" spans="15:19" x14ac:dyDescent="0.25">
      <c r="O3644" s="4"/>
      <c r="P3644" s="4"/>
      <c r="Q3644" s="4"/>
      <c r="R3644" s="4"/>
      <c r="S3644" s="4"/>
    </row>
    <row r="3645" spans="15:19" x14ac:dyDescent="0.25">
      <c r="O3645" s="4"/>
      <c r="P3645" s="4"/>
      <c r="Q3645" s="4"/>
      <c r="R3645" s="4"/>
      <c r="S3645" s="4"/>
    </row>
    <row r="3646" spans="15:19" x14ac:dyDescent="0.25">
      <c r="O3646" s="4"/>
      <c r="P3646" s="4"/>
      <c r="Q3646" s="4"/>
      <c r="R3646" s="4"/>
      <c r="S3646" s="4"/>
    </row>
    <row r="3647" spans="15:19" x14ac:dyDescent="0.25">
      <c r="O3647" s="4"/>
      <c r="P3647" s="4"/>
      <c r="Q3647" s="4"/>
      <c r="R3647" s="4"/>
      <c r="S3647" s="4"/>
    </row>
    <row r="3648" spans="15:19" x14ac:dyDescent="0.25">
      <c r="O3648" s="4"/>
      <c r="P3648" s="4"/>
      <c r="Q3648" s="4"/>
      <c r="R3648" s="4"/>
      <c r="S3648" s="4"/>
    </row>
    <row r="3649" spans="15:19" x14ac:dyDescent="0.25">
      <c r="O3649" s="4"/>
      <c r="P3649" s="4"/>
      <c r="Q3649" s="4"/>
      <c r="R3649" s="4"/>
      <c r="S3649" s="4"/>
    </row>
    <row r="3650" spans="15:19" x14ac:dyDescent="0.25">
      <c r="O3650" s="4"/>
      <c r="P3650" s="4"/>
      <c r="Q3650" s="4"/>
      <c r="R3650" s="4"/>
      <c r="S3650" s="4"/>
    </row>
    <row r="3651" spans="15:19" x14ac:dyDescent="0.25">
      <c r="O3651" s="4"/>
      <c r="P3651" s="4"/>
      <c r="Q3651" s="4"/>
      <c r="R3651" s="4"/>
      <c r="S3651" s="4"/>
    </row>
    <row r="3652" spans="15:19" x14ac:dyDescent="0.25">
      <c r="O3652" s="4"/>
      <c r="P3652" s="4"/>
      <c r="Q3652" s="4"/>
      <c r="R3652" s="4"/>
      <c r="S3652" s="4"/>
    </row>
    <row r="3653" spans="15:19" x14ac:dyDescent="0.25">
      <c r="O3653" s="4"/>
      <c r="P3653" s="4"/>
      <c r="Q3653" s="4"/>
      <c r="R3653" s="4"/>
      <c r="S3653" s="4"/>
    </row>
    <row r="3654" spans="15:19" x14ac:dyDescent="0.25">
      <c r="O3654" s="4"/>
      <c r="P3654" s="4"/>
      <c r="Q3654" s="4"/>
      <c r="R3654" s="4"/>
      <c r="S3654" s="4"/>
    </row>
    <row r="3655" spans="15:19" x14ac:dyDescent="0.25">
      <c r="O3655" s="4"/>
      <c r="P3655" s="4"/>
      <c r="Q3655" s="4"/>
      <c r="R3655" s="4"/>
      <c r="S3655" s="4"/>
    </row>
    <row r="3656" spans="15:19" x14ac:dyDescent="0.25">
      <c r="O3656" s="4"/>
      <c r="P3656" s="4"/>
      <c r="Q3656" s="4"/>
      <c r="R3656" s="4"/>
      <c r="S3656" s="4"/>
    </row>
    <row r="3657" spans="15:19" x14ac:dyDescent="0.25">
      <c r="O3657" s="4"/>
      <c r="P3657" s="4"/>
      <c r="Q3657" s="4"/>
      <c r="R3657" s="4"/>
      <c r="S3657" s="4"/>
    </row>
    <row r="3658" spans="15:19" x14ac:dyDescent="0.25">
      <c r="O3658" s="4"/>
      <c r="P3658" s="4"/>
      <c r="Q3658" s="4"/>
      <c r="R3658" s="4"/>
      <c r="S3658" s="4"/>
    </row>
    <row r="3659" spans="15:19" x14ac:dyDescent="0.25">
      <c r="O3659" s="4"/>
      <c r="P3659" s="4"/>
      <c r="Q3659" s="4"/>
      <c r="R3659" s="4"/>
      <c r="S3659" s="4"/>
    </row>
    <row r="3660" spans="15:19" x14ac:dyDescent="0.25">
      <c r="O3660" s="4"/>
      <c r="P3660" s="4"/>
      <c r="Q3660" s="4"/>
      <c r="R3660" s="4"/>
      <c r="S3660" s="4"/>
    </row>
    <row r="3661" spans="15:19" x14ac:dyDescent="0.25">
      <c r="O3661" s="4"/>
      <c r="P3661" s="4"/>
      <c r="Q3661" s="4"/>
      <c r="R3661" s="4"/>
      <c r="S3661" s="4"/>
    </row>
    <row r="3662" spans="15:19" x14ac:dyDescent="0.25">
      <c r="O3662" s="4"/>
      <c r="P3662" s="4"/>
      <c r="Q3662" s="4"/>
      <c r="R3662" s="4"/>
      <c r="S3662" s="4"/>
    </row>
    <row r="3663" spans="15:19" x14ac:dyDescent="0.25">
      <c r="O3663" s="4"/>
      <c r="P3663" s="4"/>
      <c r="Q3663" s="4"/>
      <c r="R3663" s="4"/>
      <c r="S3663" s="4"/>
    </row>
    <row r="3664" spans="15:19" x14ac:dyDescent="0.25">
      <c r="O3664" s="4"/>
      <c r="P3664" s="4"/>
      <c r="Q3664" s="4"/>
      <c r="R3664" s="4"/>
      <c r="S3664" s="4"/>
    </row>
    <row r="3665" spans="15:19" x14ac:dyDescent="0.25">
      <c r="O3665" s="4"/>
      <c r="P3665" s="4"/>
      <c r="Q3665" s="4"/>
      <c r="R3665" s="4"/>
      <c r="S3665" s="4"/>
    </row>
    <row r="3666" spans="15:19" x14ac:dyDescent="0.25">
      <c r="O3666" s="4"/>
      <c r="P3666" s="4"/>
      <c r="Q3666" s="4"/>
      <c r="R3666" s="4"/>
      <c r="S3666" s="4"/>
    </row>
    <row r="3667" spans="15:19" x14ac:dyDescent="0.25">
      <c r="O3667" s="4"/>
      <c r="P3667" s="4"/>
      <c r="Q3667" s="4"/>
      <c r="R3667" s="4"/>
      <c r="S3667" s="4"/>
    </row>
    <row r="3668" spans="15:19" x14ac:dyDescent="0.25">
      <c r="O3668" s="4"/>
      <c r="P3668" s="4"/>
      <c r="Q3668" s="4"/>
      <c r="R3668" s="4"/>
      <c r="S3668" s="4"/>
    </row>
    <row r="3669" spans="15:19" x14ac:dyDescent="0.25">
      <c r="O3669" s="4"/>
      <c r="P3669" s="4"/>
      <c r="Q3669" s="4"/>
      <c r="R3669" s="4"/>
      <c r="S3669" s="4"/>
    </row>
    <row r="3670" spans="15:19" x14ac:dyDescent="0.25">
      <c r="O3670" s="4"/>
      <c r="P3670" s="4"/>
      <c r="Q3670" s="4"/>
      <c r="R3670" s="4"/>
      <c r="S3670" s="4"/>
    </row>
    <row r="3671" spans="15:19" x14ac:dyDescent="0.25">
      <c r="O3671" s="4"/>
      <c r="P3671" s="4"/>
      <c r="Q3671" s="4"/>
      <c r="R3671" s="4"/>
      <c r="S3671" s="4"/>
    </row>
    <row r="3672" spans="15:19" x14ac:dyDescent="0.25">
      <c r="O3672" s="4"/>
      <c r="P3672" s="4"/>
      <c r="Q3672" s="4"/>
      <c r="R3672" s="4"/>
      <c r="S3672" s="4"/>
    </row>
    <row r="3673" spans="15:19" x14ac:dyDescent="0.25">
      <c r="O3673" s="4"/>
      <c r="P3673" s="4"/>
      <c r="Q3673" s="4"/>
      <c r="R3673" s="4"/>
      <c r="S3673" s="4"/>
    </row>
    <row r="3674" spans="15:19" x14ac:dyDescent="0.25">
      <c r="O3674" s="4"/>
      <c r="P3674" s="4"/>
      <c r="Q3674" s="4"/>
      <c r="R3674" s="4"/>
      <c r="S3674" s="4"/>
    </row>
    <row r="3675" spans="15:19" x14ac:dyDescent="0.25">
      <c r="O3675" s="4"/>
      <c r="P3675" s="4"/>
      <c r="Q3675" s="4"/>
      <c r="R3675" s="4"/>
      <c r="S3675" s="4"/>
    </row>
    <row r="3676" spans="15:19" x14ac:dyDescent="0.25">
      <c r="O3676" s="4"/>
      <c r="P3676" s="4"/>
      <c r="Q3676" s="4"/>
      <c r="R3676" s="4"/>
      <c r="S3676" s="4"/>
    </row>
    <row r="3677" spans="15:19" x14ac:dyDescent="0.25">
      <c r="O3677" s="4"/>
      <c r="P3677" s="4"/>
      <c r="Q3677" s="4"/>
      <c r="R3677" s="4"/>
      <c r="S3677" s="4"/>
    </row>
    <row r="3678" spans="15:19" x14ac:dyDescent="0.25">
      <c r="O3678" s="4"/>
      <c r="P3678" s="4"/>
      <c r="Q3678" s="4"/>
      <c r="R3678" s="4"/>
      <c r="S3678" s="4"/>
    </row>
    <row r="3679" spans="15:19" x14ac:dyDescent="0.25">
      <c r="O3679" s="4"/>
      <c r="P3679" s="4"/>
      <c r="Q3679" s="4"/>
      <c r="R3679" s="4"/>
      <c r="S3679" s="4"/>
    </row>
    <row r="3680" spans="15:19" x14ac:dyDescent="0.25">
      <c r="O3680" s="4"/>
      <c r="P3680" s="4"/>
      <c r="Q3680" s="4"/>
      <c r="R3680" s="4"/>
      <c r="S3680" s="4"/>
    </row>
    <row r="3681" spans="15:19" x14ac:dyDescent="0.25">
      <c r="O3681" s="4"/>
      <c r="P3681" s="4"/>
      <c r="Q3681" s="4"/>
      <c r="R3681" s="4"/>
      <c r="S3681" s="4"/>
    </row>
    <row r="3682" spans="15:19" x14ac:dyDescent="0.25">
      <c r="O3682" s="4"/>
      <c r="P3682" s="4"/>
      <c r="Q3682" s="4"/>
      <c r="R3682" s="4"/>
      <c r="S3682" s="4"/>
    </row>
    <row r="3683" spans="15:19" x14ac:dyDescent="0.25">
      <c r="O3683" s="4"/>
      <c r="P3683" s="4"/>
      <c r="Q3683" s="4"/>
      <c r="R3683" s="4"/>
      <c r="S3683" s="4"/>
    </row>
    <row r="3684" spans="15:19" x14ac:dyDescent="0.25">
      <c r="O3684" s="4"/>
      <c r="P3684" s="4"/>
      <c r="Q3684" s="4"/>
      <c r="R3684" s="4"/>
      <c r="S3684" s="4"/>
    </row>
    <row r="3685" spans="15:19" x14ac:dyDescent="0.25">
      <c r="O3685" s="4"/>
      <c r="P3685" s="4"/>
      <c r="Q3685" s="4"/>
      <c r="R3685" s="4"/>
      <c r="S3685" s="4"/>
    </row>
    <row r="3686" spans="15:19" x14ac:dyDescent="0.25">
      <c r="O3686" s="4"/>
      <c r="P3686" s="4"/>
      <c r="Q3686" s="4"/>
      <c r="R3686" s="4"/>
      <c r="S3686" s="4"/>
    </row>
    <row r="3687" spans="15:19" x14ac:dyDescent="0.25">
      <c r="O3687" s="4"/>
      <c r="P3687" s="4"/>
      <c r="Q3687" s="4"/>
      <c r="R3687" s="4"/>
      <c r="S3687" s="4"/>
    </row>
    <row r="3688" spans="15:19" x14ac:dyDescent="0.25">
      <c r="O3688" s="4"/>
      <c r="P3688" s="4"/>
      <c r="Q3688" s="4"/>
      <c r="R3688" s="4"/>
      <c r="S3688" s="4"/>
    </row>
    <row r="3689" spans="15:19" x14ac:dyDescent="0.25">
      <c r="O3689" s="4"/>
      <c r="P3689" s="4"/>
      <c r="Q3689" s="4"/>
      <c r="R3689" s="4"/>
      <c r="S3689" s="4"/>
    </row>
    <row r="3690" spans="15:19" x14ac:dyDescent="0.25">
      <c r="O3690" s="4"/>
      <c r="P3690" s="4"/>
      <c r="Q3690" s="4"/>
      <c r="R3690" s="4"/>
      <c r="S3690" s="4"/>
    </row>
    <row r="3691" spans="15:19" x14ac:dyDescent="0.25">
      <c r="O3691" s="4"/>
      <c r="P3691" s="4"/>
      <c r="Q3691" s="4"/>
      <c r="R3691" s="4"/>
      <c r="S3691" s="4"/>
    </row>
    <row r="3692" spans="15:19" x14ac:dyDescent="0.25">
      <c r="O3692" s="4"/>
      <c r="P3692" s="4"/>
      <c r="Q3692" s="4"/>
      <c r="R3692" s="4"/>
      <c r="S3692" s="4"/>
    </row>
    <row r="3693" spans="15:19" x14ac:dyDescent="0.25">
      <c r="O3693" s="4"/>
      <c r="P3693" s="4"/>
      <c r="Q3693" s="4"/>
      <c r="R3693" s="4"/>
      <c r="S3693" s="4"/>
    </row>
    <row r="3694" spans="15:19" x14ac:dyDescent="0.25">
      <c r="O3694" s="4"/>
      <c r="P3694" s="4"/>
      <c r="Q3694" s="4"/>
      <c r="R3694" s="4"/>
      <c r="S3694" s="4"/>
    </row>
    <row r="3695" spans="15:19" x14ac:dyDescent="0.25">
      <c r="O3695" s="4"/>
      <c r="P3695" s="4"/>
      <c r="Q3695" s="4"/>
      <c r="R3695" s="4"/>
      <c r="S3695" s="4"/>
    </row>
    <row r="3696" spans="15:19" x14ac:dyDescent="0.25">
      <c r="O3696" s="4"/>
      <c r="P3696" s="4"/>
      <c r="Q3696" s="4"/>
      <c r="R3696" s="4"/>
      <c r="S3696" s="4"/>
    </row>
    <row r="3697" spans="15:19" x14ac:dyDescent="0.25">
      <c r="O3697" s="4"/>
      <c r="P3697" s="4"/>
      <c r="Q3697" s="4"/>
      <c r="R3697" s="4"/>
      <c r="S3697" s="4"/>
    </row>
    <row r="3698" spans="15:19" x14ac:dyDescent="0.25">
      <c r="O3698" s="4"/>
      <c r="P3698" s="4"/>
      <c r="Q3698" s="4"/>
      <c r="R3698" s="4"/>
      <c r="S3698" s="4"/>
    </row>
    <row r="3699" spans="15:19" x14ac:dyDescent="0.25">
      <c r="O3699" s="4"/>
      <c r="P3699" s="4"/>
      <c r="Q3699" s="4"/>
      <c r="R3699" s="4"/>
      <c r="S3699" s="4"/>
    </row>
    <row r="3700" spans="15:19" x14ac:dyDescent="0.25">
      <c r="O3700" s="4"/>
      <c r="P3700" s="4"/>
      <c r="Q3700" s="4"/>
      <c r="R3700" s="4"/>
      <c r="S3700" s="4"/>
    </row>
    <row r="3701" spans="15:19" x14ac:dyDescent="0.25">
      <c r="O3701" s="4"/>
      <c r="P3701" s="4"/>
      <c r="Q3701" s="4"/>
      <c r="R3701" s="4"/>
      <c r="S3701" s="4"/>
    </row>
    <row r="3702" spans="15:19" x14ac:dyDescent="0.25">
      <c r="O3702" s="4"/>
      <c r="P3702" s="4"/>
      <c r="Q3702" s="4"/>
      <c r="R3702" s="4"/>
      <c r="S3702" s="4"/>
    </row>
    <row r="3703" spans="15:19" x14ac:dyDescent="0.25">
      <c r="O3703" s="4"/>
      <c r="P3703" s="4"/>
      <c r="Q3703" s="4"/>
      <c r="R3703" s="4"/>
      <c r="S3703" s="4"/>
    </row>
    <row r="3704" spans="15:19" x14ac:dyDescent="0.25">
      <c r="O3704" s="4"/>
      <c r="P3704" s="4"/>
      <c r="Q3704" s="4"/>
      <c r="R3704" s="4"/>
      <c r="S3704" s="4"/>
    </row>
    <row r="3705" spans="15:19" x14ac:dyDescent="0.25">
      <c r="O3705" s="4"/>
      <c r="P3705" s="4"/>
      <c r="Q3705" s="4"/>
      <c r="R3705" s="4"/>
      <c r="S3705" s="4"/>
    </row>
    <row r="3706" spans="15:19" x14ac:dyDescent="0.25">
      <c r="O3706" s="4"/>
      <c r="P3706" s="4"/>
      <c r="Q3706" s="4"/>
      <c r="R3706" s="4"/>
      <c r="S3706" s="4"/>
    </row>
    <row r="3707" spans="15:19" x14ac:dyDescent="0.25">
      <c r="O3707" s="4"/>
      <c r="P3707" s="4"/>
      <c r="Q3707" s="4"/>
      <c r="R3707" s="4"/>
      <c r="S3707" s="4"/>
    </row>
    <row r="3708" spans="15:19" x14ac:dyDescent="0.25">
      <c r="O3708" s="4"/>
      <c r="P3708" s="4"/>
      <c r="Q3708" s="4"/>
      <c r="R3708" s="4"/>
      <c r="S3708" s="4"/>
    </row>
    <row r="3709" spans="15:19" x14ac:dyDescent="0.25">
      <c r="O3709" s="4"/>
      <c r="P3709" s="4"/>
      <c r="Q3709" s="4"/>
      <c r="R3709" s="4"/>
      <c r="S3709" s="4"/>
    </row>
    <row r="3710" spans="15:19" x14ac:dyDescent="0.25">
      <c r="O3710" s="4"/>
      <c r="P3710" s="4"/>
      <c r="Q3710" s="4"/>
      <c r="R3710" s="4"/>
      <c r="S3710" s="4"/>
    </row>
    <row r="3711" spans="15:19" x14ac:dyDescent="0.25">
      <c r="O3711" s="4"/>
      <c r="P3711" s="4"/>
      <c r="Q3711" s="4"/>
      <c r="R3711" s="4"/>
      <c r="S3711" s="4"/>
    </row>
    <row r="3712" spans="15:19" x14ac:dyDescent="0.25">
      <c r="O3712" s="4"/>
      <c r="P3712" s="4"/>
      <c r="Q3712" s="4"/>
      <c r="R3712" s="4"/>
      <c r="S3712" s="4"/>
    </row>
    <row r="3713" spans="15:19" x14ac:dyDescent="0.25">
      <c r="O3713" s="4"/>
      <c r="P3713" s="4"/>
      <c r="Q3713" s="4"/>
      <c r="R3713" s="4"/>
      <c r="S3713" s="4"/>
    </row>
    <row r="3714" spans="15:19" x14ac:dyDescent="0.25">
      <c r="O3714" s="4"/>
      <c r="P3714" s="4"/>
      <c r="Q3714" s="4"/>
      <c r="R3714" s="4"/>
      <c r="S3714" s="4"/>
    </row>
    <row r="3715" spans="15:19" x14ac:dyDescent="0.25">
      <c r="O3715" s="4"/>
      <c r="P3715" s="4"/>
      <c r="Q3715" s="4"/>
      <c r="R3715" s="4"/>
      <c r="S3715" s="4"/>
    </row>
    <row r="3716" spans="15:19" x14ac:dyDescent="0.25">
      <c r="O3716" s="4"/>
      <c r="P3716" s="4"/>
      <c r="Q3716" s="4"/>
      <c r="R3716" s="4"/>
      <c r="S3716" s="4"/>
    </row>
    <row r="3717" spans="15:19" x14ac:dyDescent="0.25">
      <c r="O3717" s="4"/>
      <c r="P3717" s="4"/>
      <c r="Q3717" s="4"/>
      <c r="R3717" s="4"/>
      <c r="S3717" s="4"/>
    </row>
    <row r="3718" spans="15:19" x14ac:dyDescent="0.25">
      <c r="O3718" s="4"/>
      <c r="P3718" s="4"/>
      <c r="Q3718" s="4"/>
      <c r="R3718" s="4"/>
      <c r="S3718" s="4"/>
    </row>
    <row r="3719" spans="15:19" x14ac:dyDescent="0.25">
      <c r="O3719" s="4"/>
      <c r="P3719" s="4"/>
      <c r="Q3719" s="4"/>
      <c r="R3719" s="4"/>
      <c r="S3719" s="4"/>
    </row>
    <row r="3720" spans="15:19" x14ac:dyDescent="0.25">
      <c r="O3720" s="4"/>
      <c r="P3720" s="4"/>
      <c r="Q3720" s="4"/>
      <c r="R3720" s="4"/>
      <c r="S3720" s="4"/>
    </row>
    <row r="3721" spans="15:19" x14ac:dyDescent="0.25">
      <c r="O3721" s="4"/>
      <c r="P3721" s="4"/>
      <c r="Q3721" s="4"/>
      <c r="R3721" s="4"/>
      <c r="S3721" s="4"/>
    </row>
    <row r="3722" spans="15:19" x14ac:dyDescent="0.25">
      <c r="O3722" s="4"/>
      <c r="P3722" s="4"/>
      <c r="Q3722" s="4"/>
      <c r="R3722" s="4"/>
      <c r="S3722" s="4"/>
    </row>
    <row r="3723" spans="15:19" x14ac:dyDescent="0.25">
      <c r="O3723" s="4"/>
      <c r="P3723" s="4"/>
      <c r="Q3723" s="4"/>
      <c r="R3723" s="4"/>
      <c r="S3723" s="4"/>
    </row>
    <row r="3724" spans="15:19" x14ac:dyDescent="0.25">
      <c r="O3724" s="4"/>
      <c r="P3724" s="4"/>
      <c r="Q3724" s="4"/>
      <c r="R3724" s="4"/>
      <c r="S3724" s="4"/>
    </row>
    <row r="3725" spans="15:19" x14ac:dyDescent="0.25">
      <c r="O3725" s="4"/>
      <c r="P3725" s="4"/>
      <c r="Q3725" s="4"/>
      <c r="R3725" s="4"/>
      <c r="S3725" s="4"/>
    </row>
    <row r="3726" spans="15:19" x14ac:dyDescent="0.25">
      <c r="O3726" s="4"/>
      <c r="P3726" s="4"/>
      <c r="Q3726" s="4"/>
      <c r="R3726" s="4"/>
      <c r="S3726" s="4"/>
    </row>
    <row r="3727" spans="15:19" x14ac:dyDescent="0.25">
      <c r="O3727" s="4"/>
      <c r="P3727" s="4"/>
      <c r="Q3727" s="4"/>
      <c r="R3727" s="4"/>
      <c r="S3727" s="4"/>
    </row>
    <row r="3728" spans="15:19" x14ac:dyDescent="0.25">
      <c r="O3728" s="4"/>
      <c r="P3728" s="4"/>
      <c r="Q3728" s="4"/>
      <c r="R3728" s="4"/>
      <c r="S3728" s="4"/>
    </row>
    <row r="3729" spans="15:19" x14ac:dyDescent="0.25">
      <c r="O3729" s="4"/>
      <c r="P3729" s="4"/>
      <c r="Q3729" s="4"/>
      <c r="R3729" s="4"/>
      <c r="S3729" s="4"/>
    </row>
    <row r="3730" spans="15:19" x14ac:dyDescent="0.25">
      <c r="O3730" s="4"/>
      <c r="P3730" s="4"/>
      <c r="Q3730" s="4"/>
      <c r="R3730" s="4"/>
      <c r="S3730" s="4"/>
    </row>
    <row r="3731" spans="15:19" x14ac:dyDescent="0.25">
      <c r="O3731" s="4"/>
      <c r="P3731" s="4"/>
      <c r="Q3731" s="4"/>
      <c r="R3731" s="4"/>
      <c r="S3731" s="4"/>
    </row>
    <row r="3732" spans="15:19" x14ac:dyDescent="0.25">
      <c r="O3732" s="4"/>
      <c r="P3732" s="4"/>
      <c r="Q3732" s="4"/>
      <c r="R3732" s="4"/>
      <c r="S3732" s="4"/>
    </row>
    <row r="3733" spans="15:19" x14ac:dyDescent="0.25">
      <c r="O3733" s="4"/>
      <c r="P3733" s="4"/>
      <c r="Q3733" s="4"/>
      <c r="R3733" s="4"/>
      <c r="S3733" s="4"/>
    </row>
    <row r="3734" spans="15:19" x14ac:dyDescent="0.25">
      <c r="O3734" s="4"/>
      <c r="P3734" s="4"/>
      <c r="Q3734" s="4"/>
      <c r="R3734" s="4"/>
      <c r="S3734" s="4"/>
    </row>
    <row r="3735" spans="15:19" x14ac:dyDescent="0.25">
      <c r="O3735" s="4"/>
      <c r="P3735" s="4"/>
      <c r="Q3735" s="4"/>
      <c r="R3735" s="4"/>
      <c r="S3735" s="4"/>
    </row>
    <row r="3736" spans="15:19" x14ac:dyDescent="0.25">
      <c r="O3736" s="4"/>
      <c r="P3736" s="4"/>
      <c r="Q3736" s="4"/>
      <c r="R3736" s="4"/>
      <c r="S3736" s="4"/>
    </row>
    <row r="3737" spans="15:19" x14ac:dyDescent="0.25">
      <c r="O3737" s="4"/>
      <c r="P3737" s="4"/>
      <c r="Q3737" s="4"/>
      <c r="R3737" s="4"/>
      <c r="S3737" s="4"/>
    </row>
    <row r="3738" spans="15:19" x14ac:dyDescent="0.25">
      <c r="O3738" s="4"/>
      <c r="P3738" s="4"/>
      <c r="Q3738" s="4"/>
      <c r="R3738" s="4"/>
      <c r="S3738" s="4"/>
    </row>
    <row r="3739" spans="15:19" x14ac:dyDescent="0.25">
      <c r="O3739" s="4"/>
      <c r="P3739" s="4"/>
      <c r="Q3739" s="4"/>
      <c r="R3739" s="4"/>
      <c r="S3739" s="4"/>
    </row>
    <row r="3740" spans="15:19" x14ac:dyDescent="0.25">
      <c r="O3740" s="4"/>
      <c r="P3740" s="4"/>
      <c r="Q3740" s="4"/>
      <c r="R3740" s="4"/>
      <c r="S3740" s="4"/>
    </row>
    <row r="3741" spans="15:19" x14ac:dyDescent="0.25">
      <c r="O3741" s="4"/>
      <c r="P3741" s="4"/>
      <c r="Q3741" s="4"/>
      <c r="R3741" s="4"/>
      <c r="S3741" s="4"/>
    </row>
    <row r="3742" spans="15:19" x14ac:dyDescent="0.25">
      <c r="O3742" s="4"/>
      <c r="P3742" s="4"/>
      <c r="Q3742" s="4"/>
      <c r="R3742" s="4"/>
      <c r="S3742" s="4"/>
    </row>
    <row r="3743" spans="15:19" x14ac:dyDescent="0.25">
      <c r="O3743" s="4"/>
      <c r="P3743" s="4"/>
      <c r="Q3743" s="4"/>
      <c r="R3743" s="4"/>
      <c r="S3743" s="4"/>
    </row>
    <row r="3744" spans="15:19" x14ac:dyDescent="0.25">
      <c r="O3744" s="4"/>
      <c r="P3744" s="4"/>
      <c r="Q3744" s="4"/>
      <c r="R3744" s="4"/>
      <c r="S3744" s="4"/>
    </row>
    <row r="3745" spans="15:19" x14ac:dyDescent="0.25">
      <c r="O3745" s="4"/>
      <c r="P3745" s="4"/>
      <c r="Q3745" s="4"/>
      <c r="R3745" s="4"/>
      <c r="S3745" s="4"/>
    </row>
    <row r="3746" spans="15:19" x14ac:dyDescent="0.25">
      <c r="O3746" s="4"/>
      <c r="P3746" s="4"/>
      <c r="Q3746" s="4"/>
      <c r="R3746" s="4"/>
      <c r="S3746" s="4"/>
    </row>
    <row r="3747" spans="15:19" x14ac:dyDescent="0.25">
      <c r="O3747" s="4"/>
      <c r="P3747" s="4"/>
      <c r="Q3747" s="4"/>
      <c r="R3747" s="4"/>
      <c r="S3747" s="4"/>
    </row>
    <row r="3748" spans="15:19" x14ac:dyDescent="0.25">
      <c r="O3748" s="4"/>
      <c r="P3748" s="4"/>
      <c r="Q3748" s="4"/>
      <c r="R3748" s="4"/>
      <c r="S3748" s="4"/>
    </row>
    <row r="3749" spans="15:19" x14ac:dyDescent="0.25">
      <c r="O3749" s="4"/>
      <c r="P3749" s="4"/>
      <c r="Q3749" s="4"/>
      <c r="R3749" s="4"/>
      <c r="S3749" s="4"/>
    </row>
    <row r="3750" spans="15:19" x14ac:dyDescent="0.25">
      <c r="O3750" s="4"/>
      <c r="P3750" s="4"/>
      <c r="Q3750" s="4"/>
      <c r="R3750" s="4"/>
      <c r="S3750" s="4"/>
    </row>
    <row r="3751" spans="15:19" x14ac:dyDescent="0.25">
      <c r="O3751" s="4"/>
      <c r="P3751" s="4"/>
      <c r="Q3751" s="4"/>
      <c r="R3751" s="4"/>
      <c r="S3751" s="4"/>
    </row>
    <row r="3752" spans="15:19" x14ac:dyDescent="0.25">
      <c r="O3752" s="4"/>
      <c r="P3752" s="4"/>
      <c r="Q3752" s="4"/>
      <c r="R3752" s="4"/>
      <c r="S3752" s="4"/>
    </row>
    <row r="3753" spans="15:19" x14ac:dyDescent="0.25">
      <c r="O3753" s="4"/>
      <c r="P3753" s="4"/>
      <c r="Q3753" s="4"/>
      <c r="R3753" s="4"/>
      <c r="S3753" s="4"/>
    </row>
    <row r="3754" spans="15:19" x14ac:dyDescent="0.25">
      <c r="O3754" s="4"/>
      <c r="P3754" s="4"/>
      <c r="Q3754" s="4"/>
      <c r="R3754" s="4"/>
      <c r="S3754" s="4"/>
    </row>
    <row r="3755" spans="15:19" x14ac:dyDescent="0.25">
      <c r="O3755" s="4"/>
      <c r="P3755" s="4"/>
      <c r="Q3755" s="4"/>
      <c r="R3755" s="4"/>
      <c r="S3755" s="4"/>
    </row>
    <row r="3756" spans="15:19" x14ac:dyDescent="0.25">
      <c r="O3756" s="4"/>
      <c r="P3756" s="4"/>
      <c r="Q3756" s="4"/>
      <c r="R3756" s="4"/>
      <c r="S3756" s="4"/>
    </row>
    <row r="3757" spans="15:19" x14ac:dyDescent="0.25">
      <c r="O3757" s="4"/>
      <c r="P3757" s="4"/>
      <c r="Q3757" s="4"/>
      <c r="R3757" s="4"/>
      <c r="S3757" s="4"/>
    </row>
    <row r="3758" spans="15:19" x14ac:dyDescent="0.25">
      <c r="O3758" s="4"/>
      <c r="P3758" s="4"/>
      <c r="Q3758" s="4"/>
      <c r="R3758" s="4"/>
      <c r="S3758" s="4"/>
    </row>
    <row r="3759" spans="15:19" x14ac:dyDescent="0.25">
      <c r="O3759" s="4"/>
      <c r="P3759" s="4"/>
      <c r="Q3759" s="4"/>
      <c r="R3759" s="4"/>
      <c r="S3759" s="4"/>
    </row>
    <row r="3760" spans="15:19" x14ac:dyDescent="0.25">
      <c r="O3760" s="4"/>
      <c r="P3760" s="4"/>
      <c r="Q3760" s="4"/>
      <c r="R3760" s="4"/>
      <c r="S3760" s="4"/>
    </row>
    <row r="3761" spans="15:19" x14ac:dyDescent="0.25">
      <c r="O3761" s="4"/>
      <c r="P3761" s="4"/>
      <c r="Q3761" s="4"/>
      <c r="R3761" s="4"/>
      <c r="S3761" s="4"/>
    </row>
    <row r="3762" spans="15:19" x14ac:dyDescent="0.25">
      <c r="O3762" s="4"/>
      <c r="P3762" s="4"/>
      <c r="Q3762" s="4"/>
      <c r="R3762" s="4"/>
      <c r="S3762" s="4"/>
    </row>
    <row r="3763" spans="15:19" x14ac:dyDescent="0.25">
      <c r="O3763" s="4"/>
      <c r="P3763" s="4"/>
      <c r="Q3763" s="4"/>
      <c r="R3763" s="4"/>
      <c r="S3763" s="4"/>
    </row>
    <row r="3764" spans="15:19" x14ac:dyDescent="0.25">
      <c r="O3764" s="4"/>
      <c r="P3764" s="4"/>
      <c r="Q3764" s="4"/>
      <c r="R3764" s="4"/>
      <c r="S3764" s="4"/>
    </row>
    <row r="3765" spans="15:19" x14ac:dyDescent="0.25">
      <c r="O3765" s="4"/>
      <c r="P3765" s="4"/>
      <c r="Q3765" s="4"/>
      <c r="R3765" s="4"/>
      <c r="S3765" s="4"/>
    </row>
    <row r="3766" spans="15:19" x14ac:dyDescent="0.25">
      <c r="O3766" s="4"/>
      <c r="P3766" s="4"/>
      <c r="Q3766" s="4"/>
      <c r="R3766" s="4"/>
      <c r="S3766" s="4"/>
    </row>
    <row r="3767" spans="15:19" x14ac:dyDescent="0.25">
      <c r="O3767" s="4"/>
      <c r="P3767" s="4"/>
      <c r="Q3767" s="4"/>
      <c r="R3767" s="4"/>
      <c r="S3767" s="4"/>
    </row>
    <row r="3768" spans="15:19" x14ac:dyDescent="0.25">
      <c r="O3768" s="4"/>
      <c r="P3768" s="4"/>
      <c r="Q3768" s="4"/>
      <c r="R3768" s="4"/>
      <c r="S3768" s="4"/>
    </row>
    <row r="3769" spans="15:19" x14ac:dyDescent="0.25">
      <c r="O3769" s="4"/>
      <c r="P3769" s="4"/>
      <c r="Q3769" s="4"/>
      <c r="R3769" s="4"/>
      <c r="S3769" s="4"/>
    </row>
    <row r="3770" spans="15:19" x14ac:dyDescent="0.25">
      <c r="O3770" s="4"/>
      <c r="P3770" s="4"/>
      <c r="Q3770" s="4"/>
      <c r="R3770" s="4"/>
      <c r="S3770" s="4"/>
    </row>
    <row r="3771" spans="15:19" x14ac:dyDescent="0.25">
      <c r="O3771" s="4"/>
      <c r="P3771" s="4"/>
      <c r="Q3771" s="4"/>
      <c r="R3771" s="4"/>
      <c r="S3771" s="4"/>
    </row>
    <row r="3772" spans="15:19" x14ac:dyDescent="0.25">
      <c r="O3772" s="4"/>
      <c r="P3772" s="4"/>
      <c r="Q3772" s="4"/>
      <c r="R3772" s="4"/>
      <c r="S3772" s="4"/>
    </row>
    <row r="3773" spans="15:19" x14ac:dyDescent="0.25">
      <c r="O3773" s="4"/>
      <c r="P3773" s="4"/>
      <c r="Q3773" s="4"/>
      <c r="R3773" s="4"/>
      <c r="S3773" s="4"/>
    </row>
    <row r="3774" spans="15:19" x14ac:dyDescent="0.25">
      <c r="O3774" s="4"/>
      <c r="P3774" s="4"/>
      <c r="Q3774" s="4"/>
      <c r="R3774" s="4"/>
      <c r="S3774" s="4"/>
    </row>
    <row r="3775" spans="15:19" x14ac:dyDescent="0.25">
      <c r="O3775" s="4"/>
      <c r="P3775" s="4"/>
      <c r="Q3775" s="4"/>
      <c r="R3775" s="4"/>
      <c r="S3775" s="4"/>
    </row>
    <row r="3776" spans="15:19" x14ac:dyDescent="0.25">
      <c r="O3776" s="4"/>
      <c r="P3776" s="4"/>
      <c r="Q3776" s="4"/>
      <c r="R3776" s="4"/>
      <c r="S3776" s="4"/>
    </row>
    <row r="3777" spans="15:19" x14ac:dyDescent="0.25">
      <c r="O3777" s="4"/>
      <c r="P3777" s="4"/>
      <c r="Q3777" s="4"/>
      <c r="R3777" s="4"/>
      <c r="S3777" s="4"/>
    </row>
    <row r="3778" spans="15:19" x14ac:dyDescent="0.25">
      <c r="O3778" s="4"/>
      <c r="P3778" s="4"/>
      <c r="Q3778" s="4"/>
      <c r="R3778" s="4"/>
      <c r="S3778" s="4"/>
    </row>
    <row r="3779" spans="15:19" x14ac:dyDescent="0.25">
      <c r="O3779" s="4"/>
      <c r="P3779" s="4"/>
      <c r="Q3779" s="4"/>
      <c r="R3779" s="4"/>
      <c r="S3779" s="4"/>
    </row>
    <row r="3780" spans="15:19" x14ac:dyDescent="0.25">
      <c r="O3780" s="4"/>
      <c r="P3780" s="4"/>
      <c r="Q3780" s="4"/>
      <c r="R3780" s="4"/>
      <c r="S3780" s="4"/>
    </row>
    <row r="3781" spans="15:19" x14ac:dyDescent="0.25">
      <c r="O3781" s="4"/>
      <c r="P3781" s="4"/>
      <c r="Q3781" s="4"/>
      <c r="R3781" s="4"/>
      <c r="S3781" s="4"/>
    </row>
    <row r="3782" spans="15:19" x14ac:dyDescent="0.25">
      <c r="O3782" s="4"/>
      <c r="P3782" s="4"/>
      <c r="Q3782" s="4"/>
      <c r="R3782" s="4"/>
      <c r="S3782" s="4"/>
    </row>
    <row r="3783" spans="15:19" x14ac:dyDescent="0.25">
      <c r="O3783" s="4"/>
      <c r="P3783" s="4"/>
      <c r="Q3783" s="4"/>
      <c r="R3783" s="4"/>
      <c r="S3783" s="4"/>
    </row>
    <row r="3784" spans="15:19" x14ac:dyDescent="0.25">
      <c r="O3784" s="4"/>
      <c r="P3784" s="4"/>
      <c r="Q3784" s="4"/>
      <c r="R3784" s="4"/>
      <c r="S3784" s="4"/>
    </row>
    <row r="3785" spans="15:19" x14ac:dyDescent="0.25">
      <c r="O3785" s="4"/>
      <c r="P3785" s="4"/>
      <c r="Q3785" s="4"/>
      <c r="R3785" s="4"/>
      <c r="S3785" s="4"/>
    </row>
    <row r="3786" spans="15:19" x14ac:dyDescent="0.25">
      <c r="O3786" s="4"/>
      <c r="P3786" s="4"/>
      <c r="Q3786" s="4"/>
      <c r="R3786" s="4"/>
      <c r="S3786" s="4"/>
    </row>
    <row r="3787" spans="15:19" x14ac:dyDescent="0.25">
      <c r="O3787" s="4"/>
      <c r="P3787" s="4"/>
      <c r="Q3787" s="4"/>
      <c r="R3787" s="4"/>
      <c r="S3787" s="4"/>
    </row>
    <row r="3788" spans="15:19" x14ac:dyDescent="0.25">
      <c r="O3788" s="4"/>
      <c r="P3788" s="4"/>
      <c r="Q3788" s="4"/>
      <c r="R3788" s="4"/>
      <c r="S3788" s="4"/>
    </row>
    <row r="3789" spans="15:19" x14ac:dyDescent="0.25">
      <c r="O3789" s="4"/>
      <c r="P3789" s="4"/>
      <c r="Q3789" s="4"/>
      <c r="R3789" s="4"/>
      <c r="S3789" s="4"/>
    </row>
    <row r="3790" spans="15:19" x14ac:dyDescent="0.25">
      <c r="O3790" s="4"/>
      <c r="P3790" s="4"/>
      <c r="Q3790" s="4"/>
      <c r="R3790" s="4"/>
      <c r="S3790" s="4"/>
    </row>
    <row r="3791" spans="15:19" x14ac:dyDescent="0.25">
      <c r="O3791" s="4"/>
      <c r="P3791" s="4"/>
      <c r="Q3791" s="4"/>
      <c r="R3791" s="4"/>
      <c r="S3791" s="4"/>
    </row>
    <row r="3792" spans="15:19" x14ac:dyDescent="0.25">
      <c r="O3792" s="4"/>
      <c r="P3792" s="4"/>
      <c r="Q3792" s="4"/>
      <c r="R3792" s="4"/>
      <c r="S3792" s="4"/>
    </row>
    <row r="3793" spans="15:19" x14ac:dyDescent="0.25">
      <c r="O3793" s="4"/>
      <c r="P3793" s="4"/>
      <c r="Q3793" s="4"/>
      <c r="R3793" s="4"/>
      <c r="S3793" s="4"/>
    </row>
    <row r="3794" spans="15:19" x14ac:dyDescent="0.25">
      <c r="O3794" s="4"/>
      <c r="P3794" s="4"/>
      <c r="Q3794" s="4"/>
      <c r="R3794" s="4"/>
      <c r="S3794" s="4"/>
    </row>
    <row r="3795" spans="15:19" x14ac:dyDescent="0.25">
      <c r="O3795" s="4"/>
      <c r="P3795" s="4"/>
      <c r="Q3795" s="4"/>
      <c r="R3795" s="4"/>
      <c r="S3795" s="4"/>
    </row>
    <row r="3796" spans="15:19" x14ac:dyDescent="0.25">
      <c r="O3796" s="4"/>
      <c r="P3796" s="4"/>
      <c r="Q3796" s="4"/>
      <c r="R3796" s="4"/>
      <c r="S3796" s="4"/>
    </row>
    <row r="3797" spans="15:19" x14ac:dyDescent="0.25">
      <c r="O3797" s="4"/>
      <c r="P3797" s="4"/>
      <c r="Q3797" s="4"/>
      <c r="R3797" s="4"/>
      <c r="S3797" s="4"/>
    </row>
    <row r="3798" spans="15:19" x14ac:dyDescent="0.25">
      <c r="O3798" s="4"/>
      <c r="P3798" s="4"/>
      <c r="Q3798" s="4"/>
      <c r="R3798" s="4"/>
      <c r="S3798" s="4"/>
    </row>
    <row r="3799" spans="15:19" x14ac:dyDescent="0.25">
      <c r="O3799" s="4"/>
      <c r="P3799" s="4"/>
      <c r="Q3799" s="4"/>
      <c r="R3799" s="4"/>
      <c r="S3799" s="4"/>
    </row>
    <row r="3800" spans="15:19" x14ac:dyDescent="0.25">
      <c r="O3800" s="4"/>
      <c r="P3800" s="4"/>
      <c r="Q3800" s="4"/>
      <c r="R3800" s="4"/>
      <c r="S3800" s="4"/>
    </row>
    <row r="3801" spans="15:19" x14ac:dyDescent="0.25">
      <c r="O3801" s="4"/>
      <c r="P3801" s="4"/>
      <c r="Q3801" s="4"/>
      <c r="R3801" s="4"/>
      <c r="S3801" s="4"/>
    </row>
    <row r="3802" spans="15:19" x14ac:dyDescent="0.25">
      <c r="O3802" s="4"/>
      <c r="P3802" s="4"/>
      <c r="Q3802" s="4"/>
      <c r="R3802" s="4"/>
      <c r="S3802" s="4"/>
    </row>
    <row r="3803" spans="15:19" x14ac:dyDescent="0.25">
      <c r="O3803" s="4"/>
      <c r="P3803" s="4"/>
      <c r="Q3803" s="4"/>
      <c r="R3803" s="4"/>
      <c r="S3803" s="4"/>
    </row>
    <row r="3804" spans="15:19" x14ac:dyDescent="0.25">
      <c r="O3804" s="4"/>
      <c r="P3804" s="4"/>
      <c r="Q3804" s="4"/>
      <c r="R3804" s="4"/>
      <c r="S3804" s="4"/>
    </row>
    <row r="3805" spans="15:19" x14ac:dyDescent="0.25">
      <c r="O3805" s="4"/>
      <c r="P3805" s="4"/>
      <c r="Q3805" s="4"/>
      <c r="R3805" s="4"/>
      <c r="S3805" s="4"/>
    </row>
    <row r="3806" spans="15:19" x14ac:dyDescent="0.25">
      <c r="O3806" s="4"/>
      <c r="P3806" s="4"/>
      <c r="Q3806" s="4"/>
      <c r="R3806" s="4"/>
      <c r="S3806" s="4"/>
    </row>
    <row r="3807" spans="15:19" x14ac:dyDescent="0.25">
      <c r="O3807" s="4"/>
      <c r="P3807" s="4"/>
      <c r="Q3807" s="4"/>
      <c r="R3807" s="4"/>
      <c r="S3807" s="4"/>
    </row>
    <row r="3808" spans="15:19" x14ac:dyDescent="0.25">
      <c r="O3808" s="4"/>
      <c r="P3808" s="4"/>
      <c r="Q3808" s="4"/>
      <c r="R3808" s="4"/>
      <c r="S3808" s="4"/>
    </row>
    <row r="3809" spans="15:19" x14ac:dyDescent="0.25">
      <c r="O3809" s="4"/>
      <c r="P3809" s="4"/>
      <c r="Q3809" s="4"/>
      <c r="R3809" s="4"/>
      <c r="S3809" s="4"/>
    </row>
    <row r="3810" spans="15:19" x14ac:dyDescent="0.25">
      <c r="O3810" s="4"/>
      <c r="P3810" s="4"/>
      <c r="Q3810" s="4"/>
      <c r="R3810" s="4"/>
      <c r="S3810" s="4"/>
    </row>
    <row r="3811" spans="15:19" x14ac:dyDescent="0.25">
      <c r="O3811" s="4"/>
      <c r="P3811" s="4"/>
      <c r="Q3811" s="4"/>
      <c r="R3811" s="4"/>
      <c r="S3811" s="4"/>
    </row>
    <row r="3812" spans="15:19" x14ac:dyDescent="0.25">
      <c r="O3812" s="4"/>
      <c r="P3812" s="4"/>
      <c r="Q3812" s="4"/>
      <c r="R3812" s="4"/>
      <c r="S3812" s="4"/>
    </row>
    <row r="3813" spans="15:19" x14ac:dyDescent="0.25">
      <c r="O3813" s="4"/>
      <c r="P3813" s="4"/>
      <c r="Q3813" s="4"/>
      <c r="R3813" s="4"/>
      <c r="S3813" s="4"/>
    </row>
    <row r="3814" spans="15:19" x14ac:dyDescent="0.25">
      <c r="O3814" s="4"/>
      <c r="P3814" s="4"/>
      <c r="Q3814" s="4"/>
      <c r="R3814" s="4"/>
      <c r="S3814" s="4"/>
    </row>
    <row r="3815" spans="15:19" x14ac:dyDescent="0.25">
      <c r="O3815" s="4"/>
      <c r="P3815" s="4"/>
      <c r="Q3815" s="4"/>
      <c r="R3815" s="4"/>
      <c r="S3815" s="4"/>
    </row>
    <row r="3816" spans="15:19" x14ac:dyDescent="0.25">
      <c r="O3816" s="4"/>
      <c r="P3816" s="4"/>
      <c r="Q3816" s="4"/>
      <c r="R3816" s="4"/>
      <c r="S3816" s="4"/>
    </row>
    <row r="3817" spans="15:19" x14ac:dyDescent="0.25">
      <c r="O3817" s="4"/>
      <c r="P3817" s="4"/>
      <c r="Q3817" s="4"/>
      <c r="R3817" s="4"/>
      <c r="S3817" s="4"/>
    </row>
    <row r="3818" spans="15:19" x14ac:dyDescent="0.25">
      <c r="O3818" s="4"/>
      <c r="P3818" s="4"/>
      <c r="Q3818" s="4"/>
      <c r="R3818" s="4"/>
      <c r="S3818" s="4"/>
    </row>
    <row r="3819" spans="15:19" x14ac:dyDescent="0.25">
      <c r="O3819" s="4"/>
      <c r="P3819" s="4"/>
      <c r="Q3819" s="4"/>
      <c r="R3819" s="4"/>
      <c r="S3819" s="4"/>
    </row>
    <row r="3820" spans="15:19" x14ac:dyDescent="0.25">
      <c r="O3820" s="4"/>
      <c r="P3820" s="4"/>
      <c r="Q3820" s="4"/>
      <c r="R3820" s="4"/>
      <c r="S3820" s="4"/>
    </row>
    <row r="3821" spans="15:19" x14ac:dyDescent="0.25">
      <c r="O3821" s="4"/>
      <c r="P3821" s="4"/>
      <c r="Q3821" s="4"/>
      <c r="R3821" s="4"/>
      <c r="S3821" s="4"/>
    </row>
    <row r="3822" spans="15:19" x14ac:dyDescent="0.25">
      <c r="O3822" s="4"/>
      <c r="P3822" s="4"/>
      <c r="Q3822" s="4"/>
      <c r="R3822" s="4"/>
      <c r="S3822" s="4"/>
    </row>
    <row r="3823" spans="15:19" x14ac:dyDescent="0.25">
      <c r="O3823" s="4"/>
      <c r="P3823" s="4"/>
      <c r="Q3823" s="4"/>
      <c r="R3823" s="4"/>
      <c r="S3823" s="4"/>
    </row>
    <row r="3824" spans="15:19" x14ac:dyDescent="0.25">
      <c r="O3824" s="4"/>
      <c r="P3824" s="4"/>
      <c r="Q3824" s="4"/>
      <c r="R3824" s="4"/>
      <c r="S3824" s="4"/>
    </row>
    <row r="3825" spans="15:19" x14ac:dyDescent="0.25">
      <c r="O3825" s="4"/>
      <c r="P3825" s="4"/>
      <c r="Q3825" s="4"/>
      <c r="R3825" s="4"/>
      <c r="S3825" s="4"/>
    </row>
    <row r="3826" spans="15:19" x14ac:dyDescent="0.25">
      <c r="O3826" s="4"/>
      <c r="P3826" s="4"/>
      <c r="Q3826" s="4"/>
      <c r="R3826" s="4"/>
      <c r="S3826" s="4"/>
    </row>
    <row r="3827" spans="15:19" x14ac:dyDescent="0.25">
      <c r="O3827" s="4"/>
      <c r="P3827" s="4"/>
      <c r="Q3827" s="4"/>
      <c r="R3827" s="4"/>
      <c r="S3827" s="4"/>
    </row>
    <row r="3828" spans="15:19" x14ac:dyDescent="0.25">
      <c r="O3828" s="4"/>
      <c r="P3828" s="4"/>
      <c r="Q3828" s="4"/>
      <c r="R3828" s="4"/>
      <c r="S3828" s="4"/>
    </row>
    <row r="3829" spans="15:19" x14ac:dyDescent="0.25">
      <c r="O3829" s="4"/>
      <c r="P3829" s="4"/>
      <c r="Q3829" s="4"/>
      <c r="R3829" s="4"/>
      <c r="S3829" s="4"/>
    </row>
    <row r="3830" spans="15:19" x14ac:dyDescent="0.25">
      <c r="O3830" s="4"/>
      <c r="P3830" s="4"/>
      <c r="Q3830" s="4"/>
      <c r="R3830" s="4"/>
      <c r="S3830" s="4"/>
    </row>
    <row r="3831" spans="15:19" x14ac:dyDescent="0.25">
      <c r="O3831" s="4"/>
      <c r="P3831" s="4"/>
      <c r="Q3831" s="4"/>
      <c r="R3831" s="4"/>
      <c r="S3831" s="4"/>
    </row>
    <row r="3832" spans="15:19" x14ac:dyDescent="0.25">
      <c r="O3832" s="4"/>
      <c r="P3832" s="4"/>
      <c r="Q3832" s="4"/>
      <c r="R3832" s="4"/>
      <c r="S3832" s="4"/>
    </row>
    <row r="3833" spans="15:19" x14ac:dyDescent="0.25">
      <c r="O3833" s="4"/>
      <c r="P3833" s="4"/>
      <c r="Q3833" s="4"/>
      <c r="R3833" s="4"/>
      <c r="S3833" s="4"/>
    </row>
    <row r="3834" spans="15:19" x14ac:dyDescent="0.25">
      <c r="O3834" s="4"/>
      <c r="P3834" s="4"/>
      <c r="Q3834" s="4"/>
      <c r="R3834" s="4"/>
      <c r="S3834" s="4"/>
    </row>
    <row r="3835" spans="15:19" x14ac:dyDescent="0.25">
      <c r="O3835" s="4"/>
      <c r="P3835" s="4"/>
      <c r="Q3835" s="4"/>
      <c r="R3835" s="4"/>
      <c r="S3835" s="4"/>
    </row>
    <row r="3836" spans="15:19" x14ac:dyDescent="0.25">
      <c r="O3836" s="4"/>
      <c r="P3836" s="4"/>
      <c r="Q3836" s="4"/>
      <c r="R3836" s="4"/>
      <c r="S3836" s="4"/>
    </row>
    <row r="3837" spans="15:19" x14ac:dyDescent="0.25">
      <c r="O3837" s="4"/>
      <c r="P3837" s="4"/>
      <c r="Q3837" s="4"/>
      <c r="R3837" s="4"/>
      <c r="S3837" s="4"/>
    </row>
    <row r="3838" spans="15:19" x14ac:dyDescent="0.25">
      <c r="O3838" s="4"/>
      <c r="P3838" s="4"/>
      <c r="Q3838" s="4"/>
      <c r="R3838" s="4"/>
      <c r="S3838" s="4"/>
    </row>
    <row r="3839" spans="15:19" x14ac:dyDescent="0.25">
      <c r="O3839" s="4"/>
      <c r="P3839" s="4"/>
      <c r="Q3839" s="4"/>
      <c r="R3839" s="4"/>
      <c r="S3839" s="4"/>
    </row>
    <row r="3840" spans="15:19" x14ac:dyDescent="0.25">
      <c r="O3840" s="4"/>
      <c r="P3840" s="4"/>
      <c r="Q3840" s="4"/>
      <c r="R3840" s="4"/>
      <c r="S3840" s="4"/>
    </row>
    <row r="3841" spans="15:19" x14ac:dyDescent="0.25">
      <c r="O3841" s="4"/>
      <c r="P3841" s="4"/>
      <c r="Q3841" s="4"/>
      <c r="R3841" s="4"/>
      <c r="S3841" s="4"/>
    </row>
    <row r="3842" spans="15:19" x14ac:dyDescent="0.25">
      <c r="O3842" s="4"/>
      <c r="P3842" s="4"/>
      <c r="Q3842" s="4"/>
      <c r="R3842" s="4"/>
      <c r="S3842" s="4"/>
    </row>
    <row r="3843" spans="15:19" x14ac:dyDescent="0.25">
      <c r="O3843" s="4"/>
      <c r="P3843" s="4"/>
      <c r="Q3843" s="4"/>
      <c r="R3843" s="4"/>
      <c r="S3843" s="4"/>
    </row>
    <row r="3844" spans="15:19" x14ac:dyDescent="0.25">
      <c r="O3844" s="4"/>
      <c r="P3844" s="4"/>
      <c r="Q3844" s="4"/>
      <c r="R3844" s="4"/>
      <c r="S3844" s="4"/>
    </row>
    <row r="3845" spans="15:19" x14ac:dyDescent="0.25">
      <c r="O3845" s="4"/>
      <c r="P3845" s="4"/>
      <c r="Q3845" s="4"/>
      <c r="R3845" s="4"/>
      <c r="S3845" s="4"/>
    </row>
    <row r="3846" spans="15:19" x14ac:dyDescent="0.25">
      <c r="O3846" s="4"/>
      <c r="P3846" s="4"/>
      <c r="Q3846" s="4"/>
      <c r="R3846" s="4"/>
      <c r="S3846" s="4"/>
    </row>
    <row r="3847" spans="15:19" x14ac:dyDescent="0.25">
      <c r="O3847" s="4"/>
      <c r="P3847" s="4"/>
      <c r="Q3847" s="4"/>
      <c r="R3847" s="4"/>
      <c r="S3847" s="4"/>
    </row>
    <row r="3848" spans="15:19" x14ac:dyDescent="0.25">
      <c r="O3848" s="4"/>
      <c r="P3848" s="4"/>
      <c r="Q3848" s="4"/>
      <c r="R3848" s="4"/>
      <c r="S3848" s="4"/>
    </row>
    <row r="3849" spans="15:19" x14ac:dyDescent="0.25">
      <c r="O3849" s="4"/>
      <c r="P3849" s="4"/>
      <c r="Q3849" s="4"/>
      <c r="R3849" s="4"/>
      <c r="S3849" s="4"/>
    </row>
    <row r="3850" spans="15:19" x14ac:dyDescent="0.25">
      <c r="O3850" s="4"/>
      <c r="P3850" s="4"/>
      <c r="Q3850" s="4"/>
      <c r="R3850" s="4"/>
      <c r="S3850" s="4"/>
    </row>
    <row r="3851" spans="15:19" x14ac:dyDescent="0.25">
      <c r="O3851" s="4"/>
      <c r="P3851" s="4"/>
      <c r="Q3851" s="4"/>
      <c r="R3851" s="4"/>
      <c r="S3851" s="4"/>
    </row>
    <row r="3852" spans="15:19" x14ac:dyDescent="0.25">
      <c r="O3852" s="4"/>
      <c r="P3852" s="4"/>
      <c r="Q3852" s="4"/>
      <c r="R3852" s="4"/>
      <c r="S3852" s="4"/>
    </row>
    <row r="3853" spans="15:19" x14ac:dyDescent="0.25">
      <c r="O3853" s="4"/>
      <c r="P3853" s="4"/>
      <c r="Q3853" s="4"/>
      <c r="R3853" s="4"/>
      <c r="S3853" s="4"/>
    </row>
    <row r="3854" spans="15:19" x14ac:dyDescent="0.25">
      <c r="O3854" s="4"/>
      <c r="P3854" s="4"/>
      <c r="Q3854" s="4"/>
      <c r="R3854" s="4"/>
      <c r="S3854" s="4"/>
    </row>
    <row r="3855" spans="15:19" x14ac:dyDescent="0.25">
      <c r="O3855" s="4"/>
      <c r="P3855" s="4"/>
      <c r="Q3855" s="4"/>
      <c r="R3855" s="4"/>
      <c r="S3855" s="4"/>
    </row>
    <row r="3856" spans="15:19" x14ac:dyDescent="0.25">
      <c r="O3856" s="4"/>
      <c r="P3856" s="4"/>
      <c r="Q3856" s="4"/>
      <c r="R3856" s="4"/>
      <c r="S3856" s="4"/>
    </row>
    <row r="3857" spans="15:19" x14ac:dyDescent="0.25">
      <c r="O3857" s="4"/>
      <c r="P3857" s="4"/>
      <c r="Q3857" s="4"/>
      <c r="R3857" s="4"/>
      <c r="S3857" s="4"/>
    </row>
    <row r="3858" spans="15:19" x14ac:dyDescent="0.25">
      <c r="O3858" s="4"/>
      <c r="P3858" s="4"/>
      <c r="Q3858" s="4"/>
      <c r="R3858" s="4"/>
      <c r="S3858" s="4"/>
    </row>
    <row r="3859" spans="15:19" x14ac:dyDescent="0.25">
      <c r="O3859" s="4"/>
      <c r="P3859" s="4"/>
      <c r="Q3859" s="4"/>
      <c r="R3859" s="4"/>
      <c r="S3859" s="4"/>
    </row>
    <row r="3860" spans="15:19" x14ac:dyDescent="0.25">
      <c r="O3860" s="4"/>
      <c r="P3860" s="4"/>
      <c r="Q3860" s="4"/>
      <c r="R3860" s="4"/>
      <c r="S3860" s="4"/>
    </row>
    <row r="3861" spans="15:19" x14ac:dyDescent="0.25">
      <c r="O3861" s="4"/>
      <c r="P3861" s="4"/>
      <c r="Q3861" s="4"/>
      <c r="R3861" s="4"/>
      <c r="S3861" s="4"/>
    </row>
    <row r="3862" spans="15:19" x14ac:dyDescent="0.25">
      <c r="O3862" s="4"/>
      <c r="P3862" s="4"/>
      <c r="Q3862" s="4"/>
      <c r="R3862" s="4"/>
      <c r="S3862" s="4"/>
    </row>
    <row r="3863" spans="15:19" x14ac:dyDescent="0.25">
      <c r="O3863" s="4"/>
      <c r="P3863" s="4"/>
      <c r="Q3863" s="4"/>
      <c r="R3863" s="4"/>
      <c r="S3863" s="4"/>
    </row>
    <row r="3864" spans="15:19" x14ac:dyDescent="0.25">
      <c r="O3864" s="4"/>
      <c r="P3864" s="4"/>
      <c r="Q3864" s="4"/>
      <c r="R3864" s="4"/>
      <c r="S3864" s="4"/>
    </row>
    <row r="3865" spans="15:19" x14ac:dyDescent="0.25">
      <c r="O3865" s="4"/>
      <c r="P3865" s="4"/>
      <c r="Q3865" s="4"/>
      <c r="R3865" s="4"/>
      <c r="S3865" s="4"/>
    </row>
    <row r="3866" spans="15:19" x14ac:dyDescent="0.25">
      <c r="O3866" s="4"/>
      <c r="P3866" s="4"/>
      <c r="Q3866" s="4"/>
      <c r="R3866" s="4"/>
      <c r="S3866" s="4"/>
    </row>
    <row r="3867" spans="15:19" x14ac:dyDescent="0.25">
      <c r="O3867" s="4"/>
      <c r="P3867" s="4"/>
      <c r="Q3867" s="4"/>
      <c r="R3867" s="4"/>
      <c r="S3867" s="4"/>
    </row>
    <row r="3868" spans="15:19" x14ac:dyDescent="0.25">
      <c r="O3868" s="4"/>
      <c r="P3868" s="4"/>
      <c r="Q3868" s="4"/>
      <c r="R3868" s="4"/>
      <c r="S3868" s="4"/>
    </row>
    <row r="3869" spans="15:19" x14ac:dyDescent="0.25">
      <c r="O3869" s="4"/>
      <c r="P3869" s="4"/>
      <c r="Q3869" s="4"/>
      <c r="R3869" s="4"/>
      <c r="S3869" s="4"/>
    </row>
    <row r="3870" spans="15:19" x14ac:dyDescent="0.25">
      <c r="O3870" s="4"/>
      <c r="P3870" s="4"/>
      <c r="Q3870" s="4"/>
      <c r="R3870" s="4"/>
      <c r="S3870" s="4"/>
    </row>
    <row r="3871" spans="15:19" x14ac:dyDescent="0.25">
      <c r="O3871" s="4"/>
      <c r="P3871" s="4"/>
      <c r="Q3871" s="4"/>
      <c r="R3871" s="4"/>
      <c r="S3871" s="4"/>
    </row>
    <row r="3872" spans="15:19" x14ac:dyDescent="0.25">
      <c r="O3872" s="4"/>
      <c r="P3872" s="4"/>
      <c r="Q3872" s="4"/>
      <c r="R3872" s="4"/>
      <c r="S3872" s="4"/>
    </row>
    <row r="3873" spans="15:19" x14ac:dyDescent="0.25">
      <c r="O3873" s="4"/>
      <c r="P3873" s="4"/>
      <c r="Q3873" s="4"/>
      <c r="R3873" s="4"/>
      <c r="S3873" s="4"/>
    </row>
    <row r="3874" spans="15:19" x14ac:dyDescent="0.25">
      <c r="O3874" s="4"/>
      <c r="P3874" s="4"/>
      <c r="Q3874" s="4"/>
      <c r="R3874" s="4"/>
      <c r="S3874" s="4"/>
    </row>
    <row r="3875" spans="15:19" x14ac:dyDescent="0.25">
      <c r="O3875" s="4"/>
      <c r="P3875" s="4"/>
      <c r="Q3875" s="4"/>
      <c r="R3875" s="4"/>
      <c r="S3875" s="4"/>
    </row>
    <row r="3876" spans="15:19" x14ac:dyDescent="0.25">
      <c r="O3876" s="4"/>
      <c r="P3876" s="4"/>
      <c r="Q3876" s="4"/>
      <c r="R3876" s="4"/>
      <c r="S3876" s="4"/>
    </row>
    <row r="3877" spans="15:19" x14ac:dyDescent="0.25">
      <c r="O3877" s="4"/>
      <c r="P3877" s="4"/>
      <c r="Q3877" s="4"/>
      <c r="R3877" s="4"/>
      <c r="S3877" s="4"/>
    </row>
    <row r="3878" spans="15:19" x14ac:dyDescent="0.25">
      <c r="O3878" s="4"/>
      <c r="P3878" s="4"/>
      <c r="Q3878" s="4"/>
      <c r="R3878" s="4"/>
      <c r="S3878" s="4"/>
    </row>
    <row r="3879" spans="15:19" x14ac:dyDescent="0.25">
      <c r="O3879" s="4"/>
      <c r="P3879" s="4"/>
      <c r="Q3879" s="4"/>
      <c r="R3879" s="4"/>
      <c r="S3879" s="4"/>
    </row>
    <row r="3880" spans="15:19" x14ac:dyDescent="0.25">
      <c r="O3880" s="4"/>
      <c r="P3880" s="4"/>
      <c r="Q3880" s="4"/>
      <c r="R3880" s="4"/>
      <c r="S3880" s="4"/>
    </row>
    <row r="3881" spans="15:19" x14ac:dyDescent="0.25">
      <c r="O3881" s="4"/>
      <c r="P3881" s="4"/>
      <c r="Q3881" s="4"/>
      <c r="R3881" s="4"/>
      <c r="S3881" s="4"/>
    </row>
    <row r="3882" spans="15:19" x14ac:dyDescent="0.25">
      <c r="O3882" s="4"/>
      <c r="P3882" s="4"/>
      <c r="Q3882" s="4"/>
      <c r="R3882" s="4"/>
      <c r="S3882" s="4"/>
    </row>
    <row r="3883" spans="15:19" x14ac:dyDescent="0.25">
      <c r="O3883" s="4"/>
      <c r="P3883" s="4"/>
      <c r="Q3883" s="4"/>
      <c r="R3883" s="4"/>
      <c r="S3883" s="4"/>
    </row>
    <row r="3884" spans="15:19" x14ac:dyDescent="0.25">
      <c r="O3884" s="4"/>
      <c r="P3884" s="4"/>
      <c r="Q3884" s="4"/>
      <c r="R3884" s="4"/>
      <c r="S3884" s="4"/>
    </row>
    <row r="3885" spans="15:19" x14ac:dyDescent="0.25">
      <c r="O3885" s="4"/>
      <c r="P3885" s="4"/>
      <c r="Q3885" s="4"/>
      <c r="R3885" s="4"/>
      <c r="S3885" s="4"/>
    </row>
    <row r="3886" spans="15:19" x14ac:dyDescent="0.25">
      <c r="O3886" s="4"/>
      <c r="P3886" s="4"/>
      <c r="Q3886" s="4"/>
      <c r="R3886" s="4"/>
      <c r="S3886" s="4"/>
    </row>
    <row r="3887" spans="15:19" x14ac:dyDescent="0.25">
      <c r="O3887" s="4"/>
      <c r="P3887" s="4"/>
      <c r="Q3887" s="4"/>
      <c r="R3887" s="4"/>
      <c r="S3887" s="4"/>
    </row>
    <row r="3888" spans="15:19" x14ac:dyDescent="0.25">
      <c r="O3888" s="4"/>
      <c r="P3888" s="4"/>
      <c r="Q3888" s="4"/>
      <c r="R3888" s="4"/>
      <c r="S3888" s="4"/>
    </row>
    <row r="3889" spans="15:19" x14ac:dyDescent="0.25">
      <c r="O3889" s="4"/>
      <c r="P3889" s="4"/>
      <c r="Q3889" s="4"/>
      <c r="R3889" s="4"/>
      <c r="S3889" s="4"/>
    </row>
    <row r="3890" spans="15:19" x14ac:dyDescent="0.25">
      <c r="O3890" s="4"/>
      <c r="P3890" s="4"/>
      <c r="Q3890" s="4"/>
      <c r="R3890" s="4"/>
      <c r="S3890" s="4"/>
    </row>
    <row r="3891" spans="15:19" x14ac:dyDescent="0.25">
      <c r="O3891" s="4"/>
      <c r="P3891" s="4"/>
      <c r="Q3891" s="4"/>
      <c r="R3891" s="4"/>
      <c r="S3891" s="4"/>
    </row>
    <row r="3892" spans="15:19" x14ac:dyDescent="0.25">
      <c r="O3892" s="4"/>
      <c r="P3892" s="4"/>
      <c r="Q3892" s="4"/>
      <c r="R3892" s="4"/>
      <c r="S3892" s="4"/>
    </row>
    <row r="3893" spans="15:19" x14ac:dyDescent="0.25">
      <c r="O3893" s="4"/>
      <c r="P3893" s="4"/>
      <c r="Q3893" s="4"/>
      <c r="R3893" s="4"/>
      <c r="S3893" s="4"/>
    </row>
    <row r="3894" spans="15:19" x14ac:dyDescent="0.25">
      <c r="O3894" s="4"/>
      <c r="P3894" s="4"/>
      <c r="Q3894" s="4"/>
      <c r="R3894" s="4"/>
      <c r="S3894" s="4"/>
    </row>
    <row r="3895" spans="15:19" x14ac:dyDescent="0.25">
      <c r="O3895" s="4"/>
      <c r="P3895" s="4"/>
      <c r="Q3895" s="4"/>
      <c r="R3895" s="4"/>
      <c r="S3895" s="4"/>
    </row>
    <row r="3896" spans="15:19" x14ac:dyDescent="0.25">
      <c r="O3896" s="4"/>
      <c r="P3896" s="4"/>
      <c r="Q3896" s="4"/>
      <c r="R3896" s="4"/>
      <c r="S3896" s="4"/>
    </row>
    <row r="3897" spans="15:19" x14ac:dyDescent="0.25">
      <c r="O3897" s="4"/>
      <c r="P3897" s="4"/>
      <c r="Q3897" s="4"/>
      <c r="R3897" s="4"/>
      <c r="S3897" s="4"/>
    </row>
    <row r="3898" spans="15:19" x14ac:dyDescent="0.25">
      <c r="O3898" s="4"/>
      <c r="P3898" s="4"/>
      <c r="Q3898" s="4"/>
      <c r="R3898" s="4"/>
      <c r="S3898" s="4"/>
    </row>
    <row r="3899" spans="15:19" x14ac:dyDescent="0.25">
      <c r="O3899" s="4"/>
      <c r="P3899" s="4"/>
      <c r="Q3899" s="4"/>
      <c r="R3899" s="4"/>
      <c r="S3899" s="4"/>
    </row>
    <row r="3900" spans="15:19" x14ac:dyDescent="0.25">
      <c r="O3900" s="4"/>
      <c r="P3900" s="4"/>
      <c r="Q3900" s="4"/>
      <c r="R3900" s="4"/>
      <c r="S3900" s="4"/>
    </row>
    <row r="3901" spans="15:19" x14ac:dyDescent="0.25">
      <c r="O3901" s="4"/>
      <c r="P3901" s="4"/>
      <c r="Q3901" s="4"/>
      <c r="R3901" s="4"/>
      <c r="S3901" s="4"/>
    </row>
    <row r="3902" spans="15:19" x14ac:dyDescent="0.25">
      <c r="O3902" s="4"/>
      <c r="P3902" s="4"/>
      <c r="Q3902" s="4"/>
      <c r="R3902" s="4"/>
      <c r="S3902" s="4"/>
    </row>
    <row r="3903" spans="15:19" x14ac:dyDescent="0.25">
      <c r="O3903" s="4"/>
      <c r="P3903" s="4"/>
      <c r="Q3903" s="4"/>
      <c r="R3903" s="4"/>
      <c r="S3903" s="4"/>
    </row>
    <row r="3904" spans="15:19" x14ac:dyDescent="0.25">
      <c r="O3904" s="4"/>
      <c r="P3904" s="4"/>
      <c r="Q3904" s="4"/>
      <c r="R3904" s="4"/>
      <c r="S3904" s="4"/>
    </row>
    <row r="3905" spans="15:19" x14ac:dyDescent="0.25">
      <c r="O3905" s="4"/>
      <c r="P3905" s="4"/>
      <c r="Q3905" s="4"/>
      <c r="R3905" s="4"/>
      <c r="S3905" s="4"/>
    </row>
    <row r="3906" spans="15:19" x14ac:dyDescent="0.25">
      <c r="O3906" s="4"/>
      <c r="P3906" s="4"/>
      <c r="Q3906" s="4"/>
      <c r="R3906" s="4"/>
      <c r="S3906" s="4"/>
    </row>
    <row r="3907" spans="15:19" x14ac:dyDescent="0.25">
      <c r="O3907" s="4"/>
      <c r="P3907" s="4"/>
      <c r="Q3907" s="4"/>
      <c r="R3907" s="4"/>
      <c r="S3907" s="4"/>
    </row>
    <row r="3908" spans="15:19" x14ac:dyDescent="0.25">
      <c r="O3908" s="4"/>
      <c r="P3908" s="4"/>
      <c r="Q3908" s="4"/>
      <c r="R3908" s="4"/>
      <c r="S3908" s="4"/>
    </row>
    <row r="3909" spans="15:19" x14ac:dyDescent="0.25">
      <c r="O3909" s="4"/>
      <c r="P3909" s="4"/>
      <c r="Q3909" s="4"/>
      <c r="R3909" s="4"/>
      <c r="S3909" s="4"/>
    </row>
    <row r="3910" spans="15:19" x14ac:dyDescent="0.25">
      <c r="O3910" s="4"/>
      <c r="P3910" s="4"/>
      <c r="Q3910" s="4"/>
      <c r="R3910" s="4"/>
      <c r="S3910" s="4"/>
    </row>
    <row r="3911" spans="15:19" x14ac:dyDescent="0.25">
      <c r="O3911" s="4"/>
      <c r="P3911" s="4"/>
      <c r="Q3911" s="4"/>
      <c r="R3911" s="4"/>
      <c r="S3911" s="4"/>
    </row>
    <row r="3912" spans="15:19" x14ac:dyDescent="0.25">
      <c r="O3912" s="4"/>
      <c r="P3912" s="4"/>
      <c r="Q3912" s="4"/>
      <c r="R3912" s="4"/>
      <c r="S3912" s="4"/>
    </row>
    <row r="3913" spans="15:19" x14ac:dyDescent="0.25">
      <c r="O3913" s="4"/>
      <c r="P3913" s="4"/>
      <c r="Q3913" s="4"/>
      <c r="R3913" s="4"/>
      <c r="S3913" s="4"/>
    </row>
    <row r="3914" spans="15:19" x14ac:dyDescent="0.25">
      <c r="O3914" s="4"/>
      <c r="P3914" s="4"/>
      <c r="Q3914" s="4"/>
      <c r="R3914" s="4"/>
      <c r="S3914" s="4"/>
    </row>
    <row r="3915" spans="15:19" x14ac:dyDescent="0.25">
      <c r="O3915" s="4"/>
      <c r="P3915" s="4"/>
      <c r="Q3915" s="4"/>
      <c r="R3915" s="4"/>
      <c r="S3915" s="4"/>
    </row>
    <row r="3916" spans="15:19" x14ac:dyDescent="0.25">
      <c r="O3916" s="4"/>
      <c r="P3916" s="4"/>
      <c r="Q3916" s="4"/>
      <c r="R3916" s="4"/>
      <c r="S3916" s="4"/>
    </row>
    <row r="3917" spans="15:19" x14ac:dyDescent="0.25">
      <c r="O3917" s="4"/>
      <c r="P3917" s="4"/>
      <c r="Q3917" s="4"/>
      <c r="R3917" s="4"/>
      <c r="S3917" s="4"/>
    </row>
    <row r="3918" spans="15:19" x14ac:dyDescent="0.25">
      <c r="O3918" s="4"/>
      <c r="P3918" s="4"/>
      <c r="Q3918" s="4"/>
      <c r="R3918" s="4"/>
      <c r="S3918" s="4"/>
    </row>
    <row r="3919" spans="15:19" x14ac:dyDescent="0.25">
      <c r="O3919" s="4"/>
      <c r="P3919" s="4"/>
      <c r="Q3919" s="4"/>
      <c r="R3919" s="4"/>
      <c r="S3919" s="4"/>
    </row>
    <row r="3920" spans="15:19" x14ac:dyDescent="0.25">
      <c r="O3920" s="4"/>
      <c r="P3920" s="4"/>
      <c r="Q3920" s="4"/>
      <c r="R3920" s="4"/>
      <c r="S3920" s="4"/>
    </row>
    <row r="3921" spans="15:19" x14ac:dyDescent="0.25">
      <c r="O3921" s="4"/>
      <c r="P3921" s="4"/>
      <c r="Q3921" s="4"/>
      <c r="R3921" s="4"/>
      <c r="S3921" s="4"/>
    </row>
    <row r="3922" spans="15:19" x14ac:dyDescent="0.25">
      <c r="O3922" s="4"/>
      <c r="P3922" s="4"/>
      <c r="Q3922" s="4"/>
      <c r="R3922" s="4"/>
      <c r="S3922" s="4"/>
    </row>
    <row r="3923" spans="15:19" x14ac:dyDescent="0.25">
      <c r="O3923" s="4"/>
      <c r="P3923" s="4"/>
      <c r="Q3923" s="4"/>
      <c r="R3923" s="4"/>
      <c r="S3923" s="4"/>
    </row>
    <row r="3924" spans="15:19" x14ac:dyDescent="0.25">
      <c r="O3924" s="4"/>
      <c r="P3924" s="4"/>
      <c r="Q3924" s="4"/>
      <c r="R3924" s="4"/>
      <c r="S3924" s="4"/>
    </row>
    <row r="3925" spans="15:19" x14ac:dyDescent="0.25">
      <c r="O3925" s="4"/>
      <c r="P3925" s="4"/>
      <c r="Q3925" s="4"/>
      <c r="R3925" s="4"/>
      <c r="S3925" s="4"/>
    </row>
    <row r="3926" spans="15:19" x14ac:dyDescent="0.25">
      <c r="O3926" s="4"/>
      <c r="P3926" s="4"/>
      <c r="Q3926" s="4"/>
      <c r="R3926" s="4"/>
      <c r="S3926" s="4"/>
    </row>
    <row r="3927" spans="15:19" x14ac:dyDescent="0.25">
      <c r="O3927" s="4"/>
      <c r="P3927" s="4"/>
      <c r="Q3927" s="4"/>
      <c r="R3927" s="4"/>
      <c r="S3927" s="4"/>
    </row>
    <row r="3928" spans="15:19" x14ac:dyDescent="0.25">
      <c r="O3928" s="4"/>
      <c r="P3928" s="4"/>
      <c r="Q3928" s="4"/>
      <c r="R3928" s="4"/>
      <c r="S3928" s="4"/>
    </row>
    <row r="3929" spans="15:19" x14ac:dyDescent="0.25">
      <c r="O3929" s="4"/>
      <c r="P3929" s="4"/>
      <c r="Q3929" s="4"/>
      <c r="R3929" s="4"/>
      <c r="S3929" s="4"/>
    </row>
    <row r="3930" spans="15:19" x14ac:dyDescent="0.25">
      <c r="O3930" s="4"/>
      <c r="P3930" s="4"/>
      <c r="Q3930" s="4"/>
      <c r="R3930" s="4"/>
      <c r="S3930" s="4"/>
    </row>
    <row r="3931" spans="15:19" x14ac:dyDescent="0.25">
      <c r="O3931" s="4"/>
      <c r="P3931" s="4"/>
      <c r="Q3931" s="4"/>
      <c r="R3931" s="4"/>
      <c r="S3931" s="4"/>
    </row>
    <row r="3932" spans="15:19" x14ac:dyDescent="0.25">
      <c r="O3932" s="4"/>
      <c r="P3932" s="4"/>
      <c r="Q3932" s="4"/>
      <c r="R3932" s="4"/>
      <c r="S3932" s="4"/>
    </row>
    <row r="3933" spans="15:19" x14ac:dyDescent="0.25">
      <c r="O3933" s="4"/>
      <c r="P3933" s="4"/>
      <c r="Q3933" s="4"/>
      <c r="R3933" s="4"/>
      <c r="S3933" s="4"/>
    </row>
    <row r="3934" spans="15:19" x14ac:dyDescent="0.25">
      <c r="O3934" s="4"/>
      <c r="P3934" s="4"/>
      <c r="Q3934" s="4"/>
      <c r="R3934" s="4"/>
      <c r="S3934" s="4"/>
    </row>
    <row r="3935" spans="15:19" x14ac:dyDescent="0.25">
      <c r="O3935" s="4"/>
      <c r="P3935" s="4"/>
      <c r="Q3935" s="4"/>
      <c r="R3935" s="4"/>
      <c r="S3935" s="4"/>
    </row>
    <row r="3936" spans="15:19" x14ac:dyDescent="0.25">
      <c r="O3936" s="4"/>
      <c r="P3936" s="4"/>
      <c r="Q3936" s="4"/>
      <c r="R3936" s="4"/>
      <c r="S3936" s="4"/>
    </row>
    <row r="3937" spans="15:19" x14ac:dyDescent="0.25">
      <c r="O3937" s="4"/>
      <c r="P3937" s="4"/>
      <c r="Q3937" s="4"/>
      <c r="R3937" s="4"/>
      <c r="S3937" s="4"/>
    </row>
    <row r="3938" spans="15:19" x14ac:dyDescent="0.25">
      <c r="O3938" s="4"/>
      <c r="P3938" s="4"/>
      <c r="Q3938" s="4"/>
      <c r="R3938" s="4"/>
      <c r="S3938" s="4"/>
    </row>
    <row r="3939" spans="15:19" x14ac:dyDescent="0.25">
      <c r="O3939" s="4"/>
      <c r="P3939" s="4"/>
      <c r="Q3939" s="4"/>
      <c r="R3939" s="4"/>
      <c r="S3939" s="4"/>
    </row>
    <row r="3940" spans="15:19" x14ac:dyDescent="0.25">
      <c r="O3940" s="4"/>
      <c r="P3940" s="4"/>
      <c r="Q3940" s="4"/>
      <c r="R3940" s="4"/>
      <c r="S3940" s="4"/>
    </row>
    <row r="3941" spans="15:19" x14ac:dyDescent="0.25">
      <c r="O3941" s="4"/>
      <c r="P3941" s="4"/>
      <c r="Q3941" s="4"/>
      <c r="R3941" s="4"/>
      <c r="S3941" s="4"/>
    </row>
    <row r="3942" spans="15:19" x14ac:dyDescent="0.25">
      <c r="O3942" s="4"/>
      <c r="P3942" s="4"/>
      <c r="Q3942" s="4"/>
      <c r="R3942" s="4"/>
      <c r="S3942" s="4"/>
    </row>
    <row r="3943" spans="15:19" x14ac:dyDescent="0.25">
      <c r="O3943" s="4"/>
      <c r="P3943" s="4"/>
      <c r="Q3943" s="4"/>
      <c r="R3943" s="4"/>
      <c r="S3943" s="4"/>
    </row>
    <row r="3944" spans="15:19" x14ac:dyDescent="0.25">
      <c r="O3944" s="4"/>
      <c r="P3944" s="4"/>
      <c r="Q3944" s="4"/>
      <c r="R3944" s="4"/>
      <c r="S3944" s="4"/>
    </row>
    <row r="3945" spans="15:19" x14ac:dyDescent="0.25">
      <c r="O3945" s="4"/>
      <c r="P3945" s="4"/>
      <c r="Q3945" s="4"/>
      <c r="R3945" s="4"/>
      <c r="S3945" s="4"/>
    </row>
    <row r="3946" spans="15:19" x14ac:dyDescent="0.25">
      <c r="O3946" s="4"/>
      <c r="P3946" s="4"/>
      <c r="Q3946" s="4"/>
      <c r="R3946" s="4"/>
      <c r="S3946" s="4"/>
    </row>
    <row r="3947" spans="15:19" x14ac:dyDescent="0.25">
      <c r="O3947" s="4"/>
      <c r="P3947" s="4"/>
      <c r="Q3947" s="4"/>
      <c r="R3947" s="4"/>
      <c r="S3947" s="4"/>
    </row>
    <row r="3948" spans="15:19" x14ac:dyDescent="0.25">
      <c r="O3948" s="4"/>
      <c r="P3948" s="4"/>
      <c r="Q3948" s="4"/>
      <c r="R3948" s="4"/>
      <c r="S3948" s="4"/>
    </row>
    <row r="3949" spans="15:19" x14ac:dyDescent="0.25">
      <c r="O3949" s="4"/>
      <c r="P3949" s="4"/>
      <c r="Q3949" s="4"/>
      <c r="R3949" s="4"/>
      <c r="S3949" s="4"/>
    </row>
    <row r="3950" spans="15:19" x14ac:dyDescent="0.25">
      <c r="O3950" s="4"/>
      <c r="P3950" s="4"/>
      <c r="Q3950" s="4"/>
      <c r="R3950" s="4"/>
      <c r="S3950" s="4"/>
    </row>
    <row r="3951" spans="15:19" x14ac:dyDescent="0.25">
      <c r="O3951" s="4"/>
      <c r="P3951" s="4"/>
      <c r="Q3951" s="4"/>
      <c r="R3951" s="4"/>
      <c r="S3951" s="4"/>
    </row>
    <row r="3952" spans="15:19" x14ac:dyDescent="0.25">
      <c r="O3952" s="4"/>
      <c r="P3952" s="4"/>
      <c r="Q3952" s="4"/>
      <c r="R3952" s="4"/>
      <c r="S3952" s="4"/>
    </row>
    <row r="3953" spans="15:19" x14ac:dyDescent="0.25">
      <c r="O3953" s="4"/>
      <c r="P3953" s="4"/>
      <c r="Q3953" s="4"/>
      <c r="R3953" s="4"/>
      <c r="S3953" s="4"/>
    </row>
    <row r="3954" spans="15:19" x14ac:dyDescent="0.25">
      <c r="O3954" s="4"/>
      <c r="P3954" s="4"/>
      <c r="Q3954" s="4"/>
      <c r="R3954" s="4"/>
      <c r="S3954" s="4"/>
    </row>
    <row r="3955" spans="15:19" x14ac:dyDescent="0.25">
      <c r="O3955" s="4"/>
      <c r="P3955" s="4"/>
      <c r="Q3955" s="4"/>
      <c r="R3955" s="4"/>
      <c r="S3955" s="4"/>
    </row>
    <row r="3956" spans="15:19" x14ac:dyDescent="0.25">
      <c r="O3956" s="4"/>
      <c r="P3956" s="4"/>
      <c r="Q3956" s="4"/>
      <c r="R3956" s="4"/>
      <c r="S3956" s="4"/>
    </row>
    <row r="3957" spans="15:19" x14ac:dyDescent="0.25">
      <c r="O3957" s="4"/>
      <c r="P3957" s="4"/>
      <c r="Q3957" s="4"/>
      <c r="R3957" s="4"/>
      <c r="S3957" s="4"/>
    </row>
    <row r="3958" spans="15:19" x14ac:dyDescent="0.25">
      <c r="O3958" s="4"/>
      <c r="P3958" s="4"/>
      <c r="Q3958" s="4"/>
      <c r="R3958" s="4"/>
      <c r="S3958" s="4"/>
    </row>
    <row r="3959" spans="15:19" x14ac:dyDescent="0.25">
      <c r="O3959" s="4"/>
      <c r="P3959" s="4"/>
      <c r="Q3959" s="4"/>
      <c r="R3959" s="4"/>
      <c r="S3959" s="4"/>
    </row>
    <row r="3960" spans="15:19" x14ac:dyDescent="0.25">
      <c r="O3960" s="4"/>
      <c r="P3960" s="4"/>
      <c r="Q3960" s="4"/>
      <c r="R3960" s="4"/>
      <c r="S3960" s="4"/>
    </row>
    <row r="3961" spans="15:19" x14ac:dyDescent="0.25">
      <c r="O3961" s="4"/>
      <c r="P3961" s="4"/>
      <c r="Q3961" s="4"/>
      <c r="R3961" s="4"/>
      <c r="S3961" s="4"/>
    </row>
    <row r="3962" spans="15:19" x14ac:dyDescent="0.25">
      <c r="O3962" s="4"/>
      <c r="P3962" s="4"/>
      <c r="Q3962" s="4"/>
      <c r="R3962" s="4"/>
      <c r="S3962" s="4"/>
    </row>
    <row r="3963" spans="15:19" x14ac:dyDescent="0.25">
      <c r="O3963" s="4"/>
      <c r="P3963" s="4"/>
      <c r="Q3963" s="4"/>
      <c r="R3963" s="4"/>
      <c r="S3963" s="4"/>
    </row>
    <row r="3964" spans="15:19" x14ac:dyDescent="0.25">
      <c r="O3964" s="4"/>
      <c r="P3964" s="4"/>
      <c r="Q3964" s="4"/>
      <c r="R3964" s="4"/>
      <c r="S3964" s="4"/>
    </row>
    <row r="3965" spans="15:19" x14ac:dyDescent="0.25">
      <c r="O3965" s="4"/>
      <c r="P3965" s="4"/>
      <c r="Q3965" s="4"/>
      <c r="R3965" s="4"/>
      <c r="S3965" s="4"/>
    </row>
    <row r="3966" spans="15:19" x14ac:dyDescent="0.25">
      <c r="O3966" s="4"/>
      <c r="P3966" s="4"/>
      <c r="Q3966" s="4"/>
      <c r="R3966" s="4"/>
      <c r="S3966" s="4"/>
    </row>
    <row r="3967" spans="15:19" x14ac:dyDescent="0.25">
      <c r="O3967" s="4"/>
      <c r="P3967" s="4"/>
      <c r="Q3967" s="4"/>
      <c r="R3967" s="4"/>
      <c r="S3967" s="4"/>
    </row>
    <row r="3968" spans="15:19" x14ac:dyDescent="0.25">
      <c r="O3968" s="4"/>
      <c r="P3968" s="4"/>
      <c r="Q3968" s="4"/>
      <c r="R3968" s="4"/>
      <c r="S3968" s="4"/>
    </row>
    <row r="3969" spans="15:19" x14ac:dyDescent="0.25">
      <c r="O3969" s="4"/>
      <c r="P3969" s="4"/>
      <c r="Q3969" s="4"/>
      <c r="R3969" s="4"/>
      <c r="S3969" s="4"/>
    </row>
    <row r="3970" spans="15:19" x14ac:dyDescent="0.25">
      <c r="O3970" s="4"/>
      <c r="P3970" s="4"/>
      <c r="Q3970" s="4"/>
      <c r="R3970" s="4"/>
      <c r="S3970" s="4"/>
    </row>
    <row r="3971" spans="15:19" x14ac:dyDescent="0.25">
      <c r="O3971" s="4"/>
      <c r="P3971" s="4"/>
      <c r="Q3971" s="4"/>
      <c r="R3971" s="4"/>
      <c r="S3971" s="4"/>
    </row>
    <row r="3972" spans="15:19" x14ac:dyDescent="0.25">
      <c r="O3972" s="4"/>
      <c r="P3972" s="4"/>
      <c r="Q3972" s="4"/>
      <c r="R3972" s="4"/>
      <c r="S3972" s="4"/>
    </row>
    <row r="3973" spans="15:19" x14ac:dyDescent="0.25">
      <c r="O3973" s="4"/>
      <c r="P3973" s="4"/>
      <c r="Q3973" s="4"/>
      <c r="R3973" s="4"/>
      <c r="S3973" s="4"/>
    </row>
    <row r="3974" spans="15:19" x14ac:dyDescent="0.25">
      <c r="O3974" s="4"/>
      <c r="P3974" s="4"/>
      <c r="Q3974" s="4"/>
      <c r="R3974" s="4"/>
      <c r="S3974" s="4"/>
    </row>
    <row r="3975" spans="15:19" x14ac:dyDescent="0.25">
      <c r="O3975" s="4"/>
      <c r="P3975" s="4"/>
      <c r="Q3975" s="4"/>
      <c r="R3975" s="4"/>
      <c r="S3975" s="4"/>
    </row>
    <row r="3976" spans="15:19" x14ac:dyDescent="0.25">
      <c r="O3976" s="4"/>
      <c r="P3976" s="4"/>
      <c r="Q3976" s="4"/>
      <c r="R3976" s="4"/>
      <c r="S3976" s="4"/>
    </row>
    <row r="3977" spans="15:19" x14ac:dyDescent="0.25">
      <c r="O3977" s="4"/>
      <c r="P3977" s="4"/>
      <c r="Q3977" s="4"/>
      <c r="R3977" s="4"/>
      <c r="S3977" s="4"/>
    </row>
    <row r="3978" spans="15:19" x14ac:dyDescent="0.25">
      <c r="O3978" s="4"/>
      <c r="P3978" s="4"/>
      <c r="Q3978" s="4"/>
      <c r="R3978" s="4"/>
      <c r="S3978" s="4"/>
    </row>
    <row r="3979" spans="15:19" x14ac:dyDescent="0.25">
      <c r="O3979" s="4"/>
      <c r="P3979" s="4"/>
      <c r="Q3979" s="4"/>
      <c r="R3979" s="4"/>
      <c r="S3979" s="4"/>
    </row>
    <row r="3980" spans="15:19" x14ac:dyDescent="0.25">
      <c r="O3980" s="4"/>
      <c r="P3980" s="4"/>
      <c r="Q3980" s="4"/>
      <c r="R3980" s="4"/>
      <c r="S3980" s="4"/>
    </row>
    <row r="3981" spans="15:19" x14ac:dyDescent="0.25">
      <c r="O3981" s="4"/>
      <c r="P3981" s="4"/>
      <c r="Q3981" s="4"/>
      <c r="R3981" s="4"/>
      <c r="S3981" s="4"/>
    </row>
    <row r="3982" spans="15:19" x14ac:dyDescent="0.25">
      <c r="O3982" s="4"/>
      <c r="P3982" s="4"/>
      <c r="Q3982" s="4"/>
      <c r="R3982" s="4"/>
      <c r="S3982" s="4"/>
    </row>
    <row r="3983" spans="15:19" x14ac:dyDescent="0.25">
      <c r="O3983" s="4"/>
      <c r="P3983" s="4"/>
      <c r="Q3983" s="4"/>
      <c r="R3983" s="4"/>
      <c r="S3983" s="4"/>
    </row>
    <row r="3984" spans="15:19" x14ac:dyDescent="0.25">
      <c r="O3984" s="4"/>
      <c r="P3984" s="4"/>
      <c r="Q3984" s="4"/>
      <c r="R3984" s="4"/>
      <c r="S3984" s="4"/>
    </row>
    <row r="3985" spans="15:19" x14ac:dyDescent="0.25">
      <c r="O3985" s="4"/>
      <c r="P3985" s="4"/>
      <c r="Q3985" s="4"/>
      <c r="R3985" s="4"/>
      <c r="S3985" s="4"/>
    </row>
    <row r="3986" spans="15:19" x14ac:dyDescent="0.25">
      <c r="O3986" s="4"/>
      <c r="P3986" s="4"/>
      <c r="Q3986" s="4"/>
      <c r="R3986" s="4"/>
      <c r="S3986" s="4"/>
    </row>
    <row r="3987" spans="15:19" x14ac:dyDescent="0.25">
      <c r="O3987" s="4"/>
      <c r="P3987" s="4"/>
      <c r="Q3987" s="4"/>
      <c r="R3987" s="4"/>
      <c r="S3987" s="4"/>
    </row>
    <row r="3988" spans="15:19" x14ac:dyDescent="0.25">
      <c r="O3988" s="4"/>
      <c r="P3988" s="4"/>
      <c r="Q3988" s="4"/>
      <c r="R3988" s="4"/>
      <c r="S3988" s="4"/>
    </row>
    <row r="3989" spans="15:19" x14ac:dyDescent="0.25">
      <c r="O3989" s="4"/>
      <c r="P3989" s="4"/>
      <c r="Q3989" s="4"/>
      <c r="R3989" s="4"/>
      <c r="S3989" s="4"/>
    </row>
    <row r="3990" spans="15:19" x14ac:dyDescent="0.25">
      <c r="O3990" s="4"/>
      <c r="P3990" s="4"/>
      <c r="Q3990" s="4"/>
      <c r="R3990" s="4"/>
      <c r="S3990" s="4"/>
    </row>
    <row r="3991" spans="15:19" x14ac:dyDescent="0.25">
      <c r="O3991" s="4"/>
      <c r="P3991" s="4"/>
      <c r="Q3991" s="4"/>
      <c r="R3991" s="4"/>
      <c r="S3991" s="4"/>
    </row>
    <row r="3992" spans="15:19" x14ac:dyDescent="0.25">
      <c r="O3992" s="4"/>
      <c r="P3992" s="4"/>
      <c r="Q3992" s="4"/>
      <c r="R3992" s="4"/>
      <c r="S3992" s="4"/>
    </row>
    <row r="3993" spans="15:19" x14ac:dyDescent="0.25">
      <c r="O3993" s="4"/>
      <c r="P3993" s="4"/>
      <c r="Q3993" s="4"/>
      <c r="R3993" s="4"/>
      <c r="S3993" s="4"/>
    </row>
    <row r="3994" spans="15:19" x14ac:dyDescent="0.25">
      <c r="O3994" s="4"/>
      <c r="P3994" s="4"/>
      <c r="Q3994" s="4"/>
      <c r="R3994" s="4"/>
      <c r="S3994" s="4"/>
    </row>
    <row r="3995" spans="15:19" x14ac:dyDescent="0.25">
      <c r="O3995" s="4"/>
      <c r="P3995" s="4"/>
      <c r="Q3995" s="4"/>
      <c r="R3995" s="4"/>
      <c r="S3995" s="4"/>
    </row>
    <row r="3996" spans="15:19" x14ac:dyDescent="0.25">
      <c r="O3996" s="4"/>
      <c r="P3996" s="4"/>
      <c r="Q3996" s="4"/>
      <c r="R3996" s="4"/>
      <c r="S3996" s="4"/>
    </row>
    <row r="3997" spans="15:19" x14ac:dyDescent="0.25">
      <c r="O3997" s="4"/>
      <c r="P3997" s="4"/>
      <c r="Q3997" s="4"/>
      <c r="R3997" s="4"/>
      <c r="S3997" s="4"/>
    </row>
    <row r="3998" spans="15:19" x14ac:dyDescent="0.25">
      <c r="O3998" s="4"/>
      <c r="P3998" s="4"/>
      <c r="Q3998" s="4"/>
      <c r="R3998" s="4"/>
      <c r="S3998" s="4"/>
    </row>
    <row r="3999" spans="15:19" x14ac:dyDescent="0.25">
      <c r="O3999" s="4"/>
      <c r="P3999" s="4"/>
      <c r="Q3999" s="4"/>
      <c r="R3999" s="4"/>
      <c r="S3999" s="4"/>
    </row>
    <row r="4000" spans="15:19" x14ac:dyDescent="0.25">
      <c r="O4000" s="4"/>
      <c r="P4000" s="4"/>
      <c r="Q4000" s="4"/>
      <c r="R4000" s="4"/>
      <c r="S4000" s="4"/>
    </row>
    <row r="4001" spans="15:19" x14ac:dyDescent="0.25">
      <c r="O4001" s="4"/>
      <c r="P4001" s="4"/>
      <c r="Q4001" s="4"/>
      <c r="R4001" s="4"/>
      <c r="S4001" s="4"/>
    </row>
    <row r="4002" spans="15:19" x14ac:dyDescent="0.25">
      <c r="O4002" s="4"/>
      <c r="P4002" s="4"/>
      <c r="Q4002" s="4"/>
      <c r="R4002" s="4"/>
      <c r="S4002" s="4"/>
    </row>
    <row r="4003" spans="15:19" x14ac:dyDescent="0.25">
      <c r="O4003" s="4"/>
      <c r="P4003" s="4"/>
      <c r="Q4003" s="4"/>
      <c r="R4003" s="4"/>
      <c r="S4003" s="4"/>
    </row>
    <row r="4004" spans="15:19" x14ac:dyDescent="0.25">
      <c r="O4004" s="4"/>
      <c r="P4004" s="4"/>
      <c r="Q4004" s="4"/>
      <c r="R4004" s="4"/>
      <c r="S4004" s="4"/>
    </row>
    <row r="4005" spans="15:19" x14ac:dyDescent="0.25">
      <c r="O4005" s="4"/>
      <c r="P4005" s="4"/>
      <c r="Q4005" s="4"/>
      <c r="R4005" s="4"/>
      <c r="S4005" s="4"/>
    </row>
    <row r="4006" spans="15:19" x14ac:dyDescent="0.25">
      <c r="O4006" s="4"/>
      <c r="P4006" s="4"/>
      <c r="Q4006" s="4"/>
      <c r="R4006" s="4"/>
      <c r="S4006" s="4"/>
    </row>
    <row r="4007" spans="15:19" x14ac:dyDescent="0.25">
      <c r="O4007" s="4"/>
      <c r="P4007" s="4"/>
      <c r="Q4007" s="4"/>
      <c r="R4007" s="4"/>
      <c r="S4007" s="4"/>
    </row>
    <row r="4008" spans="15:19" x14ac:dyDescent="0.25">
      <c r="O4008" s="4"/>
      <c r="P4008" s="4"/>
      <c r="Q4008" s="4"/>
      <c r="R4008" s="4"/>
      <c r="S4008" s="4"/>
    </row>
    <row r="4009" spans="15:19" x14ac:dyDescent="0.25">
      <c r="O4009" s="4"/>
      <c r="P4009" s="4"/>
      <c r="Q4009" s="4"/>
      <c r="R4009" s="4"/>
      <c r="S4009" s="4"/>
    </row>
    <row r="4010" spans="15:19" x14ac:dyDescent="0.25">
      <c r="O4010" s="4"/>
      <c r="P4010" s="4"/>
      <c r="Q4010" s="4"/>
      <c r="R4010" s="4"/>
      <c r="S4010" s="4"/>
    </row>
    <row r="4011" spans="15:19" x14ac:dyDescent="0.25">
      <c r="O4011" s="4"/>
      <c r="P4011" s="4"/>
      <c r="Q4011" s="4"/>
      <c r="R4011" s="4"/>
      <c r="S4011" s="4"/>
    </row>
    <row r="4012" spans="15:19" x14ac:dyDescent="0.25">
      <c r="O4012" s="4"/>
      <c r="P4012" s="4"/>
      <c r="Q4012" s="4"/>
      <c r="R4012" s="4"/>
      <c r="S4012" s="4"/>
    </row>
    <row r="4013" spans="15:19" x14ac:dyDescent="0.25">
      <c r="O4013" s="4"/>
      <c r="P4013" s="4"/>
      <c r="Q4013" s="4"/>
      <c r="R4013" s="4"/>
      <c r="S4013" s="4"/>
    </row>
    <row r="4014" spans="15:19" x14ac:dyDescent="0.25">
      <c r="O4014" s="4"/>
      <c r="P4014" s="4"/>
      <c r="Q4014" s="4"/>
      <c r="R4014" s="4"/>
      <c r="S4014" s="4"/>
    </row>
    <row r="4015" spans="15:19" x14ac:dyDescent="0.25">
      <c r="O4015" s="4"/>
      <c r="P4015" s="4"/>
      <c r="Q4015" s="4"/>
      <c r="R4015" s="4"/>
      <c r="S4015" s="4"/>
    </row>
    <row r="4016" spans="15:19" x14ac:dyDescent="0.25">
      <c r="O4016" s="4"/>
      <c r="P4016" s="4"/>
      <c r="Q4016" s="4"/>
      <c r="R4016" s="4"/>
      <c r="S4016" s="4"/>
    </row>
    <row r="4017" spans="15:19" x14ac:dyDescent="0.25">
      <c r="O4017" s="4"/>
      <c r="P4017" s="4"/>
      <c r="Q4017" s="4"/>
      <c r="R4017" s="4"/>
      <c r="S4017" s="4"/>
    </row>
    <row r="4018" spans="15:19" x14ac:dyDescent="0.25">
      <c r="O4018" s="4"/>
      <c r="P4018" s="4"/>
      <c r="Q4018" s="4"/>
      <c r="R4018" s="4"/>
      <c r="S4018" s="4"/>
    </row>
    <row r="4019" spans="15:19" x14ac:dyDescent="0.25">
      <c r="O4019" s="4"/>
      <c r="P4019" s="4"/>
      <c r="Q4019" s="4"/>
      <c r="R4019" s="4"/>
      <c r="S4019" s="4"/>
    </row>
    <row r="4020" spans="15:19" x14ac:dyDescent="0.25">
      <c r="O4020" s="4"/>
      <c r="P4020" s="4"/>
      <c r="Q4020" s="4"/>
      <c r="R4020" s="4"/>
      <c r="S4020" s="4"/>
    </row>
    <row r="4021" spans="15:19" x14ac:dyDescent="0.25">
      <c r="O4021" s="4"/>
      <c r="P4021" s="4"/>
      <c r="Q4021" s="4"/>
      <c r="R4021" s="4"/>
      <c r="S4021" s="4"/>
    </row>
    <row r="4022" spans="15:19" x14ac:dyDescent="0.25">
      <c r="O4022" s="4"/>
      <c r="P4022" s="4"/>
      <c r="Q4022" s="4"/>
      <c r="R4022" s="4"/>
      <c r="S4022" s="4"/>
    </row>
    <row r="4023" spans="15:19" x14ac:dyDescent="0.25">
      <c r="O4023" s="4"/>
      <c r="P4023" s="4"/>
      <c r="Q4023" s="4"/>
      <c r="R4023" s="4"/>
      <c r="S4023" s="4"/>
    </row>
    <row r="4024" spans="15:19" x14ac:dyDescent="0.25">
      <c r="O4024" s="4"/>
      <c r="P4024" s="4"/>
      <c r="Q4024" s="4"/>
      <c r="R4024" s="4"/>
      <c r="S4024" s="4"/>
    </row>
    <row r="4025" spans="15:19" x14ac:dyDescent="0.25">
      <c r="O4025" s="4"/>
      <c r="P4025" s="4"/>
      <c r="Q4025" s="4"/>
      <c r="R4025" s="4"/>
      <c r="S4025" s="4"/>
    </row>
    <row r="4026" spans="15:19" x14ac:dyDescent="0.25">
      <c r="O4026" s="4"/>
      <c r="P4026" s="4"/>
      <c r="Q4026" s="4"/>
      <c r="R4026" s="4"/>
      <c r="S4026" s="4"/>
    </row>
    <row r="4027" spans="15:19" x14ac:dyDescent="0.25">
      <c r="O4027" s="4"/>
      <c r="P4027" s="4"/>
      <c r="Q4027" s="4"/>
      <c r="R4027" s="4"/>
      <c r="S4027" s="4"/>
    </row>
    <row r="4028" spans="15:19" x14ac:dyDescent="0.25">
      <c r="O4028" s="4"/>
      <c r="P4028" s="4"/>
      <c r="Q4028" s="4"/>
      <c r="R4028" s="4"/>
      <c r="S4028" s="4"/>
    </row>
    <row r="4029" spans="15:19" x14ac:dyDescent="0.25">
      <c r="O4029" s="4"/>
      <c r="P4029" s="4"/>
      <c r="Q4029" s="4"/>
      <c r="R4029" s="4"/>
      <c r="S4029" s="4"/>
    </row>
    <row r="4030" spans="15:19" x14ac:dyDescent="0.25">
      <c r="O4030" s="4"/>
      <c r="P4030" s="4"/>
      <c r="Q4030" s="4"/>
      <c r="R4030" s="4"/>
      <c r="S4030" s="4"/>
    </row>
    <row r="4031" spans="15:19" x14ac:dyDescent="0.25">
      <c r="O4031" s="4"/>
      <c r="P4031" s="4"/>
      <c r="Q4031" s="4"/>
      <c r="R4031" s="4"/>
      <c r="S4031" s="4"/>
    </row>
    <row r="4032" spans="15:19" x14ac:dyDescent="0.25">
      <c r="O4032" s="4"/>
      <c r="P4032" s="4"/>
      <c r="Q4032" s="4"/>
      <c r="R4032" s="4"/>
      <c r="S4032" s="4"/>
    </row>
    <row r="4033" spans="15:19" x14ac:dyDescent="0.25">
      <c r="O4033" s="4"/>
      <c r="P4033" s="4"/>
      <c r="Q4033" s="4"/>
      <c r="R4033" s="4"/>
      <c r="S4033" s="4"/>
    </row>
    <row r="4034" spans="15:19" x14ac:dyDescent="0.25">
      <c r="O4034" s="4"/>
      <c r="P4034" s="4"/>
      <c r="Q4034" s="4"/>
      <c r="R4034" s="4"/>
      <c r="S4034" s="4"/>
    </row>
    <row r="4035" spans="15:19" x14ac:dyDescent="0.25">
      <c r="O4035" s="4"/>
      <c r="P4035" s="4"/>
      <c r="Q4035" s="4"/>
      <c r="R4035" s="4"/>
      <c r="S4035" s="4"/>
    </row>
    <row r="4036" spans="15:19" x14ac:dyDescent="0.25">
      <c r="O4036" s="4"/>
      <c r="P4036" s="4"/>
      <c r="Q4036" s="4"/>
      <c r="R4036" s="4"/>
      <c r="S4036" s="4"/>
    </row>
    <row r="4037" spans="15:19" x14ac:dyDescent="0.25">
      <c r="O4037" s="4"/>
      <c r="P4037" s="4"/>
      <c r="Q4037" s="4"/>
      <c r="R4037" s="4"/>
      <c r="S4037" s="4"/>
    </row>
    <row r="4038" spans="15:19" x14ac:dyDescent="0.25">
      <c r="O4038" s="4"/>
      <c r="P4038" s="4"/>
      <c r="Q4038" s="4"/>
      <c r="R4038" s="4"/>
      <c r="S4038" s="4"/>
    </row>
    <row r="4039" spans="15:19" x14ac:dyDescent="0.25">
      <c r="O4039" s="4"/>
      <c r="P4039" s="4"/>
      <c r="Q4039" s="4"/>
      <c r="R4039" s="4"/>
      <c r="S4039" s="4"/>
    </row>
    <row r="4040" spans="15:19" x14ac:dyDescent="0.25">
      <c r="O4040" s="4"/>
      <c r="P4040" s="4"/>
      <c r="Q4040" s="4"/>
      <c r="R4040" s="4"/>
      <c r="S4040" s="4"/>
    </row>
    <row r="4041" spans="15:19" x14ac:dyDescent="0.25">
      <c r="O4041" s="4"/>
      <c r="P4041" s="4"/>
      <c r="Q4041" s="4"/>
      <c r="R4041" s="4"/>
      <c r="S4041" s="4"/>
    </row>
    <row r="4042" spans="15:19" x14ac:dyDescent="0.25">
      <c r="O4042" s="4"/>
      <c r="P4042" s="4"/>
      <c r="Q4042" s="4"/>
      <c r="R4042" s="4"/>
      <c r="S4042" s="4"/>
    </row>
    <row r="4043" spans="15:19" x14ac:dyDescent="0.25">
      <c r="O4043" s="4"/>
      <c r="P4043" s="4"/>
      <c r="Q4043" s="4"/>
      <c r="R4043" s="4"/>
      <c r="S4043" s="4"/>
    </row>
    <row r="4044" spans="15:19" x14ac:dyDescent="0.25">
      <c r="O4044" s="4"/>
      <c r="P4044" s="4"/>
      <c r="Q4044" s="4"/>
      <c r="R4044" s="4"/>
      <c r="S4044" s="4"/>
    </row>
    <row r="4045" spans="15:19" x14ac:dyDescent="0.25">
      <c r="O4045" s="4"/>
      <c r="P4045" s="4"/>
      <c r="Q4045" s="4"/>
      <c r="R4045" s="4"/>
      <c r="S4045" s="4"/>
    </row>
    <row r="4046" spans="15:19" x14ac:dyDescent="0.25">
      <c r="O4046" s="4"/>
      <c r="P4046" s="4"/>
      <c r="Q4046" s="4"/>
      <c r="R4046" s="4"/>
      <c r="S4046" s="4"/>
    </row>
    <row r="4047" spans="15:19" x14ac:dyDescent="0.25">
      <c r="O4047" s="4"/>
      <c r="P4047" s="4"/>
      <c r="Q4047" s="4"/>
      <c r="R4047" s="4"/>
      <c r="S4047" s="4"/>
    </row>
    <row r="4048" spans="15:19" x14ac:dyDescent="0.25">
      <c r="O4048" s="4"/>
      <c r="P4048" s="4"/>
      <c r="Q4048" s="4"/>
      <c r="R4048" s="4"/>
      <c r="S4048" s="4"/>
    </row>
    <row r="4049" spans="15:19" x14ac:dyDescent="0.25">
      <c r="O4049" s="4"/>
      <c r="P4049" s="4"/>
      <c r="Q4049" s="4"/>
      <c r="R4049" s="4"/>
      <c r="S4049" s="4"/>
    </row>
    <row r="4050" spans="15:19" x14ac:dyDescent="0.25">
      <c r="O4050" s="4"/>
      <c r="P4050" s="4"/>
      <c r="Q4050" s="4"/>
      <c r="R4050" s="4"/>
      <c r="S4050" s="4"/>
    </row>
    <row r="4051" spans="15:19" x14ac:dyDescent="0.25">
      <c r="O4051" s="4"/>
      <c r="P4051" s="4"/>
      <c r="Q4051" s="4"/>
      <c r="R4051" s="4"/>
      <c r="S4051" s="4"/>
    </row>
    <row r="4052" spans="15:19" x14ac:dyDescent="0.25">
      <c r="O4052" s="4"/>
      <c r="P4052" s="4"/>
      <c r="Q4052" s="4"/>
      <c r="R4052" s="4"/>
      <c r="S4052" s="4"/>
    </row>
    <row r="4053" spans="15:19" x14ac:dyDescent="0.25">
      <c r="O4053" s="4"/>
      <c r="P4053" s="4"/>
      <c r="Q4053" s="4"/>
      <c r="R4053" s="4"/>
      <c r="S4053" s="4"/>
    </row>
    <row r="4054" spans="15:19" x14ac:dyDescent="0.25">
      <c r="O4054" s="4"/>
      <c r="P4054" s="4"/>
      <c r="Q4054" s="4"/>
      <c r="R4054" s="4"/>
      <c r="S4054" s="4"/>
    </row>
    <row r="4055" spans="15:19" x14ac:dyDescent="0.25">
      <c r="O4055" s="4"/>
      <c r="P4055" s="4"/>
      <c r="Q4055" s="4"/>
      <c r="R4055" s="4"/>
      <c r="S4055" s="4"/>
    </row>
    <row r="4056" spans="15:19" x14ac:dyDescent="0.25">
      <c r="O4056" s="4"/>
      <c r="P4056" s="4"/>
      <c r="Q4056" s="4"/>
      <c r="R4056" s="4"/>
      <c r="S4056" s="4"/>
    </row>
    <row r="4057" spans="15:19" x14ac:dyDescent="0.25">
      <c r="O4057" s="4"/>
      <c r="P4057" s="4"/>
      <c r="Q4057" s="4"/>
      <c r="R4057" s="4"/>
      <c r="S4057" s="4"/>
    </row>
    <row r="4058" spans="15:19" x14ac:dyDescent="0.25">
      <c r="O4058" s="4"/>
      <c r="P4058" s="4"/>
      <c r="Q4058" s="4"/>
      <c r="R4058" s="4"/>
      <c r="S4058" s="4"/>
    </row>
    <row r="4059" spans="15:19" x14ac:dyDescent="0.25">
      <c r="O4059" s="4"/>
      <c r="P4059" s="4"/>
      <c r="Q4059" s="4"/>
      <c r="R4059" s="4"/>
      <c r="S4059" s="4"/>
    </row>
    <row r="4060" spans="15:19" x14ac:dyDescent="0.25">
      <c r="O4060" s="4"/>
      <c r="P4060" s="4"/>
      <c r="Q4060" s="4"/>
      <c r="R4060" s="4"/>
      <c r="S4060" s="4"/>
    </row>
    <row r="4061" spans="15:19" x14ac:dyDescent="0.25">
      <c r="O4061" s="4"/>
      <c r="P4061" s="4"/>
      <c r="Q4061" s="4"/>
      <c r="R4061" s="4"/>
      <c r="S4061" s="4"/>
    </row>
    <row r="4062" spans="15:19" x14ac:dyDescent="0.25">
      <c r="O4062" s="4"/>
      <c r="P4062" s="4"/>
      <c r="Q4062" s="4"/>
      <c r="R4062" s="4"/>
      <c r="S4062" s="4"/>
    </row>
    <row r="4063" spans="15:19" x14ac:dyDescent="0.25">
      <c r="O4063" s="4"/>
      <c r="P4063" s="4"/>
      <c r="Q4063" s="4"/>
      <c r="R4063" s="4"/>
      <c r="S4063" s="4"/>
    </row>
    <row r="4064" spans="15:19" x14ac:dyDescent="0.25">
      <c r="O4064" s="4"/>
      <c r="P4064" s="4"/>
      <c r="Q4064" s="4"/>
      <c r="R4064" s="4"/>
      <c r="S4064" s="4"/>
    </row>
    <row r="4065" spans="15:19" x14ac:dyDescent="0.25">
      <c r="O4065" s="4"/>
      <c r="P4065" s="4"/>
      <c r="Q4065" s="4"/>
      <c r="R4065" s="4"/>
      <c r="S4065" s="4"/>
    </row>
    <row r="4066" spans="15:19" x14ac:dyDescent="0.25">
      <c r="O4066" s="4"/>
      <c r="P4066" s="4"/>
      <c r="Q4066" s="4"/>
      <c r="R4066" s="4"/>
      <c r="S4066" s="4"/>
    </row>
    <row r="4067" spans="15:19" x14ac:dyDescent="0.25">
      <c r="O4067" s="4"/>
      <c r="P4067" s="4"/>
      <c r="Q4067" s="4"/>
      <c r="R4067" s="4"/>
      <c r="S4067" s="4"/>
    </row>
    <row r="4068" spans="15:19" x14ac:dyDescent="0.25">
      <c r="O4068" s="4"/>
      <c r="P4068" s="4"/>
      <c r="Q4068" s="4"/>
      <c r="R4068" s="4"/>
      <c r="S4068" s="4"/>
    </row>
    <row r="4069" spans="15:19" x14ac:dyDescent="0.25">
      <c r="O4069" s="4"/>
      <c r="P4069" s="4"/>
      <c r="Q4069" s="4"/>
      <c r="R4069" s="4"/>
      <c r="S4069" s="4"/>
    </row>
    <row r="4070" spans="15:19" x14ac:dyDescent="0.25">
      <c r="O4070" s="4"/>
      <c r="P4070" s="4"/>
      <c r="Q4070" s="4"/>
      <c r="R4070" s="4"/>
      <c r="S4070" s="4"/>
    </row>
    <row r="4071" spans="15:19" x14ac:dyDescent="0.25">
      <c r="O4071" s="4"/>
      <c r="P4071" s="4"/>
      <c r="Q4071" s="4"/>
      <c r="R4071" s="4"/>
      <c r="S4071" s="4"/>
    </row>
    <row r="4072" spans="15:19" x14ac:dyDescent="0.25">
      <c r="O4072" s="4"/>
      <c r="P4072" s="4"/>
      <c r="Q4072" s="4"/>
      <c r="R4072" s="4"/>
      <c r="S4072" s="4"/>
    </row>
    <row r="4073" spans="15:19" x14ac:dyDescent="0.25">
      <c r="O4073" s="4"/>
      <c r="P4073" s="4"/>
      <c r="Q4073" s="4"/>
      <c r="R4073" s="4"/>
      <c r="S4073" s="4"/>
    </row>
    <row r="4074" spans="15:19" x14ac:dyDescent="0.25">
      <c r="O4074" s="4"/>
      <c r="P4074" s="4"/>
      <c r="Q4074" s="4"/>
      <c r="R4074" s="4"/>
      <c r="S4074" s="4"/>
    </row>
    <row r="4075" spans="15:19" x14ac:dyDescent="0.25">
      <c r="O4075" s="4"/>
      <c r="P4075" s="4"/>
      <c r="Q4075" s="4"/>
      <c r="R4075" s="4"/>
      <c r="S4075" s="4"/>
    </row>
    <row r="4076" spans="15:19" x14ac:dyDescent="0.25">
      <c r="O4076" s="4"/>
      <c r="P4076" s="4"/>
      <c r="Q4076" s="4"/>
      <c r="R4076" s="4"/>
      <c r="S4076" s="4"/>
    </row>
    <row r="4077" spans="15:19" x14ac:dyDescent="0.25">
      <c r="O4077" s="4"/>
      <c r="P4077" s="4"/>
      <c r="Q4077" s="4"/>
      <c r="R4077" s="4"/>
      <c r="S4077" s="4"/>
    </row>
    <row r="4078" spans="15:19" x14ac:dyDescent="0.25">
      <c r="O4078" s="4"/>
      <c r="P4078" s="4"/>
      <c r="Q4078" s="4"/>
      <c r="R4078" s="4"/>
      <c r="S4078" s="4"/>
    </row>
    <row r="4079" spans="15:19" x14ac:dyDescent="0.25">
      <c r="O4079" s="4"/>
      <c r="P4079" s="4"/>
      <c r="Q4079" s="4"/>
      <c r="R4079" s="4"/>
      <c r="S4079" s="4"/>
    </row>
    <row r="4080" spans="15:19" x14ac:dyDescent="0.25">
      <c r="O4080" s="4"/>
      <c r="P4080" s="4"/>
      <c r="Q4080" s="4"/>
      <c r="R4080" s="4"/>
      <c r="S4080" s="4"/>
    </row>
    <row r="4081" spans="15:19" x14ac:dyDescent="0.25">
      <c r="O4081" s="4"/>
      <c r="P4081" s="4"/>
      <c r="Q4081" s="4"/>
      <c r="R4081" s="4"/>
      <c r="S4081" s="4"/>
    </row>
    <row r="4082" spans="15:19" x14ac:dyDescent="0.25">
      <c r="O4082" s="4"/>
      <c r="P4082" s="4"/>
      <c r="Q4082" s="4"/>
      <c r="R4082" s="4"/>
      <c r="S4082" s="4"/>
    </row>
    <row r="4083" spans="15:19" x14ac:dyDescent="0.25">
      <c r="O4083" s="4"/>
      <c r="P4083" s="4"/>
      <c r="Q4083" s="4"/>
      <c r="R4083" s="4"/>
      <c r="S4083" s="4"/>
    </row>
    <row r="4084" spans="15:19" x14ac:dyDescent="0.25">
      <c r="O4084" s="4"/>
      <c r="P4084" s="4"/>
      <c r="Q4084" s="4"/>
      <c r="R4084" s="4"/>
      <c r="S4084" s="4"/>
    </row>
    <row r="4085" spans="15:19" x14ac:dyDescent="0.25">
      <c r="O4085" s="4"/>
      <c r="P4085" s="4"/>
      <c r="Q4085" s="4"/>
      <c r="R4085" s="4"/>
      <c r="S4085" s="4"/>
    </row>
    <row r="4086" spans="15:19" x14ac:dyDescent="0.25">
      <c r="O4086" s="4"/>
      <c r="P4086" s="4"/>
      <c r="Q4086" s="4"/>
      <c r="R4086" s="4"/>
      <c r="S4086" s="4"/>
    </row>
    <row r="4087" spans="15:19" x14ac:dyDescent="0.25">
      <c r="O4087" s="4"/>
      <c r="P4087" s="4"/>
      <c r="Q4087" s="4"/>
      <c r="R4087" s="4"/>
      <c r="S4087" s="4"/>
    </row>
    <row r="4088" spans="15:19" x14ac:dyDescent="0.25">
      <c r="O4088" s="4"/>
      <c r="P4088" s="4"/>
      <c r="Q4088" s="4"/>
      <c r="R4088" s="4"/>
      <c r="S4088" s="4"/>
    </row>
    <row r="4089" spans="15:19" x14ac:dyDescent="0.25">
      <c r="O4089" s="4"/>
      <c r="P4089" s="4"/>
      <c r="Q4089" s="4"/>
      <c r="R4089" s="4"/>
      <c r="S4089" s="4"/>
    </row>
    <row r="4090" spans="15:19" x14ac:dyDescent="0.25">
      <c r="O4090" s="4"/>
      <c r="P4090" s="4"/>
      <c r="Q4090" s="4"/>
      <c r="R4090" s="4"/>
      <c r="S4090" s="4"/>
    </row>
    <row r="4091" spans="15:19" x14ac:dyDescent="0.25">
      <c r="O4091" s="4"/>
      <c r="P4091" s="4"/>
      <c r="Q4091" s="4"/>
      <c r="R4091" s="4"/>
      <c r="S4091" s="4"/>
    </row>
    <row r="4092" spans="15:19" x14ac:dyDescent="0.25">
      <c r="O4092" s="4"/>
      <c r="P4092" s="4"/>
      <c r="Q4092" s="4"/>
      <c r="R4092" s="4"/>
      <c r="S4092" s="4"/>
    </row>
    <row r="4093" spans="15:19" x14ac:dyDescent="0.25">
      <c r="O4093" s="4"/>
      <c r="P4093" s="4"/>
      <c r="Q4093" s="4"/>
      <c r="R4093" s="4"/>
      <c r="S4093" s="4"/>
    </row>
    <row r="4094" spans="15:19" x14ac:dyDescent="0.25">
      <c r="O4094" s="4"/>
      <c r="P4094" s="4"/>
      <c r="Q4094" s="4"/>
      <c r="R4094" s="4"/>
      <c r="S4094" s="4"/>
    </row>
    <row r="4095" spans="15:19" x14ac:dyDescent="0.25">
      <c r="O4095" s="4"/>
      <c r="P4095" s="4"/>
      <c r="Q4095" s="4"/>
      <c r="R4095" s="4"/>
      <c r="S4095" s="4"/>
    </row>
    <row r="4096" spans="15:19" x14ac:dyDescent="0.25">
      <c r="O4096" s="4"/>
      <c r="P4096" s="4"/>
      <c r="Q4096" s="4"/>
      <c r="R4096" s="4"/>
      <c r="S4096" s="4"/>
    </row>
    <row r="4097" spans="15:19" x14ac:dyDescent="0.25">
      <c r="O4097" s="4"/>
      <c r="P4097" s="4"/>
      <c r="Q4097" s="4"/>
      <c r="R4097" s="4"/>
      <c r="S4097" s="4"/>
    </row>
    <row r="4098" spans="15:19" x14ac:dyDescent="0.25">
      <c r="O4098" s="4"/>
      <c r="P4098" s="4"/>
      <c r="Q4098" s="4"/>
      <c r="R4098" s="4"/>
      <c r="S4098" s="4"/>
    </row>
    <row r="4099" spans="15:19" x14ac:dyDescent="0.25">
      <c r="O4099" s="4"/>
      <c r="P4099" s="4"/>
      <c r="Q4099" s="4"/>
      <c r="R4099" s="4"/>
      <c r="S4099" s="4"/>
    </row>
    <row r="4100" spans="15:19" x14ac:dyDescent="0.25">
      <c r="O4100" s="4"/>
      <c r="P4100" s="4"/>
      <c r="Q4100" s="4"/>
      <c r="R4100" s="4"/>
      <c r="S4100" s="4"/>
    </row>
    <row r="4101" spans="15:19" x14ac:dyDescent="0.25">
      <c r="O4101" s="4"/>
      <c r="P4101" s="4"/>
      <c r="Q4101" s="4"/>
      <c r="R4101" s="4"/>
      <c r="S4101" s="4"/>
    </row>
    <row r="4102" spans="15:19" x14ac:dyDescent="0.25">
      <c r="O4102" s="4"/>
      <c r="P4102" s="4"/>
      <c r="Q4102" s="4"/>
      <c r="R4102" s="4"/>
      <c r="S4102" s="4"/>
    </row>
    <row r="4103" spans="15:19" x14ac:dyDescent="0.25">
      <c r="O4103" s="4"/>
      <c r="P4103" s="4"/>
      <c r="Q4103" s="4"/>
      <c r="R4103" s="4"/>
      <c r="S4103" s="4"/>
    </row>
    <row r="4104" spans="15:19" x14ac:dyDescent="0.25">
      <c r="O4104" s="4"/>
      <c r="P4104" s="4"/>
      <c r="Q4104" s="4"/>
      <c r="R4104" s="4"/>
      <c r="S4104" s="4"/>
    </row>
    <row r="4105" spans="15:19" x14ac:dyDescent="0.25">
      <c r="O4105" s="4"/>
      <c r="P4105" s="4"/>
      <c r="Q4105" s="4"/>
      <c r="R4105" s="4"/>
      <c r="S4105" s="4"/>
    </row>
    <row r="4106" spans="15:19" x14ac:dyDescent="0.25">
      <c r="O4106" s="4"/>
      <c r="P4106" s="4"/>
      <c r="Q4106" s="4"/>
      <c r="R4106" s="4"/>
      <c r="S4106" s="4"/>
    </row>
    <row r="4107" spans="15:19" x14ac:dyDescent="0.25">
      <c r="O4107" s="4"/>
      <c r="P4107" s="4"/>
      <c r="Q4107" s="4"/>
      <c r="R4107" s="4"/>
      <c r="S4107" s="4"/>
    </row>
    <row r="4108" spans="15:19" x14ac:dyDescent="0.25">
      <c r="O4108" s="4"/>
      <c r="P4108" s="4"/>
      <c r="Q4108" s="4"/>
      <c r="R4108" s="4"/>
      <c r="S4108" s="4"/>
    </row>
    <row r="4109" spans="15:19" x14ac:dyDescent="0.25">
      <c r="O4109" s="4"/>
      <c r="P4109" s="4"/>
      <c r="Q4109" s="4"/>
      <c r="R4109" s="4"/>
      <c r="S4109" s="4"/>
    </row>
    <row r="4110" spans="15:19" x14ac:dyDescent="0.25">
      <c r="O4110" s="4"/>
      <c r="P4110" s="4"/>
      <c r="Q4110" s="4"/>
      <c r="R4110" s="4"/>
      <c r="S4110" s="4"/>
    </row>
    <row r="4111" spans="15:19" x14ac:dyDescent="0.25">
      <c r="O4111" s="4"/>
      <c r="P4111" s="4"/>
      <c r="Q4111" s="4"/>
      <c r="R4111" s="4"/>
      <c r="S4111" s="4"/>
    </row>
    <row r="4112" spans="15:19" x14ac:dyDescent="0.25">
      <c r="O4112" s="4"/>
      <c r="P4112" s="4"/>
      <c r="Q4112" s="4"/>
      <c r="R4112" s="4"/>
      <c r="S4112" s="4"/>
    </row>
    <row r="4113" spans="15:19" x14ac:dyDescent="0.25">
      <c r="O4113" s="4"/>
      <c r="P4113" s="4"/>
      <c r="Q4113" s="4"/>
      <c r="R4113" s="4"/>
      <c r="S4113" s="4"/>
    </row>
    <row r="4114" spans="15:19" x14ac:dyDescent="0.25">
      <c r="O4114" s="4"/>
      <c r="P4114" s="4"/>
      <c r="Q4114" s="4"/>
      <c r="R4114" s="4"/>
      <c r="S4114" s="4"/>
    </row>
    <row r="4115" spans="15:19" x14ac:dyDescent="0.25">
      <c r="O4115" s="4"/>
      <c r="P4115" s="4"/>
      <c r="Q4115" s="4"/>
      <c r="R4115" s="4"/>
      <c r="S4115" s="4"/>
    </row>
    <row r="4116" spans="15:19" x14ac:dyDescent="0.25">
      <c r="O4116" s="4"/>
      <c r="P4116" s="4"/>
      <c r="Q4116" s="4"/>
      <c r="R4116" s="4"/>
      <c r="S4116" s="4"/>
    </row>
    <row r="4117" spans="15:19" x14ac:dyDescent="0.25">
      <c r="O4117" s="4"/>
      <c r="P4117" s="4"/>
      <c r="Q4117" s="4"/>
      <c r="R4117" s="4"/>
      <c r="S4117" s="4"/>
    </row>
    <row r="4118" spans="15:19" x14ac:dyDescent="0.25">
      <c r="O4118" s="4"/>
      <c r="P4118" s="4"/>
      <c r="Q4118" s="4"/>
      <c r="R4118" s="4"/>
      <c r="S4118" s="4"/>
    </row>
    <row r="4119" spans="15:19" x14ac:dyDescent="0.25">
      <c r="O4119" s="4"/>
      <c r="P4119" s="4"/>
      <c r="Q4119" s="4"/>
      <c r="R4119" s="4"/>
      <c r="S4119" s="4"/>
    </row>
    <row r="4120" spans="15:19" x14ac:dyDescent="0.25">
      <c r="O4120" s="4"/>
      <c r="P4120" s="4"/>
      <c r="Q4120" s="4"/>
      <c r="R4120" s="4"/>
      <c r="S4120" s="4"/>
    </row>
    <row r="4121" spans="15:19" x14ac:dyDescent="0.25">
      <c r="O4121" s="4"/>
      <c r="P4121" s="4"/>
      <c r="Q4121" s="4"/>
      <c r="R4121" s="4"/>
      <c r="S4121" s="4"/>
    </row>
    <row r="4122" spans="15:19" x14ac:dyDescent="0.25">
      <c r="O4122" s="4"/>
      <c r="P4122" s="4"/>
      <c r="Q4122" s="4"/>
      <c r="R4122" s="4"/>
      <c r="S4122" s="4"/>
    </row>
    <row r="4123" spans="15:19" x14ac:dyDescent="0.25">
      <c r="O4123" s="4"/>
      <c r="P4123" s="4"/>
      <c r="Q4123" s="4"/>
      <c r="R4123" s="4"/>
      <c r="S4123" s="4"/>
    </row>
    <row r="4124" spans="15:19" x14ac:dyDescent="0.25">
      <c r="O4124" s="4"/>
      <c r="P4124" s="4"/>
      <c r="Q4124" s="4"/>
      <c r="R4124" s="4"/>
      <c r="S4124" s="4"/>
    </row>
    <row r="4125" spans="15:19" x14ac:dyDescent="0.25">
      <c r="O4125" s="4"/>
      <c r="P4125" s="4"/>
      <c r="Q4125" s="4"/>
      <c r="R4125" s="4"/>
      <c r="S4125" s="4"/>
    </row>
    <row r="4126" spans="15:19" x14ac:dyDescent="0.25">
      <c r="O4126" s="4"/>
      <c r="P4126" s="4"/>
      <c r="Q4126" s="4"/>
      <c r="R4126" s="4"/>
      <c r="S4126" s="4"/>
    </row>
    <row r="4127" spans="15:19" x14ac:dyDescent="0.25">
      <c r="O4127" s="4"/>
      <c r="P4127" s="4"/>
      <c r="Q4127" s="4"/>
      <c r="R4127" s="4"/>
      <c r="S4127" s="4"/>
    </row>
    <row r="4128" spans="15:19" x14ac:dyDescent="0.25">
      <c r="O4128" s="4"/>
      <c r="P4128" s="4"/>
      <c r="Q4128" s="4"/>
      <c r="R4128" s="4"/>
      <c r="S4128" s="4"/>
    </row>
    <row r="4129" spans="15:19" x14ac:dyDescent="0.25">
      <c r="O4129" s="4"/>
      <c r="P4129" s="4"/>
      <c r="Q4129" s="4"/>
      <c r="R4129" s="4"/>
      <c r="S4129" s="4"/>
    </row>
    <row r="4130" spans="15:19" x14ac:dyDescent="0.25">
      <c r="O4130" s="4"/>
      <c r="P4130" s="4"/>
      <c r="Q4130" s="4"/>
      <c r="R4130" s="4"/>
      <c r="S4130" s="4"/>
    </row>
    <row r="4131" spans="15:19" x14ac:dyDescent="0.25">
      <c r="O4131" s="4"/>
      <c r="P4131" s="4"/>
      <c r="Q4131" s="4"/>
      <c r="R4131" s="4"/>
      <c r="S4131" s="4"/>
    </row>
    <row r="4132" spans="15:19" x14ac:dyDescent="0.25">
      <c r="O4132" s="4"/>
      <c r="P4132" s="4"/>
      <c r="Q4132" s="4"/>
      <c r="R4132" s="4"/>
      <c r="S4132" s="4"/>
    </row>
    <row r="4133" spans="15:19" x14ac:dyDescent="0.25">
      <c r="O4133" s="4"/>
      <c r="P4133" s="4"/>
      <c r="Q4133" s="4"/>
      <c r="R4133" s="4"/>
      <c r="S4133" s="4"/>
    </row>
    <row r="4134" spans="15:19" x14ac:dyDescent="0.25">
      <c r="O4134" s="4"/>
      <c r="P4134" s="4"/>
      <c r="Q4134" s="4"/>
      <c r="R4134" s="4"/>
      <c r="S4134" s="4"/>
    </row>
    <row r="4135" spans="15:19" x14ac:dyDescent="0.25">
      <c r="O4135" s="4"/>
      <c r="P4135" s="4"/>
      <c r="Q4135" s="4"/>
      <c r="R4135" s="4"/>
      <c r="S4135" s="4"/>
    </row>
    <row r="4136" spans="15:19" x14ac:dyDescent="0.25">
      <c r="O4136" s="4"/>
      <c r="P4136" s="4"/>
      <c r="Q4136" s="4"/>
      <c r="R4136" s="4"/>
      <c r="S4136" s="4"/>
    </row>
    <row r="4137" spans="15:19" x14ac:dyDescent="0.25">
      <c r="O4137" s="4"/>
      <c r="P4137" s="4"/>
      <c r="Q4137" s="4"/>
      <c r="R4137" s="4"/>
      <c r="S4137" s="4"/>
    </row>
    <row r="4138" spans="15:19" x14ac:dyDescent="0.25">
      <c r="O4138" s="4"/>
      <c r="P4138" s="4"/>
      <c r="Q4138" s="4"/>
      <c r="R4138" s="4"/>
      <c r="S4138" s="4"/>
    </row>
    <row r="4139" spans="15:19" x14ac:dyDescent="0.25">
      <c r="O4139" s="4"/>
      <c r="P4139" s="4"/>
      <c r="Q4139" s="4"/>
      <c r="R4139" s="4"/>
      <c r="S4139" s="4"/>
    </row>
    <row r="4140" spans="15:19" x14ac:dyDescent="0.25">
      <c r="O4140" s="4"/>
      <c r="P4140" s="4"/>
      <c r="Q4140" s="4"/>
      <c r="R4140" s="4"/>
      <c r="S4140" s="4"/>
    </row>
    <row r="4141" spans="15:19" x14ac:dyDescent="0.25">
      <c r="O4141" s="4"/>
      <c r="P4141" s="4"/>
      <c r="Q4141" s="4"/>
      <c r="R4141" s="4"/>
      <c r="S4141" s="4"/>
    </row>
    <row r="4142" spans="15:19" x14ac:dyDescent="0.25">
      <c r="O4142" s="4"/>
      <c r="P4142" s="4"/>
      <c r="Q4142" s="4"/>
      <c r="R4142" s="4"/>
      <c r="S4142" s="4"/>
    </row>
    <row r="4143" spans="15:19" x14ac:dyDescent="0.25">
      <c r="O4143" s="4"/>
      <c r="P4143" s="4"/>
      <c r="Q4143" s="4"/>
      <c r="R4143" s="4"/>
      <c r="S4143" s="4"/>
    </row>
    <row r="4144" spans="15:19" x14ac:dyDescent="0.25">
      <c r="O4144" s="4"/>
      <c r="P4144" s="4"/>
      <c r="Q4144" s="4"/>
      <c r="R4144" s="4"/>
      <c r="S4144" s="4"/>
    </row>
    <row r="4145" spans="15:19" x14ac:dyDescent="0.25">
      <c r="O4145" s="4"/>
      <c r="P4145" s="4"/>
      <c r="Q4145" s="4"/>
      <c r="R4145" s="4"/>
      <c r="S4145" s="4"/>
    </row>
    <row r="4146" spans="15:19" x14ac:dyDescent="0.25">
      <c r="O4146" s="4"/>
      <c r="P4146" s="4"/>
      <c r="Q4146" s="4"/>
      <c r="R4146" s="4"/>
      <c r="S4146" s="4"/>
    </row>
    <row r="4147" spans="15:19" x14ac:dyDescent="0.25">
      <c r="O4147" s="4"/>
      <c r="P4147" s="4"/>
      <c r="Q4147" s="4"/>
      <c r="R4147" s="4"/>
      <c r="S4147" s="4"/>
    </row>
    <row r="4148" spans="15:19" x14ac:dyDescent="0.25">
      <c r="O4148" s="4"/>
      <c r="P4148" s="4"/>
      <c r="Q4148" s="4"/>
      <c r="R4148" s="4"/>
      <c r="S4148" s="4"/>
    </row>
    <row r="4149" spans="15:19" x14ac:dyDescent="0.25">
      <c r="O4149" s="4"/>
      <c r="P4149" s="4"/>
      <c r="Q4149" s="4"/>
      <c r="R4149" s="4"/>
      <c r="S4149" s="4"/>
    </row>
    <row r="4150" spans="15:19" x14ac:dyDescent="0.25">
      <c r="O4150" s="4"/>
      <c r="P4150" s="4"/>
      <c r="Q4150" s="4"/>
      <c r="R4150" s="4"/>
      <c r="S4150" s="4"/>
    </row>
    <row r="4151" spans="15:19" x14ac:dyDescent="0.25">
      <c r="O4151" s="4"/>
      <c r="P4151" s="4"/>
      <c r="Q4151" s="4"/>
      <c r="R4151" s="4"/>
      <c r="S4151" s="4"/>
    </row>
    <row r="4152" spans="15:19" x14ac:dyDescent="0.25">
      <c r="O4152" s="4"/>
      <c r="P4152" s="4"/>
      <c r="Q4152" s="4"/>
      <c r="R4152" s="4"/>
      <c r="S4152" s="4"/>
    </row>
    <row r="4153" spans="15:19" x14ac:dyDescent="0.25">
      <c r="O4153" s="4"/>
      <c r="P4153" s="4"/>
      <c r="Q4153" s="4"/>
      <c r="R4153" s="4"/>
      <c r="S4153" s="4"/>
    </row>
    <row r="4154" spans="15:19" x14ac:dyDescent="0.25">
      <c r="O4154" s="4"/>
      <c r="P4154" s="4"/>
      <c r="Q4154" s="4"/>
      <c r="R4154" s="4"/>
      <c r="S4154" s="4"/>
    </row>
    <row r="4155" spans="15:19" x14ac:dyDescent="0.25">
      <c r="O4155" s="4"/>
      <c r="P4155" s="4"/>
      <c r="Q4155" s="4"/>
      <c r="R4155" s="4"/>
      <c r="S4155" s="4"/>
    </row>
    <row r="4156" spans="15:19" x14ac:dyDescent="0.25">
      <c r="O4156" s="4"/>
      <c r="P4156" s="4"/>
      <c r="Q4156" s="4"/>
      <c r="R4156" s="4"/>
      <c r="S4156" s="4"/>
    </row>
    <row r="4157" spans="15:19" x14ac:dyDescent="0.25">
      <c r="O4157" s="4"/>
      <c r="P4157" s="4"/>
      <c r="Q4157" s="4"/>
      <c r="R4157" s="4"/>
      <c r="S4157" s="4"/>
    </row>
    <row r="4158" spans="15:19" x14ac:dyDescent="0.25">
      <c r="O4158" s="4"/>
      <c r="P4158" s="4"/>
      <c r="Q4158" s="4"/>
      <c r="R4158" s="4"/>
      <c r="S4158" s="4"/>
    </row>
    <row r="4159" spans="15:19" x14ac:dyDescent="0.25">
      <c r="O4159" s="4"/>
      <c r="P4159" s="4"/>
      <c r="Q4159" s="4"/>
      <c r="R4159" s="4"/>
      <c r="S4159" s="4"/>
    </row>
    <row r="4160" spans="15:19" x14ac:dyDescent="0.25">
      <c r="O4160" s="4"/>
      <c r="P4160" s="4"/>
      <c r="Q4160" s="4"/>
      <c r="R4160" s="4"/>
      <c r="S4160" s="4"/>
    </row>
    <row r="4161" spans="15:19" x14ac:dyDescent="0.25">
      <c r="O4161" s="4"/>
      <c r="P4161" s="4"/>
      <c r="Q4161" s="4"/>
      <c r="R4161" s="4"/>
      <c r="S4161" s="4"/>
    </row>
    <row r="4162" spans="15:19" x14ac:dyDescent="0.25">
      <c r="O4162" s="4"/>
      <c r="P4162" s="4"/>
      <c r="Q4162" s="4"/>
      <c r="R4162" s="4"/>
      <c r="S4162" s="4"/>
    </row>
    <row r="4163" spans="15:19" x14ac:dyDescent="0.25">
      <c r="O4163" s="4"/>
      <c r="P4163" s="4"/>
      <c r="Q4163" s="4"/>
      <c r="R4163" s="4"/>
      <c r="S4163" s="4"/>
    </row>
    <row r="4164" spans="15:19" x14ac:dyDescent="0.25">
      <c r="O4164" s="4"/>
      <c r="P4164" s="4"/>
      <c r="Q4164" s="4"/>
      <c r="R4164" s="4"/>
      <c r="S4164" s="4"/>
    </row>
    <row r="4165" spans="15:19" x14ac:dyDescent="0.25">
      <c r="O4165" s="4"/>
      <c r="P4165" s="4"/>
      <c r="Q4165" s="4"/>
      <c r="R4165" s="4"/>
      <c r="S4165" s="4"/>
    </row>
    <row r="4166" spans="15:19" x14ac:dyDescent="0.25">
      <c r="O4166" s="4"/>
      <c r="P4166" s="4"/>
      <c r="Q4166" s="4"/>
      <c r="R4166" s="4"/>
      <c r="S4166" s="4"/>
    </row>
    <row r="4167" spans="15:19" x14ac:dyDescent="0.25">
      <c r="O4167" s="4"/>
      <c r="P4167" s="4"/>
      <c r="Q4167" s="4"/>
      <c r="R4167" s="4"/>
      <c r="S4167" s="4"/>
    </row>
    <row r="4168" spans="15:19" x14ac:dyDescent="0.25">
      <c r="O4168" s="4"/>
      <c r="P4168" s="4"/>
      <c r="Q4168" s="4"/>
      <c r="R4168" s="4"/>
      <c r="S4168" s="4"/>
    </row>
    <row r="4169" spans="15:19" x14ac:dyDescent="0.25">
      <c r="O4169" s="4"/>
      <c r="P4169" s="4"/>
      <c r="Q4169" s="4"/>
      <c r="R4169" s="4"/>
      <c r="S4169" s="4"/>
    </row>
    <row r="4170" spans="15:19" x14ac:dyDescent="0.25">
      <c r="O4170" s="4"/>
      <c r="P4170" s="4"/>
      <c r="Q4170" s="4"/>
      <c r="R4170" s="4"/>
      <c r="S4170" s="4"/>
    </row>
    <row r="4171" spans="15:19" x14ac:dyDescent="0.25">
      <c r="O4171" s="4"/>
      <c r="P4171" s="4"/>
      <c r="Q4171" s="4"/>
      <c r="R4171" s="4"/>
      <c r="S4171" s="4"/>
    </row>
    <row r="4172" spans="15:19" x14ac:dyDescent="0.25">
      <c r="O4172" s="4"/>
      <c r="P4172" s="4"/>
      <c r="Q4172" s="4"/>
      <c r="R4172" s="4"/>
      <c r="S4172" s="4"/>
    </row>
    <row r="4173" spans="15:19" x14ac:dyDescent="0.25">
      <c r="O4173" s="4"/>
      <c r="P4173" s="4"/>
      <c r="Q4173" s="4"/>
      <c r="R4173" s="4"/>
      <c r="S4173" s="4"/>
    </row>
    <row r="4174" spans="15:19" x14ac:dyDescent="0.25">
      <c r="O4174" s="4"/>
      <c r="P4174" s="4"/>
      <c r="Q4174" s="4"/>
      <c r="R4174" s="4"/>
      <c r="S4174" s="4"/>
    </row>
    <row r="4175" spans="15:19" x14ac:dyDescent="0.25">
      <c r="O4175" s="4"/>
      <c r="P4175" s="4"/>
      <c r="Q4175" s="4"/>
      <c r="R4175" s="4"/>
      <c r="S4175" s="4"/>
    </row>
    <row r="4176" spans="15:19" x14ac:dyDescent="0.25">
      <c r="O4176" s="4"/>
      <c r="P4176" s="4"/>
      <c r="Q4176" s="4"/>
      <c r="R4176" s="4"/>
      <c r="S4176" s="4"/>
    </row>
    <row r="4177" spans="15:19" x14ac:dyDescent="0.25">
      <c r="O4177" s="4"/>
      <c r="P4177" s="4"/>
      <c r="Q4177" s="4"/>
      <c r="R4177" s="4"/>
      <c r="S4177" s="4"/>
    </row>
    <row r="4178" spans="15:19" x14ac:dyDescent="0.25">
      <c r="O4178" s="4"/>
      <c r="P4178" s="4"/>
      <c r="Q4178" s="4"/>
      <c r="R4178" s="4"/>
      <c r="S4178" s="4"/>
    </row>
    <row r="4179" spans="15:19" x14ac:dyDescent="0.25">
      <c r="O4179" s="4"/>
      <c r="P4179" s="4"/>
      <c r="Q4179" s="4"/>
      <c r="R4179" s="4"/>
      <c r="S4179" s="4"/>
    </row>
    <row r="4180" spans="15:19" x14ac:dyDescent="0.25">
      <c r="O4180" s="4"/>
      <c r="P4180" s="4"/>
      <c r="Q4180" s="4"/>
      <c r="R4180" s="4"/>
      <c r="S4180" s="4"/>
    </row>
    <row r="4181" spans="15:19" x14ac:dyDescent="0.25">
      <c r="O4181" s="4"/>
      <c r="P4181" s="4"/>
      <c r="Q4181" s="4"/>
      <c r="R4181" s="4"/>
      <c r="S4181" s="4"/>
    </row>
    <row r="4182" spans="15:19" x14ac:dyDescent="0.25">
      <c r="O4182" s="4"/>
      <c r="P4182" s="4"/>
      <c r="Q4182" s="4"/>
      <c r="R4182" s="4"/>
      <c r="S4182" s="4"/>
    </row>
    <row r="4183" spans="15:19" x14ac:dyDescent="0.25">
      <c r="O4183" s="4"/>
      <c r="P4183" s="4"/>
      <c r="Q4183" s="4"/>
      <c r="R4183" s="4"/>
      <c r="S4183" s="4"/>
    </row>
    <row r="4184" spans="15:19" x14ac:dyDescent="0.25">
      <c r="O4184" s="4"/>
      <c r="P4184" s="4"/>
      <c r="Q4184" s="4"/>
      <c r="R4184" s="4"/>
      <c r="S4184" s="4"/>
    </row>
    <row r="4185" spans="15:19" x14ac:dyDescent="0.25">
      <c r="O4185" s="4"/>
      <c r="P4185" s="4"/>
      <c r="Q4185" s="4"/>
      <c r="R4185" s="4"/>
      <c r="S4185" s="4"/>
    </row>
    <row r="4186" spans="15:19" x14ac:dyDescent="0.25">
      <c r="O4186" s="4"/>
      <c r="P4186" s="4"/>
      <c r="Q4186" s="4"/>
      <c r="R4186" s="4"/>
      <c r="S4186" s="4"/>
    </row>
    <row r="4187" spans="15:19" x14ac:dyDescent="0.25">
      <c r="O4187" s="4"/>
      <c r="P4187" s="4"/>
      <c r="Q4187" s="4"/>
      <c r="R4187" s="4"/>
      <c r="S4187" s="4"/>
    </row>
    <row r="4188" spans="15:19" x14ac:dyDescent="0.25">
      <c r="O4188" s="4"/>
      <c r="P4188" s="4"/>
      <c r="Q4188" s="4"/>
      <c r="R4188" s="4"/>
      <c r="S4188" s="4"/>
    </row>
    <row r="4189" spans="15:19" x14ac:dyDescent="0.25">
      <c r="O4189" s="4"/>
      <c r="P4189" s="4"/>
      <c r="Q4189" s="4"/>
      <c r="R4189" s="4"/>
      <c r="S4189" s="4"/>
    </row>
    <row r="4190" spans="15:19" x14ac:dyDescent="0.25">
      <c r="O4190" s="4"/>
      <c r="P4190" s="4"/>
      <c r="Q4190" s="4"/>
      <c r="R4190" s="4"/>
      <c r="S4190" s="4"/>
    </row>
    <row r="4191" spans="15:19" x14ac:dyDescent="0.25">
      <c r="O4191" s="4"/>
      <c r="P4191" s="4"/>
      <c r="Q4191" s="4"/>
      <c r="R4191" s="4"/>
      <c r="S4191" s="4"/>
    </row>
    <row r="4192" spans="15:19" x14ac:dyDescent="0.25">
      <c r="O4192" s="4"/>
      <c r="P4192" s="4"/>
      <c r="Q4192" s="4"/>
      <c r="R4192" s="4"/>
      <c r="S4192" s="4"/>
    </row>
    <row r="4193" spans="15:19" x14ac:dyDescent="0.25">
      <c r="O4193" s="4"/>
      <c r="P4193" s="4"/>
      <c r="Q4193" s="4"/>
      <c r="R4193" s="4"/>
      <c r="S4193" s="4"/>
    </row>
    <row r="4194" spans="15:19" x14ac:dyDescent="0.25">
      <c r="O4194" s="4"/>
      <c r="P4194" s="4"/>
      <c r="Q4194" s="4"/>
      <c r="R4194" s="4"/>
      <c r="S4194" s="4"/>
    </row>
    <row r="4195" spans="15:19" x14ac:dyDescent="0.25">
      <c r="O4195" s="4"/>
      <c r="P4195" s="4"/>
      <c r="Q4195" s="4"/>
      <c r="R4195" s="4"/>
      <c r="S4195" s="4"/>
    </row>
    <row r="4196" spans="15:19" x14ac:dyDescent="0.25">
      <c r="O4196" s="4"/>
      <c r="P4196" s="4"/>
      <c r="Q4196" s="4"/>
      <c r="R4196" s="4"/>
      <c r="S4196" s="4"/>
    </row>
    <row r="4197" spans="15:19" x14ac:dyDescent="0.25">
      <c r="O4197" s="4"/>
      <c r="P4197" s="4"/>
      <c r="Q4197" s="4"/>
      <c r="R4197" s="4"/>
      <c r="S4197" s="4"/>
    </row>
    <row r="4198" spans="15:19" x14ac:dyDescent="0.25">
      <c r="O4198" s="4"/>
      <c r="P4198" s="4"/>
      <c r="Q4198" s="4"/>
      <c r="R4198" s="4"/>
      <c r="S4198" s="4"/>
    </row>
    <row r="4199" spans="15:19" x14ac:dyDescent="0.25">
      <c r="O4199" s="4"/>
      <c r="P4199" s="4"/>
      <c r="Q4199" s="4"/>
      <c r="R4199" s="4"/>
      <c r="S4199" s="4"/>
    </row>
    <row r="4200" spans="15:19" x14ac:dyDescent="0.25">
      <c r="O4200" s="4"/>
      <c r="P4200" s="4"/>
      <c r="Q4200" s="4"/>
      <c r="R4200" s="4"/>
      <c r="S4200" s="4"/>
    </row>
    <row r="4201" spans="15:19" x14ac:dyDescent="0.25">
      <c r="O4201" s="4"/>
      <c r="P4201" s="4"/>
      <c r="Q4201" s="4"/>
      <c r="R4201" s="4"/>
      <c r="S4201" s="4"/>
    </row>
    <row r="4202" spans="15:19" x14ac:dyDescent="0.25">
      <c r="O4202" s="4"/>
      <c r="P4202" s="4"/>
      <c r="Q4202" s="4"/>
      <c r="R4202" s="4"/>
      <c r="S4202" s="4"/>
    </row>
    <row r="4203" spans="15:19" x14ac:dyDescent="0.25">
      <c r="O4203" s="4"/>
      <c r="P4203" s="4"/>
      <c r="Q4203" s="4"/>
      <c r="R4203" s="4"/>
      <c r="S4203" s="4"/>
    </row>
    <row r="4204" spans="15:19" x14ac:dyDescent="0.25">
      <c r="O4204" s="4"/>
      <c r="P4204" s="4"/>
      <c r="Q4204" s="4"/>
      <c r="R4204" s="4"/>
      <c r="S4204" s="4"/>
    </row>
    <row r="4205" spans="15:19" x14ac:dyDescent="0.25">
      <c r="O4205" s="4"/>
      <c r="P4205" s="4"/>
      <c r="Q4205" s="4"/>
      <c r="R4205" s="4"/>
      <c r="S4205" s="4"/>
    </row>
    <row r="4206" spans="15:19" x14ac:dyDescent="0.25">
      <c r="O4206" s="4"/>
      <c r="P4206" s="4"/>
      <c r="Q4206" s="4"/>
      <c r="R4206" s="4"/>
      <c r="S4206" s="4"/>
    </row>
    <row r="4207" spans="15:19" x14ac:dyDescent="0.25">
      <c r="O4207" s="4"/>
      <c r="P4207" s="4"/>
      <c r="Q4207" s="4"/>
      <c r="R4207" s="4"/>
      <c r="S4207" s="4"/>
    </row>
    <row r="4208" spans="15:19" x14ac:dyDescent="0.25">
      <c r="O4208" s="4"/>
      <c r="P4208" s="4"/>
      <c r="Q4208" s="4"/>
      <c r="R4208" s="4"/>
      <c r="S4208" s="4"/>
    </row>
    <row r="4209" spans="15:19" x14ac:dyDescent="0.25">
      <c r="O4209" s="4"/>
      <c r="P4209" s="4"/>
      <c r="Q4209" s="4"/>
      <c r="R4209" s="4"/>
      <c r="S4209" s="4"/>
    </row>
    <row r="4210" spans="15:19" x14ac:dyDescent="0.25">
      <c r="O4210" s="4"/>
      <c r="P4210" s="4"/>
      <c r="Q4210" s="4"/>
      <c r="R4210" s="4"/>
      <c r="S4210" s="4"/>
    </row>
    <row r="4211" spans="15:19" x14ac:dyDescent="0.25">
      <c r="O4211" s="4"/>
      <c r="P4211" s="4"/>
      <c r="Q4211" s="4"/>
      <c r="R4211" s="4"/>
      <c r="S4211" s="4"/>
    </row>
    <row r="4212" spans="15:19" x14ac:dyDescent="0.25">
      <c r="O4212" s="4"/>
      <c r="P4212" s="4"/>
      <c r="Q4212" s="4"/>
      <c r="R4212" s="4"/>
      <c r="S4212" s="4"/>
    </row>
    <row r="4213" spans="15:19" x14ac:dyDescent="0.25">
      <c r="O4213" s="4"/>
      <c r="P4213" s="4"/>
      <c r="Q4213" s="4"/>
      <c r="R4213" s="4"/>
      <c r="S4213" s="4"/>
    </row>
    <row r="4214" spans="15:19" x14ac:dyDescent="0.25">
      <c r="O4214" s="4"/>
      <c r="P4214" s="4"/>
      <c r="Q4214" s="4"/>
      <c r="R4214" s="4"/>
      <c r="S4214" s="4"/>
    </row>
    <row r="4215" spans="15:19" x14ac:dyDescent="0.25">
      <c r="O4215" s="4"/>
      <c r="P4215" s="4"/>
      <c r="Q4215" s="4"/>
      <c r="R4215" s="4"/>
      <c r="S4215" s="4"/>
    </row>
    <row r="4216" spans="15:19" x14ac:dyDescent="0.25">
      <c r="O4216" s="4"/>
      <c r="P4216" s="4"/>
      <c r="Q4216" s="4"/>
      <c r="R4216" s="4"/>
      <c r="S4216" s="4"/>
    </row>
    <row r="4217" spans="15:19" x14ac:dyDescent="0.25">
      <c r="O4217" s="4"/>
      <c r="P4217" s="4"/>
      <c r="Q4217" s="4"/>
      <c r="R4217" s="4"/>
      <c r="S4217" s="4"/>
    </row>
    <row r="4218" spans="15:19" x14ac:dyDescent="0.25">
      <c r="O4218" s="4"/>
      <c r="P4218" s="4"/>
      <c r="Q4218" s="4"/>
      <c r="R4218" s="4"/>
      <c r="S4218" s="4"/>
    </row>
    <row r="4219" spans="15:19" x14ac:dyDescent="0.25">
      <c r="O4219" s="4"/>
      <c r="P4219" s="4"/>
      <c r="Q4219" s="4"/>
      <c r="R4219" s="4"/>
      <c r="S4219" s="4"/>
    </row>
    <row r="4220" spans="15:19" x14ac:dyDescent="0.25">
      <c r="O4220" s="4"/>
      <c r="P4220" s="4"/>
      <c r="Q4220" s="4"/>
      <c r="R4220" s="4"/>
      <c r="S4220" s="4"/>
    </row>
    <row r="4221" spans="15:19" x14ac:dyDescent="0.25">
      <c r="O4221" s="4"/>
      <c r="P4221" s="4"/>
      <c r="Q4221" s="4"/>
      <c r="R4221" s="4"/>
      <c r="S4221" s="4"/>
    </row>
    <row r="4222" spans="15:19" x14ac:dyDescent="0.25">
      <c r="O4222" s="4"/>
      <c r="P4222" s="4"/>
      <c r="Q4222" s="4"/>
      <c r="R4222" s="4"/>
      <c r="S4222" s="4"/>
    </row>
    <row r="4223" spans="15:19" x14ac:dyDescent="0.25">
      <c r="O4223" s="4"/>
      <c r="P4223" s="4"/>
      <c r="Q4223" s="4"/>
      <c r="R4223" s="4"/>
      <c r="S4223" s="4"/>
    </row>
    <row r="4224" spans="15:19" x14ac:dyDescent="0.25">
      <c r="O4224" s="4"/>
      <c r="P4224" s="4"/>
      <c r="Q4224" s="4"/>
      <c r="R4224" s="4"/>
      <c r="S4224" s="4"/>
    </row>
    <row r="4225" spans="15:19" x14ac:dyDescent="0.25">
      <c r="O4225" s="4"/>
      <c r="P4225" s="4"/>
      <c r="Q4225" s="4"/>
      <c r="R4225" s="4"/>
      <c r="S4225" s="4"/>
    </row>
    <row r="4226" spans="15:19" x14ac:dyDescent="0.25">
      <c r="O4226" s="4"/>
      <c r="P4226" s="4"/>
      <c r="Q4226" s="4"/>
      <c r="R4226" s="4"/>
      <c r="S4226" s="4"/>
    </row>
    <row r="4227" spans="15:19" x14ac:dyDescent="0.25">
      <c r="O4227" s="4"/>
      <c r="P4227" s="4"/>
      <c r="Q4227" s="4"/>
      <c r="R4227" s="4"/>
      <c r="S4227" s="4"/>
    </row>
    <row r="4228" spans="15:19" x14ac:dyDescent="0.25">
      <c r="O4228" s="4"/>
      <c r="P4228" s="4"/>
      <c r="Q4228" s="4"/>
      <c r="R4228" s="4"/>
      <c r="S4228" s="4"/>
    </row>
    <row r="4229" spans="15:19" x14ac:dyDescent="0.25">
      <c r="O4229" s="4"/>
      <c r="P4229" s="4"/>
      <c r="Q4229" s="4"/>
      <c r="R4229" s="4"/>
      <c r="S4229" s="4"/>
    </row>
    <row r="4230" spans="15:19" x14ac:dyDescent="0.25">
      <c r="O4230" s="4"/>
      <c r="P4230" s="4"/>
      <c r="Q4230" s="4"/>
      <c r="R4230" s="4"/>
      <c r="S4230" s="4"/>
    </row>
    <row r="4231" spans="15:19" x14ac:dyDescent="0.25">
      <c r="O4231" s="4"/>
      <c r="P4231" s="4"/>
      <c r="Q4231" s="4"/>
      <c r="R4231" s="4"/>
      <c r="S4231" s="4"/>
    </row>
    <row r="4232" spans="15:19" x14ac:dyDescent="0.25">
      <c r="O4232" s="4"/>
      <c r="P4232" s="4"/>
      <c r="Q4232" s="4"/>
      <c r="R4232" s="4"/>
      <c r="S4232" s="4"/>
    </row>
    <row r="4233" spans="15:19" x14ac:dyDescent="0.25">
      <c r="O4233" s="4"/>
      <c r="P4233" s="4"/>
      <c r="Q4233" s="4"/>
      <c r="R4233" s="4"/>
      <c r="S4233" s="4"/>
    </row>
    <row r="4234" spans="15:19" x14ac:dyDescent="0.25">
      <c r="O4234" s="4"/>
      <c r="P4234" s="4"/>
      <c r="Q4234" s="4"/>
      <c r="R4234" s="4"/>
      <c r="S4234" s="4"/>
    </row>
    <row r="4235" spans="15:19" x14ac:dyDescent="0.25">
      <c r="O4235" s="4"/>
      <c r="P4235" s="4"/>
      <c r="Q4235" s="4"/>
      <c r="R4235" s="4"/>
      <c r="S4235" s="4"/>
    </row>
    <row r="4236" spans="15:19" x14ac:dyDescent="0.25">
      <c r="O4236" s="4"/>
      <c r="P4236" s="4"/>
      <c r="Q4236" s="4"/>
      <c r="R4236" s="4"/>
      <c r="S4236" s="4"/>
    </row>
    <row r="4237" spans="15:19" x14ac:dyDescent="0.25">
      <c r="O4237" s="4"/>
      <c r="P4237" s="4"/>
      <c r="Q4237" s="4"/>
      <c r="R4237" s="4"/>
      <c r="S4237" s="4"/>
    </row>
    <row r="4238" spans="15:19" x14ac:dyDescent="0.25">
      <c r="O4238" s="4"/>
      <c r="P4238" s="4"/>
      <c r="Q4238" s="4"/>
      <c r="R4238" s="4"/>
      <c r="S4238" s="4"/>
    </row>
    <row r="4239" spans="15:19" x14ac:dyDescent="0.25">
      <c r="O4239" s="4"/>
      <c r="P4239" s="4"/>
      <c r="Q4239" s="4"/>
      <c r="R4239" s="4"/>
      <c r="S4239" s="4"/>
    </row>
    <row r="4240" spans="15:19" x14ac:dyDescent="0.25">
      <c r="O4240" s="4"/>
      <c r="P4240" s="4"/>
      <c r="Q4240" s="4"/>
      <c r="R4240" s="4"/>
      <c r="S4240" s="4"/>
    </row>
    <row r="4241" spans="15:19" x14ac:dyDescent="0.25">
      <c r="O4241" s="4"/>
      <c r="P4241" s="4"/>
      <c r="Q4241" s="4"/>
      <c r="R4241" s="4"/>
      <c r="S4241" s="4"/>
    </row>
    <row r="4242" spans="15:19" x14ac:dyDescent="0.25">
      <c r="O4242" s="4"/>
      <c r="P4242" s="4"/>
      <c r="Q4242" s="4"/>
      <c r="R4242" s="4"/>
      <c r="S4242" s="4"/>
    </row>
    <row r="4243" spans="15:19" x14ac:dyDescent="0.25">
      <c r="O4243" s="4"/>
      <c r="P4243" s="4"/>
      <c r="Q4243" s="4"/>
      <c r="R4243" s="4"/>
      <c r="S4243" s="4"/>
    </row>
    <row r="4244" spans="15:19" x14ac:dyDescent="0.25">
      <c r="O4244" s="4"/>
      <c r="P4244" s="4"/>
      <c r="Q4244" s="4"/>
      <c r="R4244" s="4"/>
      <c r="S4244" s="4"/>
    </row>
    <row r="4245" spans="15:19" x14ac:dyDescent="0.25">
      <c r="O4245" s="4"/>
      <c r="P4245" s="4"/>
      <c r="Q4245" s="4"/>
      <c r="R4245" s="4"/>
      <c r="S4245" s="4"/>
    </row>
    <row r="4246" spans="15:19" x14ac:dyDescent="0.25">
      <c r="O4246" s="4"/>
      <c r="P4246" s="4"/>
      <c r="Q4246" s="4"/>
      <c r="R4246" s="4"/>
      <c r="S4246" s="4"/>
    </row>
    <row r="4247" spans="15:19" x14ac:dyDescent="0.25">
      <c r="O4247" s="4"/>
      <c r="P4247" s="4"/>
      <c r="Q4247" s="4"/>
      <c r="R4247" s="4"/>
      <c r="S4247" s="4"/>
    </row>
    <row r="4248" spans="15:19" x14ac:dyDescent="0.25">
      <c r="O4248" s="4"/>
      <c r="P4248" s="4"/>
      <c r="Q4248" s="4"/>
      <c r="R4248" s="4"/>
      <c r="S4248" s="4"/>
    </row>
    <row r="4249" spans="15:19" x14ac:dyDescent="0.25">
      <c r="O4249" s="4"/>
      <c r="P4249" s="4"/>
      <c r="Q4249" s="4"/>
      <c r="R4249" s="4"/>
      <c r="S4249" s="4"/>
    </row>
    <row r="4250" spans="15:19" x14ac:dyDescent="0.25">
      <c r="O4250" s="4"/>
      <c r="P4250" s="4"/>
      <c r="Q4250" s="4"/>
      <c r="R4250" s="4"/>
      <c r="S4250" s="4"/>
    </row>
    <row r="4251" spans="15:19" x14ac:dyDescent="0.25">
      <c r="O4251" s="4"/>
      <c r="P4251" s="4"/>
      <c r="Q4251" s="4"/>
      <c r="R4251" s="4"/>
      <c r="S4251" s="4"/>
    </row>
    <row r="4252" spans="15:19" x14ac:dyDescent="0.25">
      <c r="O4252" s="4"/>
      <c r="P4252" s="4"/>
      <c r="Q4252" s="4"/>
      <c r="R4252" s="4"/>
      <c r="S4252" s="4"/>
    </row>
    <row r="4253" spans="15:19" x14ac:dyDescent="0.25">
      <c r="O4253" s="4"/>
      <c r="P4253" s="4"/>
      <c r="Q4253" s="4"/>
      <c r="R4253" s="4"/>
      <c r="S4253" s="4"/>
    </row>
    <row r="4254" spans="15:19" x14ac:dyDescent="0.25">
      <c r="O4254" s="4"/>
      <c r="P4254" s="4"/>
      <c r="Q4254" s="4"/>
      <c r="R4254" s="4"/>
      <c r="S4254" s="4"/>
    </row>
    <row r="4255" spans="15:19" x14ac:dyDescent="0.25">
      <c r="O4255" s="4"/>
      <c r="P4255" s="4"/>
      <c r="Q4255" s="4"/>
      <c r="R4255" s="4"/>
      <c r="S4255" s="4"/>
    </row>
    <row r="4256" spans="15:19" x14ac:dyDescent="0.25">
      <c r="O4256" s="4"/>
      <c r="P4256" s="4"/>
      <c r="Q4256" s="4"/>
      <c r="R4256" s="4"/>
      <c r="S4256" s="4"/>
    </row>
    <row r="4257" spans="15:19" x14ac:dyDescent="0.25">
      <c r="O4257" s="4"/>
      <c r="P4257" s="4"/>
      <c r="Q4257" s="4"/>
      <c r="R4257" s="4"/>
      <c r="S4257" s="4"/>
    </row>
    <row r="4258" spans="15:19" x14ac:dyDescent="0.25">
      <c r="O4258" s="4"/>
      <c r="P4258" s="4"/>
      <c r="Q4258" s="4"/>
      <c r="R4258" s="4"/>
      <c r="S4258" s="4"/>
    </row>
    <row r="4259" spans="15:19" x14ac:dyDescent="0.25">
      <c r="O4259" s="4"/>
      <c r="P4259" s="4"/>
      <c r="Q4259" s="4"/>
      <c r="R4259" s="4"/>
      <c r="S4259" s="4"/>
    </row>
    <row r="4260" spans="15:19" x14ac:dyDescent="0.25">
      <c r="O4260" s="4"/>
      <c r="P4260" s="4"/>
      <c r="Q4260" s="4"/>
      <c r="R4260" s="4"/>
      <c r="S4260" s="4"/>
    </row>
    <row r="4261" spans="15:19" x14ac:dyDescent="0.25">
      <c r="O4261" s="4"/>
      <c r="P4261" s="4"/>
      <c r="Q4261" s="4"/>
      <c r="R4261" s="4"/>
      <c r="S4261" s="4"/>
    </row>
    <row r="4262" spans="15:19" x14ac:dyDescent="0.25">
      <c r="O4262" s="4"/>
      <c r="P4262" s="4"/>
      <c r="Q4262" s="4"/>
      <c r="R4262" s="4"/>
      <c r="S4262" s="4"/>
    </row>
    <row r="4263" spans="15:19" x14ac:dyDescent="0.25">
      <c r="O4263" s="4"/>
      <c r="P4263" s="4"/>
      <c r="Q4263" s="4"/>
      <c r="R4263" s="4"/>
      <c r="S4263" s="4"/>
    </row>
    <row r="4264" spans="15:19" x14ac:dyDescent="0.25">
      <c r="O4264" s="4"/>
      <c r="P4264" s="4"/>
      <c r="Q4264" s="4"/>
      <c r="R4264" s="4"/>
      <c r="S4264" s="4"/>
    </row>
    <row r="4265" spans="15:19" x14ac:dyDescent="0.25">
      <c r="O4265" s="4"/>
      <c r="P4265" s="4"/>
      <c r="Q4265" s="4"/>
      <c r="R4265" s="4"/>
      <c r="S4265" s="4"/>
    </row>
    <row r="4266" spans="15:19" x14ac:dyDescent="0.25">
      <c r="O4266" s="4"/>
      <c r="P4266" s="4"/>
      <c r="Q4266" s="4"/>
      <c r="R4266" s="4"/>
      <c r="S4266" s="4"/>
    </row>
    <row r="4267" spans="15:19" x14ac:dyDescent="0.25">
      <c r="O4267" s="4"/>
      <c r="P4267" s="4"/>
      <c r="Q4267" s="4"/>
      <c r="R4267" s="4"/>
      <c r="S4267" s="4"/>
    </row>
    <row r="4268" spans="15:19" x14ac:dyDescent="0.25">
      <c r="O4268" s="4"/>
      <c r="P4268" s="4"/>
      <c r="Q4268" s="4"/>
      <c r="R4268" s="4"/>
      <c r="S4268" s="4"/>
    </row>
    <row r="4269" spans="15:19" x14ac:dyDescent="0.25">
      <c r="O4269" s="4"/>
      <c r="P4269" s="4"/>
      <c r="Q4269" s="4"/>
      <c r="R4269" s="4"/>
      <c r="S4269" s="4"/>
    </row>
    <row r="4270" spans="15:19" x14ac:dyDescent="0.25">
      <c r="O4270" s="4"/>
      <c r="P4270" s="4"/>
      <c r="Q4270" s="4"/>
      <c r="R4270" s="4"/>
      <c r="S4270" s="4"/>
    </row>
    <row r="4271" spans="15:19" x14ac:dyDescent="0.25">
      <c r="O4271" s="4"/>
      <c r="P4271" s="4"/>
      <c r="Q4271" s="4"/>
      <c r="R4271" s="4"/>
      <c r="S4271" s="4"/>
    </row>
    <row r="4272" spans="15:19" x14ac:dyDescent="0.25">
      <c r="O4272" s="4"/>
      <c r="P4272" s="4"/>
      <c r="Q4272" s="4"/>
      <c r="R4272" s="4"/>
      <c r="S4272" s="4"/>
    </row>
    <row r="4273" spans="15:19" x14ac:dyDescent="0.25">
      <c r="O4273" s="4"/>
      <c r="P4273" s="4"/>
      <c r="Q4273" s="4"/>
      <c r="R4273" s="4"/>
      <c r="S4273" s="4"/>
    </row>
    <row r="4274" spans="15:19" x14ac:dyDescent="0.25">
      <c r="O4274" s="4"/>
      <c r="P4274" s="4"/>
      <c r="Q4274" s="4"/>
      <c r="R4274" s="4"/>
      <c r="S4274" s="4"/>
    </row>
    <row r="4275" spans="15:19" x14ac:dyDescent="0.25">
      <c r="O4275" s="4"/>
      <c r="P4275" s="4"/>
      <c r="Q4275" s="4"/>
      <c r="R4275" s="4"/>
      <c r="S4275" s="4"/>
    </row>
    <row r="4276" spans="15:19" x14ac:dyDescent="0.25">
      <c r="O4276" s="4"/>
      <c r="P4276" s="4"/>
      <c r="Q4276" s="4"/>
      <c r="R4276" s="4"/>
      <c r="S4276" s="4"/>
    </row>
    <row r="4277" spans="15:19" x14ac:dyDescent="0.25">
      <c r="O4277" s="4"/>
      <c r="P4277" s="4"/>
      <c r="Q4277" s="4"/>
      <c r="R4277" s="4"/>
      <c r="S4277" s="4"/>
    </row>
    <row r="4278" spans="15:19" x14ac:dyDescent="0.25">
      <c r="O4278" s="4"/>
      <c r="P4278" s="4"/>
      <c r="Q4278" s="4"/>
      <c r="R4278" s="4"/>
      <c r="S4278" s="4"/>
    </row>
    <row r="4279" spans="15:19" x14ac:dyDescent="0.25">
      <c r="O4279" s="4"/>
      <c r="P4279" s="4"/>
      <c r="Q4279" s="4"/>
      <c r="R4279" s="4"/>
      <c r="S4279" s="4"/>
    </row>
    <row r="4280" spans="15:19" x14ac:dyDescent="0.25">
      <c r="O4280" s="4"/>
      <c r="P4280" s="4"/>
      <c r="Q4280" s="4"/>
      <c r="R4280" s="4"/>
      <c r="S4280" s="4"/>
    </row>
    <row r="4281" spans="15:19" x14ac:dyDescent="0.25">
      <c r="O4281" s="4"/>
      <c r="P4281" s="4"/>
      <c r="Q4281" s="4"/>
      <c r="R4281" s="4"/>
      <c r="S4281" s="4"/>
    </row>
    <row r="4282" spans="15:19" x14ac:dyDescent="0.25">
      <c r="O4282" s="4"/>
      <c r="P4282" s="4"/>
      <c r="Q4282" s="4"/>
      <c r="R4282" s="4"/>
      <c r="S4282" s="4"/>
    </row>
    <row r="4283" spans="15:19" x14ac:dyDescent="0.25">
      <c r="O4283" s="4"/>
      <c r="P4283" s="4"/>
      <c r="Q4283" s="4"/>
      <c r="R4283" s="4"/>
      <c r="S4283" s="4"/>
    </row>
    <row r="4284" spans="15:19" x14ac:dyDescent="0.25">
      <c r="O4284" s="4"/>
      <c r="P4284" s="4"/>
      <c r="Q4284" s="4"/>
      <c r="R4284" s="4"/>
      <c r="S4284" s="4"/>
    </row>
    <row r="4285" spans="15:19" x14ac:dyDescent="0.25">
      <c r="O4285" s="4"/>
      <c r="P4285" s="4"/>
      <c r="Q4285" s="4"/>
      <c r="R4285" s="4"/>
      <c r="S4285" s="4"/>
    </row>
    <row r="4286" spans="15:19" x14ac:dyDescent="0.25">
      <c r="O4286" s="4"/>
      <c r="P4286" s="4"/>
      <c r="Q4286" s="4"/>
      <c r="R4286" s="4"/>
      <c r="S4286" s="4"/>
    </row>
    <row r="4287" spans="15:19" x14ac:dyDescent="0.25">
      <c r="O4287" s="4"/>
      <c r="P4287" s="4"/>
      <c r="Q4287" s="4"/>
      <c r="R4287" s="4"/>
      <c r="S4287" s="4"/>
    </row>
    <row r="4288" spans="15:19" x14ac:dyDescent="0.25">
      <c r="O4288" s="4"/>
      <c r="P4288" s="4"/>
      <c r="Q4288" s="4"/>
      <c r="R4288" s="4"/>
      <c r="S4288" s="4"/>
    </row>
    <row r="4289" spans="15:19" x14ac:dyDescent="0.25">
      <c r="O4289" s="4"/>
      <c r="P4289" s="4"/>
      <c r="Q4289" s="4"/>
      <c r="R4289" s="4"/>
      <c r="S4289" s="4"/>
    </row>
    <row r="4290" spans="15:19" x14ac:dyDescent="0.25">
      <c r="O4290" s="4"/>
      <c r="P4290" s="4"/>
      <c r="Q4290" s="4"/>
      <c r="R4290" s="4"/>
      <c r="S4290" s="4"/>
    </row>
    <row r="4291" spans="15:19" x14ac:dyDescent="0.25">
      <c r="O4291" s="4"/>
      <c r="P4291" s="4"/>
      <c r="Q4291" s="4"/>
      <c r="R4291" s="4"/>
      <c r="S4291" s="4"/>
    </row>
    <row r="4292" spans="15:19" x14ac:dyDescent="0.25">
      <c r="O4292" s="4"/>
      <c r="P4292" s="4"/>
      <c r="Q4292" s="4"/>
      <c r="R4292" s="4"/>
      <c r="S4292" s="4"/>
    </row>
    <row r="4293" spans="15:19" x14ac:dyDescent="0.25">
      <c r="O4293" s="4"/>
      <c r="P4293" s="4"/>
      <c r="Q4293" s="4"/>
      <c r="R4293" s="4"/>
      <c r="S4293" s="4"/>
    </row>
    <row r="4294" spans="15:19" x14ac:dyDescent="0.25">
      <c r="O4294" s="4"/>
      <c r="P4294" s="4"/>
      <c r="Q4294" s="4"/>
      <c r="R4294" s="4"/>
      <c r="S4294" s="4"/>
    </row>
    <row r="4295" spans="15:19" x14ac:dyDescent="0.25">
      <c r="O4295" s="4"/>
      <c r="P4295" s="4"/>
      <c r="Q4295" s="4"/>
      <c r="R4295" s="4"/>
      <c r="S4295" s="4"/>
    </row>
    <row r="4296" spans="15:19" x14ac:dyDescent="0.25">
      <c r="O4296" s="4"/>
      <c r="P4296" s="4"/>
      <c r="Q4296" s="4"/>
      <c r="R4296" s="4"/>
      <c r="S4296" s="4"/>
    </row>
    <row r="4297" spans="15:19" x14ac:dyDescent="0.25">
      <c r="O4297" s="4"/>
      <c r="P4297" s="4"/>
      <c r="Q4297" s="4"/>
      <c r="R4297" s="4"/>
      <c r="S4297" s="4"/>
    </row>
    <row r="4298" spans="15:19" x14ac:dyDescent="0.25">
      <c r="O4298" s="4"/>
      <c r="P4298" s="4"/>
      <c r="Q4298" s="4"/>
      <c r="R4298" s="4"/>
      <c r="S4298" s="4"/>
    </row>
    <row r="4299" spans="15:19" x14ac:dyDescent="0.25">
      <c r="O4299" s="4"/>
      <c r="P4299" s="4"/>
      <c r="Q4299" s="4"/>
      <c r="R4299" s="4"/>
      <c r="S4299" s="4"/>
    </row>
    <row r="4300" spans="15:19" x14ac:dyDescent="0.25">
      <c r="O4300" s="4"/>
      <c r="P4300" s="4"/>
      <c r="Q4300" s="4"/>
      <c r="R4300" s="4"/>
      <c r="S4300" s="4"/>
    </row>
    <row r="4301" spans="15:19" x14ac:dyDescent="0.25">
      <c r="O4301" s="4"/>
      <c r="P4301" s="4"/>
      <c r="Q4301" s="4"/>
      <c r="R4301" s="4"/>
      <c r="S4301" s="4"/>
    </row>
    <row r="4302" spans="15:19" x14ac:dyDescent="0.25">
      <c r="O4302" s="4"/>
      <c r="P4302" s="4"/>
      <c r="Q4302" s="4"/>
      <c r="R4302" s="4"/>
      <c r="S4302" s="4"/>
    </row>
    <row r="4303" spans="15:19" x14ac:dyDescent="0.25">
      <c r="O4303" s="4"/>
      <c r="P4303" s="4"/>
      <c r="Q4303" s="4"/>
      <c r="R4303" s="4"/>
      <c r="S4303" s="4"/>
    </row>
    <row r="4304" spans="15:19" x14ac:dyDescent="0.25">
      <c r="O4304" s="4"/>
      <c r="P4304" s="4"/>
      <c r="Q4304" s="4"/>
      <c r="R4304" s="4"/>
      <c r="S4304" s="4"/>
    </row>
    <row r="4305" spans="15:19" x14ac:dyDescent="0.25">
      <c r="O4305" s="4"/>
      <c r="P4305" s="4"/>
      <c r="Q4305" s="4"/>
      <c r="R4305" s="4"/>
      <c r="S4305" s="4"/>
    </row>
    <row r="4306" spans="15:19" x14ac:dyDescent="0.25">
      <c r="O4306" s="4"/>
      <c r="P4306" s="4"/>
      <c r="Q4306" s="4"/>
      <c r="R4306" s="4"/>
      <c r="S4306" s="4"/>
    </row>
    <row r="4307" spans="15:19" x14ac:dyDescent="0.25">
      <c r="O4307" s="4"/>
      <c r="P4307" s="4"/>
      <c r="Q4307" s="4"/>
      <c r="R4307" s="4"/>
      <c r="S4307" s="4"/>
    </row>
    <row r="4308" spans="15:19" x14ac:dyDescent="0.25">
      <c r="O4308" s="4"/>
      <c r="P4308" s="4"/>
      <c r="Q4308" s="4"/>
      <c r="R4308" s="4"/>
      <c r="S4308" s="4"/>
    </row>
    <row r="4309" spans="15:19" x14ac:dyDescent="0.25">
      <c r="O4309" s="4"/>
      <c r="P4309" s="4"/>
      <c r="Q4309" s="4"/>
      <c r="R4309" s="4"/>
      <c r="S4309" s="4"/>
    </row>
    <row r="4310" spans="15:19" x14ac:dyDescent="0.25">
      <c r="O4310" s="4"/>
      <c r="P4310" s="4"/>
      <c r="Q4310" s="4"/>
      <c r="R4310" s="4"/>
      <c r="S4310" s="4"/>
    </row>
    <row r="4311" spans="15:19" x14ac:dyDescent="0.25">
      <c r="O4311" s="4"/>
      <c r="P4311" s="4"/>
      <c r="Q4311" s="4"/>
      <c r="R4311" s="4"/>
      <c r="S4311" s="4"/>
    </row>
    <row r="4312" spans="15:19" x14ac:dyDescent="0.25">
      <c r="O4312" s="4"/>
      <c r="P4312" s="4"/>
      <c r="Q4312" s="4"/>
      <c r="R4312" s="4"/>
      <c r="S4312" s="4"/>
    </row>
    <row r="4313" spans="15:19" x14ac:dyDescent="0.25">
      <c r="O4313" s="4"/>
      <c r="P4313" s="4"/>
      <c r="Q4313" s="4"/>
      <c r="R4313" s="4"/>
      <c r="S4313" s="4"/>
    </row>
    <row r="4314" spans="15:19" x14ac:dyDescent="0.25">
      <c r="O4314" s="4"/>
      <c r="P4314" s="4"/>
      <c r="Q4314" s="4"/>
      <c r="R4314" s="4"/>
      <c r="S4314" s="4"/>
    </row>
    <row r="4315" spans="15:19" x14ac:dyDescent="0.25">
      <c r="O4315" s="4"/>
      <c r="P4315" s="4"/>
      <c r="Q4315" s="4"/>
      <c r="R4315" s="4"/>
      <c r="S4315" s="4"/>
    </row>
    <row r="4316" spans="15:19" x14ac:dyDescent="0.25">
      <c r="O4316" s="4"/>
      <c r="P4316" s="4"/>
      <c r="Q4316" s="4"/>
      <c r="R4316" s="4"/>
      <c r="S4316" s="4"/>
    </row>
    <row r="4317" spans="15:19" x14ac:dyDescent="0.25">
      <c r="O4317" s="4"/>
      <c r="P4317" s="4"/>
      <c r="Q4317" s="4"/>
      <c r="R4317" s="4"/>
      <c r="S4317" s="4"/>
    </row>
    <row r="4318" spans="15:19" x14ac:dyDescent="0.25">
      <c r="O4318" s="4"/>
      <c r="P4318" s="4"/>
      <c r="Q4318" s="4"/>
      <c r="R4318" s="4"/>
      <c r="S4318" s="4"/>
    </row>
    <row r="4319" spans="15:19" x14ac:dyDescent="0.25">
      <c r="O4319" s="4"/>
      <c r="P4319" s="4"/>
      <c r="Q4319" s="4"/>
      <c r="R4319" s="4"/>
      <c r="S4319" s="4"/>
    </row>
    <row r="4320" spans="15:19" x14ac:dyDescent="0.25">
      <c r="O4320" s="4"/>
      <c r="P4320" s="4"/>
      <c r="Q4320" s="4"/>
      <c r="R4320" s="4"/>
      <c r="S4320" s="4"/>
    </row>
    <row r="4321" spans="15:19" x14ac:dyDescent="0.25">
      <c r="O4321" s="4"/>
      <c r="P4321" s="4"/>
      <c r="Q4321" s="4"/>
      <c r="R4321" s="4"/>
      <c r="S4321" s="4"/>
    </row>
    <row r="4322" spans="15:19" x14ac:dyDescent="0.25">
      <c r="O4322" s="4"/>
      <c r="P4322" s="4"/>
      <c r="Q4322" s="4"/>
      <c r="R4322" s="4"/>
      <c r="S4322" s="4"/>
    </row>
    <row r="4323" spans="15:19" x14ac:dyDescent="0.25">
      <c r="O4323" s="4"/>
      <c r="P4323" s="4"/>
      <c r="Q4323" s="4"/>
      <c r="R4323" s="4"/>
      <c r="S4323" s="4"/>
    </row>
    <row r="4324" spans="15:19" x14ac:dyDescent="0.25">
      <c r="O4324" s="4"/>
      <c r="P4324" s="4"/>
      <c r="Q4324" s="4"/>
      <c r="R4324" s="4"/>
      <c r="S4324" s="4"/>
    </row>
    <row r="4325" spans="15:19" x14ac:dyDescent="0.25">
      <c r="O4325" s="4"/>
      <c r="P4325" s="4"/>
      <c r="Q4325" s="4"/>
      <c r="R4325" s="4"/>
      <c r="S4325" s="4"/>
    </row>
    <row r="4326" spans="15:19" x14ac:dyDescent="0.25">
      <c r="O4326" s="4"/>
      <c r="P4326" s="4"/>
      <c r="Q4326" s="4"/>
      <c r="R4326" s="4"/>
      <c r="S4326" s="4"/>
    </row>
    <row r="4327" spans="15:19" x14ac:dyDescent="0.25">
      <c r="O4327" s="4"/>
      <c r="P4327" s="4"/>
      <c r="Q4327" s="4"/>
      <c r="R4327" s="4"/>
      <c r="S4327" s="4"/>
    </row>
    <row r="4328" spans="15:19" x14ac:dyDescent="0.25">
      <c r="O4328" s="4"/>
      <c r="P4328" s="4"/>
      <c r="Q4328" s="4"/>
      <c r="R4328" s="4"/>
      <c r="S4328" s="4"/>
    </row>
    <row r="4329" spans="15:19" x14ac:dyDescent="0.25">
      <c r="O4329" s="4"/>
      <c r="P4329" s="4"/>
      <c r="Q4329" s="4"/>
      <c r="R4329" s="4"/>
      <c r="S4329" s="4"/>
    </row>
    <row r="4330" spans="15:19" x14ac:dyDescent="0.25">
      <c r="O4330" s="4"/>
      <c r="P4330" s="4"/>
      <c r="Q4330" s="4"/>
      <c r="R4330" s="4"/>
      <c r="S4330" s="4"/>
    </row>
    <row r="4331" spans="15:19" x14ac:dyDescent="0.25">
      <c r="O4331" s="4"/>
      <c r="P4331" s="4"/>
      <c r="Q4331" s="4"/>
      <c r="R4331" s="4"/>
      <c r="S4331" s="4"/>
    </row>
    <row r="4332" spans="15:19" x14ac:dyDescent="0.25">
      <c r="O4332" s="4"/>
      <c r="P4332" s="4"/>
      <c r="Q4332" s="4"/>
      <c r="R4332" s="4"/>
      <c r="S4332" s="4"/>
    </row>
    <row r="4333" spans="15:19" x14ac:dyDescent="0.25">
      <c r="O4333" s="4"/>
      <c r="P4333" s="4"/>
      <c r="Q4333" s="4"/>
      <c r="R4333" s="4"/>
      <c r="S4333" s="4"/>
    </row>
    <row r="4334" spans="15:19" x14ac:dyDescent="0.25">
      <c r="O4334" s="4"/>
      <c r="P4334" s="4"/>
      <c r="Q4334" s="4"/>
      <c r="R4334" s="4"/>
      <c r="S4334" s="4"/>
    </row>
    <row r="4335" spans="15:19" x14ac:dyDescent="0.25">
      <c r="O4335" s="4"/>
      <c r="P4335" s="4"/>
      <c r="Q4335" s="4"/>
      <c r="R4335" s="4"/>
      <c r="S4335" s="4"/>
    </row>
    <row r="4336" spans="15:19" x14ac:dyDescent="0.25">
      <c r="O4336" s="4"/>
      <c r="P4336" s="4"/>
      <c r="Q4336" s="4"/>
      <c r="R4336" s="4"/>
      <c r="S4336" s="4"/>
    </row>
    <row r="4337" spans="15:19" x14ac:dyDescent="0.25">
      <c r="O4337" s="4"/>
      <c r="P4337" s="4"/>
      <c r="Q4337" s="4"/>
      <c r="R4337" s="4"/>
      <c r="S4337" s="4"/>
    </row>
    <row r="4338" spans="15:19" x14ac:dyDescent="0.25">
      <c r="O4338" s="4"/>
      <c r="P4338" s="4"/>
      <c r="Q4338" s="4"/>
      <c r="R4338" s="4"/>
      <c r="S4338" s="4"/>
    </row>
    <row r="4339" spans="15:19" x14ac:dyDescent="0.25">
      <c r="O4339" s="4"/>
      <c r="P4339" s="4"/>
      <c r="Q4339" s="4"/>
      <c r="R4339" s="4"/>
      <c r="S4339" s="4"/>
    </row>
    <row r="4340" spans="15:19" x14ac:dyDescent="0.25">
      <c r="O4340" s="4"/>
      <c r="P4340" s="4"/>
      <c r="Q4340" s="4"/>
      <c r="R4340" s="4"/>
      <c r="S4340" s="4"/>
    </row>
    <row r="4341" spans="15:19" x14ac:dyDescent="0.25">
      <c r="O4341" s="4"/>
      <c r="P4341" s="4"/>
      <c r="Q4341" s="4"/>
      <c r="R4341" s="4"/>
      <c r="S4341" s="4"/>
    </row>
    <row r="4342" spans="15:19" x14ac:dyDescent="0.25">
      <c r="O4342" s="4"/>
      <c r="P4342" s="4"/>
      <c r="Q4342" s="4"/>
      <c r="R4342" s="4"/>
      <c r="S4342" s="4"/>
    </row>
    <row r="4343" spans="15:19" x14ac:dyDescent="0.25">
      <c r="O4343" s="4"/>
      <c r="P4343" s="4"/>
      <c r="Q4343" s="4"/>
      <c r="R4343" s="4"/>
      <c r="S4343" s="4"/>
    </row>
    <row r="4344" spans="15:19" x14ac:dyDescent="0.25">
      <c r="O4344" s="4"/>
      <c r="P4344" s="4"/>
      <c r="Q4344" s="4"/>
      <c r="R4344" s="4"/>
      <c r="S4344" s="4"/>
    </row>
    <row r="4345" spans="15:19" x14ac:dyDescent="0.25">
      <c r="O4345" s="4"/>
      <c r="P4345" s="4"/>
      <c r="Q4345" s="4"/>
      <c r="R4345" s="4"/>
      <c r="S4345" s="4"/>
    </row>
    <row r="4346" spans="15:19" x14ac:dyDescent="0.25">
      <c r="O4346" s="4"/>
      <c r="P4346" s="4"/>
      <c r="Q4346" s="4"/>
      <c r="R4346" s="4"/>
      <c r="S4346" s="4"/>
    </row>
    <row r="4347" spans="15:19" x14ac:dyDescent="0.25">
      <c r="O4347" s="4"/>
      <c r="P4347" s="4"/>
      <c r="Q4347" s="4"/>
      <c r="R4347" s="4"/>
      <c r="S4347" s="4"/>
    </row>
    <row r="4348" spans="15:19" x14ac:dyDescent="0.25">
      <c r="O4348" s="4"/>
      <c r="P4348" s="4"/>
      <c r="Q4348" s="4"/>
      <c r="R4348" s="4"/>
      <c r="S4348" s="4"/>
    </row>
    <row r="4349" spans="15:19" x14ac:dyDescent="0.25">
      <c r="O4349" s="4"/>
      <c r="P4349" s="4"/>
      <c r="Q4349" s="4"/>
      <c r="R4349" s="4"/>
      <c r="S4349" s="4"/>
    </row>
    <row r="4350" spans="15:19" x14ac:dyDescent="0.25">
      <c r="O4350" s="4"/>
      <c r="P4350" s="4"/>
      <c r="Q4350" s="4"/>
      <c r="R4350" s="4"/>
      <c r="S4350" s="4"/>
    </row>
    <row r="4351" spans="15:19" x14ac:dyDescent="0.25">
      <c r="O4351" s="4"/>
      <c r="P4351" s="4"/>
      <c r="Q4351" s="4"/>
      <c r="R4351" s="4"/>
      <c r="S4351" s="4"/>
    </row>
    <row r="4352" spans="15:19" x14ac:dyDescent="0.25">
      <c r="O4352" s="4"/>
      <c r="P4352" s="4"/>
      <c r="Q4352" s="4"/>
      <c r="R4352" s="4"/>
      <c r="S4352" s="4"/>
    </row>
    <row r="4353" spans="15:19" x14ac:dyDescent="0.25">
      <c r="O4353" s="4"/>
      <c r="P4353" s="4"/>
      <c r="Q4353" s="4"/>
      <c r="R4353" s="4"/>
      <c r="S4353" s="4"/>
    </row>
    <row r="4354" spans="15:19" x14ac:dyDescent="0.25">
      <c r="O4354" s="4"/>
      <c r="P4354" s="4"/>
      <c r="Q4354" s="4"/>
      <c r="R4354" s="4"/>
      <c r="S4354" s="4"/>
    </row>
    <row r="4355" spans="15:19" x14ac:dyDescent="0.25">
      <c r="O4355" s="4"/>
      <c r="P4355" s="4"/>
      <c r="Q4355" s="4"/>
      <c r="R4355" s="4"/>
      <c r="S4355" s="4"/>
    </row>
    <row r="4356" spans="15:19" x14ac:dyDescent="0.25">
      <c r="O4356" s="4"/>
      <c r="P4356" s="4"/>
      <c r="Q4356" s="4"/>
      <c r="R4356" s="4"/>
      <c r="S4356" s="4"/>
    </row>
    <row r="4357" spans="15:19" x14ac:dyDescent="0.25">
      <c r="O4357" s="4"/>
      <c r="P4357" s="4"/>
      <c r="Q4357" s="4"/>
      <c r="R4357" s="4"/>
      <c r="S4357" s="4"/>
    </row>
    <row r="4358" spans="15:19" x14ac:dyDescent="0.25">
      <c r="O4358" s="4"/>
      <c r="P4358" s="4"/>
      <c r="Q4358" s="4"/>
      <c r="R4358" s="4"/>
      <c r="S4358" s="4"/>
    </row>
    <row r="4359" spans="15:19" x14ac:dyDescent="0.25">
      <c r="O4359" s="4"/>
      <c r="P4359" s="4"/>
      <c r="Q4359" s="4"/>
      <c r="R4359" s="4"/>
      <c r="S4359" s="4"/>
    </row>
    <row r="4360" spans="15:19" x14ac:dyDescent="0.25">
      <c r="O4360" s="4"/>
      <c r="P4360" s="4"/>
      <c r="Q4360" s="4"/>
      <c r="R4360" s="4"/>
      <c r="S4360" s="4"/>
    </row>
    <row r="4361" spans="15:19" x14ac:dyDescent="0.25">
      <c r="O4361" s="4"/>
      <c r="P4361" s="4"/>
      <c r="Q4361" s="4"/>
      <c r="R4361" s="4"/>
      <c r="S4361" s="4"/>
    </row>
    <row r="4362" spans="15:19" x14ac:dyDescent="0.25">
      <c r="O4362" s="4"/>
      <c r="P4362" s="4"/>
      <c r="Q4362" s="4"/>
      <c r="R4362" s="4"/>
      <c r="S4362" s="4"/>
    </row>
    <row r="4363" spans="15:19" x14ac:dyDescent="0.25">
      <c r="O4363" s="4"/>
      <c r="P4363" s="4"/>
      <c r="Q4363" s="4"/>
      <c r="R4363" s="4"/>
      <c r="S4363" s="4"/>
    </row>
    <row r="4364" spans="15:19" x14ac:dyDescent="0.25">
      <c r="O4364" s="4"/>
      <c r="P4364" s="4"/>
      <c r="Q4364" s="4"/>
      <c r="R4364" s="4"/>
      <c r="S4364" s="4"/>
    </row>
    <row r="4365" spans="15:19" x14ac:dyDescent="0.25">
      <c r="O4365" s="4"/>
      <c r="P4365" s="4"/>
      <c r="Q4365" s="4"/>
      <c r="R4365" s="4"/>
      <c r="S4365" s="4"/>
    </row>
    <row r="4366" spans="15:19" x14ac:dyDescent="0.25">
      <c r="O4366" s="4"/>
      <c r="P4366" s="4"/>
      <c r="Q4366" s="4"/>
      <c r="R4366" s="4"/>
      <c r="S4366" s="4"/>
    </row>
    <row r="4367" spans="15:19" x14ac:dyDescent="0.25">
      <c r="O4367" s="4"/>
      <c r="P4367" s="4"/>
      <c r="Q4367" s="4"/>
      <c r="R4367" s="4"/>
      <c r="S4367" s="4"/>
    </row>
    <row r="4368" spans="15:19" x14ac:dyDescent="0.25">
      <c r="O4368" s="4"/>
      <c r="P4368" s="4"/>
      <c r="Q4368" s="4"/>
      <c r="R4368" s="4"/>
      <c r="S4368" s="4"/>
    </row>
    <row r="4369" spans="15:19" x14ac:dyDescent="0.25">
      <c r="O4369" s="4"/>
      <c r="P4369" s="4"/>
      <c r="Q4369" s="4"/>
      <c r="R4369" s="4"/>
      <c r="S4369" s="4"/>
    </row>
    <row r="4370" spans="15:19" x14ac:dyDescent="0.25">
      <c r="O4370" s="4"/>
      <c r="P4370" s="4"/>
      <c r="Q4370" s="4"/>
      <c r="R4370" s="4"/>
      <c r="S4370" s="4"/>
    </row>
    <row r="4371" spans="15:19" x14ac:dyDescent="0.25">
      <c r="O4371" s="4"/>
      <c r="P4371" s="4"/>
      <c r="Q4371" s="4"/>
      <c r="R4371" s="4"/>
      <c r="S4371" s="4"/>
    </row>
    <row r="4372" spans="15:19" x14ac:dyDescent="0.25">
      <c r="O4372" s="4"/>
      <c r="P4372" s="4"/>
      <c r="Q4372" s="4"/>
      <c r="R4372" s="4"/>
      <c r="S4372" s="4"/>
    </row>
    <row r="4373" spans="15:19" x14ac:dyDescent="0.25">
      <c r="O4373" s="4"/>
      <c r="P4373" s="4"/>
      <c r="Q4373" s="4"/>
      <c r="R4373" s="4"/>
      <c r="S4373" s="4"/>
    </row>
    <row r="4374" spans="15:19" x14ac:dyDescent="0.25">
      <c r="O4374" s="4"/>
      <c r="P4374" s="4"/>
      <c r="Q4374" s="4"/>
      <c r="R4374" s="4"/>
      <c r="S4374" s="4"/>
    </row>
    <row r="4375" spans="15:19" x14ac:dyDescent="0.25">
      <c r="O4375" s="4"/>
      <c r="P4375" s="4"/>
      <c r="Q4375" s="4"/>
      <c r="R4375" s="4"/>
      <c r="S4375" s="4"/>
    </row>
    <row r="4376" spans="15:19" x14ac:dyDescent="0.25">
      <c r="O4376" s="4"/>
      <c r="P4376" s="4"/>
      <c r="Q4376" s="4"/>
      <c r="R4376" s="4"/>
      <c r="S4376" s="4"/>
    </row>
    <row r="4377" spans="15:19" x14ac:dyDescent="0.25">
      <c r="O4377" s="4"/>
      <c r="P4377" s="4"/>
      <c r="Q4377" s="4"/>
      <c r="R4377" s="4"/>
      <c r="S4377" s="4"/>
    </row>
    <row r="4378" spans="15:19" x14ac:dyDescent="0.25">
      <c r="O4378" s="4"/>
      <c r="P4378" s="4"/>
      <c r="Q4378" s="4"/>
      <c r="R4378" s="4"/>
      <c r="S4378" s="4"/>
    </row>
    <row r="4379" spans="15:19" x14ac:dyDescent="0.25">
      <c r="O4379" s="4"/>
      <c r="P4379" s="4"/>
      <c r="Q4379" s="4"/>
      <c r="R4379" s="4"/>
      <c r="S4379" s="4"/>
    </row>
    <row r="4380" spans="15:19" x14ac:dyDescent="0.25">
      <c r="O4380" s="4"/>
      <c r="P4380" s="4"/>
      <c r="Q4380" s="4"/>
      <c r="R4380" s="4"/>
      <c r="S4380" s="4"/>
    </row>
    <row r="4381" spans="15:19" x14ac:dyDescent="0.25">
      <c r="O4381" s="4"/>
      <c r="P4381" s="4"/>
      <c r="Q4381" s="4"/>
      <c r="R4381" s="4"/>
      <c r="S4381" s="4"/>
    </row>
    <row r="4382" spans="15:19" x14ac:dyDescent="0.25">
      <c r="O4382" s="4"/>
      <c r="P4382" s="4"/>
      <c r="Q4382" s="4"/>
      <c r="R4382" s="4"/>
      <c r="S4382" s="4"/>
    </row>
    <row r="4383" spans="15:19" x14ac:dyDescent="0.25">
      <c r="O4383" s="4"/>
      <c r="P4383" s="4"/>
      <c r="Q4383" s="4"/>
      <c r="R4383" s="4"/>
      <c r="S4383" s="4"/>
    </row>
    <row r="4384" spans="15:19" x14ac:dyDescent="0.25">
      <c r="O4384" s="4"/>
      <c r="P4384" s="4"/>
      <c r="Q4384" s="4"/>
      <c r="R4384" s="4"/>
      <c r="S4384" s="4"/>
    </row>
    <row r="4385" spans="15:19" x14ac:dyDescent="0.25">
      <c r="O4385" s="4"/>
      <c r="P4385" s="4"/>
      <c r="Q4385" s="4"/>
      <c r="R4385" s="4"/>
      <c r="S4385" s="4"/>
    </row>
    <row r="4386" spans="15:19" x14ac:dyDescent="0.25">
      <c r="O4386" s="4"/>
      <c r="P4386" s="4"/>
      <c r="Q4386" s="4"/>
      <c r="R4386" s="4"/>
      <c r="S4386" s="4"/>
    </row>
    <row r="4387" spans="15:19" x14ac:dyDescent="0.25">
      <c r="O4387" s="4"/>
      <c r="P4387" s="4"/>
      <c r="Q4387" s="4"/>
      <c r="R4387" s="4"/>
      <c r="S4387" s="4"/>
    </row>
    <row r="4388" spans="15:19" x14ac:dyDescent="0.25">
      <c r="O4388" s="4"/>
      <c r="P4388" s="4"/>
      <c r="Q4388" s="4"/>
      <c r="R4388" s="4"/>
      <c r="S4388" s="4"/>
    </row>
    <row r="4389" spans="15:19" x14ac:dyDescent="0.25">
      <c r="O4389" s="4"/>
      <c r="P4389" s="4"/>
      <c r="Q4389" s="4"/>
      <c r="R4389" s="4"/>
      <c r="S4389" s="4"/>
    </row>
    <row r="4390" spans="15:19" x14ac:dyDescent="0.25">
      <c r="O4390" s="4"/>
      <c r="P4390" s="4"/>
      <c r="Q4390" s="4"/>
      <c r="R4390" s="4"/>
      <c r="S4390" s="4"/>
    </row>
    <row r="4391" spans="15:19" x14ac:dyDescent="0.25">
      <c r="O4391" s="4"/>
      <c r="P4391" s="4"/>
      <c r="Q4391" s="4"/>
      <c r="R4391" s="4"/>
      <c r="S4391" s="4"/>
    </row>
    <row r="4392" spans="15:19" x14ac:dyDescent="0.25">
      <c r="O4392" s="4"/>
      <c r="P4392" s="4"/>
      <c r="Q4392" s="4"/>
      <c r="R4392" s="4"/>
      <c r="S4392" s="4"/>
    </row>
    <row r="4393" spans="15:19" x14ac:dyDescent="0.25">
      <c r="O4393" s="4"/>
      <c r="P4393" s="4"/>
      <c r="Q4393" s="4"/>
      <c r="R4393" s="4"/>
      <c r="S4393" s="4"/>
    </row>
    <row r="4394" spans="15:19" x14ac:dyDescent="0.25">
      <c r="O4394" s="4"/>
      <c r="P4394" s="4"/>
      <c r="Q4394" s="4"/>
      <c r="R4394" s="4"/>
      <c r="S4394" s="4"/>
    </row>
    <row r="4395" spans="15:19" x14ac:dyDescent="0.25">
      <c r="O4395" s="4"/>
      <c r="P4395" s="4"/>
      <c r="Q4395" s="4"/>
      <c r="R4395" s="4"/>
      <c r="S4395" s="4"/>
    </row>
    <row r="4396" spans="15:19" x14ac:dyDescent="0.25">
      <c r="O4396" s="4"/>
      <c r="P4396" s="4"/>
      <c r="Q4396" s="4"/>
      <c r="R4396" s="4"/>
      <c r="S4396" s="4"/>
    </row>
    <row r="4397" spans="15:19" x14ac:dyDescent="0.25">
      <c r="O4397" s="4"/>
      <c r="P4397" s="4"/>
      <c r="Q4397" s="4"/>
      <c r="R4397" s="4"/>
      <c r="S4397" s="4"/>
    </row>
    <row r="4398" spans="15:19" x14ac:dyDescent="0.25">
      <c r="O4398" s="4"/>
      <c r="P4398" s="4"/>
      <c r="Q4398" s="4"/>
      <c r="R4398" s="4"/>
      <c r="S4398" s="4"/>
    </row>
    <row r="4399" spans="15:19" x14ac:dyDescent="0.25">
      <c r="O4399" s="4"/>
      <c r="P4399" s="4"/>
      <c r="Q4399" s="4"/>
      <c r="R4399" s="4"/>
      <c r="S4399" s="4"/>
    </row>
    <row r="4400" spans="15:19" x14ac:dyDescent="0.25">
      <c r="O4400" s="4"/>
      <c r="P4400" s="4"/>
      <c r="Q4400" s="4"/>
      <c r="R4400" s="4"/>
      <c r="S4400" s="4"/>
    </row>
    <row r="4401" spans="15:19" x14ac:dyDescent="0.25">
      <c r="O4401" s="4"/>
      <c r="P4401" s="4"/>
      <c r="Q4401" s="4"/>
      <c r="R4401" s="4"/>
      <c r="S4401" s="4"/>
    </row>
    <row r="4402" spans="15:19" x14ac:dyDescent="0.25">
      <c r="O4402" s="4"/>
      <c r="P4402" s="4"/>
      <c r="Q4402" s="4"/>
      <c r="R4402" s="4"/>
      <c r="S4402" s="4"/>
    </row>
    <row r="4403" spans="15:19" x14ac:dyDescent="0.25">
      <c r="O4403" s="4"/>
      <c r="P4403" s="4"/>
      <c r="Q4403" s="4"/>
      <c r="R4403" s="4"/>
      <c r="S4403" s="4"/>
    </row>
    <row r="4404" spans="15:19" x14ac:dyDescent="0.25">
      <c r="O4404" s="4"/>
      <c r="P4404" s="4"/>
      <c r="Q4404" s="4"/>
      <c r="R4404" s="4"/>
      <c r="S4404" s="4"/>
    </row>
    <row r="4405" spans="15:19" x14ac:dyDescent="0.25">
      <c r="O4405" s="4"/>
      <c r="P4405" s="4"/>
      <c r="Q4405" s="4"/>
      <c r="R4405" s="4"/>
      <c r="S4405" s="4"/>
    </row>
    <row r="4406" spans="15:19" x14ac:dyDescent="0.25">
      <c r="O4406" s="4"/>
      <c r="P4406" s="4"/>
      <c r="Q4406" s="4"/>
      <c r="R4406" s="4"/>
      <c r="S4406" s="4"/>
    </row>
    <row r="4407" spans="15:19" x14ac:dyDescent="0.25">
      <c r="O4407" s="4"/>
      <c r="P4407" s="4"/>
      <c r="Q4407" s="4"/>
      <c r="R4407" s="4"/>
      <c r="S4407" s="4"/>
    </row>
    <row r="4408" spans="15:19" x14ac:dyDescent="0.25">
      <c r="O4408" s="4"/>
      <c r="P4408" s="4"/>
      <c r="Q4408" s="4"/>
      <c r="R4408" s="4"/>
      <c r="S4408" s="4"/>
    </row>
    <row r="4409" spans="15:19" x14ac:dyDescent="0.25">
      <c r="O4409" s="4"/>
      <c r="P4409" s="4"/>
      <c r="Q4409" s="4"/>
      <c r="R4409" s="4"/>
      <c r="S4409" s="4"/>
    </row>
    <row r="4410" spans="15:19" x14ac:dyDescent="0.25">
      <c r="O4410" s="4"/>
      <c r="P4410" s="4"/>
      <c r="Q4410" s="4"/>
      <c r="R4410" s="4"/>
      <c r="S4410" s="4"/>
    </row>
    <row r="4411" spans="15:19" x14ac:dyDescent="0.25">
      <c r="O4411" s="4"/>
      <c r="P4411" s="4"/>
      <c r="Q4411" s="4"/>
      <c r="R4411" s="4"/>
      <c r="S4411" s="4"/>
    </row>
    <row r="4412" spans="15:19" x14ac:dyDescent="0.25">
      <c r="O4412" s="4"/>
      <c r="P4412" s="4"/>
      <c r="Q4412" s="4"/>
      <c r="R4412" s="4"/>
      <c r="S4412" s="4"/>
    </row>
    <row r="4413" spans="15:19" x14ac:dyDescent="0.25">
      <c r="O4413" s="4"/>
      <c r="P4413" s="4"/>
      <c r="Q4413" s="4"/>
      <c r="R4413" s="4"/>
      <c r="S4413" s="4"/>
    </row>
    <row r="4414" spans="15:19" x14ac:dyDescent="0.25">
      <c r="O4414" s="4"/>
      <c r="P4414" s="4"/>
      <c r="Q4414" s="4"/>
      <c r="R4414" s="4"/>
      <c r="S4414" s="4"/>
    </row>
    <row r="4415" spans="15:19" x14ac:dyDescent="0.25">
      <c r="O4415" s="4"/>
      <c r="P4415" s="4"/>
      <c r="Q4415" s="4"/>
      <c r="R4415" s="4"/>
      <c r="S4415" s="4"/>
    </row>
    <row r="4416" spans="15:19" x14ac:dyDescent="0.25">
      <c r="O4416" s="4"/>
      <c r="P4416" s="4"/>
      <c r="Q4416" s="4"/>
      <c r="R4416" s="4"/>
      <c r="S4416" s="4"/>
    </row>
    <row r="4417" spans="15:19" x14ac:dyDescent="0.25">
      <c r="O4417" s="4"/>
      <c r="P4417" s="4"/>
      <c r="Q4417" s="4"/>
      <c r="R4417" s="4"/>
      <c r="S4417" s="4"/>
    </row>
    <row r="4418" spans="15:19" x14ac:dyDescent="0.25">
      <c r="O4418" s="4"/>
      <c r="P4418" s="4"/>
      <c r="Q4418" s="4"/>
      <c r="R4418" s="4"/>
      <c r="S4418" s="4"/>
    </row>
    <row r="4419" spans="15:19" x14ac:dyDescent="0.25">
      <c r="O4419" s="4"/>
      <c r="P4419" s="4"/>
      <c r="Q4419" s="4"/>
      <c r="R4419" s="4"/>
      <c r="S4419" s="4"/>
    </row>
    <row r="4420" spans="15:19" x14ac:dyDescent="0.25">
      <c r="O4420" s="4"/>
      <c r="P4420" s="4"/>
      <c r="Q4420" s="4"/>
      <c r="R4420" s="4"/>
      <c r="S4420" s="4"/>
    </row>
    <row r="4421" spans="15:19" x14ac:dyDescent="0.25">
      <c r="O4421" s="4"/>
      <c r="P4421" s="4"/>
      <c r="Q4421" s="4"/>
      <c r="R4421" s="4"/>
      <c r="S4421" s="4"/>
    </row>
    <row r="4422" spans="15:19" x14ac:dyDescent="0.25">
      <c r="O4422" s="4"/>
      <c r="P4422" s="4"/>
      <c r="Q4422" s="4"/>
      <c r="R4422" s="4"/>
      <c r="S4422" s="4"/>
    </row>
    <row r="4423" spans="15:19" x14ac:dyDescent="0.25">
      <c r="O4423" s="4"/>
      <c r="P4423" s="4"/>
      <c r="Q4423" s="4"/>
      <c r="R4423" s="4"/>
      <c r="S4423" s="4"/>
    </row>
    <row r="4424" spans="15:19" x14ac:dyDescent="0.25">
      <c r="O4424" s="4"/>
      <c r="P4424" s="4"/>
      <c r="Q4424" s="4"/>
      <c r="R4424" s="4"/>
      <c r="S4424" s="4"/>
    </row>
    <row r="4425" spans="15:19" x14ac:dyDescent="0.25">
      <c r="O4425" s="4"/>
      <c r="P4425" s="4"/>
      <c r="Q4425" s="4"/>
      <c r="R4425" s="4"/>
      <c r="S4425" s="4"/>
    </row>
    <row r="4426" spans="15:19" x14ac:dyDescent="0.25">
      <c r="O4426" s="4"/>
      <c r="P4426" s="4"/>
      <c r="Q4426" s="4"/>
      <c r="R4426" s="4"/>
      <c r="S4426" s="4"/>
    </row>
    <row r="4427" spans="15:19" x14ac:dyDescent="0.25">
      <c r="O4427" s="4"/>
      <c r="P4427" s="4"/>
      <c r="Q4427" s="4"/>
      <c r="R4427" s="4"/>
      <c r="S4427" s="4"/>
    </row>
    <row r="4428" spans="15:19" x14ac:dyDescent="0.25">
      <c r="O4428" s="4"/>
      <c r="P4428" s="4"/>
      <c r="Q4428" s="4"/>
      <c r="R4428" s="4"/>
      <c r="S4428" s="4"/>
    </row>
    <row r="4429" spans="15:19" x14ac:dyDescent="0.25">
      <c r="O4429" s="4"/>
      <c r="P4429" s="4"/>
      <c r="Q4429" s="4"/>
      <c r="R4429" s="4"/>
      <c r="S4429" s="4"/>
    </row>
    <row r="4430" spans="15:19" x14ac:dyDescent="0.25">
      <c r="O4430" s="4"/>
      <c r="P4430" s="4"/>
      <c r="Q4430" s="4"/>
      <c r="R4430" s="4"/>
      <c r="S4430" s="4"/>
    </row>
    <row r="4431" spans="15:19" x14ac:dyDescent="0.25">
      <c r="O4431" s="4"/>
      <c r="P4431" s="4"/>
      <c r="Q4431" s="4"/>
      <c r="R4431" s="4"/>
      <c r="S4431" s="4"/>
    </row>
    <row r="4432" spans="15:19" x14ac:dyDescent="0.25">
      <c r="O4432" s="4"/>
      <c r="P4432" s="4"/>
      <c r="Q4432" s="4"/>
      <c r="R4432" s="4"/>
      <c r="S4432" s="4"/>
    </row>
    <row r="4433" spans="15:19" x14ac:dyDescent="0.25">
      <c r="O4433" s="4"/>
      <c r="P4433" s="4"/>
      <c r="Q4433" s="4"/>
      <c r="R4433" s="4"/>
      <c r="S4433" s="4"/>
    </row>
    <row r="4434" spans="15:19" x14ac:dyDescent="0.25">
      <c r="O4434" s="4"/>
      <c r="P4434" s="4"/>
      <c r="Q4434" s="4"/>
      <c r="R4434" s="4"/>
      <c r="S4434" s="4"/>
    </row>
    <row r="4435" spans="15:19" x14ac:dyDescent="0.25">
      <c r="O4435" s="4"/>
      <c r="P4435" s="4"/>
      <c r="Q4435" s="4"/>
      <c r="R4435" s="4"/>
      <c r="S4435" s="4"/>
    </row>
    <row r="4436" spans="15:19" x14ac:dyDescent="0.25">
      <c r="O4436" s="4"/>
      <c r="P4436" s="4"/>
      <c r="Q4436" s="4"/>
      <c r="R4436" s="4"/>
      <c r="S4436" s="4"/>
    </row>
    <row r="4437" spans="15:19" x14ac:dyDescent="0.25">
      <c r="O4437" s="4"/>
      <c r="P4437" s="4"/>
      <c r="Q4437" s="4"/>
      <c r="R4437" s="4"/>
      <c r="S4437" s="4"/>
    </row>
    <row r="4438" spans="15:19" x14ac:dyDescent="0.25">
      <c r="O4438" s="4"/>
      <c r="P4438" s="4"/>
      <c r="Q4438" s="4"/>
      <c r="R4438" s="4"/>
      <c r="S4438" s="4"/>
    </row>
    <row r="4439" spans="15:19" x14ac:dyDescent="0.25">
      <c r="O4439" s="4"/>
      <c r="P4439" s="4"/>
      <c r="Q4439" s="4"/>
      <c r="R4439" s="4"/>
      <c r="S4439" s="4"/>
    </row>
    <row r="4440" spans="15:19" x14ac:dyDescent="0.25">
      <c r="O4440" s="4"/>
      <c r="P4440" s="4"/>
      <c r="Q4440" s="4"/>
      <c r="R4440" s="4"/>
      <c r="S4440" s="4"/>
    </row>
    <row r="4441" spans="15:19" x14ac:dyDescent="0.25">
      <c r="O4441" s="4"/>
      <c r="P4441" s="4"/>
      <c r="Q4441" s="4"/>
      <c r="R4441" s="4"/>
      <c r="S4441" s="4"/>
    </row>
    <row r="4442" spans="15:19" x14ac:dyDescent="0.25">
      <c r="O4442" s="4"/>
      <c r="P4442" s="4"/>
      <c r="Q4442" s="4"/>
      <c r="R4442" s="4"/>
      <c r="S4442" s="4"/>
    </row>
    <row r="4443" spans="15:19" x14ac:dyDescent="0.25">
      <c r="O4443" s="4"/>
      <c r="P4443" s="4"/>
      <c r="Q4443" s="4"/>
      <c r="R4443" s="4"/>
      <c r="S4443" s="4"/>
    </row>
    <row r="4444" spans="15:19" x14ac:dyDescent="0.25">
      <c r="O4444" s="4"/>
      <c r="P4444" s="4"/>
      <c r="Q4444" s="4"/>
      <c r="R4444" s="4"/>
      <c r="S4444" s="4"/>
    </row>
    <row r="4445" spans="15:19" x14ac:dyDescent="0.25">
      <c r="O4445" s="4"/>
      <c r="P4445" s="4"/>
      <c r="Q4445" s="4"/>
      <c r="R4445" s="4"/>
      <c r="S4445" s="4"/>
    </row>
    <row r="4446" spans="15:19" x14ac:dyDescent="0.25">
      <c r="O4446" s="4"/>
      <c r="P4446" s="4"/>
      <c r="Q4446" s="4"/>
      <c r="R4446" s="4"/>
      <c r="S4446" s="4"/>
    </row>
    <row r="4447" spans="15:19" x14ac:dyDescent="0.25">
      <c r="O4447" s="4"/>
      <c r="P4447" s="4"/>
      <c r="Q4447" s="4"/>
      <c r="R4447" s="4"/>
      <c r="S4447" s="4"/>
    </row>
    <row r="4448" spans="15:19" x14ac:dyDescent="0.25">
      <c r="O4448" s="4"/>
      <c r="P4448" s="4"/>
      <c r="Q4448" s="4"/>
      <c r="R4448" s="4"/>
      <c r="S4448" s="4"/>
    </row>
    <row r="4449" spans="15:19" x14ac:dyDescent="0.25">
      <c r="O4449" s="4"/>
      <c r="P4449" s="4"/>
      <c r="Q4449" s="4"/>
      <c r="R4449" s="4"/>
      <c r="S4449" s="4"/>
    </row>
    <row r="4450" spans="15:19" x14ac:dyDescent="0.25">
      <c r="O4450" s="4"/>
      <c r="P4450" s="4"/>
      <c r="Q4450" s="4"/>
      <c r="R4450" s="4"/>
      <c r="S4450" s="4"/>
    </row>
    <row r="4451" spans="15:19" x14ac:dyDescent="0.25">
      <c r="O4451" s="4"/>
      <c r="P4451" s="4"/>
      <c r="Q4451" s="4"/>
      <c r="R4451" s="4"/>
      <c r="S4451" s="4"/>
    </row>
    <row r="4452" spans="15:19" x14ac:dyDescent="0.25">
      <c r="O4452" s="4"/>
      <c r="P4452" s="4"/>
      <c r="Q4452" s="4"/>
      <c r="R4452" s="4"/>
      <c r="S4452" s="4"/>
    </row>
    <row r="4453" spans="15:19" x14ac:dyDescent="0.25">
      <c r="O4453" s="4"/>
      <c r="P4453" s="4"/>
      <c r="Q4453" s="4"/>
      <c r="R4453" s="4"/>
      <c r="S4453" s="4"/>
    </row>
    <row r="4454" spans="15:19" x14ac:dyDescent="0.25">
      <c r="O4454" s="4"/>
      <c r="P4454" s="4"/>
      <c r="Q4454" s="4"/>
      <c r="R4454" s="4"/>
      <c r="S4454" s="4"/>
    </row>
    <row r="4455" spans="15:19" x14ac:dyDescent="0.25">
      <c r="O4455" s="4"/>
      <c r="P4455" s="4"/>
      <c r="Q4455" s="4"/>
      <c r="R4455" s="4"/>
      <c r="S4455" s="4"/>
    </row>
    <row r="4456" spans="15:19" x14ac:dyDescent="0.25">
      <c r="O4456" s="4"/>
      <c r="P4456" s="4"/>
      <c r="Q4456" s="4"/>
      <c r="R4456" s="4"/>
      <c r="S4456" s="4"/>
    </row>
    <row r="4457" spans="15:19" x14ac:dyDescent="0.25">
      <c r="O4457" s="4"/>
      <c r="P4457" s="4"/>
      <c r="Q4457" s="4"/>
      <c r="R4457" s="4"/>
      <c r="S4457" s="4"/>
    </row>
    <row r="4458" spans="15:19" x14ac:dyDescent="0.25">
      <c r="O4458" s="4"/>
      <c r="P4458" s="4"/>
      <c r="Q4458" s="4"/>
      <c r="R4458" s="4"/>
      <c r="S4458" s="4"/>
    </row>
    <row r="4459" spans="15:19" x14ac:dyDescent="0.25">
      <c r="O4459" s="4"/>
      <c r="P4459" s="4"/>
      <c r="Q4459" s="4"/>
      <c r="R4459" s="4"/>
      <c r="S4459" s="4"/>
    </row>
    <row r="4460" spans="15:19" x14ac:dyDescent="0.25">
      <c r="O4460" s="4"/>
      <c r="P4460" s="4"/>
      <c r="Q4460" s="4"/>
      <c r="R4460" s="4"/>
      <c r="S4460" s="4"/>
    </row>
    <row r="4461" spans="15:19" x14ac:dyDescent="0.25">
      <c r="O4461" s="4"/>
      <c r="P4461" s="4"/>
      <c r="Q4461" s="4"/>
      <c r="R4461" s="4"/>
      <c r="S4461" s="4"/>
    </row>
    <row r="4462" spans="15:19" x14ac:dyDescent="0.25">
      <c r="O4462" s="4"/>
      <c r="P4462" s="4"/>
      <c r="Q4462" s="4"/>
      <c r="R4462" s="4"/>
      <c r="S4462" s="4"/>
    </row>
    <row r="4463" spans="15:19" x14ac:dyDescent="0.25">
      <c r="O4463" s="4"/>
      <c r="P4463" s="4"/>
      <c r="Q4463" s="4"/>
      <c r="R4463" s="4"/>
      <c r="S4463" s="4"/>
    </row>
    <row r="4464" spans="15:19" x14ac:dyDescent="0.25">
      <c r="O4464" s="4"/>
      <c r="P4464" s="4"/>
      <c r="Q4464" s="4"/>
      <c r="R4464" s="4"/>
      <c r="S4464" s="4"/>
    </row>
    <row r="4465" spans="15:19" x14ac:dyDescent="0.25">
      <c r="O4465" s="4"/>
      <c r="P4465" s="4"/>
      <c r="Q4465" s="4"/>
      <c r="R4465" s="4"/>
      <c r="S4465" s="4"/>
    </row>
    <row r="4466" spans="15:19" x14ac:dyDescent="0.25">
      <c r="O4466" s="4"/>
      <c r="P4466" s="4"/>
      <c r="Q4466" s="4"/>
      <c r="R4466" s="4"/>
      <c r="S4466" s="4"/>
    </row>
    <row r="4467" spans="15:19" x14ac:dyDescent="0.25">
      <c r="O4467" s="4"/>
      <c r="P4467" s="4"/>
      <c r="Q4467" s="4"/>
      <c r="R4467" s="4"/>
      <c r="S4467" s="4"/>
    </row>
    <row r="4468" spans="15:19" x14ac:dyDescent="0.25">
      <c r="O4468" s="4"/>
      <c r="P4468" s="4"/>
      <c r="Q4468" s="4"/>
      <c r="R4468" s="4"/>
      <c r="S4468" s="4"/>
    </row>
    <row r="4469" spans="15:19" x14ac:dyDescent="0.25">
      <c r="O4469" s="4"/>
      <c r="P4469" s="4"/>
      <c r="Q4469" s="4"/>
      <c r="R4469" s="4"/>
      <c r="S4469" s="4"/>
    </row>
    <row r="4470" spans="15:19" x14ac:dyDescent="0.25">
      <c r="O4470" s="4"/>
      <c r="P4470" s="4"/>
      <c r="Q4470" s="4"/>
      <c r="R4470" s="4"/>
      <c r="S4470" s="4"/>
    </row>
    <row r="4471" spans="15:19" x14ac:dyDescent="0.25">
      <c r="O4471" s="4"/>
      <c r="P4471" s="4"/>
      <c r="Q4471" s="4"/>
      <c r="R4471" s="4"/>
      <c r="S4471" s="4"/>
    </row>
    <row r="4472" spans="15:19" x14ac:dyDescent="0.25">
      <c r="O4472" s="4"/>
      <c r="P4472" s="4"/>
      <c r="Q4472" s="4"/>
      <c r="R4472" s="4"/>
      <c r="S4472" s="4"/>
    </row>
    <row r="4473" spans="15:19" x14ac:dyDescent="0.25">
      <c r="O4473" s="4"/>
      <c r="P4473" s="4"/>
      <c r="Q4473" s="4"/>
      <c r="R4473" s="4"/>
      <c r="S4473" s="4"/>
    </row>
    <row r="4474" spans="15:19" x14ac:dyDescent="0.25">
      <c r="O4474" s="4"/>
      <c r="P4474" s="4"/>
      <c r="Q4474" s="4"/>
      <c r="R4474" s="4"/>
      <c r="S4474" s="4"/>
    </row>
    <row r="4475" spans="15:19" x14ac:dyDescent="0.25">
      <c r="O4475" s="4"/>
      <c r="P4475" s="4"/>
      <c r="Q4475" s="4"/>
      <c r="R4475" s="4"/>
      <c r="S4475" s="4"/>
    </row>
    <row r="4476" spans="15:19" x14ac:dyDescent="0.25">
      <c r="O4476" s="4"/>
      <c r="P4476" s="4"/>
      <c r="Q4476" s="4"/>
      <c r="R4476" s="4"/>
      <c r="S4476" s="4"/>
    </row>
    <row r="4477" spans="15:19" x14ac:dyDescent="0.25">
      <c r="O4477" s="4"/>
      <c r="P4477" s="4"/>
      <c r="Q4477" s="4"/>
      <c r="R4477" s="4"/>
      <c r="S4477" s="4"/>
    </row>
    <row r="4478" spans="15:19" x14ac:dyDescent="0.25">
      <c r="O4478" s="4"/>
      <c r="P4478" s="4"/>
      <c r="Q4478" s="4"/>
      <c r="R4478" s="4"/>
      <c r="S4478" s="4"/>
    </row>
    <row r="4479" spans="15:19" x14ac:dyDescent="0.25">
      <c r="O4479" s="4"/>
      <c r="P4479" s="4"/>
      <c r="Q4479" s="4"/>
      <c r="R4479" s="4"/>
      <c r="S4479" s="4"/>
    </row>
    <row r="4480" spans="15:19" x14ac:dyDescent="0.25">
      <c r="O4480" s="4"/>
      <c r="P4480" s="4"/>
      <c r="Q4480" s="4"/>
      <c r="R4480" s="4"/>
      <c r="S4480" s="4"/>
    </row>
    <row r="4481" spans="15:19" x14ac:dyDescent="0.25">
      <c r="O4481" s="4"/>
      <c r="P4481" s="4"/>
      <c r="Q4481" s="4"/>
      <c r="R4481" s="4"/>
      <c r="S4481" s="4"/>
    </row>
    <row r="4482" spans="15:19" x14ac:dyDescent="0.25">
      <c r="O4482" s="4"/>
      <c r="P4482" s="4"/>
      <c r="Q4482" s="4"/>
      <c r="R4482" s="4"/>
      <c r="S4482" s="4"/>
    </row>
    <row r="4483" spans="15:19" x14ac:dyDescent="0.25">
      <c r="O4483" s="4"/>
      <c r="P4483" s="4"/>
      <c r="Q4483" s="4"/>
      <c r="R4483" s="4"/>
      <c r="S4483" s="4"/>
    </row>
    <row r="4484" spans="15:19" x14ac:dyDescent="0.25">
      <c r="O4484" s="4"/>
      <c r="P4484" s="4"/>
      <c r="Q4484" s="4"/>
      <c r="R4484" s="4"/>
      <c r="S4484" s="4"/>
    </row>
    <row r="4485" spans="15:19" x14ac:dyDescent="0.25">
      <c r="O4485" s="4"/>
      <c r="P4485" s="4"/>
      <c r="Q4485" s="4"/>
      <c r="R4485" s="4"/>
      <c r="S4485" s="4"/>
    </row>
    <row r="4486" spans="15:19" x14ac:dyDescent="0.25">
      <c r="O4486" s="4"/>
      <c r="P4486" s="4"/>
      <c r="Q4486" s="4"/>
      <c r="R4486" s="4"/>
      <c r="S4486" s="4"/>
    </row>
    <row r="4487" spans="15:19" x14ac:dyDescent="0.25">
      <c r="O4487" s="4"/>
      <c r="P4487" s="4"/>
      <c r="Q4487" s="4"/>
      <c r="R4487" s="4"/>
      <c r="S4487" s="4"/>
    </row>
    <row r="4488" spans="15:19" x14ac:dyDescent="0.25">
      <c r="O4488" s="4"/>
      <c r="P4488" s="4"/>
      <c r="Q4488" s="4"/>
      <c r="R4488" s="4"/>
      <c r="S4488" s="4"/>
    </row>
    <row r="4489" spans="15:19" x14ac:dyDescent="0.25">
      <c r="O4489" s="4"/>
      <c r="P4489" s="4"/>
      <c r="Q4489" s="4"/>
      <c r="R4489" s="4"/>
      <c r="S4489" s="4"/>
    </row>
    <row r="4490" spans="15:19" x14ac:dyDescent="0.25">
      <c r="O4490" s="4"/>
      <c r="P4490" s="4"/>
      <c r="Q4490" s="4"/>
      <c r="R4490" s="4"/>
      <c r="S4490" s="4"/>
    </row>
    <row r="4491" spans="15:19" x14ac:dyDescent="0.25">
      <c r="O4491" s="4"/>
      <c r="P4491" s="4"/>
      <c r="Q4491" s="4"/>
      <c r="R4491" s="4"/>
      <c r="S4491" s="4"/>
    </row>
    <row r="4492" spans="15:19" x14ac:dyDescent="0.25">
      <c r="O4492" s="4"/>
      <c r="P4492" s="4"/>
      <c r="Q4492" s="4"/>
      <c r="R4492" s="4"/>
      <c r="S4492" s="4"/>
    </row>
    <row r="4493" spans="15:19" x14ac:dyDescent="0.25">
      <c r="O4493" s="4"/>
      <c r="P4493" s="4"/>
      <c r="Q4493" s="4"/>
      <c r="R4493" s="4"/>
      <c r="S4493" s="4"/>
    </row>
    <row r="4494" spans="15:19" x14ac:dyDescent="0.25">
      <c r="O4494" s="4"/>
      <c r="P4494" s="4"/>
      <c r="Q4494" s="4"/>
      <c r="R4494" s="4"/>
      <c r="S4494" s="4"/>
    </row>
    <row r="4495" spans="15:19" x14ac:dyDescent="0.25">
      <c r="O4495" s="4"/>
      <c r="P4495" s="4"/>
      <c r="Q4495" s="4"/>
      <c r="R4495" s="4"/>
      <c r="S4495" s="4"/>
    </row>
    <row r="4496" spans="15:19" x14ac:dyDescent="0.25">
      <c r="O4496" s="4"/>
      <c r="P4496" s="4"/>
      <c r="Q4496" s="4"/>
      <c r="R4496" s="4"/>
      <c r="S4496" s="4"/>
    </row>
    <row r="4497" spans="15:19" x14ac:dyDescent="0.25">
      <c r="O4497" s="4"/>
      <c r="P4497" s="4"/>
      <c r="Q4497" s="4"/>
      <c r="R4497" s="4"/>
      <c r="S4497" s="4"/>
    </row>
    <row r="4498" spans="15:19" x14ac:dyDescent="0.25">
      <c r="O4498" s="4"/>
      <c r="P4498" s="4"/>
      <c r="Q4498" s="4"/>
      <c r="R4498" s="4"/>
      <c r="S4498" s="4"/>
    </row>
    <row r="4499" spans="15:19" x14ac:dyDescent="0.25">
      <c r="O4499" s="4"/>
      <c r="P4499" s="4"/>
      <c r="Q4499" s="4"/>
      <c r="R4499" s="4"/>
      <c r="S4499" s="4"/>
    </row>
    <row r="4500" spans="15:19" x14ac:dyDescent="0.25">
      <c r="O4500" s="4"/>
      <c r="P4500" s="4"/>
      <c r="Q4500" s="4"/>
      <c r="R4500" s="4"/>
      <c r="S4500" s="4"/>
    </row>
    <row r="4501" spans="15:19" x14ac:dyDescent="0.25">
      <c r="O4501" s="4"/>
      <c r="P4501" s="4"/>
      <c r="Q4501" s="4"/>
      <c r="R4501" s="4"/>
      <c r="S4501" s="4"/>
    </row>
    <row r="4502" spans="15:19" x14ac:dyDescent="0.25">
      <c r="O4502" s="4"/>
      <c r="P4502" s="4"/>
      <c r="Q4502" s="4"/>
      <c r="R4502" s="4"/>
      <c r="S4502" s="4"/>
    </row>
    <row r="4503" spans="15:19" x14ac:dyDescent="0.25">
      <c r="O4503" s="4"/>
      <c r="P4503" s="4"/>
      <c r="Q4503" s="4"/>
      <c r="R4503" s="4"/>
      <c r="S4503" s="4"/>
    </row>
    <row r="4504" spans="15:19" x14ac:dyDescent="0.25">
      <c r="O4504" s="4"/>
      <c r="P4504" s="4"/>
      <c r="Q4504" s="4"/>
      <c r="R4504" s="4"/>
      <c r="S4504" s="4"/>
    </row>
    <row r="4505" spans="15:19" x14ac:dyDescent="0.25">
      <c r="O4505" s="4"/>
      <c r="P4505" s="4"/>
      <c r="Q4505" s="4"/>
      <c r="R4505" s="4"/>
      <c r="S4505" s="4"/>
    </row>
    <row r="4506" spans="15:19" x14ac:dyDescent="0.25">
      <c r="O4506" s="4"/>
      <c r="P4506" s="4"/>
      <c r="Q4506" s="4"/>
      <c r="R4506" s="4"/>
      <c r="S4506" s="4"/>
    </row>
    <row r="4507" spans="15:19" x14ac:dyDescent="0.25">
      <c r="O4507" s="4"/>
      <c r="P4507" s="4"/>
      <c r="Q4507" s="4"/>
      <c r="R4507" s="4"/>
      <c r="S4507" s="4"/>
    </row>
    <row r="4508" spans="15:19" x14ac:dyDescent="0.25">
      <c r="O4508" s="4"/>
      <c r="P4508" s="4"/>
      <c r="Q4508" s="4"/>
      <c r="R4508" s="4"/>
      <c r="S4508" s="4"/>
    </row>
    <row r="4509" spans="15:19" x14ac:dyDescent="0.25">
      <c r="O4509" s="4"/>
      <c r="P4509" s="4"/>
      <c r="Q4509" s="4"/>
      <c r="R4509" s="4"/>
      <c r="S4509" s="4"/>
    </row>
    <row r="4510" spans="15:19" x14ac:dyDescent="0.25">
      <c r="O4510" s="4"/>
      <c r="P4510" s="4"/>
      <c r="Q4510" s="4"/>
      <c r="R4510" s="4"/>
      <c r="S4510" s="4"/>
    </row>
    <row r="4511" spans="15:19" x14ac:dyDescent="0.25">
      <c r="O4511" s="4"/>
      <c r="P4511" s="4"/>
      <c r="Q4511" s="4"/>
      <c r="R4511" s="4"/>
      <c r="S4511" s="4"/>
    </row>
    <row r="4512" spans="15:19" x14ac:dyDescent="0.25">
      <c r="O4512" s="4"/>
      <c r="P4512" s="4"/>
      <c r="Q4512" s="4"/>
      <c r="R4512" s="4"/>
      <c r="S4512" s="4"/>
    </row>
    <row r="4513" spans="15:19" x14ac:dyDescent="0.25">
      <c r="O4513" s="4"/>
      <c r="P4513" s="4"/>
      <c r="Q4513" s="4"/>
      <c r="R4513" s="4"/>
      <c r="S4513" s="4"/>
    </row>
    <row r="4514" spans="15:19" x14ac:dyDescent="0.25">
      <c r="O4514" s="4"/>
      <c r="P4514" s="4"/>
      <c r="Q4514" s="4"/>
      <c r="R4514" s="4"/>
      <c r="S4514" s="4"/>
    </row>
    <row r="4515" spans="15:19" x14ac:dyDescent="0.25">
      <c r="O4515" s="4"/>
      <c r="P4515" s="4"/>
      <c r="Q4515" s="4"/>
      <c r="R4515" s="4"/>
      <c r="S4515" s="4"/>
    </row>
    <row r="4516" spans="15:19" x14ac:dyDescent="0.25">
      <c r="O4516" s="4"/>
      <c r="P4516" s="4"/>
      <c r="Q4516" s="4"/>
      <c r="R4516" s="4"/>
      <c r="S4516" s="4"/>
    </row>
    <row r="4517" spans="15:19" x14ac:dyDescent="0.25">
      <c r="O4517" s="4"/>
      <c r="P4517" s="4"/>
      <c r="Q4517" s="4"/>
      <c r="R4517" s="4"/>
      <c r="S4517" s="4"/>
    </row>
    <row r="4518" spans="15:19" x14ac:dyDescent="0.25">
      <c r="O4518" s="4"/>
      <c r="P4518" s="4"/>
      <c r="Q4518" s="4"/>
      <c r="R4518" s="4"/>
      <c r="S4518" s="4"/>
    </row>
    <row r="4519" spans="15:19" x14ac:dyDescent="0.25">
      <c r="O4519" s="4"/>
      <c r="P4519" s="4"/>
      <c r="Q4519" s="4"/>
      <c r="R4519" s="4"/>
      <c r="S4519" s="4"/>
    </row>
    <row r="4520" spans="15:19" x14ac:dyDescent="0.25">
      <c r="O4520" s="4"/>
      <c r="P4520" s="4"/>
      <c r="Q4520" s="4"/>
      <c r="R4520" s="4"/>
      <c r="S4520" s="4"/>
    </row>
    <row r="4521" spans="15:19" x14ac:dyDescent="0.25">
      <c r="O4521" s="4"/>
      <c r="P4521" s="4"/>
      <c r="Q4521" s="4"/>
      <c r="R4521" s="4"/>
      <c r="S4521" s="4"/>
    </row>
    <row r="4522" spans="15:19" x14ac:dyDescent="0.25">
      <c r="O4522" s="4"/>
      <c r="P4522" s="4"/>
      <c r="Q4522" s="4"/>
      <c r="R4522" s="4"/>
      <c r="S4522" s="4"/>
    </row>
    <row r="4523" spans="15:19" x14ac:dyDescent="0.25">
      <c r="O4523" s="4"/>
      <c r="P4523" s="4"/>
      <c r="Q4523" s="4"/>
      <c r="R4523" s="4"/>
      <c r="S4523" s="4"/>
    </row>
    <row r="4524" spans="15:19" x14ac:dyDescent="0.25">
      <c r="O4524" s="4"/>
      <c r="P4524" s="4"/>
      <c r="Q4524" s="4"/>
      <c r="R4524" s="4"/>
      <c r="S4524" s="4"/>
    </row>
    <row r="4525" spans="15:19" x14ac:dyDescent="0.25">
      <c r="O4525" s="4"/>
      <c r="P4525" s="4"/>
      <c r="Q4525" s="4"/>
      <c r="R4525" s="4"/>
      <c r="S4525" s="4"/>
    </row>
    <row r="4526" spans="15:19" x14ac:dyDescent="0.25">
      <c r="O4526" s="4"/>
      <c r="P4526" s="4"/>
      <c r="Q4526" s="4"/>
      <c r="R4526" s="4"/>
      <c r="S4526" s="4"/>
    </row>
    <row r="4527" spans="15:19" x14ac:dyDescent="0.25">
      <c r="O4527" s="4"/>
      <c r="P4527" s="4"/>
      <c r="Q4527" s="4"/>
      <c r="R4527" s="4"/>
      <c r="S4527" s="4"/>
    </row>
    <row r="4528" spans="15:19" x14ac:dyDescent="0.25">
      <c r="O4528" s="4"/>
      <c r="P4528" s="4"/>
      <c r="Q4528" s="4"/>
      <c r="R4528" s="4"/>
      <c r="S4528" s="4"/>
    </row>
    <row r="4529" spans="15:19" x14ac:dyDescent="0.25">
      <c r="O4529" s="4"/>
      <c r="P4529" s="4"/>
      <c r="Q4529" s="4"/>
      <c r="R4529" s="4"/>
      <c r="S4529" s="4"/>
    </row>
    <row r="4530" spans="15:19" x14ac:dyDescent="0.25">
      <c r="O4530" s="4"/>
      <c r="P4530" s="4"/>
      <c r="Q4530" s="4"/>
      <c r="R4530" s="4"/>
      <c r="S4530" s="4"/>
    </row>
    <row r="4531" spans="15:19" x14ac:dyDescent="0.25">
      <c r="O4531" s="4"/>
      <c r="P4531" s="4"/>
      <c r="Q4531" s="4"/>
      <c r="R4531" s="4"/>
      <c r="S4531" s="4"/>
    </row>
    <row r="4532" spans="15:19" x14ac:dyDescent="0.25">
      <c r="O4532" s="4"/>
      <c r="P4532" s="4"/>
      <c r="Q4532" s="4"/>
      <c r="R4532" s="4"/>
      <c r="S4532" s="4"/>
    </row>
    <row r="4533" spans="15:19" x14ac:dyDescent="0.25">
      <c r="O4533" s="4"/>
      <c r="P4533" s="4"/>
      <c r="Q4533" s="4"/>
      <c r="R4533" s="4"/>
      <c r="S4533" s="4"/>
    </row>
    <row r="4534" spans="15:19" x14ac:dyDescent="0.25">
      <c r="O4534" s="4"/>
      <c r="P4534" s="4"/>
      <c r="Q4534" s="4"/>
      <c r="R4534" s="4"/>
      <c r="S4534" s="4"/>
    </row>
    <row r="4535" spans="15:19" x14ac:dyDescent="0.25">
      <c r="O4535" s="4"/>
      <c r="P4535" s="4"/>
      <c r="Q4535" s="4"/>
      <c r="R4535" s="4"/>
      <c r="S4535" s="4"/>
    </row>
    <row r="4536" spans="15:19" x14ac:dyDescent="0.25">
      <c r="O4536" s="4"/>
      <c r="P4536" s="4"/>
      <c r="Q4536" s="4"/>
      <c r="R4536" s="4"/>
      <c r="S4536" s="4"/>
    </row>
    <row r="4537" spans="15:19" x14ac:dyDescent="0.25">
      <c r="O4537" s="4"/>
      <c r="P4537" s="4"/>
      <c r="Q4537" s="4"/>
      <c r="R4537" s="4"/>
      <c r="S4537" s="4"/>
    </row>
    <row r="4538" spans="15:19" x14ac:dyDescent="0.25">
      <c r="O4538" s="4"/>
      <c r="P4538" s="4"/>
      <c r="Q4538" s="4"/>
      <c r="R4538" s="4"/>
      <c r="S4538" s="4"/>
    </row>
    <row r="4539" spans="15:19" x14ac:dyDescent="0.25">
      <c r="O4539" s="4"/>
      <c r="P4539" s="4"/>
      <c r="Q4539" s="4"/>
      <c r="R4539" s="4"/>
      <c r="S4539" s="4"/>
    </row>
    <row r="4540" spans="15:19" x14ac:dyDescent="0.25">
      <c r="O4540" s="4"/>
      <c r="P4540" s="4"/>
      <c r="Q4540" s="4"/>
      <c r="R4540" s="4"/>
      <c r="S4540" s="4"/>
    </row>
    <row r="4541" spans="15:19" x14ac:dyDescent="0.25">
      <c r="O4541" s="4"/>
      <c r="P4541" s="4"/>
      <c r="Q4541" s="4"/>
      <c r="R4541" s="4"/>
      <c r="S4541" s="4"/>
    </row>
    <row r="4542" spans="15:19" x14ac:dyDescent="0.25">
      <c r="O4542" s="4"/>
      <c r="P4542" s="4"/>
      <c r="Q4542" s="4"/>
      <c r="R4542" s="4"/>
      <c r="S4542" s="4"/>
    </row>
    <row r="4543" spans="15:19" x14ac:dyDescent="0.25">
      <c r="O4543" s="4"/>
      <c r="P4543" s="4"/>
      <c r="Q4543" s="4"/>
      <c r="R4543" s="4"/>
      <c r="S4543" s="4"/>
    </row>
    <row r="4544" spans="15:19" x14ac:dyDescent="0.25">
      <c r="O4544" s="4"/>
      <c r="P4544" s="4"/>
      <c r="Q4544" s="4"/>
      <c r="R4544" s="4"/>
      <c r="S4544" s="4"/>
    </row>
    <row r="4545" spans="15:19" x14ac:dyDescent="0.25">
      <c r="O4545" s="4"/>
      <c r="P4545" s="4"/>
      <c r="Q4545" s="4"/>
      <c r="R4545" s="4"/>
      <c r="S4545" s="4"/>
    </row>
    <row r="4546" spans="15:19" x14ac:dyDescent="0.25">
      <c r="O4546" s="4"/>
      <c r="P4546" s="4"/>
      <c r="Q4546" s="4"/>
      <c r="R4546" s="4"/>
      <c r="S4546" s="4"/>
    </row>
    <row r="4547" spans="15:19" x14ac:dyDescent="0.25">
      <c r="O4547" s="4"/>
      <c r="P4547" s="4"/>
      <c r="Q4547" s="4"/>
      <c r="R4547" s="4"/>
      <c r="S4547" s="4"/>
    </row>
    <row r="4548" spans="15:19" x14ac:dyDescent="0.25">
      <c r="O4548" s="4"/>
      <c r="P4548" s="4"/>
      <c r="Q4548" s="4"/>
      <c r="R4548" s="4"/>
      <c r="S4548" s="4"/>
    </row>
    <row r="4549" spans="15:19" x14ac:dyDescent="0.25">
      <c r="O4549" s="4"/>
      <c r="P4549" s="4"/>
      <c r="Q4549" s="4"/>
      <c r="R4549" s="4"/>
      <c r="S4549" s="4"/>
    </row>
    <row r="4550" spans="15:19" x14ac:dyDescent="0.25">
      <c r="O4550" s="4"/>
      <c r="P4550" s="4"/>
      <c r="Q4550" s="4"/>
      <c r="R4550" s="4"/>
      <c r="S4550" s="4"/>
    </row>
    <row r="4551" spans="15:19" x14ac:dyDescent="0.25">
      <c r="O4551" s="4"/>
      <c r="P4551" s="4"/>
      <c r="Q4551" s="4"/>
      <c r="R4551" s="4"/>
      <c r="S4551" s="4"/>
    </row>
    <row r="4552" spans="15:19" x14ac:dyDescent="0.25">
      <c r="O4552" s="4"/>
      <c r="P4552" s="4"/>
      <c r="Q4552" s="4"/>
      <c r="R4552" s="4"/>
      <c r="S4552" s="4"/>
    </row>
    <row r="4553" spans="15:19" x14ac:dyDescent="0.25">
      <c r="O4553" s="4"/>
      <c r="P4553" s="4"/>
      <c r="Q4553" s="4"/>
      <c r="R4553" s="4"/>
      <c r="S4553" s="4"/>
    </row>
    <row r="4554" spans="15:19" x14ac:dyDescent="0.25">
      <c r="O4554" s="4"/>
      <c r="P4554" s="4"/>
      <c r="Q4554" s="4"/>
      <c r="R4554" s="4"/>
      <c r="S4554" s="4"/>
    </row>
    <row r="4555" spans="15:19" x14ac:dyDescent="0.25">
      <c r="O4555" s="4"/>
      <c r="P4555" s="4"/>
      <c r="Q4555" s="4"/>
      <c r="R4555" s="4"/>
      <c r="S4555" s="4"/>
    </row>
    <row r="4556" spans="15:19" x14ac:dyDescent="0.25">
      <c r="O4556" s="4"/>
      <c r="P4556" s="4"/>
      <c r="Q4556" s="4"/>
      <c r="R4556" s="4"/>
      <c r="S4556" s="4"/>
    </row>
    <row r="4557" spans="15:19" x14ac:dyDescent="0.25">
      <c r="O4557" s="4"/>
      <c r="P4557" s="4"/>
      <c r="Q4557" s="4"/>
      <c r="R4557" s="4"/>
      <c r="S4557" s="4"/>
    </row>
    <row r="4558" spans="15:19" x14ac:dyDescent="0.25">
      <c r="O4558" s="4"/>
      <c r="P4558" s="4"/>
      <c r="Q4558" s="4"/>
      <c r="R4558" s="4"/>
      <c r="S4558" s="4"/>
    </row>
    <row r="4559" spans="15:19" x14ac:dyDescent="0.25">
      <c r="O4559" s="4"/>
      <c r="P4559" s="4"/>
      <c r="Q4559" s="4"/>
      <c r="R4559" s="4"/>
      <c r="S4559" s="4"/>
    </row>
    <row r="4560" spans="15:19" x14ac:dyDescent="0.25">
      <c r="O4560" s="4"/>
      <c r="P4560" s="4"/>
      <c r="Q4560" s="4"/>
      <c r="R4560" s="4"/>
      <c r="S4560" s="4"/>
    </row>
    <row r="4561" spans="15:19" x14ac:dyDescent="0.25">
      <c r="O4561" s="4"/>
      <c r="P4561" s="4"/>
      <c r="Q4561" s="4"/>
      <c r="R4561" s="4"/>
      <c r="S4561" s="4"/>
    </row>
    <row r="4562" spans="15:19" x14ac:dyDescent="0.25">
      <c r="O4562" s="4"/>
      <c r="P4562" s="4"/>
      <c r="Q4562" s="4"/>
      <c r="R4562" s="4"/>
      <c r="S4562" s="4"/>
    </row>
    <row r="4563" spans="15:19" x14ac:dyDescent="0.25">
      <c r="O4563" s="4"/>
      <c r="P4563" s="4"/>
      <c r="Q4563" s="4"/>
      <c r="R4563" s="4"/>
      <c r="S4563" s="4"/>
    </row>
    <row r="4564" spans="15:19" x14ac:dyDescent="0.25">
      <c r="O4564" s="4"/>
      <c r="P4564" s="4"/>
      <c r="Q4564" s="4"/>
      <c r="R4564" s="4"/>
      <c r="S4564" s="4"/>
    </row>
    <row r="4565" spans="15:19" x14ac:dyDescent="0.25">
      <c r="O4565" s="4"/>
      <c r="P4565" s="4"/>
      <c r="Q4565" s="4"/>
      <c r="R4565" s="4"/>
      <c r="S4565" s="4"/>
    </row>
    <row r="4566" spans="15:19" x14ac:dyDescent="0.25">
      <c r="O4566" s="4"/>
      <c r="P4566" s="4"/>
      <c r="Q4566" s="4"/>
      <c r="R4566" s="4"/>
      <c r="S4566" s="4"/>
    </row>
    <row r="4567" spans="15:19" x14ac:dyDescent="0.25">
      <c r="O4567" s="4"/>
      <c r="P4567" s="4"/>
      <c r="Q4567" s="4"/>
      <c r="R4567" s="4"/>
      <c r="S4567" s="4"/>
    </row>
    <row r="4568" spans="15:19" x14ac:dyDescent="0.25">
      <c r="O4568" s="4"/>
      <c r="P4568" s="4"/>
      <c r="Q4568" s="4"/>
      <c r="R4568" s="4"/>
      <c r="S4568" s="4"/>
    </row>
    <row r="4569" spans="15:19" x14ac:dyDescent="0.25">
      <c r="O4569" s="4"/>
      <c r="P4569" s="4"/>
      <c r="Q4569" s="4"/>
      <c r="R4569" s="4"/>
      <c r="S4569" s="4"/>
    </row>
    <row r="4570" spans="15:19" x14ac:dyDescent="0.25">
      <c r="O4570" s="4"/>
      <c r="P4570" s="4"/>
      <c r="Q4570" s="4"/>
      <c r="R4570" s="4"/>
      <c r="S4570" s="4"/>
    </row>
    <row r="4571" spans="15:19" x14ac:dyDescent="0.25">
      <c r="O4571" s="4"/>
      <c r="P4571" s="4"/>
      <c r="Q4571" s="4"/>
      <c r="R4571" s="4"/>
      <c r="S4571" s="4"/>
    </row>
    <row r="4572" spans="15:19" x14ac:dyDescent="0.25">
      <c r="O4572" s="4"/>
      <c r="P4572" s="4"/>
      <c r="Q4572" s="4"/>
      <c r="R4572" s="4"/>
      <c r="S4572" s="4"/>
    </row>
    <row r="4573" spans="15:19" x14ac:dyDescent="0.25">
      <c r="O4573" s="4"/>
      <c r="P4573" s="4"/>
      <c r="Q4573" s="4"/>
      <c r="R4573" s="4"/>
      <c r="S4573" s="4"/>
    </row>
    <row r="4574" spans="15:19" x14ac:dyDescent="0.25">
      <c r="O4574" s="4"/>
      <c r="P4574" s="4"/>
      <c r="Q4574" s="4"/>
      <c r="R4574" s="4"/>
      <c r="S4574" s="4"/>
    </row>
    <row r="4575" spans="15:19" x14ac:dyDescent="0.25">
      <c r="O4575" s="4"/>
      <c r="P4575" s="4"/>
      <c r="Q4575" s="4"/>
      <c r="R4575" s="4"/>
      <c r="S4575" s="4"/>
    </row>
    <row r="4576" spans="15:19" x14ac:dyDescent="0.25">
      <c r="O4576" s="4"/>
      <c r="P4576" s="4"/>
      <c r="Q4576" s="4"/>
      <c r="R4576" s="4"/>
      <c r="S4576" s="4"/>
    </row>
    <row r="4577" spans="15:19" x14ac:dyDescent="0.25">
      <c r="O4577" s="4"/>
      <c r="P4577" s="4"/>
      <c r="Q4577" s="4"/>
      <c r="R4577" s="4"/>
      <c r="S4577" s="4"/>
    </row>
    <row r="4578" spans="15:19" x14ac:dyDescent="0.25">
      <c r="O4578" s="4"/>
      <c r="P4578" s="4"/>
      <c r="Q4578" s="4"/>
      <c r="R4578" s="4"/>
      <c r="S4578" s="4"/>
    </row>
    <row r="4579" spans="15:19" x14ac:dyDescent="0.25">
      <c r="O4579" s="4"/>
      <c r="P4579" s="4"/>
      <c r="Q4579" s="4"/>
      <c r="R4579" s="4"/>
      <c r="S4579" s="4"/>
    </row>
    <row r="4580" spans="15:19" x14ac:dyDescent="0.25">
      <c r="O4580" s="4"/>
      <c r="P4580" s="4"/>
      <c r="Q4580" s="4"/>
      <c r="R4580" s="4"/>
      <c r="S4580" s="4"/>
    </row>
    <row r="4581" spans="15:19" x14ac:dyDescent="0.25">
      <c r="O4581" s="4"/>
      <c r="P4581" s="4"/>
      <c r="Q4581" s="4"/>
      <c r="R4581" s="4"/>
      <c r="S4581" s="4"/>
    </row>
    <row r="4582" spans="15:19" x14ac:dyDescent="0.25">
      <c r="O4582" s="4"/>
      <c r="P4582" s="4"/>
      <c r="Q4582" s="4"/>
      <c r="R4582" s="4"/>
      <c r="S4582" s="4"/>
    </row>
    <row r="4583" spans="15:19" x14ac:dyDescent="0.25">
      <c r="O4583" s="4"/>
      <c r="P4583" s="4"/>
      <c r="Q4583" s="4"/>
      <c r="R4583" s="4"/>
      <c r="S4583" s="4"/>
    </row>
    <row r="4584" spans="15:19" x14ac:dyDescent="0.25">
      <c r="O4584" s="4"/>
      <c r="P4584" s="4"/>
      <c r="Q4584" s="4"/>
      <c r="R4584" s="4"/>
      <c r="S4584" s="4"/>
    </row>
    <row r="4585" spans="15:19" x14ac:dyDescent="0.25">
      <c r="O4585" s="4"/>
      <c r="P4585" s="4"/>
      <c r="Q4585" s="4"/>
      <c r="R4585" s="4"/>
      <c r="S4585" s="4"/>
    </row>
    <row r="4586" spans="15:19" x14ac:dyDescent="0.25">
      <c r="O4586" s="4"/>
      <c r="P4586" s="4"/>
      <c r="Q4586" s="4"/>
      <c r="R4586" s="4"/>
      <c r="S4586" s="4"/>
    </row>
    <row r="4587" spans="15:19" x14ac:dyDescent="0.25">
      <c r="O4587" s="4"/>
      <c r="P4587" s="4"/>
      <c r="Q4587" s="4"/>
      <c r="R4587" s="4"/>
      <c r="S4587" s="4"/>
    </row>
    <row r="4588" spans="15:19" x14ac:dyDescent="0.25">
      <c r="O4588" s="4"/>
      <c r="P4588" s="4"/>
      <c r="Q4588" s="4"/>
      <c r="R4588" s="4"/>
      <c r="S4588" s="4"/>
    </row>
    <row r="4589" spans="15:19" x14ac:dyDescent="0.25">
      <c r="O4589" s="4"/>
      <c r="P4589" s="4"/>
      <c r="Q4589" s="4"/>
      <c r="R4589" s="4"/>
      <c r="S4589" s="4"/>
    </row>
    <row r="4590" spans="15:19" x14ac:dyDescent="0.25">
      <c r="O4590" s="4"/>
      <c r="P4590" s="4"/>
      <c r="Q4590" s="4"/>
      <c r="R4590" s="4"/>
      <c r="S4590" s="4"/>
    </row>
    <row r="4591" spans="15:19" x14ac:dyDescent="0.25">
      <c r="O4591" s="4"/>
      <c r="P4591" s="4"/>
      <c r="Q4591" s="4"/>
      <c r="R4591" s="4"/>
      <c r="S4591" s="4"/>
    </row>
    <row r="4592" spans="15:19" x14ac:dyDescent="0.25">
      <c r="O4592" s="4"/>
      <c r="P4592" s="4"/>
      <c r="Q4592" s="4"/>
      <c r="R4592" s="4"/>
      <c r="S4592" s="4"/>
    </row>
    <row r="4593" spans="15:19" x14ac:dyDescent="0.25">
      <c r="O4593" s="4"/>
      <c r="P4593" s="4"/>
      <c r="Q4593" s="4"/>
      <c r="R4593" s="4"/>
      <c r="S4593" s="4"/>
    </row>
    <row r="4594" spans="15:19" x14ac:dyDescent="0.25">
      <c r="O4594" s="4"/>
      <c r="P4594" s="4"/>
      <c r="Q4594" s="4"/>
      <c r="R4594" s="4"/>
      <c r="S4594" s="4"/>
    </row>
    <row r="4595" spans="15:19" x14ac:dyDescent="0.25">
      <c r="O4595" s="4"/>
      <c r="P4595" s="4"/>
      <c r="Q4595" s="4"/>
      <c r="R4595" s="4"/>
      <c r="S4595" s="4"/>
    </row>
    <row r="4596" spans="15:19" x14ac:dyDescent="0.25">
      <c r="O4596" s="4"/>
      <c r="P4596" s="4"/>
      <c r="Q4596" s="4"/>
      <c r="R4596" s="4"/>
      <c r="S4596" s="4"/>
    </row>
    <row r="4597" spans="15:19" x14ac:dyDescent="0.25">
      <c r="O4597" s="4"/>
      <c r="P4597" s="4"/>
      <c r="Q4597" s="4"/>
      <c r="R4597" s="4"/>
      <c r="S4597" s="4"/>
    </row>
    <row r="4598" spans="15:19" x14ac:dyDescent="0.25">
      <c r="O4598" s="4"/>
      <c r="P4598" s="4"/>
      <c r="Q4598" s="4"/>
      <c r="R4598" s="4"/>
      <c r="S4598" s="4"/>
    </row>
    <row r="4599" spans="15:19" x14ac:dyDescent="0.25">
      <c r="O4599" s="4"/>
      <c r="P4599" s="4"/>
      <c r="Q4599" s="4"/>
      <c r="R4599" s="4"/>
      <c r="S4599" s="4"/>
    </row>
    <row r="4600" spans="15:19" x14ac:dyDescent="0.25">
      <c r="O4600" s="4"/>
      <c r="P4600" s="4"/>
      <c r="Q4600" s="4"/>
      <c r="R4600" s="4"/>
      <c r="S4600" s="4"/>
    </row>
    <row r="4601" spans="15:19" x14ac:dyDescent="0.25">
      <c r="O4601" s="4"/>
      <c r="P4601" s="4"/>
      <c r="Q4601" s="4"/>
      <c r="R4601" s="4"/>
      <c r="S4601" s="4"/>
    </row>
    <row r="4602" spans="15:19" x14ac:dyDescent="0.25">
      <c r="O4602" s="4"/>
      <c r="P4602" s="4"/>
      <c r="Q4602" s="4"/>
      <c r="R4602" s="4"/>
      <c r="S4602" s="4"/>
    </row>
    <row r="4603" spans="15:19" x14ac:dyDescent="0.25">
      <c r="O4603" s="4"/>
      <c r="P4603" s="4"/>
      <c r="Q4603" s="4"/>
      <c r="R4603" s="4"/>
      <c r="S4603" s="4"/>
    </row>
    <row r="4604" spans="15:19" x14ac:dyDescent="0.25">
      <c r="O4604" s="4"/>
      <c r="P4604" s="4"/>
      <c r="Q4604" s="4"/>
      <c r="R4604" s="4"/>
      <c r="S4604" s="4"/>
    </row>
    <row r="4605" spans="15:19" x14ac:dyDescent="0.25">
      <c r="O4605" s="4"/>
      <c r="P4605" s="4"/>
      <c r="Q4605" s="4"/>
      <c r="R4605" s="4"/>
      <c r="S4605" s="4"/>
    </row>
    <row r="4606" spans="15:19" x14ac:dyDescent="0.25">
      <c r="O4606" s="4"/>
      <c r="P4606" s="4"/>
      <c r="Q4606" s="4"/>
      <c r="R4606" s="4"/>
      <c r="S4606" s="4"/>
    </row>
    <row r="4607" spans="15:19" x14ac:dyDescent="0.25">
      <c r="O4607" s="4"/>
      <c r="P4607" s="4"/>
      <c r="Q4607" s="4"/>
      <c r="R4607" s="4"/>
      <c r="S4607" s="4"/>
    </row>
    <row r="4608" spans="15:19" x14ac:dyDescent="0.25">
      <c r="O4608" s="4"/>
      <c r="P4608" s="4"/>
      <c r="Q4608" s="4"/>
      <c r="R4608" s="4"/>
      <c r="S4608" s="4"/>
    </row>
    <row r="4609" spans="15:19" x14ac:dyDescent="0.25">
      <c r="O4609" s="4"/>
      <c r="P4609" s="4"/>
      <c r="Q4609" s="4"/>
      <c r="R4609" s="4"/>
      <c r="S4609" s="4"/>
    </row>
    <row r="4610" spans="15:19" x14ac:dyDescent="0.25">
      <c r="O4610" s="4"/>
      <c r="P4610" s="4"/>
      <c r="Q4610" s="4"/>
      <c r="R4610" s="4"/>
      <c r="S4610" s="4"/>
    </row>
    <row r="4611" spans="15:19" x14ac:dyDescent="0.25">
      <c r="O4611" s="4"/>
      <c r="P4611" s="4"/>
      <c r="Q4611" s="4"/>
      <c r="R4611" s="4"/>
      <c r="S4611" s="4"/>
    </row>
    <row r="4612" spans="15:19" x14ac:dyDescent="0.25">
      <c r="O4612" s="4"/>
      <c r="P4612" s="4"/>
      <c r="Q4612" s="4"/>
      <c r="R4612" s="4"/>
      <c r="S4612" s="4"/>
    </row>
    <row r="4613" spans="15:19" x14ac:dyDescent="0.25">
      <c r="O4613" s="4"/>
      <c r="P4613" s="4"/>
      <c r="Q4613" s="4"/>
      <c r="R4613" s="4"/>
      <c r="S4613" s="4"/>
    </row>
    <row r="4614" spans="15:19" x14ac:dyDescent="0.25">
      <c r="O4614" s="4"/>
      <c r="P4614" s="4"/>
      <c r="Q4614" s="4"/>
      <c r="R4614" s="4"/>
      <c r="S4614" s="4"/>
    </row>
    <row r="4615" spans="15:19" x14ac:dyDescent="0.25">
      <c r="O4615" s="4"/>
      <c r="P4615" s="4"/>
      <c r="Q4615" s="4"/>
      <c r="R4615" s="4"/>
      <c r="S4615" s="4"/>
    </row>
    <row r="4616" spans="15:19" x14ac:dyDescent="0.25">
      <c r="O4616" s="4"/>
      <c r="P4616" s="4"/>
      <c r="Q4616" s="4"/>
      <c r="R4616" s="4"/>
      <c r="S4616" s="4"/>
    </row>
    <row r="4617" spans="15:19" x14ac:dyDescent="0.25">
      <c r="O4617" s="4"/>
      <c r="P4617" s="4"/>
      <c r="Q4617" s="4"/>
      <c r="R4617" s="4"/>
      <c r="S4617" s="4"/>
    </row>
    <row r="4618" spans="15:19" x14ac:dyDescent="0.25">
      <c r="O4618" s="4"/>
      <c r="P4618" s="4"/>
      <c r="Q4618" s="4"/>
      <c r="R4618" s="4"/>
      <c r="S4618" s="4"/>
    </row>
    <row r="4619" spans="15:19" x14ac:dyDescent="0.25">
      <c r="O4619" s="4"/>
      <c r="P4619" s="4"/>
      <c r="Q4619" s="4"/>
      <c r="R4619" s="4"/>
      <c r="S4619" s="4"/>
    </row>
    <row r="4620" spans="15:19" x14ac:dyDescent="0.25">
      <c r="O4620" s="4"/>
      <c r="P4620" s="4"/>
      <c r="Q4620" s="4"/>
      <c r="R4620" s="4"/>
      <c r="S4620" s="4"/>
    </row>
    <row r="4621" spans="15:19" x14ac:dyDescent="0.25">
      <c r="O4621" s="4"/>
      <c r="P4621" s="4"/>
      <c r="Q4621" s="4"/>
      <c r="R4621" s="4"/>
      <c r="S4621" s="4"/>
    </row>
    <row r="4622" spans="15:19" x14ac:dyDescent="0.25">
      <c r="O4622" s="4"/>
      <c r="P4622" s="4"/>
      <c r="Q4622" s="4"/>
      <c r="R4622" s="4"/>
      <c r="S4622" s="4"/>
    </row>
    <row r="4623" spans="15:19" x14ac:dyDescent="0.25">
      <c r="O4623" s="4"/>
      <c r="P4623" s="4"/>
      <c r="Q4623" s="4"/>
      <c r="R4623" s="4"/>
      <c r="S4623" s="4"/>
    </row>
    <row r="4624" spans="15:19" x14ac:dyDescent="0.25">
      <c r="O4624" s="4"/>
      <c r="P4624" s="4"/>
      <c r="Q4624" s="4"/>
      <c r="R4624" s="4"/>
      <c r="S4624" s="4"/>
    </row>
    <row r="4625" spans="15:19" x14ac:dyDescent="0.25">
      <c r="O4625" s="4"/>
      <c r="P4625" s="4"/>
      <c r="Q4625" s="4"/>
      <c r="R4625" s="4"/>
      <c r="S4625" s="4"/>
    </row>
    <row r="4626" spans="15:19" x14ac:dyDescent="0.25">
      <c r="O4626" s="4"/>
      <c r="P4626" s="4"/>
      <c r="Q4626" s="4"/>
      <c r="R4626" s="4"/>
      <c r="S4626" s="4"/>
    </row>
    <row r="4627" spans="15:19" x14ac:dyDescent="0.25">
      <c r="O4627" s="4"/>
      <c r="P4627" s="4"/>
      <c r="Q4627" s="4"/>
      <c r="R4627" s="4"/>
      <c r="S4627" s="4"/>
    </row>
    <row r="4628" spans="15:19" x14ac:dyDescent="0.25">
      <c r="O4628" s="4"/>
      <c r="P4628" s="4"/>
      <c r="Q4628" s="4"/>
      <c r="R4628" s="4"/>
      <c r="S4628" s="4"/>
    </row>
    <row r="4629" spans="15:19" x14ac:dyDescent="0.25">
      <c r="O4629" s="4"/>
      <c r="P4629" s="4"/>
      <c r="Q4629" s="4"/>
      <c r="R4629" s="4"/>
      <c r="S4629" s="4"/>
    </row>
    <row r="4630" spans="15:19" x14ac:dyDescent="0.25">
      <c r="O4630" s="4"/>
      <c r="P4630" s="4"/>
      <c r="Q4630" s="4"/>
      <c r="R4630" s="4"/>
      <c r="S4630" s="4"/>
    </row>
    <row r="4631" spans="15:19" x14ac:dyDescent="0.25">
      <c r="O4631" s="4"/>
      <c r="P4631" s="4"/>
      <c r="Q4631" s="4"/>
      <c r="R4631" s="4"/>
      <c r="S4631" s="4"/>
    </row>
    <row r="4632" spans="15:19" x14ac:dyDescent="0.25">
      <c r="O4632" s="4"/>
      <c r="P4632" s="4"/>
      <c r="Q4632" s="4"/>
      <c r="R4632" s="4"/>
      <c r="S4632" s="4"/>
    </row>
    <row r="4633" spans="15:19" x14ac:dyDescent="0.25">
      <c r="O4633" s="4"/>
      <c r="P4633" s="4"/>
      <c r="Q4633" s="4"/>
      <c r="R4633" s="4"/>
      <c r="S4633" s="4"/>
    </row>
    <row r="4634" spans="15:19" x14ac:dyDescent="0.25">
      <c r="O4634" s="4"/>
      <c r="P4634" s="4"/>
      <c r="Q4634" s="4"/>
      <c r="R4634" s="4"/>
      <c r="S4634" s="4"/>
    </row>
    <row r="4635" spans="15:19" x14ac:dyDescent="0.25">
      <c r="O4635" s="4"/>
      <c r="P4635" s="4"/>
      <c r="Q4635" s="4"/>
      <c r="R4635" s="4"/>
      <c r="S4635" s="4"/>
    </row>
    <row r="4636" spans="15:19" x14ac:dyDescent="0.25">
      <c r="O4636" s="4"/>
      <c r="P4636" s="4"/>
      <c r="Q4636" s="4"/>
      <c r="R4636" s="4"/>
      <c r="S4636" s="4"/>
    </row>
    <row r="4637" spans="15:19" x14ac:dyDescent="0.25">
      <c r="O4637" s="4"/>
      <c r="P4637" s="4"/>
      <c r="Q4637" s="4"/>
      <c r="R4637" s="4"/>
      <c r="S4637" s="4"/>
    </row>
    <row r="4638" spans="15:19" x14ac:dyDescent="0.25">
      <c r="O4638" s="4"/>
      <c r="P4638" s="4"/>
      <c r="Q4638" s="4"/>
      <c r="R4638" s="4"/>
      <c r="S4638" s="4"/>
    </row>
    <row r="4639" spans="15:19" x14ac:dyDescent="0.25">
      <c r="O4639" s="4"/>
      <c r="P4639" s="4"/>
      <c r="Q4639" s="4"/>
      <c r="R4639" s="4"/>
      <c r="S4639" s="4"/>
    </row>
    <row r="4640" spans="15:19" x14ac:dyDescent="0.25">
      <c r="O4640" s="4"/>
      <c r="P4640" s="4"/>
      <c r="Q4640" s="4"/>
      <c r="R4640" s="4"/>
      <c r="S4640" s="4"/>
    </row>
    <row r="4641" spans="15:19" x14ac:dyDescent="0.25">
      <c r="O4641" s="4"/>
      <c r="P4641" s="4"/>
      <c r="Q4641" s="4"/>
      <c r="R4641" s="4"/>
      <c r="S4641" s="4"/>
    </row>
    <row r="4642" spans="15:19" x14ac:dyDescent="0.25">
      <c r="O4642" s="4"/>
      <c r="P4642" s="4"/>
      <c r="Q4642" s="4"/>
      <c r="R4642" s="4"/>
      <c r="S4642" s="4"/>
    </row>
    <row r="4643" spans="15:19" x14ac:dyDescent="0.25">
      <c r="O4643" s="4"/>
      <c r="P4643" s="4"/>
      <c r="Q4643" s="4"/>
      <c r="R4643" s="4"/>
      <c r="S4643" s="4"/>
    </row>
    <row r="4644" spans="15:19" x14ac:dyDescent="0.25">
      <c r="O4644" s="4"/>
      <c r="P4644" s="4"/>
      <c r="Q4644" s="4"/>
      <c r="R4644" s="4"/>
      <c r="S4644" s="4"/>
    </row>
    <row r="4645" spans="15:19" x14ac:dyDescent="0.25">
      <c r="O4645" s="4"/>
      <c r="P4645" s="4"/>
      <c r="Q4645" s="4"/>
      <c r="R4645" s="4"/>
      <c r="S4645" s="4"/>
    </row>
    <row r="4646" spans="15:19" x14ac:dyDescent="0.25">
      <c r="O4646" s="4"/>
      <c r="P4646" s="4"/>
      <c r="Q4646" s="4"/>
      <c r="R4646" s="4"/>
      <c r="S4646" s="4"/>
    </row>
    <row r="4647" spans="15:19" x14ac:dyDescent="0.25">
      <c r="O4647" s="4"/>
      <c r="P4647" s="4"/>
      <c r="Q4647" s="4"/>
      <c r="R4647" s="4"/>
      <c r="S4647" s="4"/>
    </row>
    <row r="4648" spans="15:19" x14ac:dyDescent="0.25">
      <c r="O4648" s="4"/>
      <c r="P4648" s="4"/>
      <c r="Q4648" s="4"/>
      <c r="R4648" s="4"/>
      <c r="S4648" s="4"/>
    </row>
    <row r="4649" spans="15:19" x14ac:dyDescent="0.25">
      <c r="O4649" s="4"/>
      <c r="P4649" s="4"/>
      <c r="Q4649" s="4"/>
      <c r="R4649" s="4"/>
      <c r="S4649" s="4"/>
    </row>
    <row r="4650" spans="15:19" x14ac:dyDescent="0.25">
      <c r="O4650" s="4"/>
      <c r="P4650" s="4"/>
      <c r="Q4650" s="4"/>
      <c r="R4650" s="4"/>
      <c r="S4650" s="4"/>
    </row>
    <row r="4651" spans="15:19" x14ac:dyDescent="0.25">
      <c r="O4651" s="4"/>
      <c r="P4651" s="4"/>
      <c r="Q4651" s="4"/>
      <c r="R4651" s="4"/>
      <c r="S4651" s="4"/>
    </row>
    <row r="4652" spans="15:19" x14ac:dyDescent="0.25">
      <c r="O4652" s="4"/>
      <c r="P4652" s="4"/>
      <c r="Q4652" s="4"/>
      <c r="R4652" s="4"/>
      <c r="S4652" s="4"/>
    </row>
    <row r="4653" spans="15:19" x14ac:dyDescent="0.25">
      <c r="O4653" s="4"/>
      <c r="P4653" s="4"/>
      <c r="Q4653" s="4"/>
      <c r="R4653" s="4"/>
      <c r="S4653" s="4"/>
    </row>
    <row r="4654" spans="15:19" x14ac:dyDescent="0.25">
      <c r="O4654" s="4"/>
      <c r="P4654" s="4"/>
      <c r="Q4654" s="4"/>
      <c r="R4654" s="4"/>
      <c r="S4654" s="4"/>
    </row>
    <row r="4655" spans="15:19" x14ac:dyDescent="0.25">
      <c r="O4655" s="4"/>
      <c r="P4655" s="4"/>
      <c r="Q4655" s="4"/>
      <c r="R4655" s="4"/>
      <c r="S4655" s="4"/>
    </row>
    <row r="4656" spans="15:19" x14ac:dyDescent="0.25">
      <c r="O4656" s="4"/>
      <c r="P4656" s="4"/>
      <c r="Q4656" s="4"/>
      <c r="R4656" s="4"/>
      <c r="S4656" s="4"/>
    </row>
    <row r="4657" spans="15:19" x14ac:dyDescent="0.25">
      <c r="O4657" s="4"/>
      <c r="P4657" s="4"/>
      <c r="Q4657" s="4"/>
      <c r="R4657" s="4"/>
      <c r="S4657" s="4"/>
    </row>
    <row r="4658" spans="15:19" x14ac:dyDescent="0.25">
      <c r="O4658" s="4"/>
      <c r="P4658" s="4"/>
      <c r="Q4658" s="4"/>
      <c r="R4658" s="4"/>
      <c r="S4658" s="4"/>
    </row>
    <row r="4659" spans="15:19" x14ac:dyDescent="0.25">
      <c r="O4659" s="4"/>
      <c r="P4659" s="4"/>
      <c r="Q4659" s="4"/>
      <c r="R4659" s="4"/>
      <c r="S4659" s="4"/>
    </row>
    <row r="4660" spans="15:19" x14ac:dyDescent="0.25">
      <c r="O4660" s="4"/>
      <c r="P4660" s="4"/>
      <c r="Q4660" s="4"/>
      <c r="R4660" s="4"/>
      <c r="S4660" s="4"/>
    </row>
    <row r="4661" spans="15:19" x14ac:dyDescent="0.25">
      <c r="O4661" s="4"/>
      <c r="P4661" s="4"/>
      <c r="Q4661" s="4"/>
      <c r="R4661" s="4"/>
      <c r="S4661" s="4"/>
    </row>
    <row r="4662" spans="15:19" x14ac:dyDescent="0.25">
      <c r="O4662" s="4"/>
      <c r="P4662" s="4"/>
      <c r="Q4662" s="4"/>
      <c r="R4662" s="4"/>
      <c r="S4662" s="4"/>
    </row>
    <row r="4663" spans="15:19" x14ac:dyDescent="0.25">
      <c r="O4663" s="4"/>
      <c r="P4663" s="4"/>
      <c r="Q4663" s="4"/>
      <c r="R4663" s="4"/>
      <c r="S4663" s="4"/>
    </row>
    <row r="4664" spans="15:19" x14ac:dyDescent="0.25">
      <c r="O4664" s="4"/>
      <c r="P4664" s="4"/>
      <c r="Q4664" s="4"/>
      <c r="R4664" s="4"/>
      <c r="S4664" s="4"/>
    </row>
    <row r="4665" spans="15:19" x14ac:dyDescent="0.25">
      <c r="O4665" s="4"/>
      <c r="P4665" s="4"/>
      <c r="Q4665" s="4"/>
      <c r="R4665" s="4"/>
      <c r="S4665" s="4"/>
    </row>
    <row r="4666" spans="15:19" x14ac:dyDescent="0.25">
      <c r="O4666" s="4"/>
      <c r="P4666" s="4"/>
      <c r="Q4666" s="4"/>
      <c r="R4666" s="4"/>
      <c r="S4666" s="4"/>
    </row>
    <row r="4667" spans="15:19" x14ac:dyDescent="0.25">
      <c r="O4667" s="4"/>
      <c r="P4667" s="4"/>
      <c r="Q4667" s="4"/>
      <c r="R4667" s="4"/>
      <c r="S4667" s="4"/>
    </row>
    <row r="4668" spans="15:19" x14ac:dyDescent="0.25">
      <c r="O4668" s="4"/>
      <c r="P4668" s="4"/>
      <c r="Q4668" s="4"/>
      <c r="R4668" s="4"/>
      <c r="S4668" s="4"/>
    </row>
    <row r="4669" spans="15:19" x14ac:dyDescent="0.25">
      <c r="O4669" s="4"/>
      <c r="P4669" s="4"/>
      <c r="Q4669" s="4"/>
      <c r="R4669" s="4"/>
      <c r="S4669" s="4"/>
    </row>
    <row r="4670" spans="15:19" x14ac:dyDescent="0.25">
      <c r="O4670" s="4"/>
      <c r="P4670" s="4"/>
      <c r="Q4670" s="4"/>
      <c r="R4670" s="4"/>
      <c r="S4670" s="4"/>
    </row>
    <row r="4671" spans="15:19" x14ac:dyDescent="0.25">
      <c r="O4671" s="4"/>
      <c r="P4671" s="4"/>
      <c r="Q4671" s="4"/>
      <c r="R4671" s="4"/>
      <c r="S4671" s="4"/>
    </row>
    <row r="4672" spans="15:19" x14ac:dyDescent="0.25">
      <c r="O4672" s="4"/>
      <c r="P4672" s="4"/>
      <c r="Q4672" s="4"/>
      <c r="R4672" s="4"/>
      <c r="S4672" s="4"/>
    </row>
    <row r="4673" spans="15:19" x14ac:dyDescent="0.25">
      <c r="O4673" s="4"/>
      <c r="P4673" s="4"/>
      <c r="Q4673" s="4"/>
      <c r="R4673" s="4"/>
      <c r="S4673" s="4"/>
    </row>
    <row r="4674" spans="15:19" x14ac:dyDescent="0.25">
      <c r="O4674" s="4"/>
      <c r="P4674" s="4"/>
      <c r="Q4674" s="4"/>
      <c r="R4674" s="4"/>
      <c r="S4674" s="4"/>
    </row>
    <row r="4675" spans="15:19" x14ac:dyDescent="0.25">
      <c r="O4675" s="4"/>
      <c r="P4675" s="4"/>
      <c r="Q4675" s="4"/>
      <c r="R4675" s="4"/>
      <c r="S4675" s="4"/>
    </row>
    <row r="4676" spans="15:19" x14ac:dyDescent="0.25">
      <c r="O4676" s="4"/>
      <c r="P4676" s="4"/>
      <c r="Q4676" s="4"/>
      <c r="R4676" s="4"/>
      <c r="S4676" s="4"/>
    </row>
    <row r="4677" spans="15:19" x14ac:dyDescent="0.25">
      <c r="O4677" s="4"/>
      <c r="P4677" s="4"/>
      <c r="Q4677" s="4"/>
      <c r="R4677" s="4"/>
      <c r="S4677" s="4"/>
    </row>
    <row r="4678" spans="15:19" x14ac:dyDescent="0.25">
      <c r="O4678" s="4"/>
      <c r="P4678" s="4"/>
      <c r="Q4678" s="4"/>
      <c r="R4678" s="4"/>
      <c r="S4678" s="4"/>
    </row>
    <row r="4679" spans="15:19" x14ac:dyDescent="0.25">
      <c r="O4679" s="4"/>
      <c r="P4679" s="4"/>
      <c r="Q4679" s="4"/>
      <c r="R4679" s="4"/>
      <c r="S4679" s="4"/>
    </row>
    <row r="4680" spans="15:19" x14ac:dyDescent="0.25">
      <c r="O4680" s="4"/>
      <c r="P4680" s="4"/>
      <c r="Q4680" s="4"/>
      <c r="R4680" s="4"/>
      <c r="S4680" s="4"/>
    </row>
    <row r="4681" spans="15:19" x14ac:dyDescent="0.25">
      <c r="O4681" s="4"/>
      <c r="P4681" s="4"/>
      <c r="Q4681" s="4"/>
      <c r="R4681" s="4"/>
      <c r="S4681" s="4"/>
    </row>
    <row r="4682" spans="15:19" x14ac:dyDescent="0.25">
      <c r="O4682" s="4"/>
      <c r="P4682" s="4"/>
      <c r="Q4682" s="4"/>
      <c r="R4682" s="4"/>
      <c r="S4682" s="4"/>
    </row>
    <row r="4683" spans="15:19" x14ac:dyDescent="0.25">
      <c r="O4683" s="4"/>
      <c r="P4683" s="4"/>
      <c r="Q4683" s="4"/>
      <c r="R4683" s="4"/>
      <c r="S4683" s="4"/>
    </row>
    <row r="4684" spans="15:19" x14ac:dyDescent="0.25">
      <c r="O4684" s="4"/>
      <c r="P4684" s="4"/>
      <c r="Q4684" s="4"/>
      <c r="R4684" s="4"/>
      <c r="S4684" s="4"/>
    </row>
    <row r="4685" spans="15:19" x14ac:dyDescent="0.25">
      <c r="O4685" s="4"/>
      <c r="P4685" s="4"/>
      <c r="Q4685" s="4"/>
      <c r="R4685" s="4"/>
      <c r="S4685" s="4"/>
    </row>
    <row r="4686" spans="15:19" x14ac:dyDescent="0.25">
      <c r="O4686" s="4"/>
      <c r="P4686" s="4"/>
      <c r="Q4686" s="4"/>
      <c r="R4686" s="4"/>
      <c r="S4686" s="4"/>
    </row>
    <row r="4687" spans="15:19" x14ac:dyDescent="0.25">
      <c r="O4687" s="4"/>
      <c r="P4687" s="4"/>
      <c r="Q4687" s="4"/>
      <c r="R4687" s="4"/>
      <c r="S4687" s="4"/>
    </row>
    <row r="4688" spans="15:19" x14ac:dyDescent="0.25">
      <c r="O4688" s="4"/>
      <c r="P4688" s="4"/>
      <c r="Q4688" s="4"/>
      <c r="R4688" s="4"/>
      <c r="S4688" s="4"/>
    </row>
    <row r="4689" spans="15:19" x14ac:dyDescent="0.25">
      <c r="O4689" s="4"/>
      <c r="P4689" s="4"/>
      <c r="Q4689" s="4"/>
      <c r="R4689" s="4"/>
      <c r="S4689" s="4"/>
    </row>
    <row r="4690" spans="15:19" x14ac:dyDescent="0.25">
      <c r="O4690" s="4"/>
      <c r="P4690" s="4"/>
      <c r="Q4690" s="4"/>
      <c r="R4690" s="4"/>
      <c r="S4690" s="4"/>
    </row>
    <row r="4691" spans="15:19" x14ac:dyDescent="0.25">
      <c r="O4691" s="4"/>
      <c r="P4691" s="4"/>
      <c r="Q4691" s="4"/>
      <c r="R4691" s="4"/>
      <c r="S4691" s="4"/>
    </row>
    <row r="4692" spans="15:19" x14ac:dyDescent="0.25">
      <c r="O4692" s="4"/>
      <c r="P4692" s="4"/>
      <c r="Q4692" s="4"/>
      <c r="R4692" s="4"/>
      <c r="S4692" s="4"/>
    </row>
    <row r="4693" spans="15:19" x14ac:dyDescent="0.25">
      <c r="O4693" s="4"/>
      <c r="P4693" s="4"/>
      <c r="Q4693" s="4"/>
      <c r="R4693" s="4"/>
      <c r="S4693" s="4"/>
    </row>
    <row r="4694" spans="15:19" x14ac:dyDescent="0.25">
      <c r="O4694" s="4"/>
      <c r="P4694" s="4"/>
      <c r="Q4694" s="4"/>
      <c r="R4694" s="4"/>
      <c r="S4694" s="4"/>
    </row>
    <row r="4695" spans="15:19" x14ac:dyDescent="0.25">
      <c r="O4695" s="4"/>
      <c r="P4695" s="4"/>
      <c r="Q4695" s="4"/>
      <c r="R4695" s="4"/>
      <c r="S4695" s="4"/>
    </row>
    <row r="4696" spans="15:19" x14ac:dyDescent="0.25">
      <c r="O4696" s="4"/>
      <c r="P4696" s="4"/>
      <c r="Q4696" s="4"/>
      <c r="R4696" s="4"/>
      <c r="S4696" s="4"/>
    </row>
    <row r="4697" spans="15:19" x14ac:dyDescent="0.25">
      <c r="O4697" s="4"/>
      <c r="P4697" s="4"/>
      <c r="Q4697" s="4"/>
      <c r="R4697" s="4"/>
      <c r="S4697" s="4"/>
    </row>
    <row r="4698" spans="15:19" x14ac:dyDescent="0.25">
      <c r="O4698" s="4"/>
      <c r="P4698" s="4"/>
      <c r="Q4698" s="4"/>
      <c r="R4698" s="4"/>
      <c r="S4698" s="4"/>
    </row>
    <row r="4699" spans="15:19" x14ac:dyDescent="0.25">
      <c r="O4699" s="4"/>
      <c r="P4699" s="4"/>
      <c r="Q4699" s="4"/>
      <c r="R4699" s="4"/>
      <c r="S4699" s="4"/>
    </row>
    <row r="4700" spans="15:19" x14ac:dyDescent="0.25">
      <c r="O4700" s="4"/>
      <c r="P4700" s="4"/>
      <c r="Q4700" s="4"/>
      <c r="R4700" s="4"/>
      <c r="S4700" s="4"/>
    </row>
    <row r="4701" spans="15:19" x14ac:dyDescent="0.25">
      <c r="O4701" s="4"/>
      <c r="P4701" s="4"/>
      <c r="Q4701" s="4"/>
      <c r="R4701" s="4"/>
      <c r="S4701" s="4"/>
    </row>
    <row r="4702" spans="15:19" x14ac:dyDescent="0.25">
      <c r="O4702" s="4"/>
      <c r="P4702" s="4"/>
      <c r="Q4702" s="4"/>
      <c r="R4702" s="4"/>
      <c r="S4702" s="4"/>
    </row>
    <row r="4703" spans="15:19" x14ac:dyDescent="0.25">
      <c r="O4703" s="4"/>
      <c r="P4703" s="4"/>
      <c r="Q4703" s="4"/>
      <c r="R4703" s="4"/>
      <c r="S4703" s="4"/>
    </row>
    <row r="4704" spans="15:19" x14ac:dyDescent="0.25">
      <c r="O4704" s="4"/>
      <c r="P4704" s="4"/>
      <c r="Q4704" s="4"/>
      <c r="R4704" s="4"/>
      <c r="S4704" s="4"/>
    </row>
    <row r="4705" spans="15:19" x14ac:dyDescent="0.25">
      <c r="O4705" s="4"/>
      <c r="P4705" s="4"/>
      <c r="Q4705" s="4"/>
      <c r="R4705" s="4"/>
      <c r="S4705" s="4"/>
    </row>
    <row r="4706" spans="15:19" x14ac:dyDescent="0.25">
      <c r="O4706" s="4"/>
      <c r="P4706" s="4"/>
      <c r="Q4706" s="4"/>
      <c r="R4706" s="4"/>
      <c r="S4706" s="4"/>
    </row>
    <row r="4707" spans="15:19" x14ac:dyDescent="0.25">
      <c r="O4707" s="4"/>
      <c r="P4707" s="4"/>
      <c r="Q4707" s="4"/>
      <c r="R4707" s="4"/>
      <c r="S4707" s="4"/>
    </row>
    <row r="4708" spans="15:19" x14ac:dyDescent="0.25">
      <c r="O4708" s="4"/>
      <c r="P4708" s="4"/>
      <c r="Q4708" s="4"/>
      <c r="R4708" s="4"/>
      <c r="S4708" s="4"/>
    </row>
    <row r="4709" spans="15:19" x14ac:dyDescent="0.25">
      <c r="O4709" s="4"/>
      <c r="P4709" s="4"/>
      <c r="Q4709" s="4"/>
      <c r="R4709" s="4"/>
      <c r="S4709" s="4"/>
    </row>
    <row r="4710" spans="15:19" x14ac:dyDescent="0.25">
      <c r="O4710" s="4"/>
      <c r="P4710" s="4"/>
      <c r="Q4710" s="4"/>
      <c r="R4710" s="4"/>
      <c r="S4710" s="4"/>
    </row>
    <row r="4711" spans="15:19" x14ac:dyDescent="0.25">
      <c r="O4711" s="4"/>
      <c r="P4711" s="4"/>
      <c r="Q4711" s="4"/>
      <c r="R4711" s="4"/>
      <c r="S4711" s="4"/>
    </row>
    <row r="4712" spans="15:19" x14ac:dyDescent="0.25">
      <c r="O4712" s="4"/>
      <c r="P4712" s="4"/>
      <c r="Q4712" s="4"/>
      <c r="R4712" s="4"/>
      <c r="S4712" s="4"/>
    </row>
    <row r="4713" spans="15:19" x14ac:dyDescent="0.25">
      <c r="O4713" s="4"/>
      <c r="P4713" s="4"/>
      <c r="Q4713" s="4"/>
      <c r="R4713" s="4"/>
      <c r="S4713" s="4"/>
    </row>
    <row r="4714" spans="15:19" x14ac:dyDescent="0.25">
      <c r="O4714" s="4"/>
      <c r="P4714" s="4"/>
      <c r="Q4714" s="4"/>
      <c r="R4714" s="4"/>
      <c r="S4714" s="4"/>
    </row>
    <row r="4715" spans="15:19" x14ac:dyDescent="0.25">
      <c r="O4715" s="4"/>
      <c r="P4715" s="4"/>
      <c r="Q4715" s="4"/>
      <c r="R4715" s="4"/>
      <c r="S4715" s="4"/>
    </row>
    <row r="4716" spans="15:19" x14ac:dyDescent="0.25">
      <c r="O4716" s="4"/>
      <c r="P4716" s="4"/>
      <c r="Q4716" s="4"/>
      <c r="R4716" s="4"/>
      <c r="S4716" s="4"/>
    </row>
    <row r="4717" spans="15:19" x14ac:dyDescent="0.25">
      <c r="O4717" s="4"/>
      <c r="P4717" s="4"/>
      <c r="Q4717" s="4"/>
      <c r="R4717" s="4"/>
      <c r="S4717" s="4"/>
    </row>
    <row r="4718" spans="15:19" x14ac:dyDescent="0.25">
      <c r="O4718" s="4"/>
      <c r="P4718" s="4"/>
      <c r="Q4718" s="4"/>
      <c r="R4718" s="4"/>
      <c r="S4718" s="4"/>
    </row>
    <row r="4719" spans="15:19" x14ac:dyDescent="0.25">
      <c r="O4719" s="4"/>
      <c r="P4719" s="4"/>
      <c r="Q4719" s="4"/>
      <c r="R4719" s="4"/>
      <c r="S4719" s="4"/>
    </row>
    <row r="4720" spans="15:19" x14ac:dyDescent="0.25">
      <c r="O4720" s="4"/>
      <c r="P4720" s="4"/>
      <c r="Q4720" s="4"/>
      <c r="R4720" s="4"/>
      <c r="S4720" s="4"/>
    </row>
    <row r="4721" spans="15:19" x14ac:dyDescent="0.25">
      <c r="O4721" s="4"/>
      <c r="P4721" s="4"/>
      <c r="Q4721" s="4"/>
      <c r="R4721" s="4"/>
      <c r="S4721" s="4"/>
    </row>
    <row r="4722" spans="15:19" x14ac:dyDescent="0.25">
      <c r="O4722" s="4"/>
      <c r="P4722" s="4"/>
      <c r="Q4722" s="4"/>
      <c r="R4722" s="4"/>
      <c r="S4722" s="4"/>
    </row>
    <row r="4723" spans="15:19" x14ac:dyDescent="0.25">
      <c r="O4723" s="4"/>
      <c r="P4723" s="4"/>
      <c r="Q4723" s="4"/>
      <c r="R4723" s="4"/>
      <c r="S4723" s="4"/>
    </row>
    <row r="4724" spans="15:19" x14ac:dyDescent="0.25">
      <c r="O4724" s="4"/>
      <c r="P4724" s="4"/>
      <c r="Q4724" s="4"/>
      <c r="R4724" s="4"/>
      <c r="S4724" s="4"/>
    </row>
    <row r="4725" spans="15:19" x14ac:dyDescent="0.25">
      <c r="O4725" s="4"/>
      <c r="P4725" s="4"/>
      <c r="Q4725" s="4"/>
      <c r="R4725" s="4"/>
      <c r="S4725" s="4"/>
    </row>
    <row r="4726" spans="15:19" x14ac:dyDescent="0.25">
      <c r="O4726" s="4"/>
      <c r="P4726" s="4"/>
      <c r="Q4726" s="4"/>
      <c r="R4726" s="4"/>
      <c r="S4726" s="4"/>
    </row>
    <row r="4727" spans="15:19" x14ac:dyDescent="0.25">
      <c r="O4727" s="4"/>
      <c r="P4727" s="4"/>
      <c r="Q4727" s="4"/>
      <c r="R4727" s="4"/>
      <c r="S4727" s="4"/>
    </row>
    <row r="4728" spans="15:19" x14ac:dyDescent="0.25">
      <c r="O4728" s="4"/>
      <c r="P4728" s="4"/>
      <c r="Q4728" s="4"/>
      <c r="R4728" s="4"/>
      <c r="S4728" s="4"/>
    </row>
    <row r="4729" spans="15:19" x14ac:dyDescent="0.25">
      <c r="O4729" s="4"/>
      <c r="P4729" s="4"/>
      <c r="Q4729" s="4"/>
      <c r="R4729" s="4"/>
      <c r="S4729" s="4"/>
    </row>
    <row r="4730" spans="15:19" x14ac:dyDescent="0.25">
      <c r="O4730" s="4"/>
      <c r="P4730" s="4"/>
      <c r="Q4730" s="4"/>
      <c r="R4730" s="4"/>
      <c r="S4730" s="4"/>
    </row>
    <row r="4731" spans="15:19" x14ac:dyDescent="0.25">
      <c r="O4731" s="4"/>
      <c r="P4731" s="4"/>
      <c r="Q4731" s="4"/>
      <c r="R4731" s="4"/>
      <c r="S4731" s="4"/>
    </row>
    <row r="4732" spans="15:19" x14ac:dyDescent="0.25">
      <c r="O4732" s="4"/>
      <c r="P4732" s="4"/>
      <c r="Q4732" s="4"/>
      <c r="R4732" s="4"/>
      <c r="S4732" s="4"/>
    </row>
    <row r="4733" spans="15:19" x14ac:dyDescent="0.25">
      <c r="O4733" s="4"/>
      <c r="P4733" s="4"/>
      <c r="Q4733" s="4"/>
      <c r="R4733" s="4"/>
      <c r="S4733" s="4"/>
    </row>
    <row r="4734" spans="15:19" x14ac:dyDescent="0.25">
      <c r="O4734" s="4"/>
      <c r="P4734" s="4"/>
      <c r="Q4734" s="4"/>
      <c r="R4734" s="4"/>
      <c r="S4734" s="4"/>
    </row>
    <row r="4735" spans="15:19" x14ac:dyDescent="0.25">
      <c r="O4735" s="4"/>
      <c r="P4735" s="4"/>
      <c r="Q4735" s="4"/>
      <c r="R4735" s="4"/>
      <c r="S4735" s="4"/>
    </row>
    <row r="4736" spans="15:19" x14ac:dyDescent="0.25">
      <c r="O4736" s="4"/>
      <c r="P4736" s="4"/>
      <c r="Q4736" s="4"/>
      <c r="R4736" s="4"/>
      <c r="S4736" s="4"/>
    </row>
    <row r="4737" spans="15:19" x14ac:dyDescent="0.25">
      <c r="O4737" s="4"/>
      <c r="P4737" s="4"/>
      <c r="Q4737" s="4"/>
      <c r="R4737" s="4"/>
      <c r="S4737" s="4"/>
    </row>
    <row r="4738" spans="15:19" x14ac:dyDescent="0.25">
      <c r="O4738" s="4"/>
      <c r="P4738" s="4"/>
      <c r="Q4738" s="4"/>
      <c r="R4738" s="4"/>
      <c r="S4738" s="4"/>
    </row>
    <row r="4739" spans="15:19" x14ac:dyDescent="0.25">
      <c r="O4739" s="4"/>
      <c r="P4739" s="4"/>
      <c r="Q4739" s="4"/>
      <c r="R4739" s="4"/>
      <c r="S4739" s="4"/>
    </row>
    <row r="4740" spans="15:19" x14ac:dyDescent="0.25">
      <c r="O4740" s="4"/>
      <c r="P4740" s="4"/>
      <c r="Q4740" s="4"/>
      <c r="R4740" s="4"/>
      <c r="S4740" s="4"/>
    </row>
    <row r="4741" spans="15:19" x14ac:dyDescent="0.25">
      <c r="O4741" s="4"/>
      <c r="P4741" s="4"/>
      <c r="Q4741" s="4"/>
      <c r="R4741" s="4"/>
      <c r="S4741" s="4"/>
    </row>
    <row r="4742" spans="15:19" x14ac:dyDescent="0.25">
      <c r="O4742" s="4"/>
      <c r="P4742" s="4"/>
      <c r="Q4742" s="4"/>
      <c r="R4742" s="4"/>
      <c r="S4742" s="4"/>
    </row>
    <row r="4743" spans="15:19" x14ac:dyDescent="0.25">
      <c r="O4743" s="4"/>
      <c r="P4743" s="4"/>
      <c r="Q4743" s="4"/>
      <c r="R4743" s="4"/>
      <c r="S4743" s="4"/>
    </row>
    <row r="4744" spans="15:19" x14ac:dyDescent="0.25">
      <c r="O4744" s="4"/>
      <c r="P4744" s="4"/>
      <c r="Q4744" s="4"/>
      <c r="R4744" s="4"/>
      <c r="S4744" s="4"/>
    </row>
    <row r="4745" spans="15:19" x14ac:dyDescent="0.25">
      <c r="O4745" s="4"/>
      <c r="P4745" s="4"/>
      <c r="Q4745" s="4"/>
      <c r="R4745" s="4"/>
      <c r="S4745" s="4"/>
    </row>
    <row r="4746" spans="15:19" x14ac:dyDescent="0.25">
      <c r="O4746" s="4"/>
      <c r="P4746" s="4"/>
      <c r="Q4746" s="4"/>
      <c r="R4746" s="4"/>
      <c r="S4746" s="4"/>
    </row>
    <row r="4747" spans="15:19" x14ac:dyDescent="0.25">
      <c r="O4747" s="4"/>
      <c r="P4747" s="4"/>
      <c r="Q4747" s="4"/>
      <c r="R4747" s="4"/>
      <c r="S4747" s="4"/>
    </row>
    <row r="4748" spans="15:19" x14ac:dyDescent="0.25">
      <c r="O4748" s="4"/>
      <c r="P4748" s="4"/>
      <c r="Q4748" s="4"/>
      <c r="R4748" s="4"/>
      <c r="S4748" s="4"/>
    </row>
    <row r="4749" spans="15:19" x14ac:dyDescent="0.25">
      <c r="O4749" s="4"/>
      <c r="P4749" s="4"/>
      <c r="Q4749" s="4"/>
      <c r="R4749" s="4"/>
      <c r="S4749" s="4"/>
    </row>
    <row r="4750" spans="15:19" x14ac:dyDescent="0.25">
      <c r="O4750" s="4"/>
      <c r="P4750" s="4"/>
      <c r="Q4750" s="4"/>
      <c r="R4750" s="4"/>
      <c r="S4750" s="4"/>
    </row>
    <row r="4751" spans="15:19" x14ac:dyDescent="0.25">
      <c r="O4751" s="4"/>
      <c r="P4751" s="4"/>
      <c r="Q4751" s="4"/>
      <c r="R4751" s="4"/>
      <c r="S4751" s="4"/>
    </row>
    <row r="4752" spans="15:19" x14ac:dyDescent="0.25">
      <c r="O4752" s="4"/>
      <c r="P4752" s="4"/>
      <c r="Q4752" s="4"/>
      <c r="R4752" s="4"/>
      <c r="S4752" s="4"/>
    </row>
    <row r="4753" spans="15:19" x14ac:dyDescent="0.25">
      <c r="O4753" s="4"/>
      <c r="P4753" s="4"/>
      <c r="Q4753" s="4"/>
      <c r="R4753" s="4"/>
      <c r="S4753" s="4"/>
    </row>
    <row r="4754" spans="15:19" x14ac:dyDescent="0.25">
      <c r="O4754" s="4"/>
      <c r="P4754" s="4"/>
      <c r="Q4754" s="4"/>
      <c r="R4754" s="4"/>
      <c r="S4754" s="4"/>
    </row>
    <row r="4755" spans="15:19" x14ac:dyDescent="0.25">
      <c r="O4755" s="4"/>
      <c r="P4755" s="4"/>
      <c r="Q4755" s="4"/>
      <c r="R4755" s="4"/>
      <c r="S4755" s="4"/>
    </row>
    <row r="4756" spans="15:19" x14ac:dyDescent="0.25">
      <c r="O4756" s="4"/>
      <c r="P4756" s="4"/>
      <c r="Q4756" s="4"/>
      <c r="R4756" s="4"/>
      <c r="S4756" s="4"/>
    </row>
    <row r="4757" spans="15:19" x14ac:dyDescent="0.25">
      <c r="O4757" s="4"/>
      <c r="P4757" s="4"/>
      <c r="Q4757" s="4"/>
      <c r="R4757" s="4"/>
      <c r="S4757" s="4"/>
    </row>
    <row r="4758" spans="15:19" x14ac:dyDescent="0.25">
      <c r="O4758" s="4"/>
      <c r="P4758" s="4"/>
      <c r="Q4758" s="4"/>
      <c r="R4758" s="4"/>
      <c r="S4758" s="4"/>
    </row>
    <row r="4759" spans="15:19" x14ac:dyDescent="0.25">
      <c r="O4759" s="4"/>
      <c r="P4759" s="4"/>
      <c r="Q4759" s="4"/>
      <c r="R4759" s="4"/>
      <c r="S4759" s="4"/>
    </row>
    <row r="4760" spans="15:19" x14ac:dyDescent="0.25">
      <c r="O4760" s="4"/>
      <c r="P4760" s="4"/>
      <c r="Q4760" s="4"/>
      <c r="R4760" s="4"/>
      <c r="S4760" s="4"/>
    </row>
    <row r="4761" spans="15:19" x14ac:dyDescent="0.25">
      <c r="O4761" s="4"/>
      <c r="P4761" s="4"/>
      <c r="Q4761" s="4"/>
      <c r="R4761" s="4"/>
      <c r="S4761" s="4"/>
    </row>
    <row r="4762" spans="15:19" x14ac:dyDescent="0.25">
      <c r="O4762" s="4"/>
      <c r="P4762" s="4"/>
      <c r="Q4762" s="4"/>
      <c r="R4762" s="4"/>
      <c r="S4762" s="4"/>
    </row>
    <row r="4763" spans="15:19" x14ac:dyDescent="0.25">
      <c r="O4763" s="4"/>
      <c r="P4763" s="4"/>
      <c r="Q4763" s="4"/>
      <c r="R4763" s="4"/>
      <c r="S4763" s="4"/>
    </row>
    <row r="4764" spans="15:19" x14ac:dyDescent="0.25">
      <c r="O4764" s="4"/>
      <c r="P4764" s="4"/>
      <c r="Q4764" s="4"/>
      <c r="R4764" s="4"/>
      <c r="S4764" s="4"/>
    </row>
    <row r="4765" spans="15:19" x14ac:dyDescent="0.25">
      <c r="O4765" s="4"/>
      <c r="P4765" s="4"/>
      <c r="Q4765" s="4"/>
      <c r="R4765" s="4"/>
      <c r="S4765" s="4"/>
    </row>
    <row r="4766" spans="15:19" x14ac:dyDescent="0.25">
      <c r="O4766" s="4"/>
      <c r="P4766" s="4"/>
      <c r="Q4766" s="4"/>
      <c r="R4766" s="4"/>
      <c r="S4766" s="4"/>
    </row>
    <row r="4767" spans="15:19" x14ac:dyDescent="0.25">
      <c r="O4767" s="4"/>
      <c r="P4767" s="4"/>
      <c r="Q4767" s="4"/>
      <c r="R4767" s="4"/>
      <c r="S4767" s="4"/>
    </row>
    <row r="4768" spans="15:19" x14ac:dyDescent="0.25">
      <c r="O4768" s="4"/>
      <c r="P4768" s="4"/>
      <c r="Q4768" s="4"/>
      <c r="R4768" s="4"/>
      <c r="S4768" s="4"/>
    </row>
    <row r="4769" spans="15:19" x14ac:dyDescent="0.25">
      <c r="O4769" s="4"/>
      <c r="P4769" s="4"/>
      <c r="Q4769" s="4"/>
      <c r="R4769" s="4"/>
      <c r="S4769" s="4"/>
    </row>
    <row r="4770" spans="15:19" x14ac:dyDescent="0.25">
      <c r="O4770" s="4"/>
      <c r="P4770" s="4"/>
      <c r="Q4770" s="4"/>
      <c r="R4770" s="4"/>
      <c r="S4770" s="4"/>
    </row>
    <row r="4771" spans="15:19" x14ac:dyDescent="0.25">
      <c r="O4771" s="4"/>
      <c r="P4771" s="4"/>
      <c r="Q4771" s="4"/>
      <c r="R4771" s="4"/>
      <c r="S4771" s="4"/>
    </row>
    <row r="4772" spans="15:19" x14ac:dyDescent="0.25">
      <c r="O4772" s="4"/>
      <c r="P4772" s="4"/>
      <c r="Q4772" s="4"/>
      <c r="R4772" s="4"/>
      <c r="S4772" s="4"/>
    </row>
    <row r="4773" spans="15:19" x14ac:dyDescent="0.25">
      <c r="O4773" s="4"/>
      <c r="P4773" s="4"/>
      <c r="Q4773" s="4"/>
      <c r="R4773" s="4"/>
      <c r="S4773" s="4"/>
    </row>
    <row r="4774" spans="15:19" x14ac:dyDescent="0.25">
      <c r="O4774" s="4"/>
      <c r="P4774" s="4"/>
      <c r="Q4774" s="4"/>
      <c r="R4774" s="4"/>
      <c r="S4774" s="4"/>
    </row>
    <row r="4775" spans="15:19" x14ac:dyDescent="0.25">
      <c r="O4775" s="4"/>
      <c r="P4775" s="4"/>
      <c r="Q4775" s="4"/>
      <c r="R4775" s="4"/>
      <c r="S4775" s="4"/>
    </row>
    <row r="4776" spans="15:19" x14ac:dyDescent="0.25">
      <c r="O4776" s="4"/>
      <c r="P4776" s="4"/>
      <c r="Q4776" s="4"/>
      <c r="R4776" s="4"/>
      <c r="S4776" s="4"/>
    </row>
    <row r="4777" spans="15:19" x14ac:dyDescent="0.25">
      <c r="O4777" s="4"/>
      <c r="P4777" s="4"/>
      <c r="Q4777" s="4"/>
      <c r="R4777" s="4"/>
      <c r="S4777" s="4"/>
    </row>
    <row r="4778" spans="15:19" x14ac:dyDescent="0.25">
      <c r="O4778" s="4"/>
      <c r="P4778" s="4"/>
      <c r="Q4778" s="4"/>
      <c r="R4778" s="4"/>
      <c r="S4778" s="4"/>
    </row>
    <row r="4779" spans="15:19" x14ac:dyDescent="0.25">
      <c r="O4779" s="4"/>
      <c r="P4779" s="4"/>
      <c r="Q4779" s="4"/>
      <c r="R4779" s="4"/>
      <c r="S4779" s="4"/>
    </row>
    <row r="4780" spans="15:19" x14ac:dyDescent="0.25">
      <c r="O4780" s="4"/>
      <c r="P4780" s="4"/>
      <c r="Q4780" s="4"/>
      <c r="R4780" s="4"/>
      <c r="S4780" s="4"/>
    </row>
    <row r="4781" spans="15:19" x14ac:dyDescent="0.25">
      <c r="O4781" s="4"/>
      <c r="P4781" s="4"/>
      <c r="Q4781" s="4"/>
      <c r="R4781" s="4"/>
      <c r="S4781" s="4"/>
    </row>
    <row r="4782" spans="15:19" x14ac:dyDescent="0.25">
      <c r="O4782" s="4"/>
      <c r="P4782" s="4"/>
      <c r="Q4782" s="4"/>
      <c r="R4782" s="4"/>
      <c r="S4782" s="4"/>
    </row>
    <row r="4783" spans="15:19" x14ac:dyDescent="0.25">
      <c r="O4783" s="4"/>
      <c r="P4783" s="4"/>
      <c r="Q4783" s="4"/>
      <c r="R4783" s="4"/>
      <c r="S4783" s="4"/>
    </row>
    <row r="4784" spans="15:19" x14ac:dyDescent="0.25">
      <c r="O4784" s="4"/>
      <c r="P4784" s="4"/>
      <c r="Q4784" s="4"/>
      <c r="R4784" s="4"/>
      <c r="S4784" s="4"/>
    </row>
    <row r="4785" spans="15:19" x14ac:dyDescent="0.25">
      <c r="O4785" s="4"/>
      <c r="P4785" s="4"/>
      <c r="Q4785" s="4"/>
      <c r="R4785" s="4"/>
      <c r="S4785" s="4"/>
    </row>
    <row r="4786" spans="15:19" x14ac:dyDescent="0.25">
      <c r="O4786" s="4"/>
      <c r="P4786" s="4"/>
      <c r="Q4786" s="4"/>
      <c r="R4786" s="4"/>
      <c r="S4786" s="4"/>
    </row>
    <row r="4787" spans="15:19" x14ac:dyDescent="0.25">
      <c r="O4787" s="4"/>
      <c r="P4787" s="4"/>
      <c r="Q4787" s="4"/>
      <c r="R4787" s="4"/>
      <c r="S4787" s="4"/>
    </row>
    <row r="4788" spans="15:19" x14ac:dyDescent="0.25">
      <c r="O4788" s="4"/>
      <c r="P4788" s="4"/>
      <c r="Q4788" s="4"/>
      <c r="R4788" s="4"/>
      <c r="S4788" s="4"/>
    </row>
    <row r="4789" spans="15:19" x14ac:dyDescent="0.25">
      <c r="O4789" s="4"/>
      <c r="P4789" s="4"/>
      <c r="Q4789" s="4"/>
      <c r="R4789" s="4"/>
      <c r="S4789" s="4"/>
    </row>
    <row r="4790" spans="15:19" x14ac:dyDescent="0.25">
      <c r="O4790" s="4"/>
      <c r="P4790" s="4"/>
      <c r="Q4790" s="4"/>
      <c r="R4790" s="4"/>
      <c r="S4790" s="4"/>
    </row>
    <row r="4791" spans="15:19" x14ac:dyDescent="0.25">
      <c r="O4791" s="4"/>
      <c r="P4791" s="4"/>
      <c r="Q4791" s="4"/>
      <c r="R4791" s="4"/>
      <c r="S4791" s="4"/>
    </row>
    <row r="4792" spans="15:19" x14ac:dyDescent="0.25">
      <c r="O4792" s="4"/>
      <c r="P4792" s="4"/>
      <c r="Q4792" s="4"/>
      <c r="R4792" s="4"/>
      <c r="S4792" s="4"/>
    </row>
    <row r="4793" spans="15:19" x14ac:dyDescent="0.25">
      <c r="O4793" s="4"/>
      <c r="P4793" s="4"/>
      <c r="Q4793" s="4"/>
      <c r="R4793" s="4"/>
      <c r="S4793" s="4"/>
    </row>
    <row r="4794" spans="15:19" x14ac:dyDescent="0.25">
      <c r="O4794" s="4"/>
      <c r="P4794" s="4"/>
      <c r="Q4794" s="4"/>
      <c r="R4794" s="4"/>
      <c r="S4794" s="4"/>
    </row>
    <row r="4795" spans="15:19" x14ac:dyDescent="0.25">
      <c r="O4795" s="4"/>
      <c r="P4795" s="4"/>
      <c r="Q4795" s="4"/>
      <c r="R4795" s="4"/>
      <c r="S4795" s="4"/>
    </row>
    <row r="4796" spans="15:19" x14ac:dyDescent="0.25">
      <c r="O4796" s="4"/>
      <c r="P4796" s="4"/>
      <c r="Q4796" s="4"/>
      <c r="R4796" s="4"/>
      <c r="S4796" s="4"/>
    </row>
    <row r="4797" spans="15:19" x14ac:dyDescent="0.25">
      <c r="O4797" s="4"/>
      <c r="P4797" s="4"/>
      <c r="Q4797" s="4"/>
      <c r="R4797" s="4"/>
      <c r="S4797" s="4"/>
    </row>
    <row r="4798" spans="15:19" x14ac:dyDescent="0.25">
      <c r="O4798" s="4"/>
      <c r="P4798" s="4"/>
      <c r="Q4798" s="4"/>
      <c r="R4798" s="4"/>
      <c r="S4798" s="4"/>
    </row>
    <row r="4799" spans="15:19" x14ac:dyDescent="0.25">
      <c r="O4799" s="4"/>
      <c r="P4799" s="4"/>
      <c r="Q4799" s="4"/>
      <c r="R4799" s="4"/>
      <c r="S4799" s="4"/>
    </row>
    <row r="4800" spans="15:19" x14ac:dyDescent="0.25">
      <c r="O4800" s="4"/>
      <c r="P4800" s="4"/>
      <c r="Q4800" s="4"/>
      <c r="R4800" s="4"/>
      <c r="S4800" s="4"/>
    </row>
    <row r="4801" spans="15:19" x14ac:dyDescent="0.25">
      <c r="O4801" s="4"/>
      <c r="P4801" s="4"/>
      <c r="Q4801" s="4"/>
      <c r="R4801" s="4"/>
      <c r="S4801" s="4"/>
    </row>
    <row r="4802" spans="15:19" x14ac:dyDescent="0.25">
      <c r="O4802" s="4"/>
      <c r="P4802" s="4"/>
      <c r="Q4802" s="4"/>
      <c r="R4802" s="4"/>
      <c r="S4802" s="4"/>
    </row>
    <row r="4803" spans="15:19" x14ac:dyDescent="0.25">
      <c r="O4803" s="4"/>
      <c r="P4803" s="4"/>
      <c r="Q4803" s="4"/>
      <c r="R4803" s="4"/>
      <c r="S4803" s="4"/>
    </row>
    <row r="4804" spans="15:19" x14ac:dyDescent="0.25">
      <c r="O4804" s="4"/>
      <c r="P4804" s="4"/>
      <c r="Q4804" s="4"/>
      <c r="R4804" s="4"/>
      <c r="S4804" s="4"/>
    </row>
    <row r="4805" spans="15:19" x14ac:dyDescent="0.25">
      <c r="O4805" s="4"/>
      <c r="P4805" s="4"/>
      <c r="Q4805" s="4"/>
      <c r="R4805" s="4"/>
      <c r="S4805" s="4"/>
    </row>
    <row r="4806" spans="15:19" x14ac:dyDescent="0.25">
      <c r="O4806" s="4"/>
      <c r="P4806" s="4"/>
      <c r="Q4806" s="4"/>
      <c r="R4806" s="4"/>
      <c r="S4806" s="4"/>
    </row>
    <row r="4807" spans="15:19" x14ac:dyDescent="0.25">
      <c r="O4807" s="4"/>
      <c r="P4807" s="4"/>
      <c r="Q4807" s="4"/>
      <c r="R4807" s="4"/>
      <c r="S4807" s="4"/>
    </row>
    <row r="4808" spans="15:19" x14ac:dyDescent="0.25">
      <c r="O4808" s="4"/>
      <c r="P4808" s="4"/>
      <c r="Q4808" s="4"/>
      <c r="R4808" s="4"/>
      <c r="S4808" s="4"/>
    </row>
    <row r="4809" spans="15:19" x14ac:dyDescent="0.25">
      <c r="O4809" s="4"/>
      <c r="P4809" s="4"/>
      <c r="Q4809" s="4"/>
      <c r="R4809" s="4"/>
      <c r="S4809" s="4"/>
    </row>
    <row r="4810" spans="15:19" x14ac:dyDescent="0.25">
      <c r="O4810" s="4"/>
      <c r="P4810" s="4"/>
      <c r="Q4810" s="4"/>
      <c r="R4810" s="4"/>
      <c r="S4810" s="4"/>
    </row>
    <row r="4811" spans="15:19" x14ac:dyDescent="0.25">
      <c r="O4811" s="4"/>
      <c r="P4811" s="4"/>
      <c r="Q4811" s="4"/>
      <c r="R4811" s="4"/>
      <c r="S4811" s="4"/>
    </row>
    <row r="4812" spans="15:19" x14ac:dyDescent="0.25">
      <c r="O4812" s="4"/>
      <c r="P4812" s="4"/>
      <c r="Q4812" s="4"/>
      <c r="R4812" s="4"/>
      <c r="S4812" s="4"/>
    </row>
    <row r="4813" spans="15:19" x14ac:dyDescent="0.25">
      <c r="O4813" s="4"/>
      <c r="P4813" s="4"/>
      <c r="Q4813" s="4"/>
      <c r="R4813" s="4"/>
      <c r="S4813" s="4"/>
    </row>
    <row r="4814" spans="15:19" x14ac:dyDescent="0.25">
      <c r="O4814" s="4"/>
      <c r="P4814" s="4"/>
      <c r="Q4814" s="4"/>
      <c r="R4814" s="4"/>
      <c r="S4814" s="4"/>
    </row>
    <row r="4815" spans="15:19" x14ac:dyDescent="0.25">
      <c r="O4815" s="4"/>
      <c r="P4815" s="4"/>
      <c r="Q4815" s="4"/>
      <c r="R4815" s="4"/>
      <c r="S4815" s="4"/>
    </row>
    <row r="4816" spans="15:19" x14ac:dyDescent="0.25">
      <c r="O4816" s="4"/>
      <c r="P4816" s="4"/>
      <c r="Q4816" s="4"/>
      <c r="R4816" s="4"/>
      <c r="S4816" s="4"/>
    </row>
    <row r="4817" spans="15:19" x14ac:dyDescent="0.25">
      <c r="O4817" s="4"/>
      <c r="P4817" s="4"/>
      <c r="Q4817" s="4"/>
      <c r="R4817" s="4"/>
      <c r="S4817" s="4"/>
    </row>
    <row r="4818" spans="15:19" x14ac:dyDescent="0.25">
      <c r="O4818" s="4"/>
      <c r="P4818" s="4"/>
      <c r="Q4818" s="4"/>
      <c r="R4818" s="4"/>
      <c r="S4818" s="4"/>
    </row>
    <row r="4819" spans="15:19" x14ac:dyDescent="0.25">
      <c r="O4819" s="4"/>
      <c r="P4819" s="4"/>
      <c r="Q4819" s="4"/>
      <c r="R4819" s="4"/>
      <c r="S4819" s="4"/>
    </row>
    <row r="4820" spans="15:19" x14ac:dyDescent="0.25">
      <c r="O4820" s="4"/>
      <c r="P4820" s="4"/>
      <c r="Q4820" s="4"/>
      <c r="R4820" s="4"/>
      <c r="S4820" s="4"/>
    </row>
    <row r="4821" spans="15:19" x14ac:dyDescent="0.25">
      <c r="O4821" s="4"/>
      <c r="P4821" s="4"/>
      <c r="Q4821" s="4"/>
      <c r="R4821" s="4"/>
      <c r="S4821" s="4"/>
    </row>
    <row r="4822" spans="15:19" x14ac:dyDescent="0.25">
      <c r="O4822" s="4"/>
      <c r="P4822" s="4"/>
      <c r="Q4822" s="4"/>
      <c r="R4822" s="4"/>
      <c r="S4822" s="4"/>
    </row>
    <row r="4823" spans="15:19" x14ac:dyDescent="0.25">
      <c r="O4823" s="4"/>
      <c r="P4823" s="4"/>
      <c r="Q4823" s="4"/>
      <c r="R4823" s="4"/>
      <c r="S4823" s="4"/>
    </row>
    <row r="4824" spans="15:19" x14ac:dyDescent="0.25">
      <c r="O4824" s="4"/>
      <c r="P4824" s="4"/>
      <c r="Q4824" s="4"/>
      <c r="R4824" s="4"/>
      <c r="S4824" s="4"/>
    </row>
    <row r="4825" spans="15:19" x14ac:dyDescent="0.25">
      <c r="O4825" s="4"/>
      <c r="P4825" s="4"/>
      <c r="Q4825" s="4"/>
      <c r="R4825" s="4"/>
      <c r="S4825" s="4"/>
    </row>
    <row r="4826" spans="15:19" x14ac:dyDescent="0.25">
      <c r="O4826" s="4"/>
      <c r="P4826" s="4"/>
      <c r="Q4826" s="4"/>
      <c r="R4826" s="4"/>
      <c r="S4826" s="4"/>
    </row>
    <row r="4827" spans="15:19" x14ac:dyDescent="0.25">
      <c r="O4827" s="4"/>
      <c r="P4827" s="4"/>
      <c r="Q4827" s="4"/>
      <c r="R4827" s="4"/>
      <c r="S4827" s="4"/>
    </row>
    <row r="4828" spans="15:19" x14ac:dyDescent="0.25">
      <c r="O4828" s="4"/>
      <c r="P4828" s="4"/>
      <c r="Q4828" s="4"/>
      <c r="R4828" s="4"/>
      <c r="S4828" s="4"/>
    </row>
    <row r="4829" spans="15:19" x14ac:dyDescent="0.25">
      <c r="O4829" s="4"/>
      <c r="P4829" s="4"/>
      <c r="Q4829" s="4"/>
      <c r="R4829" s="4"/>
      <c r="S4829" s="4"/>
    </row>
    <row r="4830" spans="15:19" x14ac:dyDescent="0.25">
      <c r="O4830" s="4"/>
      <c r="P4830" s="4"/>
      <c r="Q4830" s="4"/>
      <c r="R4830" s="4"/>
      <c r="S4830" s="4"/>
    </row>
    <row r="4831" spans="15:19" x14ac:dyDescent="0.25">
      <c r="O4831" s="4"/>
      <c r="P4831" s="4"/>
      <c r="Q4831" s="4"/>
      <c r="R4831" s="4"/>
      <c r="S4831" s="4"/>
    </row>
    <row r="4832" spans="15:19" x14ac:dyDescent="0.25">
      <c r="O4832" s="4"/>
      <c r="P4832" s="4"/>
      <c r="Q4832" s="4"/>
      <c r="R4832" s="4"/>
      <c r="S4832" s="4"/>
    </row>
    <row r="4833" spans="15:19" x14ac:dyDescent="0.25">
      <c r="O4833" s="4"/>
      <c r="P4833" s="4"/>
      <c r="Q4833" s="4"/>
      <c r="R4833" s="4"/>
      <c r="S4833" s="4"/>
    </row>
    <row r="4834" spans="15:19" x14ac:dyDescent="0.25">
      <c r="O4834" s="4"/>
      <c r="P4834" s="4"/>
      <c r="Q4834" s="4"/>
      <c r="R4834" s="4"/>
      <c r="S4834" s="4"/>
    </row>
    <row r="4835" spans="15:19" x14ac:dyDescent="0.25">
      <c r="O4835" s="4"/>
      <c r="P4835" s="4"/>
      <c r="Q4835" s="4"/>
      <c r="R4835" s="4"/>
      <c r="S4835" s="4"/>
    </row>
    <row r="4836" spans="15:19" x14ac:dyDescent="0.25">
      <c r="O4836" s="4"/>
      <c r="P4836" s="4"/>
      <c r="Q4836" s="4"/>
      <c r="R4836" s="4"/>
      <c r="S4836" s="4"/>
    </row>
    <row r="4837" spans="15:19" x14ac:dyDescent="0.25">
      <c r="O4837" s="4"/>
      <c r="P4837" s="4"/>
      <c r="Q4837" s="4"/>
      <c r="R4837" s="4"/>
      <c r="S4837" s="4"/>
    </row>
    <row r="4838" spans="15:19" x14ac:dyDescent="0.25">
      <c r="O4838" s="4"/>
      <c r="P4838" s="4"/>
      <c r="Q4838" s="4"/>
      <c r="R4838" s="4"/>
      <c r="S4838" s="4"/>
    </row>
    <row r="4839" spans="15:19" x14ac:dyDescent="0.25">
      <c r="O4839" s="4"/>
      <c r="P4839" s="4"/>
      <c r="Q4839" s="4"/>
      <c r="R4839" s="4"/>
      <c r="S4839" s="4"/>
    </row>
    <row r="4840" spans="15:19" x14ac:dyDescent="0.25">
      <c r="O4840" s="4"/>
      <c r="P4840" s="4"/>
      <c r="Q4840" s="4"/>
      <c r="R4840" s="4"/>
      <c r="S4840" s="4"/>
    </row>
    <row r="4841" spans="15:19" x14ac:dyDescent="0.25">
      <c r="O4841" s="4"/>
      <c r="P4841" s="4"/>
      <c r="Q4841" s="4"/>
      <c r="R4841" s="4"/>
      <c r="S4841" s="4"/>
    </row>
    <row r="4842" spans="15:19" x14ac:dyDescent="0.25">
      <c r="O4842" s="4"/>
      <c r="P4842" s="4"/>
      <c r="Q4842" s="4"/>
      <c r="R4842" s="4"/>
      <c r="S4842" s="4"/>
    </row>
    <row r="4843" spans="15:19" x14ac:dyDescent="0.25">
      <c r="O4843" s="4"/>
      <c r="P4843" s="4"/>
      <c r="Q4843" s="4"/>
      <c r="R4843" s="4"/>
      <c r="S4843" s="4"/>
    </row>
    <row r="4844" spans="15:19" x14ac:dyDescent="0.25">
      <c r="O4844" s="4"/>
      <c r="P4844" s="4"/>
      <c r="Q4844" s="4"/>
      <c r="R4844" s="4"/>
      <c r="S4844" s="4"/>
    </row>
    <row r="4845" spans="15:19" x14ac:dyDescent="0.25">
      <c r="O4845" s="4"/>
      <c r="P4845" s="4"/>
      <c r="Q4845" s="4"/>
      <c r="R4845" s="4"/>
      <c r="S4845" s="4"/>
    </row>
    <row r="4846" spans="15:19" x14ac:dyDescent="0.25">
      <c r="O4846" s="4"/>
      <c r="P4846" s="4"/>
      <c r="Q4846" s="4"/>
      <c r="R4846" s="4"/>
      <c r="S4846" s="4"/>
    </row>
    <row r="4847" spans="15:19" x14ac:dyDescent="0.25">
      <c r="O4847" s="4"/>
      <c r="P4847" s="4"/>
      <c r="Q4847" s="4"/>
      <c r="R4847" s="4"/>
      <c r="S4847" s="4"/>
    </row>
    <row r="4848" spans="15:19" x14ac:dyDescent="0.25">
      <c r="O4848" s="4"/>
      <c r="P4848" s="4"/>
      <c r="Q4848" s="4"/>
      <c r="R4848" s="4"/>
      <c r="S4848" s="4"/>
    </row>
    <row r="4849" spans="15:19" x14ac:dyDescent="0.25">
      <c r="O4849" s="4"/>
      <c r="P4849" s="4"/>
      <c r="Q4849" s="4"/>
      <c r="R4849" s="4"/>
      <c r="S4849" s="4"/>
    </row>
    <row r="4850" spans="15:19" x14ac:dyDescent="0.25">
      <c r="O4850" s="4"/>
      <c r="P4850" s="4"/>
      <c r="Q4850" s="4"/>
      <c r="R4850" s="4"/>
      <c r="S4850" s="4"/>
    </row>
    <row r="4851" spans="15:19" x14ac:dyDescent="0.25">
      <c r="O4851" s="4"/>
      <c r="P4851" s="4"/>
      <c r="Q4851" s="4"/>
      <c r="R4851" s="4"/>
      <c r="S4851" s="4"/>
    </row>
    <row r="4852" spans="15:19" x14ac:dyDescent="0.25">
      <c r="O4852" s="4"/>
      <c r="P4852" s="4"/>
      <c r="Q4852" s="4"/>
      <c r="R4852" s="4"/>
      <c r="S4852" s="4"/>
    </row>
    <row r="4853" spans="15:19" x14ac:dyDescent="0.25">
      <c r="O4853" s="4"/>
      <c r="P4853" s="4"/>
      <c r="Q4853" s="4"/>
      <c r="R4853" s="4"/>
      <c r="S4853" s="4"/>
    </row>
    <row r="4854" spans="15:19" x14ac:dyDescent="0.25">
      <c r="O4854" s="4"/>
      <c r="P4854" s="4"/>
      <c r="Q4854" s="4"/>
      <c r="R4854" s="4"/>
      <c r="S4854" s="4"/>
    </row>
    <row r="4855" spans="15:19" x14ac:dyDescent="0.25">
      <c r="O4855" s="4"/>
      <c r="P4855" s="4"/>
      <c r="Q4855" s="4"/>
      <c r="R4855" s="4"/>
      <c r="S4855" s="4"/>
    </row>
    <row r="4856" spans="15:19" x14ac:dyDescent="0.25">
      <c r="O4856" s="4"/>
      <c r="P4856" s="4"/>
      <c r="Q4856" s="4"/>
      <c r="R4856" s="4"/>
      <c r="S4856" s="4"/>
    </row>
    <row r="4857" spans="15:19" x14ac:dyDescent="0.25">
      <c r="O4857" s="4"/>
      <c r="P4857" s="4"/>
      <c r="Q4857" s="4"/>
      <c r="R4857" s="4"/>
      <c r="S4857" s="4"/>
    </row>
    <row r="4858" spans="15:19" x14ac:dyDescent="0.25">
      <c r="O4858" s="4"/>
      <c r="P4858" s="4"/>
      <c r="Q4858" s="4"/>
      <c r="R4858" s="4"/>
      <c r="S4858" s="4"/>
    </row>
    <row r="4859" spans="15:19" x14ac:dyDescent="0.25">
      <c r="O4859" s="4"/>
      <c r="P4859" s="4"/>
      <c r="Q4859" s="4"/>
      <c r="R4859" s="4"/>
      <c r="S4859" s="4"/>
    </row>
    <row r="4860" spans="15:19" x14ac:dyDescent="0.25">
      <c r="O4860" s="4"/>
      <c r="P4860" s="4"/>
      <c r="Q4860" s="4"/>
      <c r="R4860" s="4"/>
      <c r="S4860" s="4"/>
    </row>
    <row r="4861" spans="15:19" x14ac:dyDescent="0.25">
      <c r="O4861" s="4"/>
      <c r="P4861" s="4"/>
      <c r="Q4861" s="4"/>
      <c r="R4861" s="4"/>
      <c r="S4861" s="4"/>
    </row>
    <row r="4862" spans="15:19" x14ac:dyDescent="0.25">
      <c r="O4862" s="4"/>
      <c r="P4862" s="4"/>
      <c r="Q4862" s="4"/>
      <c r="R4862" s="4"/>
      <c r="S4862" s="4"/>
    </row>
    <row r="4863" spans="15:19" x14ac:dyDescent="0.25">
      <c r="O4863" s="4"/>
      <c r="P4863" s="4"/>
      <c r="Q4863" s="4"/>
      <c r="R4863" s="4"/>
      <c r="S4863" s="4"/>
    </row>
    <row r="4864" spans="15:19" x14ac:dyDescent="0.25">
      <c r="O4864" s="4"/>
      <c r="P4864" s="4"/>
      <c r="Q4864" s="4"/>
      <c r="R4864" s="4"/>
      <c r="S4864" s="4"/>
    </row>
    <row r="4865" spans="15:19" x14ac:dyDescent="0.25">
      <c r="O4865" s="4"/>
      <c r="P4865" s="4"/>
      <c r="Q4865" s="4"/>
      <c r="R4865" s="4"/>
      <c r="S4865" s="4"/>
    </row>
    <row r="4866" spans="15:19" x14ac:dyDescent="0.25">
      <c r="O4866" s="4"/>
      <c r="P4866" s="4"/>
      <c r="Q4866" s="4"/>
      <c r="R4866" s="4"/>
      <c r="S4866" s="4"/>
    </row>
    <row r="4867" spans="15:19" x14ac:dyDescent="0.25">
      <c r="O4867" s="4"/>
      <c r="P4867" s="4"/>
      <c r="Q4867" s="4"/>
      <c r="R4867" s="4"/>
      <c r="S4867" s="4"/>
    </row>
    <row r="4868" spans="15:19" x14ac:dyDescent="0.25">
      <c r="O4868" s="4"/>
      <c r="P4868" s="4"/>
      <c r="Q4868" s="4"/>
      <c r="R4868" s="4"/>
      <c r="S4868" s="4"/>
    </row>
    <row r="4869" spans="15:19" x14ac:dyDescent="0.25">
      <c r="O4869" s="4"/>
      <c r="P4869" s="4"/>
      <c r="Q4869" s="4"/>
      <c r="R4869" s="4"/>
      <c r="S4869" s="4"/>
    </row>
    <row r="4870" spans="15:19" x14ac:dyDescent="0.25">
      <c r="O4870" s="4"/>
      <c r="P4870" s="4"/>
      <c r="Q4870" s="4"/>
      <c r="R4870" s="4"/>
      <c r="S4870" s="4"/>
    </row>
    <row r="4871" spans="15:19" x14ac:dyDescent="0.25">
      <c r="O4871" s="4"/>
      <c r="P4871" s="4"/>
      <c r="Q4871" s="4"/>
      <c r="R4871" s="4"/>
      <c r="S4871" s="4"/>
    </row>
    <row r="4872" spans="15:19" x14ac:dyDescent="0.25">
      <c r="O4872" s="4"/>
      <c r="P4872" s="4"/>
      <c r="Q4872" s="4"/>
      <c r="R4872" s="4"/>
      <c r="S4872" s="4"/>
    </row>
    <row r="4873" spans="15:19" x14ac:dyDescent="0.25">
      <c r="O4873" s="4"/>
      <c r="P4873" s="4"/>
      <c r="Q4873" s="4"/>
      <c r="R4873" s="4"/>
      <c r="S4873" s="4"/>
    </row>
    <row r="4874" spans="15:19" x14ac:dyDescent="0.25">
      <c r="O4874" s="4"/>
      <c r="P4874" s="4"/>
      <c r="Q4874" s="4"/>
      <c r="R4874" s="4"/>
      <c r="S4874" s="4"/>
    </row>
    <row r="4875" spans="15:19" x14ac:dyDescent="0.25">
      <c r="O4875" s="4"/>
      <c r="P4875" s="4"/>
      <c r="Q4875" s="4"/>
      <c r="R4875" s="4"/>
      <c r="S4875" s="4"/>
    </row>
    <row r="4876" spans="15:19" x14ac:dyDescent="0.25">
      <c r="O4876" s="4"/>
      <c r="P4876" s="4"/>
      <c r="Q4876" s="4"/>
      <c r="R4876" s="4"/>
      <c r="S4876" s="4"/>
    </row>
    <row r="4877" spans="15:19" x14ac:dyDescent="0.25">
      <c r="O4877" s="4"/>
      <c r="P4877" s="4"/>
      <c r="Q4877" s="4"/>
      <c r="R4877" s="4"/>
      <c r="S4877" s="4"/>
    </row>
    <row r="4878" spans="15:19" x14ac:dyDescent="0.25">
      <c r="O4878" s="4"/>
      <c r="P4878" s="4"/>
      <c r="Q4878" s="4"/>
      <c r="R4878" s="4"/>
      <c r="S4878" s="4"/>
    </row>
    <row r="4879" spans="15:19" x14ac:dyDescent="0.25">
      <c r="O4879" s="4"/>
      <c r="P4879" s="4"/>
      <c r="Q4879" s="4"/>
      <c r="R4879" s="4"/>
      <c r="S4879" s="4"/>
    </row>
    <row r="4880" spans="15:19" x14ac:dyDescent="0.25">
      <c r="O4880" s="4"/>
      <c r="P4880" s="4"/>
      <c r="Q4880" s="4"/>
      <c r="R4880" s="4"/>
      <c r="S4880" s="4"/>
    </row>
    <row r="4881" spans="15:19" x14ac:dyDescent="0.25">
      <c r="O4881" s="4"/>
      <c r="P4881" s="4"/>
      <c r="Q4881" s="4"/>
      <c r="R4881" s="4"/>
      <c r="S4881" s="4"/>
    </row>
    <row r="4882" spans="15:19" x14ac:dyDescent="0.25">
      <c r="O4882" s="4"/>
      <c r="P4882" s="4"/>
      <c r="Q4882" s="4"/>
      <c r="R4882" s="4"/>
      <c r="S4882" s="4"/>
    </row>
    <row r="4883" spans="15:19" x14ac:dyDescent="0.25">
      <c r="O4883" s="4"/>
      <c r="P4883" s="4"/>
      <c r="Q4883" s="4"/>
      <c r="R4883" s="4"/>
      <c r="S4883" s="4"/>
    </row>
    <row r="4884" spans="15:19" x14ac:dyDescent="0.25">
      <c r="O4884" s="4"/>
      <c r="P4884" s="4"/>
      <c r="Q4884" s="4"/>
      <c r="R4884" s="4"/>
      <c r="S4884" s="4"/>
    </row>
    <row r="4885" spans="15:19" x14ac:dyDescent="0.25">
      <c r="O4885" s="4"/>
      <c r="P4885" s="4"/>
      <c r="Q4885" s="4"/>
      <c r="R4885" s="4"/>
      <c r="S4885" s="4"/>
    </row>
    <row r="4886" spans="15:19" x14ac:dyDescent="0.25">
      <c r="O4886" s="4"/>
      <c r="P4886" s="4"/>
      <c r="Q4886" s="4"/>
      <c r="R4886" s="4"/>
      <c r="S4886" s="4"/>
    </row>
    <row r="4887" spans="15:19" x14ac:dyDescent="0.25">
      <c r="O4887" s="4"/>
      <c r="P4887" s="4"/>
      <c r="Q4887" s="4"/>
      <c r="R4887" s="4"/>
      <c r="S4887" s="4"/>
    </row>
    <row r="4888" spans="15:19" x14ac:dyDescent="0.25">
      <c r="O4888" s="4"/>
      <c r="P4888" s="4"/>
      <c r="Q4888" s="4"/>
      <c r="R4888" s="4"/>
      <c r="S4888" s="4"/>
    </row>
    <row r="4889" spans="15:19" x14ac:dyDescent="0.25">
      <c r="O4889" s="4"/>
      <c r="P4889" s="4"/>
      <c r="Q4889" s="4"/>
      <c r="R4889" s="4"/>
      <c r="S4889" s="4"/>
    </row>
    <row r="4890" spans="15:19" x14ac:dyDescent="0.25">
      <c r="O4890" s="4"/>
      <c r="P4890" s="4"/>
      <c r="Q4890" s="4"/>
      <c r="R4890" s="4"/>
      <c r="S4890" s="4"/>
    </row>
    <row r="4891" spans="15:19" x14ac:dyDescent="0.25">
      <c r="O4891" s="4"/>
      <c r="P4891" s="4"/>
      <c r="Q4891" s="4"/>
      <c r="R4891" s="4"/>
      <c r="S4891" s="4"/>
    </row>
    <row r="4892" spans="15:19" x14ac:dyDescent="0.25">
      <c r="O4892" s="4"/>
      <c r="P4892" s="4"/>
      <c r="Q4892" s="4"/>
      <c r="R4892" s="4"/>
      <c r="S4892" s="4"/>
    </row>
    <row r="4893" spans="15:19" x14ac:dyDescent="0.25">
      <c r="O4893" s="4"/>
      <c r="P4893" s="4"/>
      <c r="Q4893" s="4"/>
      <c r="R4893" s="4"/>
      <c r="S4893" s="4"/>
    </row>
    <row r="4894" spans="15:19" x14ac:dyDescent="0.25">
      <c r="O4894" s="4"/>
      <c r="P4894" s="4"/>
      <c r="Q4894" s="4"/>
      <c r="R4894" s="4"/>
      <c r="S4894" s="4"/>
    </row>
    <row r="4895" spans="15:19" x14ac:dyDescent="0.25">
      <c r="O4895" s="4"/>
      <c r="P4895" s="4"/>
      <c r="Q4895" s="4"/>
      <c r="R4895" s="4"/>
      <c r="S4895" s="4"/>
    </row>
    <row r="4896" spans="15:19" x14ac:dyDescent="0.25">
      <c r="O4896" s="4"/>
      <c r="P4896" s="4"/>
      <c r="Q4896" s="4"/>
      <c r="R4896" s="4"/>
      <c r="S4896" s="4"/>
    </row>
    <row r="4897" spans="15:19" x14ac:dyDescent="0.25">
      <c r="O4897" s="4"/>
      <c r="P4897" s="4"/>
      <c r="Q4897" s="4"/>
      <c r="R4897" s="4"/>
      <c r="S4897" s="4"/>
    </row>
    <row r="4898" spans="15:19" x14ac:dyDescent="0.25">
      <c r="O4898" s="4"/>
      <c r="P4898" s="4"/>
      <c r="Q4898" s="4"/>
      <c r="R4898" s="4"/>
      <c r="S4898" s="4"/>
    </row>
    <row r="4899" spans="15:19" x14ac:dyDescent="0.25">
      <c r="O4899" s="4"/>
      <c r="P4899" s="4"/>
      <c r="Q4899" s="4"/>
      <c r="R4899" s="4"/>
      <c r="S4899" s="4"/>
    </row>
    <row r="4900" spans="15:19" x14ac:dyDescent="0.25">
      <c r="O4900" s="4"/>
      <c r="P4900" s="4"/>
      <c r="Q4900" s="4"/>
      <c r="R4900" s="4"/>
      <c r="S4900" s="4"/>
    </row>
    <row r="4901" spans="15:19" x14ac:dyDescent="0.25">
      <c r="O4901" s="4"/>
      <c r="P4901" s="4"/>
      <c r="Q4901" s="4"/>
      <c r="R4901" s="4"/>
      <c r="S4901" s="4"/>
    </row>
    <row r="4902" spans="15:19" x14ac:dyDescent="0.25">
      <c r="O4902" s="4"/>
      <c r="P4902" s="4"/>
      <c r="Q4902" s="4"/>
      <c r="R4902" s="4"/>
      <c r="S4902" s="4"/>
    </row>
    <row r="4903" spans="15:19" x14ac:dyDescent="0.25">
      <c r="O4903" s="4"/>
      <c r="P4903" s="4"/>
      <c r="Q4903" s="4"/>
      <c r="R4903" s="4"/>
      <c r="S4903" s="4"/>
    </row>
    <row r="4904" spans="15:19" x14ac:dyDescent="0.25">
      <c r="O4904" s="4"/>
      <c r="P4904" s="4"/>
      <c r="Q4904" s="4"/>
      <c r="R4904" s="4"/>
      <c r="S4904" s="4"/>
    </row>
    <row r="4905" spans="15:19" x14ac:dyDescent="0.25">
      <c r="O4905" s="4"/>
      <c r="P4905" s="4"/>
      <c r="Q4905" s="4"/>
      <c r="R4905" s="4"/>
      <c r="S4905" s="4"/>
    </row>
    <row r="4906" spans="15:19" x14ac:dyDescent="0.25">
      <c r="O4906" s="4"/>
      <c r="P4906" s="4"/>
      <c r="Q4906" s="4"/>
      <c r="R4906" s="4"/>
      <c r="S4906" s="4"/>
    </row>
    <row r="4907" spans="15:19" x14ac:dyDescent="0.25">
      <c r="O4907" s="4"/>
      <c r="P4907" s="4"/>
      <c r="Q4907" s="4"/>
      <c r="R4907" s="4"/>
      <c r="S4907" s="4"/>
    </row>
    <row r="4908" spans="15:19" x14ac:dyDescent="0.25">
      <c r="O4908" s="4"/>
      <c r="P4908" s="4"/>
      <c r="Q4908" s="4"/>
      <c r="R4908" s="4"/>
      <c r="S4908" s="4"/>
    </row>
    <row r="4909" spans="15:19" x14ac:dyDescent="0.25">
      <c r="O4909" s="4"/>
      <c r="P4909" s="4"/>
      <c r="Q4909" s="4"/>
      <c r="R4909" s="4"/>
      <c r="S4909" s="4"/>
    </row>
    <row r="4910" spans="15:19" x14ac:dyDescent="0.25">
      <c r="O4910" s="4"/>
      <c r="P4910" s="4"/>
      <c r="Q4910" s="4"/>
      <c r="R4910" s="4"/>
      <c r="S4910" s="4"/>
    </row>
    <row r="4911" spans="15:19" x14ac:dyDescent="0.25">
      <c r="O4911" s="4"/>
      <c r="P4911" s="4"/>
      <c r="Q4911" s="4"/>
      <c r="R4911" s="4"/>
      <c r="S4911" s="4"/>
    </row>
    <row r="4912" spans="15:19" x14ac:dyDescent="0.25">
      <c r="O4912" s="4"/>
      <c r="P4912" s="4"/>
      <c r="Q4912" s="4"/>
      <c r="R4912" s="4"/>
      <c r="S4912" s="4"/>
    </row>
    <row r="4913" spans="15:19" x14ac:dyDescent="0.25">
      <c r="O4913" s="4"/>
      <c r="P4913" s="4"/>
      <c r="Q4913" s="4"/>
      <c r="R4913" s="4"/>
      <c r="S4913" s="4"/>
    </row>
    <row r="4914" spans="15:19" x14ac:dyDescent="0.25">
      <c r="O4914" s="4"/>
      <c r="P4914" s="4"/>
      <c r="Q4914" s="4"/>
      <c r="R4914" s="4"/>
      <c r="S4914" s="4"/>
    </row>
    <row r="4915" spans="15:19" x14ac:dyDescent="0.25">
      <c r="O4915" s="4"/>
      <c r="P4915" s="4"/>
      <c r="Q4915" s="4"/>
      <c r="R4915" s="4"/>
      <c r="S4915" s="4"/>
    </row>
    <row r="4916" spans="15:19" x14ac:dyDescent="0.25">
      <c r="O4916" s="4"/>
      <c r="P4916" s="4"/>
      <c r="Q4916" s="4"/>
      <c r="R4916" s="4"/>
      <c r="S4916" s="4"/>
    </row>
    <row r="4917" spans="15:19" x14ac:dyDescent="0.25">
      <c r="O4917" s="4"/>
      <c r="P4917" s="4"/>
      <c r="Q4917" s="4"/>
      <c r="R4917" s="4"/>
      <c r="S4917" s="4"/>
    </row>
    <row r="4918" spans="15:19" x14ac:dyDescent="0.25">
      <c r="O4918" s="4"/>
      <c r="P4918" s="4"/>
      <c r="Q4918" s="4"/>
      <c r="R4918" s="4"/>
      <c r="S4918" s="4"/>
    </row>
    <row r="4919" spans="15:19" x14ac:dyDescent="0.25">
      <c r="O4919" s="4"/>
      <c r="P4919" s="4"/>
      <c r="Q4919" s="4"/>
      <c r="R4919" s="4"/>
      <c r="S4919" s="4"/>
    </row>
    <row r="4920" spans="15:19" x14ac:dyDescent="0.25">
      <c r="O4920" s="4"/>
      <c r="P4920" s="4"/>
      <c r="Q4920" s="4"/>
      <c r="R4920" s="4"/>
      <c r="S4920" s="4"/>
    </row>
    <row r="4921" spans="15:19" x14ac:dyDescent="0.25">
      <c r="O4921" s="4"/>
      <c r="P4921" s="4"/>
      <c r="Q4921" s="4"/>
      <c r="R4921" s="4"/>
      <c r="S4921" s="4"/>
    </row>
    <row r="4922" spans="15:19" x14ac:dyDescent="0.25">
      <c r="O4922" s="4"/>
      <c r="P4922" s="4"/>
      <c r="Q4922" s="4"/>
      <c r="R4922" s="4"/>
      <c r="S4922" s="4"/>
    </row>
    <row r="4923" spans="15:19" x14ac:dyDescent="0.25">
      <c r="O4923" s="4"/>
      <c r="P4923" s="4"/>
      <c r="Q4923" s="4"/>
      <c r="R4923" s="4"/>
      <c r="S4923" s="4"/>
    </row>
    <row r="4924" spans="15:19" x14ac:dyDescent="0.25">
      <c r="O4924" s="4"/>
      <c r="P4924" s="4"/>
      <c r="Q4924" s="4"/>
      <c r="R4924" s="4"/>
      <c r="S4924" s="4"/>
    </row>
    <row r="4925" spans="15:19" x14ac:dyDescent="0.25">
      <c r="O4925" s="4"/>
      <c r="P4925" s="4"/>
      <c r="Q4925" s="4"/>
      <c r="R4925" s="4"/>
      <c r="S4925" s="4"/>
    </row>
    <row r="4926" spans="15:19" x14ac:dyDescent="0.25">
      <c r="O4926" s="4"/>
      <c r="P4926" s="4"/>
      <c r="Q4926" s="4"/>
      <c r="R4926" s="4"/>
      <c r="S4926" s="4"/>
    </row>
    <row r="4927" spans="15:19" x14ac:dyDescent="0.25">
      <c r="O4927" s="4"/>
      <c r="P4927" s="4"/>
      <c r="Q4927" s="4"/>
      <c r="R4927" s="4"/>
      <c r="S4927" s="4"/>
    </row>
    <row r="4928" spans="15:19" x14ac:dyDescent="0.25">
      <c r="O4928" s="4"/>
      <c r="P4928" s="4"/>
      <c r="Q4928" s="4"/>
      <c r="R4928" s="4"/>
      <c r="S4928" s="4"/>
    </row>
    <row r="4929" spans="15:19" x14ac:dyDescent="0.25">
      <c r="O4929" s="4"/>
      <c r="P4929" s="4"/>
      <c r="Q4929" s="4"/>
      <c r="R4929" s="4"/>
      <c r="S4929" s="4"/>
    </row>
    <row r="4930" spans="15:19" x14ac:dyDescent="0.25">
      <c r="O4930" s="4"/>
      <c r="P4930" s="4"/>
      <c r="Q4930" s="4"/>
      <c r="R4930" s="4"/>
      <c r="S4930" s="4"/>
    </row>
    <row r="4931" spans="15:19" x14ac:dyDescent="0.25">
      <c r="O4931" s="4"/>
      <c r="P4931" s="4"/>
      <c r="Q4931" s="4"/>
      <c r="R4931" s="4"/>
      <c r="S4931" s="4"/>
    </row>
    <row r="4932" spans="15:19" x14ac:dyDescent="0.25">
      <c r="O4932" s="4"/>
      <c r="P4932" s="4"/>
      <c r="Q4932" s="4"/>
      <c r="R4932" s="4"/>
      <c r="S4932" s="4"/>
    </row>
    <row r="4933" spans="15:19" x14ac:dyDescent="0.25">
      <c r="O4933" s="4"/>
      <c r="P4933" s="4"/>
      <c r="Q4933" s="4"/>
      <c r="R4933" s="4"/>
      <c r="S4933" s="4"/>
    </row>
    <row r="4934" spans="15:19" x14ac:dyDescent="0.25">
      <c r="O4934" s="4"/>
      <c r="P4934" s="4"/>
      <c r="Q4934" s="4"/>
      <c r="R4934" s="4"/>
      <c r="S4934" s="4"/>
    </row>
    <row r="4935" spans="15:19" x14ac:dyDescent="0.25">
      <c r="O4935" s="4"/>
      <c r="P4935" s="4"/>
      <c r="Q4935" s="4"/>
      <c r="R4935" s="4"/>
      <c r="S4935" s="4"/>
    </row>
    <row r="4936" spans="15:19" x14ac:dyDescent="0.25">
      <c r="O4936" s="4"/>
      <c r="P4936" s="4"/>
      <c r="Q4936" s="4"/>
      <c r="R4936" s="4"/>
      <c r="S4936" s="4"/>
    </row>
    <row r="4937" spans="15:19" x14ac:dyDescent="0.25">
      <c r="O4937" s="4"/>
      <c r="P4937" s="4"/>
      <c r="Q4937" s="4"/>
      <c r="R4937" s="4"/>
      <c r="S4937" s="4"/>
    </row>
    <row r="4938" spans="15:19" x14ac:dyDescent="0.25">
      <c r="O4938" s="4"/>
      <c r="P4938" s="4"/>
      <c r="Q4938" s="4"/>
      <c r="R4938" s="4"/>
      <c r="S4938" s="4"/>
    </row>
    <row r="4939" spans="15:19" x14ac:dyDescent="0.25">
      <c r="O4939" s="4"/>
      <c r="P4939" s="4"/>
      <c r="Q4939" s="4"/>
      <c r="R4939" s="4"/>
      <c r="S4939" s="4"/>
    </row>
    <row r="4940" spans="15:19" x14ac:dyDescent="0.25">
      <c r="O4940" s="4"/>
      <c r="P4940" s="4"/>
      <c r="Q4940" s="4"/>
      <c r="R4940" s="4"/>
      <c r="S4940" s="4"/>
    </row>
    <row r="4941" spans="15:19" x14ac:dyDescent="0.25">
      <c r="O4941" s="4"/>
      <c r="P4941" s="4"/>
      <c r="Q4941" s="4"/>
      <c r="R4941" s="4"/>
      <c r="S4941" s="4"/>
    </row>
    <row r="4942" spans="15:19" x14ac:dyDescent="0.25">
      <c r="O4942" s="4"/>
      <c r="P4942" s="4"/>
      <c r="Q4942" s="4"/>
      <c r="R4942" s="4"/>
      <c r="S4942" s="4"/>
    </row>
    <row r="4943" spans="15:19" x14ac:dyDescent="0.25">
      <c r="O4943" s="4"/>
      <c r="P4943" s="4"/>
      <c r="Q4943" s="4"/>
      <c r="R4943" s="4"/>
      <c r="S4943" s="4"/>
    </row>
    <row r="4944" spans="15:19" x14ac:dyDescent="0.25">
      <c r="O4944" s="4"/>
      <c r="P4944" s="4"/>
      <c r="Q4944" s="4"/>
      <c r="R4944" s="4"/>
      <c r="S4944" s="4"/>
    </row>
    <row r="4945" spans="15:19" x14ac:dyDescent="0.25">
      <c r="O4945" s="4"/>
      <c r="P4945" s="4"/>
      <c r="Q4945" s="4"/>
      <c r="R4945" s="4"/>
      <c r="S4945" s="4"/>
    </row>
    <row r="4946" spans="15:19" x14ac:dyDescent="0.25">
      <c r="O4946" s="4"/>
      <c r="P4946" s="4"/>
      <c r="Q4946" s="4"/>
      <c r="R4946" s="4"/>
      <c r="S4946" s="4"/>
    </row>
    <row r="4947" spans="15:19" x14ac:dyDescent="0.25">
      <c r="O4947" s="4"/>
      <c r="P4947" s="4"/>
      <c r="Q4947" s="4"/>
      <c r="R4947" s="4"/>
      <c r="S4947" s="4"/>
    </row>
    <row r="4948" spans="15:19" x14ac:dyDescent="0.25">
      <c r="O4948" s="4"/>
      <c r="P4948" s="4"/>
      <c r="Q4948" s="4"/>
      <c r="R4948" s="4"/>
      <c r="S4948" s="4"/>
    </row>
    <row r="4949" spans="15:19" x14ac:dyDescent="0.25">
      <c r="O4949" s="4"/>
      <c r="P4949" s="4"/>
      <c r="Q4949" s="4"/>
      <c r="R4949" s="4"/>
      <c r="S4949" s="4"/>
    </row>
    <row r="4950" spans="15:19" x14ac:dyDescent="0.25">
      <c r="O4950" s="4"/>
      <c r="P4950" s="4"/>
      <c r="Q4950" s="4"/>
      <c r="R4950" s="4"/>
      <c r="S4950" s="4"/>
    </row>
    <row r="4951" spans="15:19" x14ac:dyDescent="0.25">
      <c r="O4951" s="4"/>
      <c r="P4951" s="4"/>
      <c r="Q4951" s="4"/>
      <c r="R4951" s="4"/>
      <c r="S4951" s="4"/>
    </row>
    <row r="4952" spans="15:19" x14ac:dyDescent="0.25">
      <c r="O4952" s="4"/>
      <c r="P4952" s="4"/>
      <c r="Q4952" s="4"/>
      <c r="R4952" s="4"/>
      <c r="S4952" s="4"/>
    </row>
    <row r="4953" spans="15:19" x14ac:dyDescent="0.25">
      <c r="O4953" s="4"/>
      <c r="P4953" s="4"/>
      <c r="Q4953" s="4"/>
      <c r="R4953" s="4"/>
      <c r="S4953" s="4"/>
    </row>
    <row r="4954" spans="15:19" x14ac:dyDescent="0.25">
      <c r="O4954" s="4"/>
      <c r="P4954" s="4"/>
      <c r="Q4954" s="4"/>
      <c r="R4954" s="4"/>
      <c r="S4954" s="4"/>
    </row>
    <row r="4955" spans="15:19" x14ac:dyDescent="0.25">
      <c r="O4955" s="4"/>
      <c r="P4955" s="4"/>
      <c r="Q4955" s="4"/>
      <c r="R4955" s="4"/>
      <c r="S4955" s="4"/>
    </row>
    <row r="4956" spans="15:19" x14ac:dyDescent="0.25">
      <c r="O4956" s="4"/>
      <c r="P4956" s="4"/>
      <c r="Q4956" s="4"/>
      <c r="R4956" s="4"/>
      <c r="S4956" s="4"/>
    </row>
    <row r="4957" spans="15:19" x14ac:dyDescent="0.25">
      <c r="O4957" s="4"/>
      <c r="P4957" s="4"/>
      <c r="Q4957" s="4"/>
      <c r="R4957" s="4"/>
      <c r="S4957" s="4"/>
    </row>
    <row r="4958" spans="15:19" x14ac:dyDescent="0.25">
      <c r="O4958" s="4"/>
      <c r="P4958" s="4"/>
      <c r="Q4958" s="4"/>
      <c r="R4958" s="4"/>
      <c r="S4958" s="4"/>
    </row>
    <row r="4959" spans="15:19" x14ac:dyDescent="0.25">
      <c r="O4959" s="4"/>
      <c r="P4959" s="4"/>
      <c r="Q4959" s="4"/>
      <c r="R4959" s="4"/>
      <c r="S4959" s="4"/>
    </row>
    <row r="4960" spans="15:19" x14ac:dyDescent="0.25">
      <c r="O4960" s="4"/>
      <c r="P4960" s="4"/>
      <c r="Q4960" s="4"/>
      <c r="R4960" s="4"/>
      <c r="S4960" s="4"/>
    </row>
    <row r="4961" spans="15:19" x14ac:dyDescent="0.25">
      <c r="O4961" s="4"/>
      <c r="P4961" s="4"/>
      <c r="Q4961" s="4"/>
      <c r="R4961" s="4"/>
      <c r="S4961" s="4"/>
    </row>
    <row r="4962" spans="15:19" x14ac:dyDescent="0.25">
      <c r="O4962" s="4"/>
      <c r="P4962" s="4"/>
      <c r="Q4962" s="4"/>
      <c r="R4962" s="4"/>
      <c r="S4962" s="4"/>
    </row>
    <row r="4963" spans="15:19" x14ac:dyDescent="0.25">
      <c r="O4963" s="4"/>
      <c r="P4963" s="4"/>
      <c r="Q4963" s="4"/>
      <c r="R4963" s="4"/>
      <c r="S4963" s="4"/>
    </row>
    <row r="4964" spans="15:19" x14ac:dyDescent="0.25">
      <c r="O4964" s="4"/>
      <c r="P4964" s="4"/>
      <c r="Q4964" s="4"/>
      <c r="R4964" s="4"/>
      <c r="S4964" s="4"/>
    </row>
    <row r="4965" spans="15:19" x14ac:dyDescent="0.25">
      <c r="O4965" s="4"/>
      <c r="P4965" s="4"/>
      <c r="Q4965" s="4"/>
      <c r="R4965" s="4"/>
      <c r="S4965" s="4"/>
    </row>
    <row r="4966" spans="15:19" x14ac:dyDescent="0.25">
      <c r="O4966" s="4"/>
      <c r="P4966" s="4"/>
      <c r="Q4966" s="4"/>
      <c r="R4966" s="4"/>
      <c r="S4966" s="4"/>
    </row>
    <row r="4967" spans="15:19" x14ac:dyDescent="0.25">
      <c r="O4967" s="4"/>
      <c r="P4967" s="4"/>
      <c r="Q4967" s="4"/>
      <c r="R4967" s="4"/>
      <c r="S4967" s="4"/>
    </row>
    <row r="4968" spans="15:19" x14ac:dyDescent="0.25">
      <c r="O4968" s="4"/>
      <c r="P4968" s="4"/>
      <c r="Q4968" s="4"/>
      <c r="R4968" s="4"/>
      <c r="S4968" s="4"/>
    </row>
    <row r="4969" spans="15:19" x14ac:dyDescent="0.25">
      <c r="O4969" s="4"/>
      <c r="P4969" s="4"/>
      <c r="Q4969" s="4"/>
      <c r="R4969" s="4"/>
      <c r="S4969" s="4"/>
    </row>
    <row r="4970" spans="15:19" x14ac:dyDescent="0.25">
      <c r="O4970" s="4"/>
      <c r="P4970" s="4"/>
      <c r="Q4970" s="4"/>
      <c r="R4970" s="4"/>
      <c r="S4970" s="4"/>
    </row>
    <row r="4971" spans="15:19" x14ac:dyDescent="0.25">
      <c r="O4971" s="4"/>
      <c r="P4971" s="4"/>
      <c r="Q4971" s="4"/>
      <c r="R4971" s="4"/>
      <c r="S4971" s="4"/>
    </row>
    <row r="4972" spans="15:19" x14ac:dyDescent="0.25">
      <c r="O4972" s="4"/>
      <c r="P4972" s="4"/>
      <c r="Q4972" s="4"/>
      <c r="R4972" s="4"/>
      <c r="S4972" s="4"/>
    </row>
    <row r="4973" spans="15:19" x14ac:dyDescent="0.25">
      <c r="O4973" s="4"/>
      <c r="P4973" s="4"/>
      <c r="Q4973" s="4"/>
      <c r="R4973" s="4"/>
      <c r="S4973" s="4"/>
    </row>
    <row r="4974" spans="15:19" x14ac:dyDescent="0.25">
      <c r="O4974" s="4"/>
      <c r="P4974" s="4"/>
      <c r="Q4974" s="4"/>
      <c r="R4974" s="4"/>
      <c r="S4974" s="4"/>
    </row>
    <row r="4975" spans="15:19" x14ac:dyDescent="0.25">
      <c r="O4975" s="4"/>
      <c r="P4975" s="4"/>
      <c r="Q4975" s="4"/>
      <c r="R4975" s="4"/>
      <c r="S4975" s="4"/>
    </row>
    <row r="4976" spans="15:19" x14ac:dyDescent="0.25">
      <c r="O4976" s="4"/>
      <c r="P4976" s="4"/>
      <c r="Q4976" s="4"/>
      <c r="R4976" s="4"/>
      <c r="S4976" s="4"/>
    </row>
    <row r="4977" spans="15:19" x14ac:dyDescent="0.25">
      <c r="O4977" s="4"/>
      <c r="P4977" s="4"/>
      <c r="Q4977" s="4"/>
      <c r="R4977" s="4"/>
      <c r="S4977" s="4"/>
    </row>
    <row r="4978" spans="15:19" x14ac:dyDescent="0.25">
      <c r="O4978" s="4"/>
      <c r="P4978" s="4"/>
      <c r="Q4978" s="4"/>
      <c r="R4978" s="4"/>
      <c r="S4978" s="4"/>
    </row>
    <row r="4979" spans="15:19" x14ac:dyDescent="0.25">
      <c r="O4979" s="4"/>
      <c r="P4979" s="4"/>
      <c r="Q4979" s="4"/>
      <c r="R4979" s="4"/>
      <c r="S4979" s="4"/>
    </row>
    <row r="4980" spans="15:19" x14ac:dyDescent="0.25">
      <c r="O4980" s="4"/>
      <c r="P4980" s="4"/>
      <c r="Q4980" s="4"/>
      <c r="R4980" s="4"/>
      <c r="S4980" s="4"/>
    </row>
    <row r="4981" spans="15:19" x14ac:dyDescent="0.25">
      <c r="O4981" s="4"/>
      <c r="P4981" s="4"/>
      <c r="Q4981" s="4"/>
      <c r="R4981" s="4"/>
      <c r="S4981" s="4"/>
    </row>
    <row r="4982" spans="15:19" x14ac:dyDescent="0.25">
      <c r="O4982" s="4"/>
      <c r="P4982" s="4"/>
      <c r="Q4982" s="4"/>
      <c r="R4982" s="4"/>
      <c r="S4982" s="4"/>
    </row>
    <row r="4983" spans="15:19" x14ac:dyDescent="0.25">
      <c r="O4983" s="4"/>
      <c r="P4983" s="4"/>
      <c r="Q4983" s="4"/>
      <c r="R4983" s="4"/>
      <c r="S4983" s="4"/>
    </row>
    <row r="4984" spans="15:19" x14ac:dyDescent="0.25">
      <c r="O4984" s="4"/>
      <c r="P4984" s="4"/>
      <c r="Q4984" s="4"/>
      <c r="R4984" s="4"/>
      <c r="S4984" s="4"/>
    </row>
    <row r="4985" spans="15:19" x14ac:dyDescent="0.25">
      <c r="O4985" s="4"/>
      <c r="P4985" s="4"/>
      <c r="Q4985" s="4"/>
      <c r="R4985" s="4"/>
      <c r="S4985" s="4"/>
    </row>
    <row r="4986" spans="15:19" x14ac:dyDescent="0.25">
      <c r="O4986" s="4"/>
      <c r="P4986" s="4"/>
      <c r="Q4986" s="4"/>
      <c r="R4986" s="4"/>
      <c r="S4986" s="4"/>
    </row>
    <row r="4987" spans="15:19" x14ac:dyDescent="0.25">
      <c r="O4987" s="4"/>
      <c r="P4987" s="4"/>
      <c r="Q4987" s="4"/>
      <c r="R4987" s="4"/>
      <c r="S4987" s="4"/>
    </row>
    <row r="4988" spans="15:19" x14ac:dyDescent="0.25">
      <c r="O4988" s="4"/>
      <c r="P4988" s="4"/>
      <c r="Q4988" s="4"/>
      <c r="R4988" s="4"/>
      <c r="S4988" s="4"/>
    </row>
    <row r="4989" spans="15:19" x14ac:dyDescent="0.25">
      <c r="O4989" s="4"/>
      <c r="P4989" s="4"/>
      <c r="Q4989" s="4"/>
      <c r="R4989" s="4"/>
      <c r="S4989" s="4"/>
    </row>
    <row r="4990" spans="15:19" x14ac:dyDescent="0.25">
      <c r="O4990" s="4"/>
      <c r="P4990" s="4"/>
      <c r="Q4990" s="4"/>
      <c r="R4990" s="4"/>
      <c r="S4990" s="4"/>
    </row>
    <row r="4991" spans="15:19" x14ac:dyDescent="0.25">
      <c r="O4991" s="4"/>
      <c r="P4991" s="4"/>
      <c r="Q4991" s="4"/>
      <c r="R4991" s="4"/>
      <c r="S4991" s="4"/>
    </row>
    <row r="4992" spans="15:19" x14ac:dyDescent="0.25">
      <c r="O4992" s="4"/>
      <c r="P4992" s="4"/>
      <c r="Q4992" s="4"/>
      <c r="R4992" s="4"/>
      <c r="S4992" s="4"/>
    </row>
    <row r="4993" spans="15:19" x14ac:dyDescent="0.25">
      <c r="O4993" s="4"/>
      <c r="P4993" s="4"/>
      <c r="Q4993" s="4"/>
      <c r="R4993" s="4"/>
      <c r="S4993" s="4"/>
    </row>
    <row r="4994" spans="15:19" x14ac:dyDescent="0.25">
      <c r="O4994" s="4"/>
      <c r="P4994" s="4"/>
      <c r="Q4994" s="4"/>
      <c r="R4994" s="4"/>
      <c r="S4994" s="4"/>
    </row>
    <row r="4995" spans="15:19" x14ac:dyDescent="0.25">
      <c r="O4995" s="4"/>
      <c r="P4995" s="4"/>
      <c r="Q4995" s="4"/>
      <c r="R4995" s="4"/>
      <c r="S4995" s="4"/>
    </row>
    <row r="4996" spans="15:19" x14ac:dyDescent="0.25">
      <c r="O4996" s="4"/>
      <c r="P4996" s="4"/>
      <c r="Q4996" s="4"/>
      <c r="R4996" s="4"/>
      <c r="S4996" s="4"/>
    </row>
    <row r="4997" spans="15:19" x14ac:dyDescent="0.25">
      <c r="O4997" s="4"/>
      <c r="P4997" s="4"/>
      <c r="Q4997" s="4"/>
      <c r="R4997" s="4"/>
      <c r="S4997" s="4"/>
    </row>
    <row r="4998" spans="15:19" x14ac:dyDescent="0.25">
      <c r="O4998" s="4"/>
      <c r="P4998" s="4"/>
      <c r="Q4998" s="4"/>
      <c r="R4998" s="4"/>
      <c r="S4998" s="4"/>
    </row>
    <row r="4999" spans="15:19" x14ac:dyDescent="0.25">
      <c r="O4999" s="4"/>
      <c r="P4999" s="4"/>
      <c r="Q4999" s="4"/>
      <c r="R4999" s="4"/>
      <c r="S4999" s="4"/>
    </row>
    <row r="5000" spans="15:19" x14ac:dyDescent="0.25">
      <c r="O5000" s="4"/>
      <c r="P5000" s="4"/>
      <c r="Q5000" s="4"/>
      <c r="R5000" s="4"/>
      <c r="S5000" s="4"/>
    </row>
    <row r="5001" spans="15:19" x14ac:dyDescent="0.25">
      <c r="O5001" s="4"/>
      <c r="P5001" s="4"/>
      <c r="Q5001" s="4"/>
      <c r="R5001" s="4"/>
      <c r="S5001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Wells Fargo &amp;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DeMeo, Roy E.</dc:creator>
  <cp:lastModifiedBy>Roy DeMeo</cp:lastModifiedBy>
  <dcterms:created xsi:type="dcterms:W3CDTF">2016-01-12T19:39:59Z</dcterms:created>
  <dcterms:modified xsi:type="dcterms:W3CDTF">2016-03-28T22:30:55Z</dcterms:modified>
</cp:coreProperties>
</file>