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oy\Documents\UNCC FINN 6216 Scribbles\"/>
    </mc:Choice>
  </mc:AlternateContent>
  <bookViews>
    <workbookView xWindow="0" yWindow="0" windowWidth="28800" windowHeight="12435"/>
  </bookViews>
  <sheets>
    <sheet name="Sheet1" sheetId="1" r:id="rId1"/>
    <sheet name="Sheet2" sheetId="2" r:id="rId2"/>
  </sheets>
  <functionGroups builtInGroupCount="18"/>
  <definedNames>
    <definedName name="solver_adj" localSheetId="0" hidden="1">Sheet1!$A$2,Sheet1!$A$3:$B$3,Sheet1!$A$11,Sheet1!$A$12:$B$12</definedName>
    <definedName name="solver_adj" localSheetId="1" hidden="1">Sheet2!$B$27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Sheet1!$A$11</definedName>
    <definedName name="solver_lhs2" localSheetId="0" hidden="1">Sheet1!$A$11</definedName>
    <definedName name="solver_lhs3" localSheetId="0" hidden="1">Sheet1!$A$12</definedName>
    <definedName name="solver_lhs4" localSheetId="0" hidden="1">Sheet1!$A$12</definedName>
    <definedName name="solver_lhs5" localSheetId="0" hidden="1">Sheet1!$A$18</definedName>
    <definedName name="solver_lhs6" localSheetId="0" hidden="1">Sheet1!$A$19</definedName>
    <definedName name="solver_lhs7" localSheetId="0" hidden="1">Sheet1!$A$20</definedName>
    <definedName name="solver_lhs8" localSheetId="0" hidden="1">Sheet1!$B$12</definedName>
    <definedName name="solver_lhs9" localSheetId="0" hidden="1">Sheet1!$B$12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2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9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Sheet1!$A$15</definedName>
    <definedName name="solver_opt" localSheetId="1" hidden="1">Sheet2!$B$28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1</definedName>
    <definedName name="solver_rel9" localSheetId="0" hidden="1">3</definedName>
    <definedName name="solver_rhs1" localSheetId="0" hidden="1">0.999999</definedName>
    <definedName name="solver_rhs2" localSheetId="0" hidden="1">-0.999999</definedName>
    <definedName name="solver_rhs3" localSheetId="0" hidden="1">0.999999</definedName>
    <definedName name="solver_rhs4" localSheetId="0" hidden="1">-0.999999</definedName>
    <definedName name="solver_rhs5" localSheetId="0" hidden="1">0.000001</definedName>
    <definedName name="solver_rhs6" localSheetId="0" hidden="1">0.000001</definedName>
    <definedName name="solver_rhs7" localSheetId="0" hidden="1">0.0001</definedName>
    <definedName name="solver_rhs8" localSheetId="0" hidden="1">0.999999</definedName>
    <definedName name="solver_rhs9" localSheetId="0" hidden="1">-0.999999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B6" i="1"/>
  <c r="A20" i="1"/>
  <c r="A19" i="1"/>
  <c r="A18" i="1"/>
  <c r="K2" i="1"/>
  <c r="L2" i="1"/>
  <c r="K3" i="1"/>
  <c r="L3" i="1"/>
  <c r="K4" i="1"/>
  <c r="L4" i="1"/>
  <c r="K5" i="1"/>
  <c r="L5" i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K28" i="1"/>
  <c r="L28" i="1"/>
  <c r="K29" i="1"/>
  <c r="L29" i="1"/>
  <c r="K30" i="1"/>
  <c r="L30" i="1"/>
  <c r="K31" i="1"/>
  <c r="L31" i="1"/>
  <c r="K32" i="1"/>
  <c r="L32" i="1"/>
  <c r="K33" i="1"/>
  <c r="L33" i="1"/>
  <c r="K34" i="1"/>
  <c r="L34" i="1"/>
  <c r="K35" i="1"/>
  <c r="L35" i="1"/>
  <c r="K36" i="1"/>
  <c r="L36" i="1"/>
  <c r="K37" i="1"/>
  <c r="L37" i="1"/>
  <c r="K38" i="1"/>
  <c r="L38" i="1"/>
  <c r="K39" i="1"/>
  <c r="L39" i="1"/>
  <c r="K40" i="1"/>
  <c r="L40" i="1"/>
  <c r="K41" i="1"/>
  <c r="L41" i="1"/>
  <c r="K42" i="1"/>
  <c r="L42" i="1"/>
  <c r="K43" i="1"/>
  <c r="L43" i="1"/>
  <c r="K44" i="1"/>
  <c r="L44" i="1"/>
  <c r="K45" i="1"/>
  <c r="L45" i="1"/>
  <c r="K46" i="1"/>
  <c r="L46" i="1"/>
  <c r="K47" i="1"/>
  <c r="L47" i="1"/>
  <c r="K48" i="1"/>
  <c r="L48" i="1"/>
  <c r="K49" i="1"/>
  <c r="L49" i="1"/>
  <c r="K50" i="1"/>
  <c r="L50" i="1"/>
  <c r="K51" i="1"/>
  <c r="L51" i="1"/>
  <c r="K52" i="1"/>
  <c r="L52" i="1"/>
  <c r="K53" i="1"/>
  <c r="L53" i="1"/>
  <c r="K54" i="1"/>
  <c r="L54" i="1"/>
  <c r="K55" i="1"/>
  <c r="L55" i="1"/>
  <c r="K56" i="1"/>
  <c r="L56" i="1"/>
  <c r="K57" i="1"/>
  <c r="L57" i="1"/>
  <c r="K58" i="1"/>
  <c r="L58" i="1"/>
  <c r="K59" i="1"/>
  <c r="L59" i="1"/>
  <c r="K60" i="1"/>
  <c r="L60" i="1"/>
  <c r="K61" i="1"/>
  <c r="L61" i="1"/>
  <c r="K62" i="1"/>
  <c r="L62" i="1"/>
  <c r="K63" i="1"/>
  <c r="L63" i="1"/>
  <c r="K64" i="1"/>
  <c r="L64" i="1"/>
  <c r="K65" i="1"/>
  <c r="L65" i="1"/>
  <c r="K66" i="1"/>
  <c r="L66" i="1"/>
  <c r="K67" i="1"/>
  <c r="L67" i="1"/>
  <c r="K68" i="1"/>
  <c r="L68" i="1"/>
  <c r="K69" i="1"/>
  <c r="L69" i="1"/>
  <c r="K70" i="1"/>
  <c r="L70" i="1"/>
  <c r="K71" i="1"/>
  <c r="L71" i="1"/>
  <c r="K72" i="1"/>
  <c r="L72" i="1"/>
  <c r="K73" i="1"/>
  <c r="L73" i="1"/>
  <c r="K74" i="1"/>
  <c r="L74" i="1"/>
  <c r="K75" i="1"/>
  <c r="L75" i="1"/>
  <c r="K76" i="1"/>
  <c r="L76" i="1"/>
  <c r="K77" i="1"/>
  <c r="L77" i="1"/>
  <c r="K78" i="1"/>
  <c r="L78" i="1"/>
  <c r="K79" i="1"/>
  <c r="L79" i="1"/>
  <c r="K80" i="1"/>
  <c r="L80" i="1"/>
  <c r="K81" i="1"/>
  <c r="L81" i="1"/>
  <c r="K82" i="1"/>
  <c r="L82" i="1"/>
  <c r="K83" i="1"/>
  <c r="L83" i="1"/>
  <c r="K84" i="1"/>
  <c r="L84" i="1"/>
  <c r="K85" i="1"/>
  <c r="L85" i="1"/>
  <c r="K86" i="1"/>
  <c r="L86" i="1"/>
  <c r="K87" i="1"/>
  <c r="L87" i="1"/>
  <c r="K88" i="1"/>
  <c r="L88" i="1"/>
  <c r="K89" i="1"/>
  <c r="L89" i="1"/>
  <c r="K90" i="1"/>
  <c r="L90" i="1"/>
  <c r="K91" i="1"/>
  <c r="L91" i="1"/>
  <c r="K92" i="1"/>
  <c r="L92" i="1"/>
  <c r="K93" i="1"/>
  <c r="L93" i="1"/>
  <c r="K94" i="1"/>
  <c r="L94" i="1"/>
  <c r="K95" i="1"/>
  <c r="L95" i="1"/>
  <c r="K96" i="1"/>
  <c r="L96" i="1"/>
  <c r="K97" i="1"/>
  <c r="L97" i="1"/>
  <c r="K98" i="1"/>
  <c r="L98" i="1"/>
  <c r="K99" i="1"/>
  <c r="L99" i="1"/>
  <c r="K100" i="1"/>
  <c r="L100" i="1"/>
  <c r="K101" i="1"/>
  <c r="L101" i="1"/>
  <c r="K102" i="1"/>
  <c r="L102" i="1"/>
  <c r="K103" i="1"/>
  <c r="L103" i="1"/>
  <c r="K104" i="1"/>
  <c r="L104" i="1"/>
  <c r="K105" i="1"/>
  <c r="L105" i="1"/>
  <c r="K106" i="1"/>
  <c r="L106" i="1"/>
  <c r="K107" i="1"/>
  <c r="L107" i="1"/>
  <c r="K108" i="1"/>
  <c r="L108" i="1"/>
  <c r="K109" i="1"/>
  <c r="L109" i="1"/>
  <c r="K110" i="1"/>
  <c r="L110" i="1"/>
  <c r="K111" i="1"/>
  <c r="L111" i="1"/>
  <c r="K112" i="1"/>
  <c r="L112" i="1"/>
  <c r="K113" i="1"/>
  <c r="L113" i="1"/>
  <c r="K114" i="1"/>
  <c r="L114" i="1"/>
  <c r="K115" i="1"/>
  <c r="L115" i="1"/>
  <c r="K116" i="1"/>
  <c r="L116" i="1"/>
  <c r="K117" i="1"/>
  <c r="L117" i="1"/>
  <c r="K118" i="1"/>
  <c r="L118" i="1"/>
  <c r="K119" i="1"/>
  <c r="L119" i="1"/>
  <c r="K120" i="1"/>
  <c r="L120" i="1"/>
  <c r="K121" i="1"/>
  <c r="L121" i="1"/>
  <c r="K122" i="1"/>
  <c r="L122" i="1"/>
  <c r="K123" i="1"/>
  <c r="L123" i="1"/>
  <c r="K124" i="1"/>
  <c r="L124" i="1"/>
  <c r="K125" i="1"/>
  <c r="L125" i="1"/>
  <c r="K126" i="1"/>
  <c r="L126" i="1"/>
  <c r="K127" i="1"/>
  <c r="L127" i="1"/>
  <c r="K128" i="1"/>
  <c r="L128" i="1"/>
  <c r="K129" i="1"/>
  <c r="L129" i="1"/>
  <c r="K130" i="1"/>
  <c r="L130" i="1"/>
  <c r="K131" i="1"/>
  <c r="L131" i="1"/>
  <c r="K132" i="1"/>
  <c r="L132" i="1"/>
  <c r="K133" i="1"/>
  <c r="L133" i="1"/>
  <c r="K134" i="1"/>
  <c r="L134" i="1"/>
  <c r="K135" i="1"/>
  <c r="L135" i="1"/>
  <c r="K136" i="1"/>
  <c r="L136" i="1"/>
  <c r="K137" i="1"/>
  <c r="L137" i="1"/>
  <c r="K138" i="1"/>
  <c r="L138" i="1"/>
  <c r="K139" i="1"/>
  <c r="L139" i="1"/>
  <c r="K140" i="1"/>
  <c r="L140" i="1"/>
  <c r="K141" i="1"/>
  <c r="L141" i="1"/>
  <c r="K142" i="1"/>
  <c r="L142" i="1"/>
  <c r="K143" i="1"/>
  <c r="L143" i="1"/>
  <c r="K144" i="1"/>
  <c r="L144" i="1"/>
  <c r="K145" i="1"/>
  <c r="L145" i="1"/>
  <c r="K146" i="1"/>
  <c r="L146" i="1"/>
  <c r="K147" i="1"/>
  <c r="L147" i="1"/>
  <c r="K148" i="1"/>
  <c r="L148" i="1"/>
  <c r="K149" i="1"/>
  <c r="L149" i="1"/>
  <c r="K150" i="1"/>
  <c r="L150" i="1"/>
  <c r="K151" i="1"/>
  <c r="L151" i="1"/>
  <c r="K152" i="1"/>
  <c r="L152" i="1"/>
  <c r="K153" i="1"/>
  <c r="L153" i="1"/>
  <c r="K154" i="1"/>
  <c r="L154" i="1"/>
  <c r="K155" i="1"/>
  <c r="L155" i="1"/>
  <c r="K156" i="1"/>
  <c r="L156" i="1"/>
  <c r="K157" i="1"/>
  <c r="L157" i="1"/>
  <c r="K158" i="1"/>
  <c r="L158" i="1"/>
  <c r="K159" i="1"/>
  <c r="L159" i="1"/>
  <c r="K160" i="1"/>
  <c r="L160" i="1"/>
  <c r="K161" i="1"/>
  <c r="L161" i="1"/>
  <c r="K162" i="1"/>
  <c r="L162" i="1"/>
  <c r="K163" i="1"/>
  <c r="L163" i="1"/>
  <c r="K164" i="1"/>
  <c r="L164" i="1"/>
  <c r="K165" i="1"/>
  <c r="L165" i="1"/>
  <c r="K166" i="1"/>
  <c r="L166" i="1"/>
  <c r="K167" i="1"/>
  <c r="L167" i="1"/>
  <c r="K168" i="1"/>
  <c r="L168" i="1"/>
  <c r="K169" i="1"/>
  <c r="L169" i="1"/>
  <c r="K170" i="1"/>
  <c r="L170" i="1"/>
  <c r="K171" i="1"/>
  <c r="L171" i="1"/>
  <c r="K172" i="1"/>
  <c r="L172" i="1"/>
  <c r="K173" i="1"/>
  <c r="L173" i="1"/>
  <c r="K174" i="1"/>
  <c r="L174" i="1"/>
  <c r="K175" i="1"/>
  <c r="L175" i="1"/>
  <c r="K176" i="1"/>
  <c r="L176" i="1"/>
  <c r="K177" i="1"/>
  <c r="L177" i="1"/>
  <c r="K178" i="1"/>
  <c r="L178" i="1"/>
  <c r="K179" i="1"/>
  <c r="L179" i="1"/>
  <c r="K180" i="1"/>
  <c r="L180" i="1"/>
  <c r="K181" i="1"/>
  <c r="L181" i="1"/>
  <c r="K182" i="1"/>
  <c r="L182" i="1"/>
  <c r="K183" i="1"/>
  <c r="L183" i="1"/>
  <c r="K184" i="1"/>
  <c r="L184" i="1"/>
  <c r="K185" i="1"/>
  <c r="L185" i="1"/>
  <c r="K186" i="1"/>
  <c r="L186" i="1"/>
  <c r="K187" i="1"/>
  <c r="L187" i="1"/>
  <c r="K188" i="1"/>
  <c r="L188" i="1"/>
  <c r="K189" i="1"/>
  <c r="L189" i="1"/>
  <c r="K190" i="1"/>
  <c r="L190" i="1"/>
  <c r="K191" i="1"/>
  <c r="L191" i="1"/>
  <c r="K192" i="1"/>
  <c r="L192" i="1"/>
  <c r="K193" i="1"/>
  <c r="L193" i="1"/>
  <c r="K194" i="1"/>
  <c r="L194" i="1"/>
  <c r="K195" i="1"/>
  <c r="L195" i="1"/>
  <c r="K196" i="1"/>
  <c r="L196" i="1"/>
  <c r="K197" i="1"/>
  <c r="L197" i="1"/>
  <c r="K198" i="1"/>
  <c r="L198" i="1"/>
  <c r="K199" i="1"/>
  <c r="L199" i="1"/>
  <c r="K200" i="1"/>
  <c r="L200" i="1"/>
  <c r="K201" i="1"/>
  <c r="L201" i="1"/>
  <c r="K202" i="1"/>
  <c r="L202" i="1"/>
  <c r="K203" i="1"/>
  <c r="L203" i="1"/>
  <c r="K204" i="1"/>
  <c r="L204" i="1"/>
  <c r="K205" i="1"/>
  <c r="L205" i="1"/>
  <c r="K206" i="1"/>
  <c r="L206" i="1"/>
  <c r="K207" i="1"/>
  <c r="L207" i="1"/>
  <c r="K208" i="1"/>
  <c r="L208" i="1"/>
  <c r="K209" i="1"/>
  <c r="L209" i="1"/>
  <c r="K210" i="1"/>
  <c r="L210" i="1"/>
  <c r="K211" i="1"/>
  <c r="L211" i="1"/>
  <c r="K212" i="1"/>
  <c r="L212" i="1"/>
  <c r="K213" i="1"/>
  <c r="L213" i="1"/>
  <c r="K214" i="1"/>
  <c r="L214" i="1"/>
  <c r="K215" i="1"/>
  <c r="L215" i="1"/>
  <c r="K216" i="1"/>
  <c r="L216" i="1"/>
  <c r="K217" i="1"/>
  <c r="L217" i="1"/>
  <c r="K218" i="1"/>
  <c r="L218" i="1"/>
  <c r="K219" i="1"/>
  <c r="L219" i="1"/>
  <c r="K220" i="1"/>
  <c r="L220" i="1"/>
  <c r="K221" i="1"/>
  <c r="L221" i="1"/>
  <c r="K222" i="1"/>
  <c r="L222" i="1"/>
  <c r="K223" i="1"/>
  <c r="L223" i="1"/>
  <c r="K224" i="1"/>
  <c r="L224" i="1"/>
  <c r="K225" i="1"/>
  <c r="L225" i="1"/>
  <c r="K226" i="1"/>
  <c r="L226" i="1"/>
  <c r="K227" i="1"/>
  <c r="L227" i="1"/>
  <c r="K228" i="1"/>
  <c r="L228" i="1"/>
  <c r="K229" i="1"/>
  <c r="L229" i="1"/>
  <c r="K230" i="1"/>
  <c r="L230" i="1"/>
  <c r="K231" i="1"/>
  <c r="L231" i="1"/>
  <c r="K232" i="1"/>
  <c r="L232" i="1"/>
  <c r="K233" i="1"/>
  <c r="L233" i="1"/>
  <c r="K234" i="1"/>
  <c r="L234" i="1"/>
  <c r="K235" i="1"/>
  <c r="L235" i="1"/>
  <c r="K236" i="1"/>
  <c r="L236" i="1"/>
  <c r="K237" i="1"/>
  <c r="L237" i="1"/>
  <c r="K238" i="1"/>
  <c r="L238" i="1"/>
  <c r="K239" i="1"/>
  <c r="L239" i="1"/>
  <c r="K240" i="1"/>
  <c r="L240" i="1"/>
  <c r="K241" i="1"/>
  <c r="L241" i="1"/>
  <c r="K242" i="1"/>
  <c r="L242" i="1"/>
  <c r="K243" i="1"/>
  <c r="L243" i="1"/>
  <c r="K244" i="1"/>
  <c r="L244" i="1"/>
  <c r="K245" i="1"/>
  <c r="L245" i="1"/>
  <c r="K246" i="1"/>
  <c r="L246" i="1"/>
  <c r="K247" i="1"/>
  <c r="L247" i="1"/>
  <c r="K248" i="1"/>
  <c r="L248" i="1"/>
  <c r="K249" i="1"/>
  <c r="L249" i="1"/>
  <c r="K250" i="1"/>
  <c r="L250" i="1"/>
  <c r="K251" i="1"/>
  <c r="L251" i="1"/>
  <c r="K252" i="1"/>
  <c r="L252" i="1"/>
  <c r="K253" i="1"/>
  <c r="L253" i="1"/>
  <c r="K254" i="1"/>
  <c r="L254" i="1"/>
  <c r="K255" i="1"/>
  <c r="L255" i="1"/>
  <c r="K256" i="1"/>
  <c r="L256" i="1"/>
  <c r="K257" i="1"/>
  <c r="L257" i="1"/>
  <c r="K258" i="1"/>
  <c r="L258" i="1"/>
  <c r="K259" i="1"/>
  <c r="L259" i="1"/>
  <c r="K260" i="1"/>
  <c r="L260" i="1"/>
  <c r="K261" i="1"/>
  <c r="L261" i="1"/>
  <c r="K262" i="1"/>
  <c r="L262" i="1"/>
  <c r="K263" i="1"/>
  <c r="L263" i="1"/>
  <c r="K264" i="1"/>
  <c r="L264" i="1"/>
  <c r="K265" i="1"/>
  <c r="L265" i="1"/>
  <c r="K266" i="1"/>
  <c r="L266" i="1"/>
  <c r="K267" i="1"/>
  <c r="L267" i="1"/>
  <c r="K268" i="1"/>
  <c r="L268" i="1"/>
  <c r="K269" i="1"/>
  <c r="L269" i="1"/>
  <c r="K270" i="1"/>
  <c r="L270" i="1"/>
  <c r="K271" i="1"/>
  <c r="L271" i="1"/>
  <c r="K272" i="1"/>
  <c r="L272" i="1"/>
  <c r="K273" i="1"/>
  <c r="L273" i="1"/>
  <c r="K274" i="1"/>
  <c r="L274" i="1"/>
  <c r="K275" i="1"/>
  <c r="L275" i="1"/>
  <c r="K276" i="1"/>
  <c r="L276" i="1"/>
  <c r="K277" i="1"/>
  <c r="L277" i="1"/>
  <c r="K278" i="1"/>
  <c r="L278" i="1"/>
  <c r="K279" i="1"/>
  <c r="L279" i="1"/>
  <c r="K280" i="1"/>
  <c r="L280" i="1"/>
  <c r="K281" i="1"/>
  <c r="L281" i="1"/>
  <c r="K282" i="1"/>
  <c r="L282" i="1"/>
  <c r="K283" i="1"/>
  <c r="L283" i="1"/>
  <c r="K284" i="1"/>
  <c r="L284" i="1"/>
  <c r="K285" i="1"/>
  <c r="L285" i="1"/>
  <c r="K286" i="1"/>
  <c r="L286" i="1"/>
  <c r="K287" i="1"/>
  <c r="L287" i="1"/>
  <c r="K288" i="1"/>
  <c r="L288" i="1"/>
  <c r="K289" i="1"/>
  <c r="L289" i="1"/>
  <c r="K290" i="1"/>
  <c r="L290" i="1"/>
  <c r="K291" i="1"/>
  <c r="L291" i="1"/>
  <c r="K292" i="1"/>
  <c r="L292" i="1"/>
  <c r="K293" i="1"/>
  <c r="L293" i="1"/>
  <c r="K294" i="1"/>
  <c r="L294" i="1"/>
  <c r="K295" i="1"/>
  <c r="L295" i="1"/>
  <c r="K296" i="1"/>
  <c r="L296" i="1"/>
  <c r="K297" i="1"/>
  <c r="L297" i="1"/>
  <c r="K298" i="1"/>
  <c r="L298" i="1"/>
  <c r="K299" i="1"/>
  <c r="L299" i="1"/>
  <c r="K300" i="1"/>
  <c r="L300" i="1"/>
  <c r="K301" i="1"/>
  <c r="L301" i="1"/>
  <c r="K302" i="1"/>
  <c r="L302" i="1"/>
  <c r="K303" i="1"/>
  <c r="L303" i="1"/>
  <c r="K304" i="1"/>
  <c r="L304" i="1"/>
  <c r="K305" i="1"/>
  <c r="L305" i="1"/>
  <c r="K306" i="1"/>
  <c r="L306" i="1"/>
  <c r="K307" i="1"/>
  <c r="L307" i="1"/>
  <c r="K308" i="1"/>
  <c r="L308" i="1"/>
  <c r="K309" i="1"/>
  <c r="L309" i="1"/>
  <c r="K310" i="1"/>
  <c r="L310" i="1"/>
  <c r="K311" i="1"/>
  <c r="L311" i="1"/>
  <c r="K312" i="1"/>
  <c r="L312" i="1"/>
  <c r="K313" i="1"/>
  <c r="L313" i="1"/>
  <c r="K314" i="1"/>
  <c r="L314" i="1"/>
  <c r="K315" i="1"/>
  <c r="L315" i="1"/>
  <c r="K316" i="1"/>
  <c r="L316" i="1"/>
  <c r="K317" i="1"/>
  <c r="L317" i="1"/>
  <c r="K318" i="1"/>
  <c r="L318" i="1"/>
  <c r="K319" i="1"/>
  <c r="L319" i="1"/>
  <c r="K320" i="1"/>
  <c r="L320" i="1"/>
  <c r="K321" i="1"/>
  <c r="L321" i="1"/>
  <c r="K322" i="1"/>
  <c r="L322" i="1"/>
  <c r="K323" i="1"/>
  <c r="L323" i="1"/>
  <c r="K324" i="1"/>
  <c r="L324" i="1"/>
  <c r="K325" i="1"/>
  <c r="L325" i="1"/>
  <c r="K326" i="1"/>
  <c r="L326" i="1"/>
  <c r="K327" i="1"/>
  <c r="L327" i="1"/>
  <c r="K328" i="1"/>
  <c r="L328" i="1"/>
  <c r="K329" i="1"/>
  <c r="L329" i="1"/>
  <c r="K330" i="1"/>
  <c r="L330" i="1"/>
  <c r="K331" i="1"/>
  <c r="L331" i="1"/>
  <c r="K332" i="1"/>
  <c r="L332" i="1"/>
  <c r="K333" i="1"/>
  <c r="L333" i="1"/>
  <c r="K334" i="1"/>
  <c r="L334" i="1"/>
  <c r="K335" i="1"/>
  <c r="L335" i="1"/>
  <c r="K336" i="1"/>
  <c r="L336" i="1"/>
  <c r="K337" i="1"/>
  <c r="L337" i="1"/>
  <c r="K338" i="1"/>
  <c r="L338" i="1"/>
  <c r="K339" i="1"/>
  <c r="L339" i="1"/>
  <c r="K340" i="1"/>
  <c r="L340" i="1"/>
  <c r="K341" i="1"/>
  <c r="L341" i="1"/>
  <c r="K342" i="1"/>
  <c r="L342" i="1"/>
  <c r="K343" i="1"/>
  <c r="L343" i="1"/>
  <c r="K344" i="1"/>
  <c r="L344" i="1"/>
  <c r="K345" i="1"/>
  <c r="L345" i="1"/>
  <c r="K346" i="1"/>
  <c r="L346" i="1"/>
  <c r="K347" i="1"/>
  <c r="L347" i="1"/>
  <c r="K348" i="1"/>
  <c r="L348" i="1"/>
  <c r="K349" i="1"/>
  <c r="L349" i="1"/>
  <c r="K350" i="1"/>
  <c r="L350" i="1"/>
  <c r="K351" i="1"/>
  <c r="L351" i="1"/>
  <c r="K352" i="1"/>
  <c r="L352" i="1"/>
  <c r="K353" i="1"/>
  <c r="L353" i="1"/>
  <c r="K354" i="1"/>
  <c r="L354" i="1"/>
  <c r="K355" i="1"/>
  <c r="L355" i="1"/>
  <c r="K356" i="1"/>
  <c r="L356" i="1"/>
  <c r="K357" i="1"/>
  <c r="L357" i="1"/>
  <c r="K358" i="1"/>
  <c r="L358" i="1"/>
  <c r="K359" i="1"/>
  <c r="L359" i="1"/>
  <c r="K360" i="1"/>
  <c r="L360" i="1"/>
  <c r="K361" i="1"/>
  <c r="L361" i="1"/>
  <c r="K362" i="1"/>
  <c r="L362" i="1"/>
  <c r="K363" i="1"/>
  <c r="L363" i="1"/>
  <c r="K364" i="1"/>
  <c r="L364" i="1"/>
  <c r="K365" i="1"/>
  <c r="L365" i="1"/>
  <c r="K366" i="1"/>
  <c r="L366" i="1"/>
  <c r="K367" i="1"/>
  <c r="L367" i="1"/>
  <c r="K368" i="1"/>
  <c r="L368" i="1"/>
  <c r="K369" i="1"/>
  <c r="L369" i="1"/>
  <c r="K370" i="1"/>
  <c r="L370" i="1"/>
  <c r="K371" i="1"/>
  <c r="L371" i="1"/>
  <c r="K372" i="1"/>
  <c r="L372" i="1"/>
  <c r="K373" i="1"/>
  <c r="L373" i="1"/>
  <c r="K374" i="1"/>
  <c r="L374" i="1"/>
  <c r="K375" i="1"/>
  <c r="L375" i="1"/>
  <c r="K376" i="1"/>
  <c r="L376" i="1"/>
  <c r="K377" i="1"/>
  <c r="L377" i="1"/>
  <c r="K378" i="1"/>
  <c r="L378" i="1"/>
  <c r="K379" i="1"/>
  <c r="L379" i="1"/>
  <c r="K380" i="1"/>
  <c r="L380" i="1"/>
  <c r="K381" i="1"/>
  <c r="L381" i="1"/>
  <c r="K382" i="1"/>
  <c r="L382" i="1"/>
  <c r="K383" i="1"/>
  <c r="L383" i="1"/>
  <c r="K384" i="1"/>
  <c r="L384" i="1"/>
  <c r="K385" i="1"/>
  <c r="L385" i="1"/>
  <c r="K386" i="1"/>
  <c r="L386" i="1"/>
  <c r="K387" i="1"/>
  <c r="L387" i="1"/>
  <c r="K388" i="1"/>
  <c r="L388" i="1"/>
  <c r="K389" i="1"/>
  <c r="L389" i="1"/>
  <c r="K390" i="1"/>
  <c r="L390" i="1"/>
  <c r="K391" i="1"/>
  <c r="L391" i="1"/>
  <c r="K392" i="1"/>
  <c r="L392" i="1"/>
  <c r="K393" i="1"/>
  <c r="L393" i="1"/>
  <c r="K394" i="1"/>
  <c r="L394" i="1"/>
  <c r="K395" i="1"/>
  <c r="L395" i="1"/>
  <c r="K396" i="1"/>
  <c r="L396" i="1"/>
  <c r="K397" i="1"/>
  <c r="L397" i="1"/>
  <c r="K398" i="1"/>
  <c r="L398" i="1"/>
  <c r="K399" i="1"/>
  <c r="L399" i="1"/>
  <c r="K400" i="1"/>
  <c r="L400" i="1"/>
  <c r="K401" i="1"/>
  <c r="L401" i="1"/>
  <c r="K402" i="1"/>
  <c r="L402" i="1"/>
  <c r="K403" i="1"/>
  <c r="L403" i="1"/>
  <c r="K404" i="1"/>
  <c r="L404" i="1"/>
  <c r="K405" i="1"/>
  <c r="L405" i="1"/>
  <c r="K406" i="1"/>
  <c r="L406" i="1"/>
  <c r="K407" i="1"/>
  <c r="L407" i="1"/>
  <c r="K408" i="1"/>
  <c r="L408" i="1"/>
  <c r="K409" i="1"/>
  <c r="L409" i="1"/>
  <c r="K410" i="1"/>
  <c r="L410" i="1"/>
  <c r="K411" i="1"/>
  <c r="L411" i="1"/>
  <c r="K412" i="1"/>
  <c r="L412" i="1"/>
  <c r="K413" i="1"/>
  <c r="L413" i="1"/>
  <c r="K414" i="1"/>
  <c r="L414" i="1"/>
  <c r="K415" i="1"/>
  <c r="L415" i="1"/>
  <c r="K416" i="1"/>
  <c r="L416" i="1"/>
  <c r="K417" i="1"/>
  <c r="L417" i="1"/>
  <c r="K418" i="1"/>
  <c r="L418" i="1"/>
  <c r="K419" i="1"/>
  <c r="L419" i="1"/>
  <c r="K420" i="1"/>
  <c r="L420" i="1"/>
  <c r="K421" i="1"/>
  <c r="L421" i="1"/>
  <c r="K422" i="1"/>
  <c r="L422" i="1"/>
  <c r="K423" i="1"/>
  <c r="L423" i="1"/>
  <c r="K424" i="1"/>
  <c r="L424" i="1"/>
  <c r="K425" i="1"/>
  <c r="L425" i="1"/>
  <c r="K426" i="1"/>
  <c r="L426" i="1"/>
  <c r="K427" i="1"/>
  <c r="L427" i="1"/>
  <c r="K428" i="1"/>
  <c r="L428" i="1"/>
  <c r="K429" i="1"/>
  <c r="L429" i="1"/>
  <c r="K430" i="1"/>
  <c r="L430" i="1"/>
  <c r="K431" i="1"/>
  <c r="L431" i="1"/>
  <c r="K432" i="1"/>
  <c r="L432" i="1"/>
  <c r="K433" i="1"/>
  <c r="L433" i="1"/>
  <c r="K434" i="1"/>
  <c r="L434" i="1"/>
  <c r="K435" i="1"/>
  <c r="L435" i="1"/>
  <c r="K436" i="1"/>
  <c r="L436" i="1"/>
  <c r="K437" i="1"/>
  <c r="L437" i="1"/>
  <c r="K438" i="1"/>
  <c r="L438" i="1"/>
  <c r="K439" i="1"/>
  <c r="L439" i="1"/>
  <c r="K440" i="1"/>
  <c r="L440" i="1"/>
  <c r="K441" i="1"/>
  <c r="L441" i="1"/>
  <c r="K442" i="1"/>
  <c r="L442" i="1"/>
  <c r="K443" i="1"/>
  <c r="L443" i="1"/>
  <c r="K444" i="1"/>
  <c r="L444" i="1"/>
  <c r="K445" i="1"/>
  <c r="L445" i="1"/>
  <c r="K446" i="1"/>
  <c r="L446" i="1"/>
  <c r="K447" i="1"/>
  <c r="L447" i="1"/>
  <c r="K448" i="1"/>
  <c r="L448" i="1"/>
  <c r="K449" i="1"/>
  <c r="L449" i="1"/>
  <c r="K450" i="1"/>
  <c r="L450" i="1"/>
  <c r="K451" i="1"/>
  <c r="L451" i="1"/>
  <c r="K452" i="1"/>
  <c r="L452" i="1"/>
  <c r="K453" i="1"/>
  <c r="L453" i="1"/>
  <c r="K454" i="1"/>
  <c r="L454" i="1"/>
  <c r="K455" i="1"/>
  <c r="L455" i="1"/>
  <c r="K456" i="1"/>
  <c r="L456" i="1"/>
  <c r="K457" i="1"/>
  <c r="L457" i="1"/>
  <c r="K458" i="1"/>
  <c r="L458" i="1"/>
  <c r="K459" i="1"/>
  <c r="L459" i="1"/>
  <c r="K460" i="1"/>
  <c r="L460" i="1"/>
  <c r="K461" i="1"/>
  <c r="L461" i="1"/>
  <c r="K462" i="1"/>
  <c r="L462" i="1"/>
  <c r="K463" i="1"/>
  <c r="L463" i="1"/>
  <c r="K464" i="1"/>
  <c r="L464" i="1"/>
  <c r="K465" i="1"/>
  <c r="L465" i="1"/>
  <c r="K466" i="1"/>
  <c r="L466" i="1"/>
  <c r="K467" i="1"/>
  <c r="L467" i="1"/>
  <c r="K468" i="1"/>
  <c r="L468" i="1"/>
  <c r="K469" i="1"/>
  <c r="L469" i="1"/>
  <c r="K470" i="1"/>
  <c r="L470" i="1"/>
  <c r="K471" i="1"/>
  <c r="L471" i="1"/>
  <c r="K472" i="1"/>
  <c r="L472" i="1"/>
  <c r="K473" i="1"/>
  <c r="L473" i="1"/>
  <c r="K474" i="1"/>
  <c r="L474" i="1"/>
  <c r="K475" i="1"/>
  <c r="L475" i="1"/>
  <c r="K476" i="1"/>
  <c r="L476" i="1"/>
  <c r="K477" i="1"/>
  <c r="L477" i="1"/>
  <c r="K478" i="1"/>
  <c r="L478" i="1"/>
  <c r="K479" i="1"/>
  <c r="L479" i="1"/>
  <c r="K480" i="1"/>
  <c r="L480" i="1"/>
  <c r="K481" i="1"/>
  <c r="L481" i="1"/>
  <c r="K482" i="1"/>
  <c r="L482" i="1"/>
  <c r="K483" i="1"/>
  <c r="L483" i="1"/>
  <c r="K484" i="1"/>
  <c r="L484" i="1"/>
  <c r="K485" i="1"/>
  <c r="L485" i="1"/>
  <c r="K486" i="1"/>
  <c r="L486" i="1"/>
  <c r="K487" i="1"/>
  <c r="L487" i="1"/>
  <c r="K488" i="1"/>
  <c r="L488" i="1"/>
  <c r="K489" i="1"/>
  <c r="L489" i="1"/>
  <c r="K490" i="1"/>
  <c r="L490" i="1"/>
  <c r="K491" i="1"/>
  <c r="L491" i="1"/>
  <c r="K492" i="1"/>
  <c r="L492" i="1"/>
  <c r="K493" i="1"/>
  <c r="L493" i="1"/>
  <c r="K494" i="1"/>
  <c r="L494" i="1"/>
  <c r="K495" i="1"/>
  <c r="L495" i="1"/>
  <c r="K496" i="1"/>
  <c r="L496" i="1"/>
  <c r="K497" i="1"/>
  <c r="L497" i="1"/>
  <c r="K498" i="1"/>
  <c r="L498" i="1"/>
  <c r="K499" i="1"/>
  <c r="L499" i="1"/>
  <c r="K500" i="1"/>
  <c r="L500" i="1"/>
  <c r="K501" i="1"/>
  <c r="L501" i="1"/>
  <c r="K502" i="1"/>
  <c r="L502" i="1"/>
  <c r="K503" i="1"/>
  <c r="L503" i="1"/>
  <c r="L504" i="1"/>
  <c r="K504" i="1"/>
  <c r="B5" i="1"/>
  <c r="A6" i="1" s="1"/>
  <c r="A5" i="1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I109" i="1"/>
  <c r="J109" i="1"/>
  <c r="I110" i="1"/>
  <c r="J110" i="1"/>
  <c r="I111" i="1"/>
  <c r="J111" i="1"/>
  <c r="I112" i="1"/>
  <c r="J112" i="1"/>
  <c r="I113" i="1"/>
  <c r="J113" i="1"/>
  <c r="I114" i="1"/>
  <c r="J114" i="1"/>
  <c r="I115" i="1"/>
  <c r="J115" i="1"/>
  <c r="I116" i="1"/>
  <c r="J116" i="1"/>
  <c r="I117" i="1"/>
  <c r="J117" i="1"/>
  <c r="I118" i="1"/>
  <c r="J118" i="1"/>
  <c r="I119" i="1"/>
  <c r="J119" i="1"/>
  <c r="I120" i="1"/>
  <c r="J120" i="1"/>
  <c r="I121" i="1"/>
  <c r="J121" i="1"/>
  <c r="I122" i="1"/>
  <c r="J122" i="1"/>
  <c r="I123" i="1"/>
  <c r="J123" i="1"/>
  <c r="I124" i="1"/>
  <c r="J124" i="1"/>
  <c r="I125" i="1"/>
  <c r="J125" i="1"/>
  <c r="I126" i="1"/>
  <c r="J126" i="1"/>
  <c r="I127" i="1"/>
  <c r="J127" i="1"/>
  <c r="I128" i="1"/>
  <c r="J128" i="1"/>
  <c r="I129" i="1"/>
  <c r="J129" i="1"/>
  <c r="I130" i="1"/>
  <c r="J130" i="1"/>
  <c r="I131" i="1"/>
  <c r="J131" i="1"/>
  <c r="I132" i="1"/>
  <c r="J132" i="1"/>
  <c r="I133" i="1"/>
  <c r="J133" i="1"/>
  <c r="I134" i="1"/>
  <c r="J134" i="1"/>
  <c r="I135" i="1"/>
  <c r="J135" i="1"/>
  <c r="I136" i="1"/>
  <c r="J136" i="1"/>
  <c r="I137" i="1"/>
  <c r="J137" i="1"/>
  <c r="I138" i="1"/>
  <c r="J138" i="1"/>
  <c r="I139" i="1"/>
  <c r="J139" i="1"/>
  <c r="I140" i="1"/>
  <c r="J140" i="1"/>
  <c r="I141" i="1"/>
  <c r="J141" i="1"/>
  <c r="I142" i="1"/>
  <c r="J142" i="1"/>
  <c r="I143" i="1"/>
  <c r="J143" i="1"/>
  <c r="I144" i="1"/>
  <c r="J144" i="1"/>
  <c r="I145" i="1"/>
  <c r="J145" i="1"/>
  <c r="I146" i="1"/>
  <c r="J146" i="1"/>
  <c r="I147" i="1"/>
  <c r="J147" i="1"/>
  <c r="I148" i="1"/>
  <c r="J148" i="1"/>
  <c r="I149" i="1"/>
  <c r="J149" i="1"/>
  <c r="I150" i="1"/>
  <c r="J150" i="1"/>
  <c r="I151" i="1"/>
  <c r="J151" i="1"/>
  <c r="I152" i="1"/>
  <c r="J152" i="1"/>
  <c r="I153" i="1"/>
  <c r="J153" i="1"/>
  <c r="I154" i="1"/>
  <c r="J154" i="1"/>
  <c r="I155" i="1"/>
  <c r="J155" i="1"/>
  <c r="I156" i="1"/>
  <c r="J156" i="1"/>
  <c r="I157" i="1"/>
  <c r="J157" i="1"/>
  <c r="I158" i="1"/>
  <c r="J158" i="1"/>
  <c r="I159" i="1"/>
  <c r="J159" i="1"/>
  <c r="I160" i="1"/>
  <c r="J160" i="1"/>
  <c r="I161" i="1"/>
  <c r="J161" i="1"/>
  <c r="I162" i="1"/>
  <c r="J162" i="1"/>
  <c r="I163" i="1"/>
  <c r="J163" i="1"/>
  <c r="I164" i="1"/>
  <c r="J164" i="1"/>
  <c r="I165" i="1"/>
  <c r="J165" i="1"/>
  <c r="I166" i="1"/>
  <c r="J166" i="1"/>
  <c r="I167" i="1"/>
  <c r="J167" i="1"/>
  <c r="I168" i="1"/>
  <c r="J168" i="1"/>
  <c r="I169" i="1"/>
  <c r="J169" i="1"/>
  <c r="I170" i="1"/>
  <c r="J170" i="1"/>
  <c r="I171" i="1"/>
  <c r="J171" i="1"/>
  <c r="I172" i="1"/>
  <c r="J172" i="1"/>
  <c r="I173" i="1"/>
  <c r="J173" i="1"/>
  <c r="I174" i="1"/>
  <c r="J174" i="1"/>
  <c r="I175" i="1"/>
  <c r="J175" i="1"/>
  <c r="I176" i="1"/>
  <c r="J176" i="1"/>
  <c r="I177" i="1"/>
  <c r="J177" i="1"/>
  <c r="I178" i="1"/>
  <c r="J178" i="1"/>
  <c r="I179" i="1"/>
  <c r="J179" i="1"/>
  <c r="I180" i="1"/>
  <c r="J180" i="1"/>
  <c r="I181" i="1"/>
  <c r="J181" i="1"/>
  <c r="I182" i="1"/>
  <c r="J182" i="1"/>
  <c r="I183" i="1"/>
  <c r="J183" i="1"/>
  <c r="I184" i="1"/>
  <c r="J184" i="1"/>
  <c r="I185" i="1"/>
  <c r="J185" i="1"/>
  <c r="I186" i="1"/>
  <c r="J186" i="1"/>
  <c r="I187" i="1"/>
  <c r="J187" i="1"/>
  <c r="I188" i="1"/>
  <c r="J188" i="1"/>
  <c r="I189" i="1"/>
  <c r="J189" i="1"/>
  <c r="I190" i="1"/>
  <c r="J190" i="1"/>
  <c r="I191" i="1"/>
  <c r="J191" i="1"/>
  <c r="I192" i="1"/>
  <c r="J192" i="1"/>
  <c r="I193" i="1"/>
  <c r="J193" i="1"/>
  <c r="I194" i="1"/>
  <c r="J194" i="1"/>
  <c r="I195" i="1"/>
  <c r="J195" i="1"/>
  <c r="I196" i="1"/>
  <c r="J196" i="1"/>
  <c r="I197" i="1"/>
  <c r="J197" i="1"/>
  <c r="I198" i="1"/>
  <c r="J198" i="1"/>
  <c r="I199" i="1"/>
  <c r="J199" i="1"/>
  <c r="I200" i="1"/>
  <c r="J200" i="1"/>
  <c r="I201" i="1"/>
  <c r="J201" i="1"/>
  <c r="I202" i="1"/>
  <c r="J202" i="1"/>
  <c r="I203" i="1"/>
  <c r="J203" i="1"/>
  <c r="I204" i="1"/>
  <c r="J204" i="1"/>
  <c r="I205" i="1"/>
  <c r="J205" i="1"/>
  <c r="I206" i="1"/>
  <c r="J206" i="1"/>
  <c r="I207" i="1"/>
  <c r="J207" i="1"/>
  <c r="I208" i="1"/>
  <c r="J208" i="1"/>
  <c r="I209" i="1"/>
  <c r="J209" i="1"/>
  <c r="I210" i="1"/>
  <c r="J210" i="1"/>
  <c r="I211" i="1"/>
  <c r="J211" i="1"/>
  <c r="I212" i="1"/>
  <c r="J212" i="1"/>
  <c r="I213" i="1"/>
  <c r="J213" i="1"/>
  <c r="I214" i="1"/>
  <c r="J214" i="1"/>
  <c r="I215" i="1"/>
  <c r="J215" i="1"/>
  <c r="I216" i="1"/>
  <c r="J216" i="1"/>
  <c r="I217" i="1"/>
  <c r="J217" i="1"/>
  <c r="I218" i="1"/>
  <c r="J218" i="1"/>
  <c r="I219" i="1"/>
  <c r="J219" i="1"/>
  <c r="I220" i="1"/>
  <c r="J220" i="1"/>
  <c r="I221" i="1"/>
  <c r="J221" i="1"/>
  <c r="I222" i="1"/>
  <c r="J222" i="1"/>
  <c r="I223" i="1"/>
  <c r="J223" i="1"/>
  <c r="I224" i="1"/>
  <c r="J224" i="1"/>
  <c r="I225" i="1"/>
  <c r="J225" i="1"/>
  <c r="I226" i="1"/>
  <c r="J226" i="1"/>
  <c r="I227" i="1"/>
  <c r="J227" i="1"/>
  <c r="I228" i="1"/>
  <c r="J228" i="1"/>
  <c r="I229" i="1"/>
  <c r="J229" i="1"/>
  <c r="I230" i="1"/>
  <c r="J230" i="1"/>
  <c r="I231" i="1"/>
  <c r="J231" i="1"/>
  <c r="I232" i="1"/>
  <c r="J232" i="1"/>
  <c r="I233" i="1"/>
  <c r="J233" i="1"/>
  <c r="I234" i="1"/>
  <c r="J234" i="1"/>
  <c r="I235" i="1"/>
  <c r="J235" i="1"/>
  <c r="I236" i="1"/>
  <c r="J236" i="1"/>
  <c r="I237" i="1"/>
  <c r="J237" i="1"/>
  <c r="I238" i="1"/>
  <c r="J238" i="1"/>
  <c r="I239" i="1"/>
  <c r="J239" i="1"/>
  <c r="I240" i="1"/>
  <c r="J240" i="1"/>
  <c r="I241" i="1"/>
  <c r="J241" i="1"/>
  <c r="I242" i="1"/>
  <c r="J242" i="1"/>
  <c r="I243" i="1"/>
  <c r="J243" i="1"/>
  <c r="I244" i="1"/>
  <c r="J244" i="1"/>
  <c r="I245" i="1"/>
  <c r="J245" i="1"/>
  <c r="I246" i="1"/>
  <c r="J246" i="1"/>
  <c r="I247" i="1"/>
  <c r="J247" i="1"/>
  <c r="I248" i="1"/>
  <c r="J248" i="1"/>
  <c r="I249" i="1"/>
  <c r="J249" i="1"/>
  <c r="I250" i="1"/>
  <c r="J250" i="1"/>
  <c r="I251" i="1"/>
  <c r="J251" i="1"/>
  <c r="I252" i="1"/>
  <c r="J252" i="1"/>
  <c r="I253" i="1"/>
  <c r="J253" i="1"/>
  <c r="I254" i="1"/>
  <c r="J254" i="1"/>
  <c r="I255" i="1"/>
  <c r="J255" i="1"/>
  <c r="I256" i="1"/>
  <c r="J256" i="1"/>
  <c r="I257" i="1"/>
  <c r="J257" i="1"/>
  <c r="I258" i="1"/>
  <c r="J258" i="1"/>
  <c r="I259" i="1"/>
  <c r="J259" i="1"/>
  <c r="I260" i="1"/>
  <c r="J260" i="1"/>
  <c r="I261" i="1"/>
  <c r="J261" i="1"/>
  <c r="I262" i="1"/>
  <c r="J262" i="1"/>
  <c r="I263" i="1"/>
  <c r="J263" i="1"/>
  <c r="I264" i="1"/>
  <c r="J264" i="1"/>
  <c r="I265" i="1"/>
  <c r="J265" i="1"/>
  <c r="I266" i="1"/>
  <c r="J266" i="1"/>
  <c r="I267" i="1"/>
  <c r="J267" i="1"/>
  <c r="I268" i="1"/>
  <c r="J268" i="1"/>
  <c r="I269" i="1"/>
  <c r="J269" i="1"/>
  <c r="I270" i="1"/>
  <c r="J270" i="1"/>
  <c r="I271" i="1"/>
  <c r="J271" i="1"/>
  <c r="I272" i="1"/>
  <c r="J272" i="1"/>
  <c r="I273" i="1"/>
  <c r="J273" i="1"/>
  <c r="I274" i="1"/>
  <c r="J274" i="1"/>
  <c r="I275" i="1"/>
  <c r="J275" i="1"/>
  <c r="I276" i="1"/>
  <c r="J276" i="1"/>
  <c r="I277" i="1"/>
  <c r="J277" i="1"/>
  <c r="I278" i="1"/>
  <c r="J278" i="1"/>
  <c r="I279" i="1"/>
  <c r="J279" i="1"/>
  <c r="I280" i="1"/>
  <c r="J280" i="1"/>
  <c r="I281" i="1"/>
  <c r="J281" i="1"/>
  <c r="I282" i="1"/>
  <c r="J282" i="1"/>
  <c r="I283" i="1"/>
  <c r="J283" i="1"/>
  <c r="I284" i="1"/>
  <c r="J284" i="1"/>
  <c r="I285" i="1"/>
  <c r="J285" i="1"/>
  <c r="I286" i="1"/>
  <c r="J286" i="1"/>
  <c r="I287" i="1"/>
  <c r="J287" i="1"/>
  <c r="I288" i="1"/>
  <c r="J288" i="1"/>
  <c r="I289" i="1"/>
  <c r="J289" i="1"/>
  <c r="I290" i="1"/>
  <c r="J290" i="1"/>
  <c r="I291" i="1"/>
  <c r="J291" i="1"/>
  <c r="I292" i="1"/>
  <c r="J292" i="1"/>
  <c r="I293" i="1"/>
  <c r="J293" i="1"/>
  <c r="I294" i="1"/>
  <c r="J294" i="1"/>
  <c r="I295" i="1"/>
  <c r="J295" i="1"/>
  <c r="I296" i="1"/>
  <c r="J296" i="1"/>
  <c r="I297" i="1"/>
  <c r="J297" i="1"/>
  <c r="I298" i="1"/>
  <c r="J298" i="1"/>
  <c r="I299" i="1"/>
  <c r="J299" i="1"/>
  <c r="I300" i="1"/>
  <c r="J300" i="1"/>
  <c r="I301" i="1"/>
  <c r="J301" i="1"/>
  <c r="I302" i="1"/>
  <c r="J302" i="1"/>
  <c r="I303" i="1"/>
  <c r="J303" i="1"/>
  <c r="I304" i="1"/>
  <c r="J304" i="1"/>
  <c r="I305" i="1"/>
  <c r="J305" i="1"/>
  <c r="I306" i="1"/>
  <c r="J306" i="1"/>
  <c r="I307" i="1"/>
  <c r="J307" i="1"/>
  <c r="I308" i="1"/>
  <c r="J308" i="1"/>
  <c r="I309" i="1"/>
  <c r="J309" i="1"/>
  <c r="I310" i="1"/>
  <c r="J310" i="1"/>
  <c r="I311" i="1"/>
  <c r="J311" i="1"/>
  <c r="I312" i="1"/>
  <c r="J312" i="1"/>
  <c r="I313" i="1"/>
  <c r="J313" i="1"/>
  <c r="I314" i="1"/>
  <c r="J314" i="1"/>
  <c r="I315" i="1"/>
  <c r="J315" i="1"/>
  <c r="I316" i="1"/>
  <c r="J316" i="1"/>
  <c r="I317" i="1"/>
  <c r="J317" i="1"/>
  <c r="I318" i="1"/>
  <c r="J318" i="1"/>
  <c r="I319" i="1"/>
  <c r="J319" i="1"/>
  <c r="I320" i="1"/>
  <c r="J320" i="1"/>
  <c r="I321" i="1"/>
  <c r="J321" i="1"/>
  <c r="I322" i="1"/>
  <c r="J322" i="1"/>
  <c r="I323" i="1"/>
  <c r="J323" i="1"/>
  <c r="I324" i="1"/>
  <c r="J324" i="1"/>
  <c r="I325" i="1"/>
  <c r="J325" i="1"/>
  <c r="I326" i="1"/>
  <c r="J326" i="1"/>
  <c r="I327" i="1"/>
  <c r="J327" i="1"/>
  <c r="I328" i="1"/>
  <c r="J328" i="1"/>
  <c r="I329" i="1"/>
  <c r="J329" i="1"/>
  <c r="I330" i="1"/>
  <c r="J330" i="1"/>
  <c r="I331" i="1"/>
  <c r="J331" i="1"/>
  <c r="I332" i="1"/>
  <c r="J332" i="1"/>
  <c r="I333" i="1"/>
  <c r="J333" i="1"/>
  <c r="I334" i="1"/>
  <c r="J334" i="1"/>
  <c r="I335" i="1"/>
  <c r="J335" i="1"/>
  <c r="I336" i="1"/>
  <c r="J336" i="1"/>
  <c r="I337" i="1"/>
  <c r="J337" i="1"/>
  <c r="I338" i="1"/>
  <c r="J338" i="1"/>
  <c r="I339" i="1"/>
  <c r="J339" i="1"/>
  <c r="I340" i="1"/>
  <c r="J340" i="1"/>
  <c r="I341" i="1"/>
  <c r="J341" i="1"/>
  <c r="I342" i="1"/>
  <c r="J342" i="1"/>
  <c r="I343" i="1"/>
  <c r="J343" i="1"/>
  <c r="I344" i="1"/>
  <c r="J344" i="1"/>
  <c r="I345" i="1"/>
  <c r="J345" i="1"/>
  <c r="I346" i="1"/>
  <c r="J346" i="1"/>
  <c r="I347" i="1"/>
  <c r="J347" i="1"/>
  <c r="I348" i="1"/>
  <c r="J348" i="1"/>
  <c r="I349" i="1"/>
  <c r="J349" i="1"/>
  <c r="I350" i="1"/>
  <c r="J350" i="1"/>
  <c r="I351" i="1"/>
  <c r="J351" i="1"/>
  <c r="I352" i="1"/>
  <c r="J352" i="1"/>
  <c r="I353" i="1"/>
  <c r="J353" i="1"/>
  <c r="I354" i="1"/>
  <c r="J354" i="1"/>
  <c r="I355" i="1"/>
  <c r="J355" i="1"/>
  <c r="I356" i="1"/>
  <c r="J356" i="1"/>
  <c r="I357" i="1"/>
  <c r="J357" i="1"/>
  <c r="I358" i="1"/>
  <c r="J358" i="1"/>
  <c r="I359" i="1"/>
  <c r="J359" i="1"/>
  <c r="I360" i="1"/>
  <c r="J360" i="1"/>
  <c r="I361" i="1"/>
  <c r="J361" i="1"/>
  <c r="I362" i="1"/>
  <c r="J362" i="1"/>
  <c r="I363" i="1"/>
  <c r="J363" i="1"/>
  <c r="I364" i="1"/>
  <c r="J364" i="1"/>
  <c r="I365" i="1"/>
  <c r="J365" i="1"/>
  <c r="I366" i="1"/>
  <c r="J366" i="1"/>
  <c r="I367" i="1"/>
  <c r="J367" i="1"/>
  <c r="I368" i="1"/>
  <c r="J368" i="1"/>
  <c r="I369" i="1"/>
  <c r="J369" i="1"/>
  <c r="I370" i="1"/>
  <c r="J370" i="1"/>
  <c r="I371" i="1"/>
  <c r="J371" i="1"/>
  <c r="I372" i="1"/>
  <c r="J372" i="1"/>
  <c r="I373" i="1"/>
  <c r="J373" i="1"/>
  <c r="I374" i="1"/>
  <c r="J374" i="1"/>
  <c r="I375" i="1"/>
  <c r="J375" i="1"/>
  <c r="I376" i="1"/>
  <c r="J376" i="1"/>
  <c r="I377" i="1"/>
  <c r="J377" i="1"/>
  <c r="I378" i="1"/>
  <c r="J378" i="1"/>
  <c r="I379" i="1"/>
  <c r="J379" i="1"/>
  <c r="I380" i="1"/>
  <c r="J380" i="1"/>
  <c r="I381" i="1"/>
  <c r="J381" i="1"/>
  <c r="I382" i="1"/>
  <c r="J382" i="1"/>
  <c r="I383" i="1"/>
  <c r="J383" i="1"/>
  <c r="I384" i="1"/>
  <c r="J384" i="1"/>
  <c r="I385" i="1"/>
  <c r="J385" i="1"/>
  <c r="I386" i="1"/>
  <c r="J386" i="1"/>
  <c r="I387" i="1"/>
  <c r="J387" i="1"/>
  <c r="I388" i="1"/>
  <c r="J388" i="1"/>
  <c r="I389" i="1"/>
  <c r="J389" i="1"/>
  <c r="I390" i="1"/>
  <c r="J390" i="1"/>
  <c r="I391" i="1"/>
  <c r="J391" i="1"/>
  <c r="I392" i="1"/>
  <c r="J392" i="1"/>
  <c r="I393" i="1"/>
  <c r="J393" i="1"/>
  <c r="I394" i="1"/>
  <c r="J394" i="1"/>
  <c r="I395" i="1"/>
  <c r="J395" i="1"/>
  <c r="I396" i="1"/>
  <c r="J396" i="1"/>
  <c r="I397" i="1"/>
  <c r="J397" i="1"/>
  <c r="I398" i="1"/>
  <c r="J398" i="1"/>
  <c r="I399" i="1"/>
  <c r="J399" i="1"/>
  <c r="I400" i="1"/>
  <c r="J400" i="1"/>
  <c r="I401" i="1"/>
  <c r="J401" i="1"/>
  <c r="I402" i="1"/>
  <c r="J402" i="1"/>
  <c r="I403" i="1"/>
  <c r="J403" i="1"/>
  <c r="I404" i="1"/>
  <c r="J404" i="1"/>
  <c r="I405" i="1"/>
  <c r="J405" i="1"/>
  <c r="I406" i="1"/>
  <c r="J406" i="1"/>
  <c r="I407" i="1"/>
  <c r="J407" i="1"/>
  <c r="I408" i="1"/>
  <c r="J408" i="1"/>
  <c r="I409" i="1"/>
  <c r="J409" i="1"/>
  <c r="I410" i="1"/>
  <c r="J410" i="1"/>
  <c r="I411" i="1"/>
  <c r="J411" i="1"/>
  <c r="I412" i="1"/>
  <c r="J412" i="1"/>
  <c r="I413" i="1"/>
  <c r="J413" i="1"/>
  <c r="I414" i="1"/>
  <c r="J414" i="1"/>
  <c r="I415" i="1"/>
  <c r="J415" i="1"/>
  <c r="I416" i="1"/>
  <c r="J416" i="1"/>
  <c r="I417" i="1"/>
  <c r="J417" i="1"/>
  <c r="I418" i="1"/>
  <c r="J418" i="1"/>
  <c r="I419" i="1"/>
  <c r="J419" i="1"/>
  <c r="I420" i="1"/>
  <c r="J420" i="1"/>
  <c r="I421" i="1"/>
  <c r="J421" i="1"/>
  <c r="I422" i="1"/>
  <c r="J422" i="1"/>
  <c r="I423" i="1"/>
  <c r="J423" i="1"/>
  <c r="I424" i="1"/>
  <c r="J424" i="1"/>
  <c r="I425" i="1"/>
  <c r="J425" i="1"/>
  <c r="I426" i="1"/>
  <c r="J426" i="1"/>
  <c r="I427" i="1"/>
  <c r="J427" i="1"/>
  <c r="I428" i="1"/>
  <c r="J428" i="1"/>
  <c r="I429" i="1"/>
  <c r="J429" i="1"/>
  <c r="I430" i="1"/>
  <c r="J430" i="1"/>
  <c r="I431" i="1"/>
  <c r="J431" i="1"/>
  <c r="I432" i="1"/>
  <c r="J432" i="1"/>
  <c r="I433" i="1"/>
  <c r="J433" i="1"/>
  <c r="I434" i="1"/>
  <c r="J434" i="1"/>
  <c r="I435" i="1"/>
  <c r="J435" i="1"/>
  <c r="I436" i="1"/>
  <c r="J436" i="1"/>
  <c r="I437" i="1"/>
  <c r="J437" i="1"/>
  <c r="I438" i="1"/>
  <c r="J438" i="1"/>
  <c r="I439" i="1"/>
  <c r="J439" i="1"/>
  <c r="I440" i="1"/>
  <c r="J440" i="1"/>
  <c r="I441" i="1"/>
  <c r="J441" i="1"/>
  <c r="I442" i="1"/>
  <c r="J442" i="1"/>
  <c r="I443" i="1"/>
  <c r="J443" i="1"/>
  <c r="I444" i="1"/>
  <c r="J444" i="1"/>
  <c r="I445" i="1"/>
  <c r="J445" i="1"/>
  <c r="I446" i="1"/>
  <c r="J446" i="1"/>
  <c r="I447" i="1"/>
  <c r="J447" i="1"/>
  <c r="I448" i="1"/>
  <c r="J448" i="1"/>
  <c r="I449" i="1"/>
  <c r="J449" i="1"/>
  <c r="I450" i="1"/>
  <c r="J450" i="1"/>
  <c r="I451" i="1"/>
  <c r="J451" i="1"/>
  <c r="I452" i="1"/>
  <c r="J452" i="1"/>
  <c r="I453" i="1"/>
  <c r="J453" i="1"/>
  <c r="I454" i="1"/>
  <c r="J454" i="1"/>
  <c r="I455" i="1"/>
  <c r="J455" i="1"/>
  <c r="I456" i="1"/>
  <c r="J456" i="1"/>
  <c r="I457" i="1"/>
  <c r="J457" i="1"/>
  <c r="I458" i="1"/>
  <c r="J458" i="1"/>
  <c r="I459" i="1"/>
  <c r="J459" i="1"/>
  <c r="I460" i="1"/>
  <c r="J460" i="1"/>
  <c r="I461" i="1"/>
  <c r="J461" i="1"/>
  <c r="I462" i="1"/>
  <c r="J462" i="1"/>
  <c r="I463" i="1"/>
  <c r="J463" i="1"/>
  <c r="I464" i="1"/>
  <c r="J464" i="1"/>
  <c r="I465" i="1"/>
  <c r="J465" i="1"/>
  <c r="I466" i="1"/>
  <c r="J466" i="1"/>
  <c r="I467" i="1"/>
  <c r="J467" i="1"/>
  <c r="I468" i="1"/>
  <c r="J468" i="1"/>
  <c r="I469" i="1"/>
  <c r="J469" i="1"/>
  <c r="I470" i="1"/>
  <c r="J470" i="1"/>
  <c r="I471" i="1"/>
  <c r="J471" i="1"/>
  <c r="I472" i="1"/>
  <c r="J472" i="1"/>
  <c r="I473" i="1"/>
  <c r="J473" i="1"/>
  <c r="I474" i="1"/>
  <c r="J474" i="1"/>
  <c r="I475" i="1"/>
  <c r="J475" i="1"/>
  <c r="I476" i="1"/>
  <c r="J476" i="1"/>
  <c r="I477" i="1"/>
  <c r="J477" i="1"/>
  <c r="I478" i="1"/>
  <c r="J478" i="1"/>
  <c r="I479" i="1"/>
  <c r="J479" i="1"/>
  <c r="I480" i="1"/>
  <c r="J480" i="1"/>
  <c r="I481" i="1"/>
  <c r="J481" i="1"/>
  <c r="I482" i="1"/>
  <c r="J482" i="1"/>
  <c r="I483" i="1"/>
  <c r="J483" i="1"/>
  <c r="I484" i="1"/>
  <c r="J484" i="1"/>
  <c r="I485" i="1"/>
  <c r="J485" i="1"/>
  <c r="I486" i="1"/>
  <c r="J486" i="1"/>
  <c r="I487" i="1"/>
  <c r="J487" i="1"/>
  <c r="I488" i="1"/>
  <c r="J488" i="1"/>
  <c r="I489" i="1"/>
  <c r="J489" i="1"/>
  <c r="I490" i="1"/>
  <c r="J490" i="1"/>
  <c r="I491" i="1"/>
  <c r="J491" i="1"/>
  <c r="I492" i="1"/>
  <c r="J492" i="1"/>
  <c r="I493" i="1"/>
  <c r="J493" i="1"/>
  <c r="I494" i="1"/>
  <c r="J494" i="1"/>
  <c r="I495" i="1"/>
  <c r="J495" i="1"/>
  <c r="I496" i="1"/>
  <c r="J496" i="1"/>
  <c r="I497" i="1"/>
  <c r="J497" i="1"/>
  <c r="I498" i="1"/>
  <c r="J498" i="1"/>
  <c r="I499" i="1"/>
  <c r="J499" i="1"/>
  <c r="I500" i="1"/>
  <c r="J500" i="1"/>
  <c r="I501" i="1"/>
  <c r="J501" i="1"/>
  <c r="I502" i="1"/>
  <c r="J502" i="1"/>
  <c r="I503" i="1"/>
  <c r="J503" i="1"/>
  <c r="I504" i="1"/>
  <c r="J504" i="1"/>
  <c r="I505" i="1"/>
  <c r="J505" i="1"/>
  <c r="J2" i="1"/>
  <c r="I2" i="1"/>
  <c r="G505" i="1"/>
  <c r="H505" i="1"/>
  <c r="A8" i="1" l="1" a="1"/>
  <c r="A8" i="1" s="1"/>
  <c r="B9" i="1" l="1"/>
  <c r="A9" i="1"/>
  <c r="B8" i="1"/>
  <c r="M470" i="1" l="1"/>
  <c r="M500" i="1"/>
  <c r="M498" i="1"/>
  <c r="M490" i="1"/>
  <c r="M482" i="1"/>
  <c r="M474" i="1"/>
  <c r="M503" i="1"/>
  <c r="M495" i="1"/>
  <c r="M487" i="1"/>
  <c r="M479" i="1"/>
  <c r="M471" i="1"/>
  <c r="M464" i="1"/>
  <c r="M456" i="1"/>
  <c r="M448" i="1"/>
  <c r="M440" i="1"/>
  <c r="M432" i="1"/>
  <c r="M424" i="1"/>
  <c r="M416" i="1"/>
  <c r="M408" i="1"/>
  <c r="M400" i="1"/>
  <c r="M392" i="1"/>
  <c r="M384" i="1"/>
  <c r="M376" i="1"/>
  <c r="M368" i="1"/>
  <c r="M360" i="1"/>
  <c r="M352" i="1"/>
  <c r="M344" i="1"/>
  <c r="M336" i="1"/>
  <c r="M328" i="1"/>
  <c r="M320" i="1"/>
  <c r="M312" i="1"/>
  <c r="M304" i="1"/>
  <c r="M296" i="1"/>
  <c r="M288" i="1"/>
  <c r="M280" i="1"/>
  <c r="M272" i="1"/>
  <c r="M264" i="1"/>
  <c r="M256" i="1"/>
  <c r="M248" i="1"/>
  <c r="M240" i="1"/>
  <c r="M232" i="1"/>
  <c r="M224" i="1"/>
  <c r="M216" i="1"/>
  <c r="M207" i="1"/>
  <c r="M199" i="1"/>
  <c r="M191" i="1"/>
  <c r="M183" i="1"/>
  <c r="M175" i="1"/>
  <c r="M167" i="1"/>
  <c r="M159" i="1"/>
  <c r="M151" i="1"/>
  <c r="M142" i="1"/>
  <c r="M134" i="1"/>
  <c r="M129" i="1"/>
  <c r="M124" i="1"/>
  <c r="M120" i="1"/>
  <c r="M116" i="1"/>
  <c r="M112" i="1"/>
  <c r="M108" i="1"/>
  <c r="M104" i="1"/>
  <c r="M100" i="1"/>
  <c r="M96" i="1"/>
  <c r="M92" i="1"/>
  <c r="M459" i="1"/>
  <c r="M451" i="1"/>
  <c r="M443" i="1"/>
  <c r="M435" i="1"/>
  <c r="M427" i="1"/>
  <c r="M419" i="1"/>
  <c r="M411" i="1"/>
  <c r="M403" i="1"/>
  <c r="M395" i="1"/>
  <c r="M387" i="1"/>
  <c r="M379" i="1"/>
  <c r="M371" i="1"/>
  <c r="M363" i="1"/>
  <c r="M355" i="1"/>
  <c r="M347" i="1"/>
  <c r="M339" i="1"/>
  <c r="M331" i="1"/>
  <c r="M323" i="1"/>
  <c r="M315" i="1"/>
  <c r="M307" i="1"/>
  <c r="M299" i="1"/>
  <c r="M291" i="1"/>
  <c r="M283" i="1"/>
  <c r="M275" i="1"/>
  <c r="M267" i="1"/>
  <c r="M259" i="1"/>
  <c r="M251" i="1"/>
  <c r="M243" i="1"/>
  <c r="M235" i="1"/>
  <c r="M227" i="1"/>
  <c r="M219" i="1"/>
  <c r="M212" i="1"/>
  <c r="M204" i="1"/>
  <c r="M196" i="1"/>
  <c r="M188" i="1"/>
  <c r="M180" i="1"/>
  <c r="M172" i="1"/>
  <c r="M164" i="1"/>
  <c r="M156" i="1"/>
  <c r="M149" i="1"/>
  <c r="M141" i="1"/>
  <c r="M133" i="1"/>
  <c r="M90" i="1"/>
  <c r="M86" i="1"/>
  <c r="M82" i="1"/>
  <c r="M78" i="1"/>
  <c r="M74" i="1"/>
  <c r="M70" i="1"/>
  <c r="M66" i="1"/>
  <c r="M62" i="1"/>
  <c r="M58" i="1"/>
  <c r="M54" i="1"/>
  <c r="M50" i="1"/>
  <c r="M46" i="1"/>
  <c r="M42" i="1"/>
  <c r="M38" i="1"/>
  <c r="M34" i="1"/>
  <c r="M30" i="1"/>
  <c r="M26" i="1"/>
  <c r="M22" i="1"/>
  <c r="M18" i="1"/>
  <c r="M14" i="1"/>
  <c r="M10" i="1"/>
  <c r="M6" i="1"/>
  <c r="M2" i="1"/>
  <c r="M492" i="1"/>
  <c r="M484" i="1"/>
  <c r="M476" i="1"/>
  <c r="M468" i="1"/>
  <c r="M497" i="1"/>
  <c r="M489" i="1"/>
  <c r="M481" i="1"/>
  <c r="M473" i="1"/>
  <c r="M466" i="1"/>
  <c r="M458" i="1"/>
  <c r="M450" i="1"/>
  <c r="M442" i="1"/>
  <c r="M434" i="1"/>
  <c r="M426" i="1"/>
  <c r="M418" i="1"/>
  <c r="M410" i="1"/>
  <c r="M402" i="1"/>
  <c r="M394" i="1"/>
  <c r="M386" i="1"/>
  <c r="M378" i="1"/>
  <c r="M370" i="1"/>
  <c r="M362" i="1"/>
  <c r="M354" i="1"/>
  <c r="M346" i="1"/>
  <c r="M338" i="1"/>
  <c r="M330" i="1"/>
  <c r="M322" i="1"/>
  <c r="M314" i="1"/>
  <c r="M306" i="1"/>
  <c r="M298" i="1"/>
  <c r="M290" i="1"/>
  <c r="M282" i="1"/>
  <c r="M274" i="1"/>
  <c r="M266" i="1"/>
  <c r="M258" i="1"/>
  <c r="M250" i="1"/>
  <c r="M242" i="1"/>
  <c r="M234" i="1"/>
  <c r="M226" i="1"/>
  <c r="M218" i="1"/>
  <c r="M209" i="1"/>
  <c r="M201" i="1"/>
  <c r="M193" i="1"/>
  <c r="M185" i="1"/>
  <c r="M177" i="1"/>
  <c r="M169" i="1"/>
  <c r="M161" i="1"/>
  <c r="M153" i="1"/>
  <c r="M144" i="1"/>
  <c r="M136" i="1"/>
  <c r="M130" i="1"/>
  <c r="M125" i="1"/>
  <c r="M121" i="1"/>
  <c r="M117" i="1"/>
  <c r="M113" i="1"/>
  <c r="M109" i="1"/>
  <c r="M105" i="1"/>
  <c r="M101" i="1"/>
  <c r="M97" i="1"/>
  <c r="M93" i="1"/>
  <c r="M461" i="1"/>
  <c r="M453" i="1"/>
  <c r="M445" i="1"/>
  <c r="M437" i="1"/>
  <c r="M429" i="1"/>
  <c r="M421" i="1"/>
  <c r="M413" i="1"/>
  <c r="M405" i="1"/>
  <c r="M397" i="1"/>
  <c r="M389" i="1"/>
  <c r="M381" i="1"/>
  <c r="M373" i="1"/>
  <c r="M365" i="1"/>
  <c r="M357" i="1"/>
  <c r="M349" i="1"/>
  <c r="M341" i="1"/>
  <c r="M333" i="1"/>
  <c r="M325" i="1"/>
  <c r="M317" i="1"/>
  <c r="M309" i="1"/>
  <c r="M301" i="1"/>
  <c r="M293" i="1"/>
  <c r="M285" i="1"/>
  <c r="M277" i="1"/>
  <c r="M269" i="1"/>
  <c r="M261" i="1"/>
  <c r="M253" i="1"/>
  <c r="M245" i="1"/>
  <c r="M237" i="1"/>
  <c r="M229" i="1"/>
  <c r="M221" i="1"/>
  <c r="M213" i="1"/>
  <c r="M206" i="1"/>
  <c r="M198" i="1"/>
  <c r="M190" i="1"/>
  <c r="M182" i="1"/>
  <c r="M174" i="1"/>
  <c r="M166" i="1"/>
  <c r="M158" i="1"/>
  <c r="M150" i="1"/>
  <c r="M143" i="1"/>
  <c r="M135" i="1"/>
  <c r="M91" i="1"/>
  <c r="M87" i="1"/>
  <c r="M83" i="1"/>
  <c r="M79" i="1"/>
  <c r="M75" i="1"/>
  <c r="M71" i="1"/>
  <c r="M67" i="1"/>
  <c r="M63" i="1"/>
  <c r="M59" i="1"/>
  <c r="M55" i="1"/>
  <c r="M51" i="1"/>
  <c r="M47" i="1"/>
  <c r="M43" i="1"/>
  <c r="M39" i="1"/>
  <c r="M35" i="1"/>
  <c r="M31" i="1"/>
  <c r="M27" i="1"/>
  <c r="M23" i="1"/>
  <c r="M19" i="1"/>
  <c r="M15" i="1"/>
  <c r="M11" i="1"/>
  <c r="M7" i="1"/>
  <c r="M3" i="1"/>
  <c r="M502" i="1"/>
  <c r="M494" i="1"/>
  <c r="M486" i="1"/>
  <c r="M478" i="1"/>
  <c r="M499" i="1"/>
  <c r="M491" i="1"/>
  <c r="M483" i="1"/>
  <c r="M475" i="1"/>
  <c r="M467" i="1"/>
  <c r="M460" i="1"/>
  <c r="M452" i="1"/>
  <c r="M444" i="1"/>
  <c r="M436" i="1"/>
  <c r="M428" i="1"/>
  <c r="M420" i="1"/>
  <c r="M412" i="1"/>
  <c r="M404" i="1"/>
  <c r="M396" i="1"/>
  <c r="M388" i="1"/>
  <c r="M380" i="1"/>
  <c r="M372" i="1"/>
  <c r="M364" i="1"/>
  <c r="M356" i="1"/>
  <c r="M348" i="1"/>
  <c r="M340" i="1"/>
  <c r="M332" i="1"/>
  <c r="M324" i="1"/>
  <c r="M316" i="1"/>
  <c r="M308" i="1"/>
  <c r="M300" i="1"/>
  <c r="M292" i="1"/>
  <c r="M284" i="1"/>
  <c r="M276" i="1"/>
  <c r="M268" i="1"/>
  <c r="M260" i="1"/>
  <c r="M252" i="1"/>
  <c r="M244" i="1"/>
  <c r="M236" i="1"/>
  <c r="M228" i="1"/>
  <c r="M220" i="1"/>
  <c r="M211" i="1"/>
  <c r="M203" i="1"/>
  <c r="M195" i="1"/>
  <c r="M187" i="1"/>
  <c r="M179" i="1"/>
  <c r="M171" i="1"/>
  <c r="M163" i="1"/>
  <c r="M155" i="1"/>
  <c r="M146" i="1"/>
  <c r="M138" i="1"/>
  <c r="M131" i="1"/>
  <c r="M127" i="1"/>
  <c r="M122" i="1"/>
  <c r="M118" i="1"/>
  <c r="M114" i="1"/>
  <c r="M110" i="1"/>
  <c r="M106" i="1"/>
  <c r="M102" i="1"/>
  <c r="M98" i="1"/>
  <c r="M94" i="1"/>
  <c r="M463" i="1"/>
  <c r="M455" i="1"/>
  <c r="M447" i="1"/>
  <c r="M439" i="1"/>
  <c r="M431" i="1"/>
  <c r="M423" i="1"/>
  <c r="M415" i="1"/>
  <c r="M407" i="1"/>
  <c r="M399" i="1"/>
  <c r="M391" i="1"/>
  <c r="M383" i="1"/>
  <c r="M375" i="1"/>
  <c r="M367" i="1"/>
  <c r="M359" i="1"/>
  <c r="M351" i="1"/>
  <c r="M343" i="1"/>
  <c r="M335" i="1"/>
  <c r="M327" i="1"/>
  <c r="M319" i="1"/>
  <c r="M311" i="1"/>
  <c r="M303" i="1"/>
  <c r="M295" i="1"/>
  <c r="M287" i="1"/>
  <c r="M279" i="1"/>
  <c r="M271" i="1"/>
  <c r="M263" i="1"/>
  <c r="M255" i="1"/>
  <c r="M247" i="1"/>
  <c r="M239" i="1"/>
  <c r="M231" i="1"/>
  <c r="M223" i="1"/>
  <c r="M215" i="1"/>
  <c r="M208" i="1"/>
  <c r="M200" i="1"/>
  <c r="M192" i="1"/>
  <c r="M184" i="1"/>
  <c r="M176" i="1"/>
  <c r="M168" i="1"/>
  <c r="M160" i="1"/>
  <c r="M152" i="1"/>
  <c r="M145" i="1"/>
  <c r="M137" i="1"/>
  <c r="M504" i="1"/>
  <c r="M88" i="1"/>
  <c r="M84" i="1"/>
  <c r="M80" i="1"/>
  <c r="M76" i="1"/>
  <c r="M72" i="1"/>
  <c r="M68" i="1"/>
  <c r="M64" i="1"/>
  <c r="M60" i="1"/>
  <c r="M56" i="1"/>
  <c r="M52" i="1"/>
  <c r="M48" i="1"/>
  <c r="M44" i="1"/>
  <c r="M40" i="1"/>
  <c r="M36" i="1"/>
  <c r="M32" i="1"/>
  <c r="M28" i="1"/>
  <c r="M24" i="1"/>
  <c r="M20" i="1"/>
  <c r="M16" i="1"/>
  <c r="M12" i="1"/>
  <c r="M8" i="1"/>
  <c r="M4" i="1"/>
  <c r="M496" i="1"/>
  <c r="M488" i="1"/>
  <c r="M480" i="1"/>
  <c r="M472" i="1"/>
  <c r="M501" i="1"/>
  <c r="M493" i="1"/>
  <c r="M485" i="1"/>
  <c r="M477" i="1"/>
  <c r="M469" i="1"/>
  <c r="M462" i="1"/>
  <c r="M454" i="1"/>
  <c r="M446" i="1"/>
  <c r="M438" i="1"/>
  <c r="M430" i="1"/>
  <c r="M422" i="1"/>
  <c r="M414" i="1"/>
  <c r="M406" i="1"/>
  <c r="M398" i="1"/>
  <c r="M390" i="1"/>
  <c r="M382" i="1"/>
  <c r="M374" i="1"/>
  <c r="M366" i="1"/>
  <c r="M358" i="1"/>
  <c r="M350" i="1"/>
  <c r="M342" i="1"/>
  <c r="M334" i="1"/>
  <c r="M326" i="1"/>
  <c r="M318" i="1"/>
  <c r="M310" i="1"/>
  <c r="M302" i="1"/>
  <c r="M294" i="1"/>
  <c r="M286" i="1"/>
  <c r="M278" i="1"/>
  <c r="M270" i="1"/>
  <c r="M262" i="1"/>
  <c r="M254" i="1"/>
  <c r="M246" i="1"/>
  <c r="M238" i="1"/>
  <c r="M230" i="1"/>
  <c r="M222" i="1"/>
  <c r="M214" i="1"/>
  <c r="M205" i="1"/>
  <c r="M197" i="1"/>
  <c r="M189" i="1"/>
  <c r="M181" i="1"/>
  <c r="M173" i="1"/>
  <c r="M165" i="1"/>
  <c r="M157" i="1"/>
  <c r="M148" i="1"/>
  <c r="M140" i="1"/>
  <c r="M132" i="1"/>
  <c r="M128" i="1"/>
  <c r="M123" i="1"/>
  <c r="M119" i="1"/>
  <c r="M115" i="1"/>
  <c r="M111" i="1"/>
  <c r="M107" i="1"/>
  <c r="M103" i="1"/>
  <c r="M99" i="1"/>
  <c r="M95" i="1"/>
  <c r="M465" i="1"/>
  <c r="M457" i="1"/>
  <c r="M449" i="1"/>
  <c r="M441" i="1"/>
  <c r="M433" i="1"/>
  <c r="M425" i="1"/>
  <c r="M417" i="1"/>
  <c r="M409" i="1"/>
  <c r="M401" i="1"/>
  <c r="M393" i="1"/>
  <c r="M385" i="1"/>
  <c r="M377" i="1"/>
  <c r="M369" i="1"/>
  <c r="M361" i="1"/>
  <c r="M353" i="1"/>
  <c r="M345" i="1"/>
  <c r="M337" i="1"/>
  <c r="M329" i="1"/>
  <c r="M321" i="1"/>
  <c r="M313" i="1"/>
  <c r="M305" i="1"/>
  <c r="M297" i="1"/>
  <c r="M289" i="1"/>
  <c r="M281" i="1"/>
  <c r="M273" i="1"/>
  <c r="M265" i="1"/>
  <c r="M257" i="1"/>
  <c r="M249" i="1"/>
  <c r="M241" i="1"/>
  <c r="M233" i="1"/>
  <c r="M225" i="1"/>
  <c r="M217" i="1"/>
  <c r="M210" i="1"/>
  <c r="M202" i="1"/>
  <c r="M194" i="1"/>
  <c r="M186" i="1"/>
  <c r="M178" i="1"/>
  <c r="M170" i="1"/>
  <c r="M162" i="1"/>
  <c r="M154" i="1"/>
  <c r="M147" i="1"/>
  <c r="M139" i="1"/>
  <c r="M126" i="1"/>
  <c r="M89" i="1"/>
  <c r="M85" i="1"/>
  <c r="M81" i="1"/>
  <c r="M77" i="1"/>
  <c r="M73" i="1"/>
  <c r="M69" i="1"/>
  <c r="M65" i="1"/>
  <c r="M61" i="1"/>
  <c r="M57" i="1"/>
  <c r="M53" i="1"/>
  <c r="M49" i="1"/>
  <c r="M45" i="1"/>
  <c r="M41" i="1"/>
  <c r="M37" i="1"/>
  <c r="M33" i="1"/>
  <c r="M29" i="1"/>
  <c r="M25" i="1"/>
  <c r="M21" i="1"/>
  <c r="M17" i="1"/>
  <c r="M13" i="1"/>
  <c r="M9" i="1"/>
  <c r="M5" i="1"/>
  <c r="A15" i="1" l="1"/>
  <c r="G2" i="1" l="1"/>
  <c r="H2" i="1"/>
  <c r="G3" i="1"/>
  <c r="H3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132" i="1"/>
  <c r="H132" i="1"/>
  <c r="G133" i="1"/>
  <c r="H133" i="1"/>
  <c r="G134" i="1"/>
  <c r="H134" i="1"/>
  <c r="G135" i="1"/>
  <c r="H135" i="1"/>
  <c r="G136" i="1"/>
  <c r="H136" i="1"/>
  <c r="G137" i="1"/>
  <c r="H137" i="1"/>
  <c r="G138" i="1"/>
  <c r="H138" i="1"/>
  <c r="G139" i="1"/>
  <c r="H139" i="1"/>
  <c r="G140" i="1"/>
  <c r="H140" i="1"/>
  <c r="G141" i="1"/>
  <c r="H141" i="1"/>
  <c r="G142" i="1"/>
  <c r="H142" i="1"/>
  <c r="G143" i="1"/>
  <c r="H143" i="1"/>
  <c r="G144" i="1"/>
  <c r="H144" i="1"/>
  <c r="G145" i="1"/>
  <c r="H145" i="1"/>
  <c r="G146" i="1"/>
  <c r="H146" i="1"/>
  <c r="G147" i="1"/>
  <c r="H147" i="1"/>
  <c r="G148" i="1"/>
  <c r="H148" i="1"/>
  <c r="G149" i="1"/>
  <c r="H149" i="1"/>
  <c r="G150" i="1"/>
  <c r="H150" i="1"/>
  <c r="G151" i="1"/>
  <c r="H151" i="1"/>
  <c r="G152" i="1"/>
  <c r="H152" i="1"/>
  <c r="G153" i="1"/>
  <c r="H153" i="1"/>
  <c r="G154" i="1"/>
  <c r="H154" i="1"/>
  <c r="G155" i="1"/>
  <c r="H155" i="1"/>
  <c r="G156" i="1"/>
  <c r="H156" i="1"/>
  <c r="G157" i="1"/>
  <c r="H157" i="1"/>
  <c r="G158" i="1"/>
  <c r="H158" i="1"/>
  <c r="G159" i="1"/>
  <c r="H159" i="1"/>
  <c r="G160" i="1"/>
  <c r="H160" i="1"/>
  <c r="G161" i="1"/>
  <c r="H161" i="1"/>
  <c r="G162" i="1"/>
  <c r="H162" i="1"/>
  <c r="G163" i="1"/>
  <c r="H163" i="1"/>
  <c r="G164" i="1"/>
  <c r="H164" i="1"/>
  <c r="G165" i="1"/>
  <c r="H165" i="1"/>
  <c r="G166" i="1"/>
  <c r="H166" i="1"/>
  <c r="G167" i="1"/>
  <c r="H167" i="1"/>
  <c r="G168" i="1"/>
  <c r="H168" i="1"/>
  <c r="G169" i="1"/>
  <c r="H169" i="1"/>
  <c r="G170" i="1"/>
  <c r="H170" i="1"/>
  <c r="G171" i="1"/>
  <c r="H171" i="1"/>
  <c r="G172" i="1"/>
  <c r="H172" i="1"/>
  <c r="G173" i="1"/>
  <c r="H173" i="1"/>
  <c r="G174" i="1"/>
  <c r="H174" i="1"/>
  <c r="G175" i="1"/>
  <c r="H175" i="1"/>
  <c r="G176" i="1"/>
  <c r="H176" i="1"/>
  <c r="G177" i="1"/>
  <c r="H177" i="1"/>
  <c r="G178" i="1"/>
  <c r="H178" i="1"/>
  <c r="G179" i="1"/>
  <c r="H179" i="1"/>
  <c r="G180" i="1"/>
  <c r="H180" i="1"/>
  <c r="G181" i="1"/>
  <c r="H181" i="1"/>
  <c r="G182" i="1"/>
  <c r="H182" i="1"/>
  <c r="G183" i="1"/>
  <c r="H183" i="1"/>
  <c r="G184" i="1"/>
  <c r="H184" i="1"/>
  <c r="G185" i="1"/>
  <c r="H185" i="1"/>
  <c r="G186" i="1"/>
  <c r="H186" i="1"/>
  <c r="G187" i="1"/>
  <c r="H187" i="1"/>
  <c r="G188" i="1"/>
  <c r="H188" i="1"/>
  <c r="G189" i="1"/>
  <c r="H189" i="1"/>
  <c r="G190" i="1"/>
  <c r="H190" i="1"/>
  <c r="G191" i="1"/>
  <c r="H191" i="1"/>
  <c r="G192" i="1"/>
  <c r="H192" i="1"/>
  <c r="G193" i="1"/>
  <c r="H193" i="1"/>
  <c r="G194" i="1"/>
  <c r="H194" i="1"/>
  <c r="G195" i="1"/>
  <c r="H195" i="1"/>
  <c r="G196" i="1"/>
  <c r="H196" i="1"/>
  <c r="G197" i="1"/>
  <c r="H197" i="1"/>
  <c r="G198" i="1"/>
  <c r="H198" i="1"/>
  <c r="G199" i="1"/>
  <c r="H199" i="1"/>
  <c r="G200" i="1"/>
  <c r="H200" i="1"/>
  <c r="G201" i="1"/>
  <c r="H201" i="1"/>
  <c r="G202" i="1"/>
  <c r="H202" i="1"/>
  <c r="G203" i="1"/>
  <c r="H203" i="1"/>
  <c r="G204" i="1"/>
  <c r="H204" i="1"/>
  <c r="G205" i="1"/>
  <c r="H205" i="1"/>
  <c r="G206" i="1"/>
  <c r="H206" i="1"/>
  <c r="G207" i="1"/>
  <c r="H207" i="1"/>
  <c r="G208" i="1"/>
  <c r="H208" i="1"/>
  <c r="G209" i="1"/>
  <c r="H209" i="1"/>
  <c r="G210" i="1"/>
  <c r="H210" i="1"/>
  <c r="G211" i="1"/>
  <c r="H211" i="1"/>
  <c r="G212" i="1"/>
  <c r="H212" i="1"/>
  <c r="G213" i="1"/>
  <c r="H213" i="1"/>
  <c r="G214" i="1"/>
  <c r="H214" i="1"/>
  <c r="G215" i="1"/>
  <c r="H215" i="1"/>
  <c r="G216" i="1"/>
  <c r="H216" i="1"/>
  <c r="G217" i="1"/>
  <c r="H217" i="1"/>
  <c r="G218" i="1"/>
  <c r="H218" i="1"/>
  <c r="G219" i="1"/>
  <c r="H219" i="1"/>
  <c r="G220" i="1"/>
  <c r="H220" i="1"/>
  <c r="G221" i="1"/>
  <c r="H221" i="1"/>
  <c r="G222" i="1"/>
  <c r="H222" i="1"/>
  <c r="G223" i="1"/>
  <c r="H223" i="1"/>
  <c r="G224" i="1"/>
  <c r="H224" i="1"/>
  <c r="G225" i="1"/>
  <c r="H225" i="1"/>
  <c r="G226" i="1"/>
  <c r="H226" i="1"/>
  <c r="G227" i="1"/>
  <c r="H227" i="1"/>
  <c r="G228" i="1"/>
  <c r="H228" i="1"/>
  <c r="G229" i="1"/>
  <c r="H229" i="1"/>
  <c r="G230" i="1"/>
  <c r="H230" i="1"/>
  <c r="G231" i="1"/>
  <c r="H231" i="1"/>
  <c r="G232" i="1"/>
  <c r="H232" i="1"/>
  <c r="G233" i="1"/>
  <c r="H233" i="1"/>
  <c r="G234" i="1"/>
  <c r="H234" i="1"/>
  <c r="G235" i="1"/>
  <c r="H235" i="1"/>
  <c r="G236" i="1"/>
  <c r="H236" i="1"/>
  <c r="G237" i="1"/>
  <c r="H237" i="1"/>
  <c r="G238" i="1"/>
  <c r="H238" i="1"/>
  <c r="G239" i="1"/>
  <c r="H239" i="1"/>
  <c r="G240" i="1"/>
  <c r="H240" i="1"/>
  <c r="G241" i="1"/>
  <c r="H241" i="1"/>
  <c r="G242" i="1"/>
  <c r="H242" i="1"/>
  <c r="G243" i="1"/>
  <c r="H243" i="1"/>
  <c r="G244" i="1"/>
  <c r="H244" i="1"/>
  <c r="G245" i="1"/>
  <c r="H245" i="1"/>
  <c r="G246" i="1"/>
  <c r="H246" i="1"/>
  <c r="G247" i="1"/>
  <c r="H247" i="1"/>
  <c r="G248" i="1"/>
  <c r="H248" i="1"/>
  <c r="G249" i="1"/>
  <c r="H249" i="1"/>
  <c r="G250" i="1"/>
  <c r="H250" i="1"/>
  <c r="G251" i="1"/>
  <c r="H251" i="1"/>
  <c r="G252" i="1"/>
  <c r="H252" i="1"/>
  <c r="G253" i="1"/>
  <c r="H253" i="1"/>
  <c r="G254" i="1"/>
  <c r="H254" i="1"/>
  <c r="G255" i="1"/>
  <c r="H255" i="1"/>
  <c r="G256" i="1"/>
  <c r="H256" i="1"/>
  <c r="G257" i="1"/>
  <c r="H257" i="1"/>
  <c r="G258" i="1"/>
  <c r="H258" i="1"/>
  <c r="G259" i="1"/>
  <c r="H259" i="1"/>
  <c r="G260" i="1"/>
  <c r="H260" i="1"/>
  <c r="G261" i="1"/>
  <c r="H261" i="1"/>
  <c r="G262" i="1"/>
  <c r="H262" i="1"/>
  <c r="G263" i="1"/>
  <c r="H263" i="1"/>
  <c r="G264" i="1"/>
  <c r="H264" i="1"/>
  <c r="G265" i="1"/>
  <c r="H265" i="1"/>
  <c r="G266" i="1"/>
  <c r="H266" i="1"/>
  <c r="G267" i="1"/>
  <c r="H267" i="1"/>
  <c r="G268" i="1"/>
  <c r="H268" i="1"/>
  <c r="G269" i="1"/>
  <c r="H269" i="1"/>
  <c r="G270" i="1"/>
  <c r="H270" i="1"/>
  <c r="G271" i="1"/>
  <c r="H271" i="1"/>
  <c r="G272" i="1"/>
  <c r="H272" i="1"/>
  <c r="G273" i="1"/>
  <c r="H273" i="1"/>
  <c r="G274" i="1"/>
  <c r="H274" i="1"/>
  <c r="G275" i="1"/>
  <c r="H275" i="1"/>
  <c r="G276" i="1"/>
  <c r="H276" i="1"/>
  <c r="G277" i="1"/>
  <c r="H277" i="1"/>
  <c r="G278" i="1"/>
  <c r="H278" i="1"/>
  <c r="G279" i="1"/>
  <c r="H279" i="1"/>
  <c r="G280" i="1"/>
  <c r="H280" i="1"/>
  <c r="G281" i="1"/>
  <c r="H281" i="1"/>
  <c r="G282" i="1"/>
  <c r="H282" i="1"/>
  <c r="G283" i="1"/>
  <c r="H283" i="1"/>
  <c r="G284" i="1"/>
  <c r="H284" i="1"/>
  <c r="G285" i="1"/>
  <c r="H285" i="1"/>
  <c r="G286" i="1"/>
  <c r="H286" i="1"/>
  <c r="G287" i="1"/>
  <c r="H287" i="1"/>
  <c r="G288" i="1"/>
  <c r="H288" i="1"/>
  <c r="G289" i="1"/>
  <c r="H289" i="1"/>
  <c r="G290" i="1"/>
  <c r="H290" i="1"/>
  <c r="G291" i="1"/>
  <c r="H291" i="1"/>
  <c r="G292" i="1"/>
  <c r="H292" i="1"/>
  <c r="G293" i="1"/>
  <c r="H293" i="1"/>
  <c r="G294" i="1"/>
  <c r="H294" i="1"/>
  <c r="G295" i="1"/>
  <c r="H295" i="1"/>
  <c r="G296" i="1"/>
  <c r="H296" i="1"/>
  <c r="G297" i="1"/>
  <c r="H297" i="1"/>
  <c r="G298" i="1"/>
  <c r="H298" i="1"/>
  <c r="G299" i="1"/>
  <c r="H299" i="1"/>
  <c r="G300" i="1"/>
  <c r="H300" i="1"/>
  <c r="G301" i="1"/>
  <c r="H301" i="1"/>
  <c r="G302" i="1"/>
  <c r="H302" i="1"/>
  <c r="G303" i="1"/>
  <c r="H303" i="1"/>
  <c r="G304" i="1"/>
  <c r="H304" i="1"/>
  <c r="G305" i="1"/>
  <c r="H305" i="1"/>
  <c r="G306" i="1"/>
  <c r="H306" i="1"/>
  <c r="G307" i="1"/>
  <c r="H307" i="1"/>
  <c r="G308" i="1"/>
  <c r="H308" i="1"/>
  <c r="G309" i="1"/>
  <c r="H309" i="1"/>
  <c r="G310" i="1"/>
  <c r="H310" i="1"/>
  <c r="G311" i="1"/>
  <c r="H311" i="1"/>
  <c r="G312" i="1"/>
  <c r="H312" i="1"/>
  <c r="G313" i="1"/>
  <c r="H313" i="1"/>
  <c r="G314" i="1"/>
  <c r="H314" i="1"/>
  <c r="G315" i="1"/>
  <c r="H315" i="1"/>
  <c r="G316" i="1"/>
  <c r="H316" i="1"/>
  <c r="G317" i="1"/>
  <c r="H317" i="1"/>
  <c r="G318" i="1"/>
  <c r="H318" i="1"/>
  <c r="G319" i="1"/>
  <c r="H319" i="1"/>
  <c r="G320" i="1"/>
  <c r="H320" i="1"/>
  <c r="G321" i="1"/>
  <c r="H321" i="1"/>
  <c r="G322" i="1"/>
  <c r="H322" i="1"/>
  <c r="G323" i="1"/>
  <c r="H323" i="1"/>
  <c r="G324" i="1"/>
  <c r="H324" i="1"/>
  <c r="G325" i="1"/>
  <c r="H325" i="1"/>
  <c r="G326" i="1"/>
  <c r="H326" i="1"/>
  <c r="G327" i="1"/>
  <c r="H327" i="1"/>
  <c r="G328" i="1"/>
  <c r="H328" i="1"/>
  <c r="G329" i="1"/>
  <c r="H329" i="1"/>
  <c r="G330" i="1"/>
  <c r="H330" i="1"/>
  <c r="G331" i="1"/>
  <c r="H331" i="1"/>
  <c r="G332" i="1"/>
  <c r="H332" i="1"/>
  <c r="G333" i="1"/>
  <c r="H333" i="1"/>
  <c r="G334" i="1"/>
  <c r="H334" i="1"/>
  <c r="G335" i="1"/>
  <c r="H335" i="1"/>
  <c r="G336" i="1"/>
  <c r="H336" i="1"/>
  <c r="G337" i="1"/>
  <c r="H337" i="1"/>
  <c r="G338" i="1"/>
  <c r="H338" i="1"/>
  <c r="G339" i="1"/>
  <c r="H339" i="1"/>
  <c r="G340" i="1"/>
  <c r="H340" i="1"/>
  <c r="G341" i="1"/>
  <c r="H341" i="1"/>
  <c r="G342" i="1"/>
  <c r="H342" i="1"/>
  <c r="G343" i="1"/>
  <c r="H343" i="1"/>
  <c r="G344" i="1"/>
  <c r="H344" i="1"/>
  <c r="G345" i="1"/>
  <c r="H345" i="1"/>
  <c r="G346" i="1"/>
  <c r="H346" i="1"/>
  <c r="G347" i="1"/>
  <c r="H347" i="1"/>
  <c r="G348" i="1"/>
  <c r="H348" i="1"/>
  <c r="G349" i="1"/>
  <c r="H349" i="1"/>
  <c r="G350" i="1"/>
  <c r="H350" i="1"/>
  <c r="G351" i="1"/>
  <c r="H351" i="1"/>
  <c r="G352" i="1"/>
  <c r="H352" i="1"/>
  <c r="G353" i="1"/>
  <c r="H353" i="1"/>
  <c r="G354" i="1"/>
  <c r="H354" i="1"/>
  <c r="G355" i="1"/>
  <c r="H355" i="1"/>
  <c r="G356" i="1"/>
  <c r="H356" i="1"/>
  <c r="G357" i="1"/>
  <c r="H357" i="1"/>
  <c r="G358" i="1"/>
  <c r="H358" i="1"/>
  <c r="G359" i="1"/>
  <c r="H359" i="1"/>
  <c r="G360" i="1"/>
  <c r="H360" i="1"/>
  <c r="G361" i="1"/>
  <c r="H361" i="1"/>
  <c r="G362" i="1"/>
  <c r="H362" i="1"/>
  <c r="G363" i="1"/>
  <c r="H363" i="1"/>
  <c r="G364" i="1"/>
  <c r="H364" i="1"/>
  <c r="G365" i="1"/>
  <c r="H365" i="1"/>
  <c r="G366" i="1"/>
  <c r="H366" i="1"/>
  <c r="G367" i="1"/>
  <c r="H367" i="1"/>
  <c r="G368" i="1"/>
  <c r="H368" i="1"/>
  <c r="G369" i="1"/>
  <c r="H369" i="1"/>
  <c r="G370" i="1"/>
  <c r="H370" i="1"/>
  <c r="G371" i="1"/>
  <c r="H371" i="1"/>
  <c r="G372" i="1"/>
  <c r="H372" i="1"/>
  <c r="G373" i="1"/>
  <c r="H373" i="1"/>
  <c r="G374" i="1"/>
  <c r="H374" i="1"/>
  <c r="G375" i="1"/>
  <c r="H375" i="1"/>
  <c r="G376" i="1"/>
  <c r="H376" i="1"/>
  <c r="G377" i="1"/>
  <c r="H377" i="1"/>
  <c r="G378" i="1"/>
  <c r="H378" i="1"/>
  <c r="G379" i="1"/>
  <c r="H379" i="1"/>
  <c r="G380" i="1"/>
  <c r="H380" i="1"/>
  <c r="G381" i="1"/>
  <c r="H381" i="1"/>
  <c r="G382" i="1"/>
  <c r="H382" i="1"/>
  <c r="G383" i="1"/>
  <c r="H383" i="1"/>
  <c r="G384" i="1"/>
  <c r="H384" i="1"/>
  <c r="G385" i="1"/>
  <c r="H385" i="1"/>
  <c r="G386" i="1"/>
  <c r="H386" i="1"/>
  <c r="G387" i="1"/>
  <c r="H387" i="1"/>
  <c r="G388" i="1"/>
  <c r="H388" i="1"/>
  <c r="G389" i="1"/>
  <c r="H389" i="1"/>
  <c r="G390" i="1"/>
  <c r="H390" i="1"/>
  <c r="G391" i="1"/>
  <c r="H391" i="1"/>
  <c r="G392" i="1"/>
  <c r="H392" i="1"/>
  <c r="G393" i="1"/>
  <c r="H393" i="1"/>
  <c r="G394" i="1"/>
  <c r="H394" i="1"/>
  <c r="G395" i="1"/>
  <c r="H395" i="1"/>
  <c r="G396" i="1"/>
  <c r="H396" i="1"/>
  <c r="G397" i="1"/>
  <c r="H397" i="1"/>
  <c r="G398" i="1"/>
  <c r="H398" i="1"/>
  <c r="G399" i="1"/>
  <c r="H399" i="1"/>
  <c r="G400" i="1"/>
  <c r="H400" i="1"/>
  <c r="G401" i="1"/>
  <c r="H401" i="1"/>
  <c r="G402" i="1"/>
  <c r="H402" i="1"/>
  <c r="G403" i="1"/>
  <c r="H403" i="1"/>
  <c r="G404" i="1"/>
  <c r="H404" i="1"/>
  <c r="G405" i="1"/>
  <c r="H405" i="1"/>
  <c r="G406" i="1"/>
  <c r="H406" i="1"/>
  <c r="G407" i="1"/>
  <c r="H407" i="1"/>
  <c r="G408" i="1"/>
  <c r="H408" i="1"/>
  <c r="G409" i="1"/>
  <c r="H409" i="1"/>
  <c r="G410" i="1"/>
  <c r="H410" i="1"/>
  <c r="G411" i="1"/>
  <c r="H411" i="1"/>
  <c r="G412" i="1"/>
  <c r="H412" i="1"/>
  <c r="G413" i="1"/>
  <c r="H413" i="1"/>
  <c r="G414" i="1"/>
  <c r="H414" i="1"/>
  <c r="G415" i="1"/>
  <c r="H415" i="1"/>
  <c r="G416" i="1"/>
  <c r="H416" i="1"/>
  <c r="G417" i="1"/>
  <c r="H417" i="1"/>
  <c r="G418" i="1"/>
  <c r="H418" i="1"/>
  <c r="G419" i="1"/>
  <c r="H419" i="1"/>
  <c r="G420" i="1"/>
  <c r="H420" i="1"/>
  <c r="G421" i="1"/>
  <c r="H421" i="1"/>
  <c r="G422" i="1"/>
  <c r="H422" i="1"/>
  <c r="G423" i="1"/>
  <c r="H423" i="1"/>
  <c r="G424" i="1"/>
  <c r="H424" i="1"/>
  <c r="G425" i="1"/>
  <c r="H425" i="1"/>
  <c r="G426" i="1"/>
  <c r="H426" i="1"/>
  <c r="G427" i="1"/>
  <c r="H427" i="1"/>
  <c r="G428" i="1"/>
  <c r="H428" i="1"/>
  <c r="G429" i="1"/>
  <c r="H429" i="1"/>
  <c r="G430" i="1"/>
  <c r="H430" i="1"/>
  <c r="G431" i="1"/>
  <c r="H431" i="1"/>
  <c r="G432" i="1"/>
  <c r="H432" i="1"/>
  <c r="G433" i="1"/>
  <c r="H433" i="1"/>
  <c r="G434" i="1"/>
  <c r="H434" i="1"/>
  <c r="G435" i="1"/>
  <c r="H435" i="1"/>
  <c r="G436" i="1"/>
  <c r="H436" i="1"/>
  <c r="G437" i="1"/>
  <c r="H437" i="1"/>
  <c r="G438" i="1"/>
  <c r="H438" i="1"/>
  <c r="G439" i="1"/>
  <c r="H439" i="1"/>
  <c r="G440" i="1"/>
  <c r="H440" i="1"/>
  <c r="G441" i="1"/>
  <c r="H441" i="1"/>
  <c r="G442" i="1"/>
  <c r="H442" i="1"/>
  <c r="G443" i="1"/>
  <c r="H443" i="1"/>
  <c r="G444" i="1"/>
  <c r="H444" i="1"/>
  <c r="G445" i="1"/>
  <c r="H445" i="1"/>
  <c r="G446" i="1"/>
  <c r="H446" i="1"/>
  <c r="G447" i="1"/>
  <c r="H447" i="1"/>
  <c r="G448" i="1"/>
  <c r="H448" i="1"/>
  <c r="G449" i="1"/>
  <c r="H449" i="1"/>
  <c r="G450" i="1"/>
  <c r="H450" i="1"/>
  <c r="G451" i="1"/>
  <c r="H451" i="1"/>
  <c r="G452" i="1"/>
  <c r="H452" i="1"/>
  <c r="G453" i="1"/>
  <c r="H453" i="1"/>
  <c r="G454" i="1"/>
  <c r="H454" i="1"/>
  <c r="G455" i="1"/>
  <c r="H455" i="1"/>
  <c r="G456" i="1"/>
  <c r="H456" i="1"/>
  <c r="G457" i="1"/>
  <c r="H457" i="1"/>
  <c r="G458" i="1"/>
  <c r="H458" i="1"/>
  <c r="G459" i="1"/>
  <c r="H459" i="1"/>
  <c r="G460" i="1"/>
  <c r="H460" i="1"/>
  <c r="G461" i="1"/>
  <c r="H461" i="1"/>
  <c r="G462" i="1"/>
  <c r="H462" i="1"/>
  <c r="G463" i="1"/>
  <c r="H463" i="1"/>
  <c r="G464" i="1"/>
  <c r="H464" i="1"/>
  <c r="G465" i="1"/>
  <c r="H465" i="1"/>
  <c r="G466" i="1"/>
  <c r="H466" i="1"/>
  <c r="G467" i="1"/>
  <c r="H467" i="1"/>
  <c r="G468" i="1"/>
  <c r="H468" i="1"/>
  <c r="G469" i="1"/>
  <c r="H469" i="1"/>
  <c r="G470" i="1"/>
  <c r="H470" i="1"/>
  <c r="G471" i="1"/>
  <c r="H471" i="1"/>
  <c r="G472" i="1"/>
  <c r="H472" i="1"/>
  <c r="G473" i="1"/>
  <c r="H473" i="1"/>
  <c r="G474" i="1"/>
  <c r="H474" i="1"/>
  <c r="G475" i="1"/>
  <c r="H475" i="1"/>
  <c r="G476" i="1"/>
  <c r="H476" i="1"/>
  <c r="G477" i="1"/>
  <c r="H477" i="1"/>
  <c r="G478" i="1"/>
  <c r="H478" i="1"/>
  <c r="G479" i="1"/>
  <c r="H479" i="1"/>
  <c r="G480" i="1"/>
  <c r="H480" i="1"/>
  <c r="G481" i="1"/>
  <c r="H481" i="1"/>
  <c r="G482" i="1"/>
  <c r="H482" i="1"/>
  <c r="G483" i="1"/>
  <c r="H483" i="1"/>
  <c r="G484" i="1"/>
  <c r="H484" i="1"/>
  <c r="G485" i="1"/>
  <c r="H485" i="1"/>
  <c r="G486" i="1"/>
  <c r="H486" i="1"/>
  <c r="G487" i="1"/>
  <c r="H487" i="1"/>
  <c r="G488" i="1"/>
  <c r="H488" i="1"/>
  <c r="G489" i="1"/>
  <c r="H489" i="1"/>
  <c r="G490" i="1"/>
  <c r="H490" i="1"/>
  <c r="G491" i="1"/>
  <c r="H491" i="1"/>
  <c r="G492" i="1"/>
  <c r="H492" i="1"/>
  <c r="G493" i="1"/>
  <c r="H493" i="1"/>
  <c r="G494" i="1"/>
  <c r="H494" i="1"/>
  <c r="G495" i="1"/>
  <c r="H495" i="1"/>
  <c r="G496" i="1"/>
  <c r="H496" i="1"/>
  <c r="G497" i="1"/>
  <c r="H497" i="1"/>
  <c r="G498" i="1"/>
  <c r="H498" i="1"/>
  <c r="G499" i="1"/>
  <c r="H499" i="1"/>
  <c r="G500" i="1"/>
  <c r="H500" i="1"/>
  <c r="G501" i="1"/>
  <c r="H501" i="1"/>
  <c r="G502" i="1"/>
  <c r="H502" i="1"/>
  <c r="G503" i="1"/>
  <c r="H503" i="1"/>
  <c r="G504" i="1"/>
  <c r="H504" i="1"/>
</calcChain>
</file>

<file path=xl/sharedStrings.xml><?xml version="1.0" encoding="utf-8"?>
<sst xmlns="http://schemas.openxmlformats.org/spreadsheetml/2006/main" count="16" uniqueCount="16">
  <si>
    <t>Date</t>
  </si>
  <si>
    <t>AAPL</t>
  </si>
  <si>
    <t>SPY</t>
  </si>
  <si>
    <t>log likelihood</t>
  </si>
  <si>
    <t>total log likelihood</t>
  </si>
  <si>
    <t>X1</t>
  </si>
  <si>
    <t>X2</t>
  </si>
  <si>
    <t>theta matrix</t>
  </si>
  <si>
    <t>Sigma</t>
  </si>
  <si>
    <t>sigma inverse</t>
  </si>
  <si>
    <t>abs shifts</t>
  </si>
  <si>
    <t>phi matrix</t>
  </si>
  <si>
    <t>X1-mu</t>
  </si>
  <si>
    <t>X2-mu</t>
  </si>
  <si>
    <t>absolute theta</t>
  </si>
  <si>
    <t>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</si>
</sst>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#,##0.0000"/>
    <numFmt numFmtId="166" formatCode="0.000"/>
    <numFmt numFmtId="167" formatCode="0.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2" fontId="0" fillId="0" borderId="0" xfId="0" applyNumberFormat="1"/>
    <xf numFmtId="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4" fontId="0" fillId="0" borderId="0" xfId="0" quotePrefix="1" applyNumberFormat="1"/>
    <xf numFmtId="4" fontId="2" fillId="0" borderId="0" xfId="0" applyNumberFormat="1" applyFont="1"/>
    <xf numFmtId="164" fontId="2" fillId="0" borderId="0" xfId="0" applyNumberFormat="1" applyFont="1"/>
    <xf numFmtId="0" fontId="1" fillId="0" borderId="0" xfId="0" applyFont="1"/>
    <xf numFmtId="0" fontId="2" fillId="0" borderId="0" xfId="0" applyFont="1"/>
    <xf numFmtId="165" fontId="2" fillId="0" borderId="0" xfId="0" quotePrefix="1" applyNumberFormat="1" applyFont="1"/>
    <xf numFmtId="165" fontId="2" fillId="0" borderId="0" xfId="0" applyNumberFormat="1" applyFon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06"/>
  <sheetViews>
    <sheetView tabSelected="1" workbookViewId="0">
      <selection activeCell="A5" sqref="A5"/>
    </sheetView>
  </sheetViews>
  <sheetFormatPr defaultRowHeight="15" x14ac:dyDescent="0.25"/>
  <cols>
    <col min="1" max="1" width="38.5703125" customWidth="1"/>
    <col min="2" max="2" width="16.7109375" bestFit="1" customWidth="1"/>
    <col min="4" max="4" width="14.28515625" customWidth="1"/>
    <col min="5" max="5" width="11.5703125" customWidth="1"/>
    <col min="6" max="6" width="10.7109375" customWidth="1"/>
    <col min="7" max="7" width="12.42578125" customWidth="1"/>
    <col min="8" max="8" width="13.85546875" customWidth="1"/>
    <col min="9" max="9" width="13.28515625" customWidth="1"/>
    <col min="10" max="10" width="13.140625" customWidth="1"/>
    <col min="11" max="11" width="18.140625" customWidth="1"/>
    <col min="12" max="12" width="15.7109375" customWidth="1"/>
    <col min="13" max="13" width="19.5703125" customWidth="1"/>
  </cols>
  <sheetData>
    <row r="1" spans="1:13" x14ac:dyDescent="0.25">
      <c r="A1" t="s">
        <v>7</v>
      </c>
      <c r="D1" s="1" t="s">
        <v>0</v>
      </c>
      <c r="E1" s="3" t="s">
        <v>1</v>
      </c>
      <c r="F1" s="3" t="s">
        <v>2</v>
      </c>
      <c r="G1" s="3" t="s">
        <v>10</v>
      </c>
      <c r="H1" s="3"/>
      <c r="I1" s="3" t="s">
        <v>5</v>
      </c>
      <c r="J1" s="3" t="s">
        <v>6</v>
      </c>
      <c r="K1" s="3" t="s">
        <v>12</v>
      </c>
      <c r="L1" s="3" t="s">
        <v>13</v>
      </c>
      <c r="M1" s="3" t="s">
        <v>3</v>
      </c>
    </row>
    <row r="2" spans="1:13" x14ac:dyDescent="0.25">
      <c r="A2">
        <v>1.6663502106880059</v>
      </c>
      <c r="B2">
        <v>0</v>
      </c>
      <c r="D2" s="1">
        <v>42398</v>
      </c>
      <c r="E2" s="3">
        <v>96.814655999999999</v>
      </c>
      <c r="F2" s="3">
        <v>193.720001</v>
      </c>
      <c r="G2" s="3">
        <f t="shared" ref="G2:G65" si="0">E2-E3</f>
        <v>3.2324600000000032</v>
      </c>
      <c r="H2" s="3">
        <f t="shared" ref="H2:H65" si="1">F2-F3</f>
        <v>4.6099999999999852</v>
      </c>
      <c r="I2" s="3">
        <f>G2-AVERAGE(G$2:G$505)</f>
        <v>3.1763114424603205</v>
      </c>
      <c r="J2" s="3">
        <f>H2-AVERAGE(H$2:H$505)</f>
        <v>4.5637975853174453</v>
      </c>
      <c r="K2" s="4">
        <f t="shared" ref="K2:K65" si="2">I2-A$11*I3</f>
        <v>3.1919240070937254</v>
      </c>
      <c r="L2" s="4">
        <f t="shared" ref="L2:L65" si="3">J2-A$12*I3-B$12*J3</f>
        <v>4.5501029551049363</v>
      </c>
      <c r="M2" s="7">
        <f>-LN(2*PI()*ABS(A$2*B$3))-0.5*SUMPRODUCT(MMULT(K2:L2,A$8:B$9),K2:L2)</f>
        <v>-6.1489644076809284</v>
      </c>
    </row>
    <row r="3" spans="1:13" x14ac:dyDescent="0.25">
      <c r="A3">
        <v>1.1027878463817389</v>
      </c>
      <c r="B3">
        <v>1.3294395390256153</v>
      </c>
      <c r="D3" s="1">
        <v>42397</v>
      </c>
      <c r="E3" s="3">
        <v>93.582195999999996</v>
      </c>
      <c r="F3" s="3">
        <v>189.11000100000001</v>
      </c>
      <c r="G3" s="3">
        <f t="shared" si="0"/>
        <v>0.6663819999999987</v>
      </c>
      <c r="H3" s="3">
        <f t="shared" si="1"/>
        <v>0.97999599999999987</v>
      </c>
      <c r="I3" s="3">
        <f t="shared" ref="I3:I66" si="4">G3-AVERAGE(G$2:G$505)</f>
        <v>0.61023344246031619</v>
      </c>
      <c r="J3" s="3">
        <f t="shared" ref="J3:J66" si="5">H3-AVERAGE(H$2:H$505)</f>
        <v>0.93379358531746026</v>
      </c>
      <c r="K3" s="4">
        <f t="shared" si="2"/>
        <v>0.44161341093024964</v>
      </c>
      <c r="L3" s="4">
        <f t="shared" si="3"/>
        <v>1.1950646954834168</v>
      </c>
      <c r="M3" s="7">
        <f t="shared" ref="M3:M66" si="6">-LN(2*PI()*ABS(A$2*B$3))-0.5*SUMPRODUCT(MMULT(K3:L3,A$8:B$9),K3:L3)</f>
        <v>-2.898967479596319</v>
      </c>
    </row>
    <row r="4" spans="1:13" x14ac:dyDescent="0.25">
      <c r="A4" t="s">
        <v>8</v>
      </c>
      <c r="B4" s="3"/>
      <c r="D4" s="1">
        <v>42396</v>
      </c>
      <c r="E4" s="3">
        <v>92.915813999999997</v>
      </c>
      <c r="F4" s="3">
        <v>188.13000500000001</v>
      </c>
      <c r="G4" s="3">
        <f t="shared" si="0"/>
        <v>-6.5345420000000018</v>
      </c>
      <c r="H4" s="3">
        <f t="shared" si="1"/>
        <v>-2.069991999999985</v>
      </c>
      <c r="I4" s="3">
        <f t="shared" si="4"/>
        <v>-6.5906905575396841</v>
      </c>
      <c r="J4" s="3">
        <f t="shared" si="5"/>
        <v>-2.1161944146825244</v>
      </c>
      <c r="K4" s="4">
        <f t="shared" si="2"/>
        <v>-6.5781316401208718</v>
      </c>
      <c r="L4" s="4">
        <f t="shared" si="3"/>
        <v>-2.1021356677878549</v>
      </c>
      <c r="M4" s="7">
        <f t="shared" si="6"/>
        <v>-11.858942508371186</v>
      </c>
    </row>
    <row r="5" spans="1:13" x14ac:dyDescent="0.25">
      <c r="A5">
        <f>A2^2</f>
        <v>2.7767230246599617</v>
      </c>
      <c r="B5">
        <f>A2*A3</f>
        <v>1.8376307601623829</v>
      </c>
      <c r="D5" s="1">
        <v>42395</v>
      </c>
      <c r="E5" s="3">
        <v>99.450355999999999</v>
      </c>
      <c r="F5" s="3">
        <v>190.199997</v>
      </c>
      <c r="G5" s="3">
        <f t="shared" si="0"/>
        <v>0.54702699999999993</v>
      </c>
      <c r="H5" s="3">
        <f t="shared" si="1"/>
        <v>2.5599980000000073</v>
      </c>
      <c r="I5" s="3">
        <f t="shared" si="4"/>
        <v>0.49087844246031737</v>
      </c>
      <c r="J5" s="3">
        <f t="shared" si="5"/>
        <v>2.5137955853174678</v>
      </c>
      <c r="K5" s="4">
        <f t="shared" si="2"/>
        <v>0.43905796716513873</v>
      </c>
      <c r="L5" s="4">
        <f t="shared" si="3"/>
        <v>2.5617139753439093</v>
      </c>
      <c r="M5" s="7">
        <f t="shared" si="6"/>
        <v>-4.1272097866437782</v>
      </c>
    </row>
    <row r="6" spans="1:13" x14ac:dyDescent="0.25">
      <c r="A6">
        <f>B5</f>
        <v>1.8376307601623829</v>
      </c>
      <c r="B6">
        <f>A3^2+B3^2</f>
        <v>2.9835505220519143</v>
      </c>
      <c r="D6" s="1">
        <v>42394</v>
      </c>
      <c r="E6" s="3">
        <v>98.903328999999999</v>
      </c>
      <c r="F6" s="3">
        <v>187.63999899999999</v>
      </c>
      <c r="G6" s="3">
        <f t="shared" si="0"/>
        <v>-1.9693089999999955</v>
      </c>
      <c r="H6" s="3">
        <f t="shared" si="1"/>
        <v>-2.8800050000000113</v>
      </c>
      <c r="I6" s="3">
        <f t="shared" si="4"/>
        <v>-2.0254575575396783</v>
      </c>
      <c r="J6" s="3">
        <f t="shared" si="5"/>
        <v>-2.9262074146825507</v>
      </c>
      <c r="K6" s="4">
        <f t="shared" si="2"/>
        <v>-1.8966081658035847</v>
      </c>
      <c r="L6" s="4">
        <f t="shared" si="3"/>
        <v>-3.0950319454859336</v>
      </c>
      <c r="M6" s="7">
        <f t="shared" si="6"/>
        <v>-4.2386382287864244</v>
      </c>
    </row>
    <row r="7" spans="1:13" x14ac:dyDescent="0.25">
      <c r="A7" t="s">
        <v>9</v>
      </c>
      <c r="D7" s="1">
        <v>42391</v>
      </c>
      <c r="E7" s="3">
        <v>100.87263799999999</v>
      </c>
      <c r="F7" s="3">
        <v>190.520004</v>
      </c>
      <c r="G7" s="3">
        <f t="shared" si="0"/>
        <v>5.0923619999999943</v>
      </c>
      <c r="H7" s="3">
        <f t="shared" si="1"/>
        <v>3.8300020000000075</v>
      </c>
      <c r="I7" s="3">
        <f t="shared" si="4"/>
        <v>5.036213442460312</v>
      </c>
      <c r="J7" s="3">
        <f t="shared" si="5"/>
        <v>3.783799585317468</v>
      </c>
      <c r="K7" s="4">
        <f t="shared" si="2"/>
        <v>5.0223081848899742</v>
      </c>
      <c r="L7" s="4">
        <f t="shared" si="3"/>
        <v>3.821965482539202</v>
      </c>
      <c r="M7" s="7">
        <f t="shared" si="6"/>
        <v>-7.2454587322720734</v>
      </c>
    </row>
    <row r="8" spans="1:13" x14ac:dyDescent="0.25">
      <c r="A8" s="4">
        <f t="array" ref="A8:B9">MINVERSE(A5:B6)</f>
        <v>0.60794410669068455</v>
      </c>
      <c r="B8" s="4">
        <v>-0.37444540746235244</v>
      </c>
      <c r="D8" s="1">
        <v>42390</v>
      </c>
      <c r="E8" s="3">
        <v>95.780276000000001</v>
      </c>
      <c r="F8" s="3">
        <v>186.69000199999999</v>
      </c>
      <c r="G8" s="3">
        <f t="shared" si="0"/>
        <v>-0.48735299999999881</v>
      </c>
      <c r="H8" s="3">
        <f t="shared" si="1"/>
        <v>1.0400080000000003</v>
      </c>
      <c r="I8" s="3">
        <f t="shared" si="4"/>
        <v>-0.54350155753968132</v>
      </c>
      <c r="J8" s="3">
        <f t="shared" si="5"/>
        <v>0.99380558531746066</v>
      </c>
      <c r="K8" s="4">
        <f t="shared" si="2"/>
        <v>-0.54163011114930393</v>
      </c>
      <c r="L8" s="4">
        <f t="shared" si="3"/>
        <v>0.95563040936781429</v>
      </c>
      <c r="M8" s="7">
        <f t="shared" si="6"/>
        <v>-3.1746092760680411</v>
      </c>
    </row>
    <row r="9" spans="1:13" x14ac:dyDescent="0.25">
      <c r="A9" s="4">
        <v>-0.37444540746235244</v>
      </c>
      <c r="B9" s="4">
        <v>0.5657998368981475</v>
      </c>
      <c r="D9" s="1">
        <v>42389</v>
      </c>
      <c r="E9" s="3">
        <v>96.267628999999999</v>
      </c>
      <c r="F9" s="3">
        <v>185.64999399999999</v>
      </c>
      <c r="G9" s="3">
        <f t="shared" si="0"/>
        <v>0.12929599999999652</v>
      </c>
      <c r="H9" s="3">
        <f t="shared" si="1"/>
        <v>-2.4100040000000149</v>
      </c>
      <c r="I9" s="3">
        <f t="shared" si="4"/>
        <v>7.3147442460313988E-2</v>
      </c>
      <c r="J9" s="3">
        <f t="shared" si="5"/>
        <v>-2.4562064146825544</v>
      </c>
      <c r="K9" s="4">
        <f t="shared" si="2"/>
        <v>5.9751215638428778E-2</v>
      </c>
      <c r="L9" s="4">
        <f t="shared" si="3"/>
        <v>-2.4301585589657071</v>
      </c>
      <c r="M9" s="7">
        <f t="shared" si="6"/>
        <v>-4.3594405518729982</v>
      </c>
    </row>
    <row r="10" spans="1:13" x14ac:dyDescent="0.25">
      <c r="A10" t="s">
        <v>11</v>
      </c>
      <c r="B10" s="4"/>
      <c r="D10" s="1">
        <v>42388</v>
      </c>
      <c r="E10" s="3">
        <v>96.138333000000003</v>
      </c>
      <c r="F10" s="3">
        <v>188.05999800000001</v>
      </c>
      <c r="G10" s="3">
        <f t="shared" si="0"/>
        <v>-0.46745699999999601</v>
      </c>
      <c r="H10" s="3">
        <f t="shared" si="1"/>
        <v>0.25</v>
      </c>
      <c r="I10" s="3">
        <f t="shared" si="4"/>
        <v>-0.52360555753967852</v>
      </c>
      <c r="J10" s="3">
        <f t="shared" si="5"/>
        <v>0.20379758531746034</v>
      </c>
      <c r="K10" s="4">
        <f t="shared" si="2"/>
        <v>-0.58585921875026115</v>
      </c>
      <c r="L10" s="4">
        <f t="shared" si="3"/>
        <v>0.25210477042811569</v>
      </c>
      <c r="M10" s="7">
        <f t="shared" si="6"/>
        <v>-2.8108879115918826</v>
      </c>
    </row>
    <row r="11" spans="1:13" x14ac:dyDescent="0.25">
      <c r="A11">
        <v>-2.5584577224182819E-2</v>
      </c>
      <c r="B11" s="4">
        <v>0</v>
      </c>
      <c r="D11" s="1">
        <v>42384</v>
      </c>
      <c r="E11" s="3">
        <v>96.605789999999999</v>
      </c>
      <c r="F11" s="3">
        <v>187.80999800000001</v>
      </c>
      <c r="G11" s="3">
        <f t="shared" si="0"/>
        <v>-2.3771009999999961</v>
      </c>
      <c r="H11" s="3">
        <f t="shared" si="1"/>
        <v>-4.1199949999999887</v>
      </c>
      <c r="I11" s="3">
        <f t="shared" si="4"/>
        <v>-2.4332495575396789</v>
      </c>
      <c r="J11" s="3">
        <f t="shared" si="5"/>
        <v>-4.1661974146825287</v>
      </c>
      <c r="K11" s="4">
        <f t="shared" si="2"/>
        <v>-2.3804851166274936</v>
      </c>
      <c r="L11" s="4">
        <f t="shared" si="3"/>
        <v>-4.2139320432496534</v>
      </c>
      <c r="M11" s="7">
        <f t="shared" si="6"/>
        <v>-5.6231708437424892</v>
      </c>
    </row>
    <row r="12" spans="1:13" x14ac:dyDescent="0.25">
      <c r="A12">
        <v>4.4210163738765733E-2</v>
      </c>
      <c r="B12" s="4">
        <v>-1.4225724406765632E-2</v>
      </c>
      <c r="D12" s="1">
        <v>42383</v>
      </c>
      <c r="E12" s="3">
        <v>98.982890999999995</v>
      </c>
      <c r="F12" s="3">
        <v>191.929993</v>
      </c>
      <c r="G12" s="3">
        <f t="shared" si="0"/>
        <v>2.1185019999999923</v>
      </c>
      <c r="H12" s="3">
        <f t="shared" si="1"/>
        <v>3.0999909999999886</v>
      </c>
      <c r="I12" s="3">
        <f t="shared" si="4"/>
        <v>2.0623534424603096</v>
      </c>
      <c r="J12" s="3">
        <f t="shared" si="5"/>
        <v>3.0537885853174491</v>
      </c>
      <c r="K12" s="4">
        <f t="shared" si="2"/>
        <v>1.9955193999738587</v>
      </c>
      <c r="L12" s="4">
        <f t="shared" si="3"/>
        <v>3.099910307923218</v>
      </c>
      <c r="M12" s="7">
        <f t="shared" si="6"/>
        <v>-4.245934047498289</v>
      </c>
    </row>
    <row r="13" spans="1:13" x14ac:dyDescent="0.25">
      <c r="A13" t="s">
        <v>15</v>
      </c>
      <c r="B13" s="4">
        <f>A3/SQRT(A3^2+B3^2)</f>
        <v>0.63844762094737739</v>
      </c>
      <c r="D13" s="1">
        <v>42382</v>
      </c>
      <c r="E13" s="3">
        <v>96.864389000000003</v>
      </c>
      <c r="F13" s="3">
        <v>188.83000200000001</v>
      </c>
      <c r="G13" s="3">
        <f t="shared" si="0"/>
        <v>-2.556129999999996</v>
      </c>
      <c r="H13" s="3">
        <f t="shared" si="1"/>
        <v>-4.830001999999979</v>
      </c>
      <c r="I13" s="3">
        <f t="shared" si="4"/>
        <v>-2.6122785575396787</v>
      </c>
      <c r="J13" s="3">
        <f t="shared" si="5"/>
        <v>-4.876204414682519</v>
      </c>
      <c r="K13" s="4">
        <f t="shared" si="2"/>
        <v>-2.577326585397937</v>
      </c>
      <c r="L13" s="4">
        <f t="shared" si="3"/>
        <v>-4.9152087893833984</v>
      </c>
      <c r="M13" s="7">
        <f t="shared" si="6"/>
        <v>-6.7435851557411537</v>
      </c>
    </row>
    <row r="14" spans="1:13" x14ac:dyDescent="0.25">
      <c r="A14" t="s">
        <v>4</v>
      </c>
      <c r="B14" s="4"/>
      <c r="D14" s="1">
        <v>42381</v>
      </c>
      <c r="E14" s="3">
        <v>99.420518999999999</v>
      </c>
      <c r="F14" s="3">
        <v>193.66000399999999</v>
      </c>
      <c r="G14" s="3">
        <f t="shared" si="0"/>
        <v>1.4222829999999931</v>
      </c>
      <c r="H14" s="3">
        <f t="shared" si="1"/>
        <v>1.5500029999999754</v>
      </c>
      <c r="I14" s="3">
        <f t="shared" si="4"/>
        <v>1.3661344424603106</v>
      </c>
      <c r="J14" s="3">
        <f t="shared" si="5"/>
        <v>1.5038005853174357</v>
      </c>
      <c r="K14" s="4">
        <f t="shared" si="2"/>
        <v>1.4046488878884793</v>
      </c>
      <c r="L14" s="4">
        <f t="shared" si="3"/>
        <v>1.4392932695938787</v>
      </c>
      <c r="M14" s="7">
        <f t="shared" si="6"/>
        <v>-3.0620475054827061</v>
      </c>
    </row>
    <row r="15" spans="1:13" x14ac:dyDescent="0.25">
      <c r="A15" s="4">
        <f>SUM(M2:M504)</f>
        <v>-1826.3391594919819</v>
      </c>
      <c r="B15" s="4"/>
      <c r="C15" s="4"/>
      <c r="D15" s="1">
        <v>42380</v>
      </c>
      <c r="E15" s="3">
        <v>97.998236000000006</v>
      </c>
      <c r="F15" s="3">
        <v>192.11000100000001</v>
      </c>
      <c r="G15" s="3">
        <f t="shared" si="0"/>
        <v>1.5615260000000006</v>
      </c>
      <c r="H15" s="3">
        <f t="shared" si="1"/>
        <v>0.19000300000001857</v>
      </c>
      <c r="I15" s="3">
        <f t="shared" si="4"/>
        <v>1.5053774424603181</v>
      </c>
      <c r="J15" s="3">
        <f t="shared" si="5"/>
        <v>0.14380058531747891</v>
      </c>
      <c r="K15" s="4">
        <f t="shared" si="2"/>
        <v>1.5169186821508844</v>
      </c>
      <c r="L15" s="4">
        <f t="shared" si="3"/>
        <v>9.2899189750281011E-2</v>
      </c>
      <c r="M15" s="7">
        <f t="shared" si="6"/>
        <v>-3.2823972614273123</v>
      </c>
    </row>
    <row r="16" spans="1:13" x14ac:dyDescent="0.25">
      <c r="B16" s="4"/>
      <c r="C16" s="4"/>
      <c r="D16" s="1">
        <v>42377</v>
      </c>
      <c r="E16" s="3">
        <v>96.436710000000005</v>
      </c>
      <c r="F16" s="3">
        <v>191.91999799999999</v>
      </c>
      <c r="G16" s="3">
        <f t="shared" si="0"/>
        <v>0.50724999999999909</v>
      </c>
      <c r="H16" s="3">
        <f t="shared" si="1"/>
        <v>-2.1300050000000113</v>
      </c>
      <c r="I16" s="3">
        <f t="shared" si="4"/>
        <v>0.45110144246031653</v>
      </c>
      <c r="J16" s="3">
        <f t="shared" si="5"/>
        <v>-2.1762074146825507</v>
      </c>
      <c r="K16" s="4">
        <f t="shared" si="2"/>
        <v>0.34151728559893013</v>
      </c>
      <c r="L16" s="4">
        <f t="shared" si="3"/>
        <v>-2.0553599555373183</v>
      </c>
      <c r="M16" s="7">
        <f t="shared" si="6"/>
        <v>-4.1266743042781684</v>
      </c>
    </row>
    <row r="17" spans="1:13" x14ac:dyDescent="0.25">
      <c r="A17" t="s">
        <v>14</v>
      </c>
      <c r="B17" s="4"/>
      <c r="C17" s="4"/>
      <c r="D17" s="1">
        <v>42376</v>
      </c>
      <c r="E17" s="3">
        <v>95.929460000000006</v>
      </c>
      <c r="F17" s="3">
        <v>194.050003</v>
      </c>
      <c r="G17" s="3">
        <f t="shared" si="0"/>
        <v>-4.2270630000000011</v>
      </c>
      <c r="H17" s="3">
        <f t="shared" si="1"/>
        <v>-4.7700040000000001</v>
      </c>
      <c r="I17" s="3">
        <f t="shared" si="4"/>
        <v>-4.2832115575396834</v>
      </c>
      <c r="J17" s="3">
        <f t="shared" si="5"/>
        <v>-4.8162064146825401</v>
      </c>
      <c r="K17" s="4">
        <f t="shared" si="2"/>
        <v>-4.3357956045421178</v>
      </c>
      <c r="L17" s="4">
        <f t="shared" si="3"/>
        <v>-4.7621316695380465</v>
      </c>
      <c r="M17" s="7">
        <f t="shared" si="6"/>
        <v>-7.0318438729839885</v>
      </c>
    </row>
    <row r="18" spans="1:13" x14ac:dyDescent="0.25">
      <c r="A18" s="4">
        <f>ABS(A2)</f>
        <v>1.6663502106880059</v>
      </c>
      <c r="B18" s="4"/>
      <c r="C18" s="4"/>
      <c r="D18" s="1">
        <v>42375</v>
      </c>
      <c r="E18" s="3">
        <v>100.15652300000001</v>
      </c>
      <c r="F18" s="3">
        <v>198.820007</v>
      </c>
      <c r="G18" s="3">
        <f t="shared" si="0"/>
        <v>-1.9991539999999901</v>
      </c>
      <c r="H18" s="3">
        <f t="shared" si="1"/>
        <v>-2.5399940000000072</v>
      </c>
      <c r="I18" s="3">
        <f t="shared" si="4"/>
        <v>-2.0553025575396728</v>
      </c>
      <c r="J18" s="3">
        <f t="shared" si="5"/>
        <v>-2.5861964146825467</v>
      </c>
      <c r="K18" s="4">
        <f t="shared" si="2"/>
        <v>-2.123917849461626</v>
      </c>
      <c r="L18" s="4">
        <f t="shared" si="3"/>
        <v>-2.4634497110997038</v>
      </c>
      <c r="M18" s="7">
        <f t="shared" si="6"/>
        <v>-3.7621383711985357</v>
      </c>
    </row>
    <row r="19" spans="1:13" x14ac:dyDescent="0.25">
      <c r="A19" s="4">
        <f>ABS(A3)</f>
        <v>1.1027878463817389</v>
      </c>
      <c r="B19" s="5"/>
      <c r="C19" s="5"/>
      <c r="D19" s="1">
        <v>42374</v>
      </c>
      <c r="E19" s="3">
        <v>102.155677</v>
      </c>
      <c r="F19" s="3">
        <v>201.36000100000001</v>
      </c>
      <c r="G19" s="3">
        <f t="shared" si="0"/>
        <v>-2.6257520000000056</v>
      </c>
      <c r="H19" s="3">
        <f t="shared" si="1"/>
        <v>0.33999700000001098</v>
      </c>
      <c r="I19" s="3">
        <f t="shared" si="4"/>
        <v>-2.6819005575396884</v>
      </c>
      <c r="J19" s="3">
        <f t="shared" si="5"/>
        <v>0.29379458531747132</v>
      </c>
      <c r="K19" s="4">
        <f t="shared" si="2"/>
        <v>-2.6810469935541752</v>
      </c>
      <c r="L19" s="4">
        <f t="shared" si="3"/>
        <v>0.25111917692761232</v>
      </c>
      <c r="M19" s="7">
        <f t="shared" si="6"/>
        <v>-5.0881652066537386</v>
      </c>
    </row>
    <row r="20" spans="1:13" x14ac:dyDescent="0.25">
      <c r="A20" s="4">
        <f>ABS(B3)</f>
        <v>1.3294395390256153</v>
      </c>
      <c r="B20" s="4"/>
      <c r="C20" s="4"/>
      <c r="D20" s="1">
        <v>42373</v>
      </c>
      <c r="E20" s="3">
        <v>104.781429</v>
      </c>
      <c r="F20" s="3">
        <v>201.020004</v>
      </c>
      <c r="G20" s="3">
        <f t="shared" si="0"/>
        <v>8.9511000000001673E-2</v>
      </c>
      <c r="H20" s="3">
        <f t="shared" si="1"/>
        <v>-2.8499909999999886</v>
      </c>
      <c r="I20" s="3">
        <f t="shared" si="4"/>
        <v>3.3362442460319129E-2</v>
      </c>
      <c r="J20" s="3">
        <f t="shared" si="5"/>
        <v>-2.8961934146825281</v>
      </c>
      <c r="K20" s="4">
        <f t="shared" si="2"/>
        <v>-2.0493823229164973E-2</v>
      </c>
      <c r="L20" s="4">
        <f t="shared" si="3"/>
        <v>-2.8330919841236106</v>
      </c>
      <c r="M20" s="7">
        <f t="shared" si="6"/>
        <v>-4.8823280761369992</v>
      </c>
    </row>
    <row r="21" spans="1:13" x14ac:dyDescent="0.25">
      <c r="B21" s="4"/>
      <c r="C21" s="4"/>
      <c r="D21" s="1">
        <v>42369</v>
      </c>
      <c r="E21" s="3">
        <v>104.691918</v>
      </c>
      <c r="F21" s="3">
        <v>203.86999499999999</v>
      </c>
      <c r="G21" s="3">
        <f t="shared" si="0"/>
        <v>-2.0488799999999969</v>
      </c>
      <c r="H21" s="3">
        <f t="shared" si="1"/>
        <v>-2.0599980000000073</v>
      </c>
      <c r="I21" s="3">
        <f t="shared" si="4"/>
        <v>-2.1050285575396797</v>
      </c>
      <c r="J21" s="3">
        <f t="shared" si="5"/>
        <v>-2.1062004146825468</v>
      </c>
      <c r="K21" s="4">
        <f t="shared" si="2"/>
        <v>-2.1425990629354192</v>
      </c>
      <c r="L21" s="4">
        <f t="shared" si="3"/>
        <v>-2.0628476522880668</v>
      </c>
      <c r="M21" s="7">
        <f t="shared" si="6"/>
        <v>-3.5775649922921162</v>
      </c>
    </row>
    <row r="22" spans="1:13" x14ac:dyDescent="0.25">
      <c r="B22" s="4"/>
      <c r="C22" s="4"/>
      <c r="D22" s="1">
        <v>42368</v>
      </c>
      <c r="E22" s="3">
        <v>106.740798</v>
      </c>
      <c r="F22" s="3">
        <v>205.929993</v>
      </c>
      <c r="G22" s="3">
        <f t="shared" si="0"/>
        <v>-1.4123340000000013</v>
      </c>
      <c r="H22" s="3">
        <f t="shared" si="1"/>
        <v>-1.4700009999999963</v>
      </c>
      <c r="I22" s="3">
        <f t="shared" si="4"/>
        <v>-1.4684825575396838</v>
      </c>
      <c r="J22" s="3">
        <f t="shared" si="5"/>
        <v>-1.5162034146825361</v>
      </c>
      <c r="K22" s="4">
        <f t="shared" si="2"/>
        <v>-1.4210618649340045</v>
      </c>
      <c r="L22" s="4">
        <f t="shared" si="3"/>
        <v>-1.5676495093032545</v>
      </c>
      <c r="M22" s="7">
        <f t="shared" si="6"/>
        <v>-3.1081880288729251</v>
      </c>
    </row>
    <row r="23" spans="1:13" x14ac:dyDescent="0.25">
      <c r="B23" s="3"/>
      <c r="D23" s="1">
        <v>42367</v>
      </c>
      <c r="E23" s="3">
        <v>108.153132</v>
      </c>
      <c r="F23" s="3">
        <v>207.39999399999999</v>
      </c>
      <c r="G23" s="3">
        <f t="shared" si="0"/>
        <v>1.9096360000000061</v>
      </c>
      <c r="H23" s="3">
        <f t="shared" si="1"/>
        <v>2.1899870000000021</v>
      </c>
      <c r="I23" s="3">
        <f t="shared" si="4"/>
        <v>1.8534874424603236</v>
      </c>
      <c r="J23" s="3">
        <f t="shared" si="5"/>
        <v>2.1437845853174626</v>
      </c>
      <c r="K23" s="4">
        <f t="shared" si="2"/>
        <v>1.8212606597865126</v>
      </c>
      <c r="L23" s="4">
        <f t="shared" si="3"/>
        <v>2.1921293296552773</v>
      </c>
      <c r="M23" s="7">
        <f t="shared" si="6"/>
        <v>-3.5060482560754753</v>
      </c>
    </row>
    <row r="24" spans="1:13" x14ac:dyDescent="0.25">
      <c r="B24" s="4"/>
      <c r="D24" s="1">
        <v>42366</v>
      </c>
      <c r="E24" s="3">
        <v>106.24349599999999</v>
      </c>
      <c r="F24" s="3">
        <v>205.21000699999999</v>
      </c>
      <c r="G24" s="3">
        <f t="shared" si="0"/>
        <v>-1.2034690000000126</v>
      </c>
      <c r="H24" s="3">
        <f t="shared" si="1"/>
        <v>-0.46998600000000579</v>
      </c>
      <c r="I24" s="3">
        <f t="shared" si="4"/>
        <v>-1.2596175575396951</v>
      </c>
      <c r="J24" s="3">
        <f t="shared" si="5"/>
        <v>-0.51618841468254539</v>
      </c>
      <c r="K24" s="4">
        <f t="shared" si="2"/>
        <v>-1.2758131208785641</v>
      </c>
      <c r="L24" s="4">
        <f t="shared" si="3"/>
        <v>-0.49369663778318124</v>
      </c>
      <c r="M24" s="7">
        <f t="shared" si="6"/>
        <v>-2.9611483706982691</v>
      </c>
    </row>
    <row r="25" spans="1:13" x14ac:dyDescent="0.25">
      <c r="B25" s="4"/>
      <c r="D25" s="1">
        <v>42362</v>
      </c>
      <c r="E25" s="3">
        <v>107.44696500000001</v>
      </c>
      <c r="F25" s="3">
        <v>205.679993</v>
      </c>
      <c r="G25" s="3">
        <f t="shared" si="0"/>
        <v>-0.5768719999999945</v>
      </c>
      <c r="H25" s="3">
        <f t="shared" si="1"/>
        <v>-0.34001100000000406</v>
      </c>
      <c r="I25" s="3">
        <f t="shared" si="4"/>
        <v>-0.63302055753967701</v>
      </c>
      <c r="J25" s="3">
        <f t="shared" si="5"/>
        <v>-0.38621341468254372</v>
      </c>
      <c r="K25" s="4">
        <f t="shared" si="2"/>
        <v>-0.59934098317702522</v>
      </c>
      <c r="L25" s="4">
        <f t="shared" si="3"/>
        <v>-0.40922011840991585</v>
      </c>
      <c r="M25" s="7">
        <f t="shared" si="6"/>
        <v>-2.6979972949225166</v>
      </c>
    </row>
    <row r="26" spans="1:13" x14ac:dyDescent="0.25">
      <c r="B26" s="3"/>
      <c r="D26" s="1">
        <v>42361</v>
      </c>
      <c r="E26" s="3">
        <v>108.023837</v>
      </c>
      <c r="F26" s="3">
        <v>206.020004</v>
      </c>
      <c r="G26" s="3">
        <f t="shared" si="0"/>
        <v>1.3725500000000039</v>
      </c>
      <c r="H26" s="3">
        <f t="shared" si="1"/>
        <v>2.5200040000000001</v>
      </c>
      <c r="I26" s="3">
        <f t="shared" si="4"/>
        <v>1.3164014424603214</v>
      </c>
      <c r="J26" s="3">
        <f t="shared" si="5"/>
        <v>2.4738015853174606</v>
      </c>
      <c r="K26" s="4">
        <f t="shared" si="2"/>
        <v>1.3124202888877807</v>
      </c>
      <c r="L26" s="4">
        <f t="shared" si="3"/>
        <v>2.5060568622129091</v>
      </c>
      <c r="M26" s="7">
        <f t="shared" si="6"/>
        <v>-3.7019974094997301</v>
      </c>
    </row>
    <row r="27" spans="1:13" x14ac:dyDescent="0.25">
      <c r="B27" s="4"/>
      <c r="D27" s="1">
        <v>42360</v>
      </c>
      <c r="E27" s="3">
        <v>106.651287</v>
      </c>
      <c r="F27" s="3">
        <v>203.5</v>
      </c>
      <c r="G27" s="3">
        <f t="shared" si="0"/>
        <v>-9.9459000000010178E-2</v>
      </c>
      <c r="H27" s="3">
        <f t="shared" si="1"/>
        <v>1.8300020000000075</v>
      </c>
      <c r="I27" s="3">
        <f t="shared" si="4"/>
        <v>-0.15560755753969271</v>
      </c>
      <c r="J27" s="3">
        <f t="shared" si="5"/>
        <v>1.7837995853174677</v>
      </c>
      <c r="K27" s="4">
        <f t="shared" si="2"/>
        <v>-0.12396356889472845</v>
      </c>
      <c r="L27" s="4">
        <f t="shared" si="3"/>
        <v>1.7519338523565124</v>
      </c>
      <c r="M27" s="7">
        <f t="shared" si="6"/>
        <v>-3.5875587883075415</v>
      </c>
    </row>
    <row r="28" spans="1:13" x14ac:dyDescent="0.25">
      <c r="B28" s="4"/>
      <c r="D28" s="1">
        <v>42359</v>
      </c>
      <c r="E28" s="3">
        <v>106.75074600000001</v>
      </c>
      <c r="F28" s="3">
        <v>201.66999799999999</v>
      </c>
      <c r="G28" s="3">
        <f t="shared" si="0"/>
        <v>1.2929870000000108</v>
      </c>
      <c r="H28" s="3">
        <f t="shared" si="1"/>
        <v>1.6499939999999924</v>
      </c>
      <c r="I28" s="3">
        <f t="shared" si="4"/>
        <v>1.2368384424603283</v>
      </c>
      <c r="J28" s="3">
        <f t="shared" si="5"/>
        <v>1.6037915853174527</v>
      </c>
      <c r="K28" s="4">
        <f t="shared" si="2"/>
        <v>1.1603346322582657</v>
      </c>
      <c r="L28" s="4">
        <f t="shared" si="3"/>
        <v>1.6837220780300577</v>
      </c>
      <c r="M28" s="7">
        <f t="shared" si="6"/>
        <v>-3.1129828241069966</v>
      </c>
    </row>
    <row r="29" spans="1:13" x14ac:dyDescent="0.25">
      <c r="B29" s="4"/>
      <c r="D29" s="1">
        <v>42356</v>
      </c>
      <c r="E29" s="3">
        <v>105.457759</v>
      </c>
      <c r="F29" s="3">
        <v>200.020004</v>
      </c>
      <c r="G29" s="3">
        <f t="shared" si="0"/>
        <v>-2.9340830000000011</v>
      </c>
      <c r="H29" s="3">
        <f t="shared" si="1"/>
        <v>-3.627995999999996</v>
      </c>
      <c r="I29" s="3">
        <f t="shared" si="4"/>
        <v>-2.9902315575396838</v>
      </c>
      <c r="J29" s="3">
        <f t="shared" si="5"/>
        <v>-3.6741984146825355</v>
      </c>
      <c r="K29" s="4">
        <f t="shared" si="2"/>
        <v>-3.051721672627588</v>
      </c>
      <c r="L29" s="4">
        <f t="shared" si="3"/>
        <v>-3.6134294529537212</v>
      </c>
      <c r="M29" s="7">
        <f t="shared" si="6"/>
        <v>-5.0288744236377152</v>
      </c>
    </row>
    <row r="30" spans="1:13" x14ac:dyDescent="0.25">
      <c r="B30" s="4"/>
      <c r="D30" s="1">
        <v>42355</v>
      </c>
      <c r="E30" s="3">
        <v>108.391842</v>
      </c>
      <c r="F30" s="3">
        <v>203.648</v>
      </c>
      <c r="G30" s="3">
        <f t="shared" si="0"/>
        <v>-2.347256999999999</v>
      </c>
      <c r="H30" s="3">
        <f t="shared" si="1"/>
        <v>-3.1512439999999913</v>
      </c>
      <c r="I30" s="3">
        <f t="shared" si="4"/>
        <v>-2.4034055575396818</v>
      </c>
      <c r="J30" s="3">
        <f t="shared" si="5"/>
        <v>-3.1974464146825308</v>
      </c>
      <c r="K30" s="4">
        <f t="shared" si="2"/>
        <v>-2.3832126116304089</v>
      </c>
      <c r="L30" s="4">
        <f t="shared" si="3"/>
        <v>-3.1905724184769593</v>
      </c>
      <c r="M30" s="7">
        <f t="shared" si="6"/>
        <v>-4.3923795087978199</v>
      </c>
    </row>
    <row r="31" spans="1:13" x14ac:dyDescent="0.25">
      <c r="D31" s="1">
        <v>42354</v>
      </c>
      <c r="E31" s="3">
        <v>110.739099</v>
      </c>
      <c r="F31" s="3">
        <v>206.79924399999999</v>
      </c>
      <c r="G31" s="3">
        <f t="shared" si="0"/>
        <v>0.84541099999999858</v>
      </c>
      <c r="H31" s="3">
        <f t="shared" si="1"/>
        <v>2.9822509999999909</v>
      </c>
      <c r="I31" s="3">
        <f t="shared" si="4"/>
        <v>0.78926244246031607</v>
      </c>
      <c r="J31" s="3">
        <f t="shared" si="5"/>
        <v>2.9360485853174514</v>
      </c>
      <c r="K31" s="4">
        <f t="shared" si="2"/>
        <v>0.7371872471142934</v>
      </c>
      <c r="L31" s="4">
        <f t="shared" si="3"/>
        <v>3.0554988949159667</v>
      </c>
      <c r="M31" s="7">
        <f t="shared" si="6"/>
        <v>-4.5962079361472776</v>
      </c>
    </row>
    <row r="32" spans="1:13" x14ac:dyDescent="0.25">
      <c r="B32" s="4"/>
      <c r="D32" s="1">
        <v>42353</v>
      </c>
      <c r="E32" s="3">
        <v>109.893688</v>
      </c>
      <c r="F32" s="3">
        <v>203.816993</v>
      </c>
      <c r="G32" s="3">
        <f t="shared" si="0"/>
        <v>-1.9792649999999981</v>
      </c>
      <c r="H32" s="3">
        <f t="shared" si="1"/>
        <v>2.1174039999999934</v>
      </c>
      <c r="I32" s="3">
        <f t="shared" si="4"/>
        <v>-2.0354135575396808</v>
      </c>
      <c r="J32" s="3">
        <f t="shared" si="5"/>
        <v>2.0712015853174539</v>
      </c>
      <c r="K32" s="4">
        <f t="shared" si="2"/>
        <v>-2.0546625634165245</v>
      </c>
      <c r="L32" s="4">
        <f t="shared" si="3"/>
        <v>2.118230845574955</v>
      </c>
      <c r="M32" s="7">
        <f t="shared" si="6"/>
        <v>-6.8155543678111625</v>
      </c>
    </row>
    <row r="33" spans="1:13" x14ac:dyDescent="0.25">
      <c r="B33" s="4"/>
      <c r="D33" s="1">
        <v>42352</v>
      </c>
      <c r="E33" s="3">
        <v>111.872953</v>
      </c>
      <c r="F33" s="3">
        <v>201.699589</v>
      </c>
      <c r="G33" s="3">
        <f t="shared" si="0"/>
        <v>-0.69621899999999926</v>
      </c>
      <c r="H33" s="3">
        <f t="shared" si="1"/>
        <v>1.0139540000000125</v>
      </c>
      <c r="I33" s="3">
        <f t="shared" si="4"/>
        <v>-0.75236755753968176</v>
      </c>
      <c r="J33" s="3">
        <f t="shared" si="5"/>
        <v>0.96775158531747285</v>
      </c>
      <c r="K33" s="4">
        <f t="shared" si="2"/>
        <v>-0.82988907105456777</v>
      </c>
      <c r="L33" s="4">
        <f t="shared" si="3"/>
        <v>1.0446268554927216</v>
      </c>
      <c r="M33" s="7">
        <f t="shared" si="6"/>
        <v>-3.4759496913126995</v>
      </c>
    </row>
    <row r="34" spans="1:13" x14ac:dyDescent="0.25">
      <c r="B34" s="4"/>
      <c r="D34" s="1">
        <v>42349</v>
      </c>
      <c r="E34" s="3">
        <v>112.56917199999999</v>
      </c>
      <c r="F34" s="3">
        <v>200.68563499999999</v>
      </c>
      <c r="G34" s="3">
        <f t="shared" si="0"/>
        <v>-2.9738609999999994</v>
      </c>
      <c r="H34" s="3">
        <f t="shared" si="1"/>
        <v>-3.966384000000005</v>
      </c>
      <c r="I34" s="3">
        <f t="shared" si="4"/>
        <v>-3.0300095575396822</v>
      </c>
      <c r="J34" s="3">
        <f t="shared" si="5"/>
        <v>-4.012586414682545</v>
      </c>
      <c r="K34" s="4">
        <f t="shared" si="2"/>
        <v>-3.0174506401208694</v>
      </c>
      <c r="L34" s="4">
        <f t="shared" si="3"/>
        <v>-4.0274504859796254</v>
      </c>
      <c r="M34" s="7">
        <f t="shared" si="6"/>
        <v>-5.4391784988329652</v>
      </c>
    </row>
    <row r="35" spans="1:13" x14ac:dyDescent="0.25">
      <c r="B35" s="4"/>
      <c r="D35" s="1">
        <v>42348</v>
      </c>
      <c r="E35" s="3">
        <v>115.54303299999999</v>
      </c>
      <c r="F35" s="3">
        <v>204.652019</v>
      </c>
      <c r="G35" s="3">
        <f t="shared" si="0"/>
        <v>0.54702699999999993</v>
      </c>
      <c r="H35" s="3">
        <f t="shared" si="1"/>
        <v>0.52686299999999164</v>
      </c>
      <c r="I35" s="3">
        <f t="shared" si="4"/>
        <v>0.49087844246031737</v>
      </c>
      <c r="J35" s="3">
        <f t="shared" si="5"/>
        <v>0.48066058531745198</v>
      </c>
      <c r="K35" s="4">
        <f t="shared" si="2"/>
        <v>0.42302651756900223</v>
      </c>
      <c r="L35" s="4">
        <f t="shared" si="3"/>
        <v>0.5744835561280518</v>
      </c>
      <c r="M35" s="7">
        <f t="shared" si="6"/>
        <v>-2.6900339427959619</v>
      </c>
    </row>
    <row r="36" spans="1:13" x14ac:dyDescent="0.25">
      <c r="D36" s="1">
        <v>42347</v>
      </c>
      <c r="E36" s="3">
        <v>114.99600599999999</v>
      </c>
      <c r="F36" s="3">
        <v>204.125156</v>
      </c>
      <c r="G36" s="3">
        <f t="shared" si="0"/>
        <v>-2.5959150000000051</v>
      </c>
      <c r="H36" s="3">
        <f t="shared" si="1"/>
        <v>-1.6004759999999862</v>
      </c>
      <c r="I36" s="3">
        <f t="shared" si="4"/>
        <v>-2.6520635575396878</v>
      </c>
      <c r="J36" s="3">
        <f t="shared" si="5"/>
        <v>-1.646678414682526</v>
      </c>
      <c r="K36" s="4">
        <f t="shared" si="2"/>
        <v>-2.6547722877485604</v>
      </c>
      <c r="L36" s="4">
        <f t="shared" si="3"/>
        <v>-1.6624533007120226</v>
      </c>
      <c r="M36" s="7">
        <f t="shared" si="6"/>
        <v>-3.9048838003706372</v>
      </c>
    </row>
    <row r="37" spans="1:13" x14ac:dyDescent="0.25">
      <c r="D37" s="1">
        <v>42346</v>
      </c>
      <c r="E37" s="3">
        <v>117.591921</v>
      </c>
      <c r="F37" s="3">
        <v>205.72563199999999</v>
      </c>
      <c r="G37" s="3">
        <f t="shared" si="0"/>
        <v>-4.9724999999995134E-2</v>
      </c>
      <c r="H37" s="3">
        <f t="shared" si="1"/>
        <v>-1.3917260000000056</v>
      </c>
      <c r="I37" s="3">
        <f t="shared" si="4"/>
        <v>-0.10587355753967767</v>
      </c>
      <c r="J37" s="3">
        <f t="shared" si="5"/>
        <v>-1.4379284146825453</v>
      </c>
      <c r="K37" s="4">
        <f t="shared" si="2"/>
        <v>-0.12639496119561183</v>
      </c>
      <c r="L37" s="4">
        <f t="shared" si="3"/>
        <v>-1.4210843019373929</v>
      </c>
      <c r="M37" s="7">
        <f t="shared" si="6"/>
        <v>-3.1421802140676993</v>
      </c>
    </row>
    <row r="38" spans="1:13" x14ac:dyDescent="0.25">
      <c r="A38" s="2"/>
      <c r="B38" s="6"/>
      <c r="C38" s="6"/>
      <c r="D38" s="1">
        <v>42345</v>
      </c>
      <c r="E38" s="3">
        <v>117.64164599999999</v>
      </c>
      <c r="F38" s="3">
        <v>207.117358</v>
      </c>
      <c r="G38" s="3">
        <f t="shared" si="0"/>
        <v>-0.74595200000000261</v>
      </c>
      <c r="H38" s="3">
        <f t="shared" si="1"/>
        <v>-1.2624749999999949</v>
      </c>
      <c r="I38" s="3">
        <f t="shared" si="4"/>
        <v>-0.80210055753968512</v>
      </c>
      <c r="J38" s="3">
        <f t="shared" si="5"/>
        <v>-1.3086774146825346</v>
      </c>
      <c r="K38" s="4">
        <f t="shared" si="2"/>
        <v>-0.70607697150411208</v>
      </c>
      <c r="L38" s="4">
        <f t="shared" si="3"/>
        <v>-1.4185559093924094</v>
      </c>
      <c r="M38" s="7">
        <f t="shared" si="6"/>
        <v>-2.9790455198210783</v>
      </c>
    </row>
    <row r="39" spans="1:13" x14ac:dyDescent="0.25">
      <c r="A39" s="2"/>
      <c r="B39" s="6"/>
      <c r="C39" s="6"/>
      <c r="D39" s="1">
        <v>42342</v>
      </c>
      <c r="E39" s="3">
        <v>118.387598</v>
      </c>
      <c r="F39" s="3">
        <v>208.37983299999999</v>
      </c>
      <c r="G39" s="3">
        <f t="shared" si="0"/>
        <v>3.8093310000000002</v>
      </c>
      <c r="H39" s="3">
        <f t="shared" si="1"/>
        <v>3.9862699999999904</v>
      </c>
      <c r="I39" s="3">
        <f t="shared" si="4"/>
        <v>3.7531824424603175</v>
      </c>
      <c r="J39" s="3">
        <f t="shared" si="5"/>
        <v>3.9400675853174509</v>
      </c>
      <c r="K39" s="4">
        <f t="shared" si="2"/>
        <v>3.724263643283285</v>
      </c>
      <c r="L39" s="4">
        <f t="shared" si="3"/>
        <v>3.9480886862083562</v>
      </c>
      <c r="M39" s="7">
        <f t="shared" si="6"/>
        <v>-5.7533388830830781</v>
      </c>
    </row>
    <row r="40" spans="1:13" x14ac:dyDescent="0.25">
      <c r="A40" s="2"/>
      <c r="B40" s="6"/>
      <c r="C40" s="6"/>
      <c r="D40" s="1">
        <v>42341</v>
      </c>
      <c r="E40" s="3">
        <v>114.578267</v>
      </c>
      <c r="F40" s="3">
        <v>204.393563</v>
      </c>
      <c r="G40" s="3">
        <f t="shared" si="0"/>
        <v>-1.0741730000000018</v>
      </c>
      <c r="H40" s="3">
        <f t="shared" si="1"/>
        <v>-2.9027230000000088</v>
      </c>
      <c r="I40" s="3">
        <f t="shared" si="4"/>
        <v>-1.1303215575396843</v>
      </c>
      <c r="J40" s="3">
        <f t="shared" si="5"/>
        <v>-2.9489254146825483</v>
      </c>
      <c r="K40" s="4">
        <f t="shared" si="2"/>
        <v>-1.1587313259682646</v>
      </c>
      <c r="L40" s="4">
        <f t="shared" si="3"/>
        <v>-2.9308948526879552</v>
      </c>
      <c r="M40" s="7">
        <f t="shared" si="6"/>
        <v>-4.1998906492715431</v>
      </c>
    </row>
    <row r="41" spans="1:13" x14ac:dyDescent="0.25">
      <c r="A41" s="2"/>
      <c r="B41" s="6"/>
      <c r="C41" s="6"/>
      <c r="D41" s="1">
        <v>42340</v>
      </c>
      <c r="E41" s="3">
        <v>115.65244</v>
      </c>
      <c r="F41" s="3">
        <v>207.29628600000001</v>
      </c>
      <c r="G41" s="3">
        <f t="shared" si="0"/>
        <v>-1.054276999999999</v>
      </c>
      <c r="H41" s="3">
        <f t="shared" si="1"/>
        <v>-2.1372739999999908</v>
      </c>
      <c r="I41" s="3">
        <f t="shared" si="4"/>
        <v>-1.1104255575396815</v>
      </c>
      <c r="J41" s="3">
        <f t="shared" si="5"/>
        <v>-2.1834764146825303</v>
      </c>
      <c r="K41" s="4">
        <f t="shared" si="2"/>
        <v>-1.1362908885941623</v>
      </c>
      <c r="L41" s="4">
        <f t="shared" si="3"/>
        <v>-2.1112968011275606</v>
      </c>
      <c r="M41" s="7">
        <f t="shared" si="6"/>
        <v>-3.3884810143140363</v>
      </c>
    </row>
    <row r="42" spans="1:13" x14ac:dyDescent="0.25">
      <c r="A42" s="2"/>
      <c r="B42" s="6"/>
      <c r="C42" s="6"/>
      <c r="D42" s="1">
        <v>42339</v>
      </c>
      <c r="E42" s="3">
        <v>116.706717</v>
      </c>
      <c r="F42" s="3">
        <v>209.43356</v>
      </c>
      <c r="G42" s="3">
        <f t="shared" si="0"/>
        <v>-0.95482499999999959</v>
      </c>
      <c r="H42" s="3">
        <f t="shared" si="1"/>
        <v>1.9782170000000008</v>
      </c>
      <c r="I42" s="3">
        <f t="shared" si="4"/>
        <v>-1.0109735575396821</v>
      </c>
      <c r="J42" s="3">
        <f t="shared" si="5"/>
        <v>1.9320145853174611</v>
      </c>
      <c r="K42" s="4">
        <f t="shared" si="2"/>
        <v>-0.9999411695055278</v>
      </c>
      <c r="L42" s="4">
        <f t="shared" si="3"/>
        <v>1.8999902605101544</v>
      </c>
      <c r="M42" s="7">
        <f t="shared" si="6"/>
        <v>-4.6698655497303641</v>
      </c>
    </row>
    <row r="43" spans="1:13" x14ac:dyDescent="0.25">
      <c r="A43" s="2"/>
      <c r="B43" s="6"/>
      <c r="C43" s="6"/>
      <c r="D43" s="1">
        <v>42338</v>
      </c>
      <c r="E43" s="3">
        <v>117.661542</v>
      </c>
      <c r="F43" s="3">
        <v>207.455343</v>
      </c>
      <c r="G43" s="3">
        <f t="shared" si="0"/>
        <v>0.48736099999999283</v>
      </c>
      <c r="H43" s="3">
        <f t="shared" si="1"/>
        <v>-0.86484799999999495</v>
      </c>
      <c r="I43" s="3">
        <f t="shared" si="4"/>
        <v>0.43121244246031026</v>
      </c>
      <c r="J43" s="3">
        <f t="shared" si="5"/>
        <v>-0.91105041468253456</v>
      </c>
      <c r="K43" s="4">
        <f t="shared" si="2"/>
        <v>0.42417764167317756</v>
      </c>
      <c r="L43" s="4">
        <f t="shared" si="3"/>
        <v>-0.89615769251242994</v>
      </c>
      <c r="M43" s="7">
        <f t="shared" si="6"/>
        <v>-3.0574974177545533</v>
      </c>
    </row>
    <row r="44" spans="1:13" x14ac:dyDescent="0.25">
      <c r="A44" s="2"/>
      <c r="B44" s="6"/>
      <c r="C44" s="6"/>
      <c r="D44" s="1">
        <v>42335</v>
      </c>
      <c r="E44" s="3">
        <v>117.174181</v>
      </c>
      <c r="F44" s="3">
        <v>208.32019099999999</v>
      </c>
      <c r="G44" s="3">
        <f t="shared" si="0"/>
        <v>-0.21881399999999473</v>
      </c>
      <c r="H44" s="3">
        <f t="shared" si="1"/>
        <v>0.23857100000000742</v>
      </c>
      <c r="I44" s="3">
        <f t="shared" si="4"/>
        <v>-0.2749625575396773</v>
      </c>
      <c r="J44" s="3">
        <f t="shared" si="5"/>
        <v>0.19236858531746776</v>
      </c>
      <c r="K44" s="4">
        <f t="shared" si="2"/>
        <v>-0.29802857766175139</v>
      </c>
      <c r="L44" s="4">
        <f t="shared" si="3"/>
        <v>0.23114517860508643</v>
      </c>
      <c r="M44" s="7">
        <f t="shared" si="6"/>
        <v>-2.7011789139907498</v>
      </c>
    </row>
    <row r="45" spans="1:13" x14ac:dyDescent="0.25">
      <c r="A45" s="2"/>
      <c r="B45" s="6"/>
      <c r="C45" s="6"/>
      <c r="D45" s="1">
        <v>42333</v>
      </c>
      <c r="E45" s="3">
        <v>117.392995</v>
      </c>
      <c r="F45" s="3">
        <v>208.08161999999999</v>
      </c>
      <c r="G45" s="3">
        <f t="shared" si="0"/>
        <v>-0.84541099999999858</v>
      </c>
      <c r="H45" s="3">
        <f t="shared" si="1"/>
        <v>-2.9822000000024218E-2</v>
      </c>
      <c r="I45" s="3">
        <f t="shared" si="4"/>
        <v>-0.90155955753968109</v>
      </c>
      <c r="J45" s="3">
        <f t="shared" si="5"/>
        <v>-7.6024414682563879E-2</v>
      </c>
      <c r="K45" s="4">
        <f t="shared" si="2"/>
        <v>-0.87424163947297706</v>
      </c>
      <c r="L45" s="4">
        <f t="shared" si="3"/>
        <v>-0.11992742437535865</v>
      </c>
      <c r="M45" s="7">
        <f t="shared" si="6"/>
        <v>-2.8304055189419364</v>
      </c>
    </row>
    <row r="46" spans="1:13" x14ac:dyDescent="0.25">
      <c r="A46" s="2"/>
      <c r="B46" s="6"/>
      <c r="C46" s="6"/>
      <c r="D46" s="1">
        <v>42332</v>
      </c>
      <c r="E46" s="3">
        <v>118.238406</v>
      </c>
      <c r="F46" s="3">
        <v>208.11144200000001</v>
      </c>
      <c r="G46" s="3">
        <f t="shared" si="0"/>
        <v>1.123897999999997</v>
      </c>
      <c r="H46" s="3">
        <f t="shared" si="1"/>
        <v>0.27834300000000667</v>
      </c>
      <c r="I46" s="3">
        <f t="shared" si="4"/>
        <v>1.0677494424603144</v>
      </c>
      <c r="J46" s="3">
        <f t="shared" si="5"/>
        <v>0.23214058531746701</v>
      </c>
      <c r="K46" s="4">
        <f t="shared" si="2"/>
        <v>1.0268707744757566</v>
      </c>
      <c r="L46" s="4">
        <f t="shared" si="3"/>
        <v>0.29872783832008371</v>
      </c>
      <c r="M46" s="7">
        <f t="shared" si="6"/>
        <v>-2.8641802699170738</v>
      </c>
    </row>
    <row r="47" spans="1:13" x14ac:dyDescent="0.25">
      <c r="A47" s="2"/>
      <c r="B47" s="6"/>
      <c r="C47" s="6"/>
      <c r="D47" s="1">
        <v>42331</v>
      </c>
      <c r="E47" s="3">
        <v>117.114508</v>
      </c>
      <c r="F47" s="3">
        <v>207.833099</v>
      </c>
      <c r="G47" s="3">
        <f t="shared" si="0"/>
        <v>-1.5416369999999944</v>
      </c>
      <c r="H47" s="3">
        <f t="shared" si="1"/>
        <v>-0.23857100000000742</v>
      </c>
      <c r="I47" s="3">
        <f t="shared" si="4"/>
        <v>-1.5977855575396769</v>
      </c>
      <c r="J47" s="3">
        <f t="shared" si="5"/>
        <v>-0.28477341468254708</v>
      </c>
      <c r="K47" s="4">
        <f t="shared" si="2"/>
        <v>-1.5859898280594618</v>
      </c>
      <c r="L47" s="4">
        <f t="shared" si="3"/>
        <v>-0.29506619829555847</v>
      </c>
      <c r="M47" s="7">
        <f t="shared" si="6"/>
        <v>-3.2472709858241049</v>
      </c>
    </row>
    <row r="48" spans="1:13" x14ac:dyDescent="0.25">
      <c r="A48" s="2"/>
      <c r="B48" s="6"/>
      <c r="C48" s="6"/>
      <c r="D48" s="1">
        <v>42328</v>
      </c>
      <c r="E48" s="3">
        <v>118.656145</v>
      </c>
      <c r="F48" s="3">
        <v>208.07167000000001</v>
      </c>
      <c r="G48" s="3">
        <f t="shared" si="0"/>
        <v>0.51719699999999591</v>
      </c>
      <c r="H48" s="3">
        <f t="shared" si="1"/>
        <v>0.7554980000000171</v>
      </c>
      <c r="I48" s="3">
        <f t="shared" si="4"/>
        <v>0.46104844246031335</v>
      </c>
      <c r="J48" s="3">
        <f t="shared" si="5"/>
        <v>0.70929558531747749</v>
      </c>
      <c r="K48" s="4">
        <f t="shared" si="2"/>
        <v>0.49752714866333103</v>
      </c>
      <c r="L48" s="4">
        <f t="shared" si="3"/>
        <v>0.64305773160706203</v>
      </c>
      <c r="M48" s="7">
        <f t="shared" si="6"/>
        <v>-2.7056995705392755</v>
      </c>
    </row>
    <row r="49" spans="1:13" x14ac:dyDescent="0.25">
      <c r="A49" s="2"/>
      <c r="B49" s="6"/>
      <c r="C49" s="6"/>
      <c r="D49" s="1">
        <v>42327</v>
      </c>
      <c r="E49" s="3">
        <v>118.138948</v>
      </c>
      <c r="F49" s="3">
        <v>207.31617199999999</v>
      </c>
      <c r="G49" s="3">
        <f t="shared" si="0"/>
        <v>1.4819569999999942</v>
      </c>
      <c r="H49" s="3">
        <f t="shared" si="1"/>
        <v>-0.17892700000001582</v>
      </c>
      <c r="I49" s="3">
        <f t="shared" si="4"/>
        <v>1.4258084424603117</v>
      </c>
      <c r="J49" s="3">
        <f t="shared" si="5"/>
        <v>-0.22512941468255548</v>
      </c>
      <c r="K49" s="4">
        <f t="shared" si="2"/>
        <v>1.5159792494409265</v>
      </c>
      <c r="L49" s="4">
        <f t="shared" si="3"/>
        <v>-0.33550047768110425</v>
      </c>
      <c r="M49" s="7">
        <f t="shared" si="6"/>
        <v>-3.5541474385143856</v>
      </c>
    </row>
    <row r="50" spans="1:13" x14ac:dyDescent="0.25">
      <c r="A50" s="2"/>
      <c r="B50" s="6"/>
      <c r="C50" s="6"/>
      <c r="D50" s="1">
        <v>42326</v>
      </c>
      <c r="E50" s="3">
        <v>116.656991</v>
      </c>
      <c r="F50" s="3">
        <v>207.49509900000001</v>
      </c>
      <c r="G50" s="3">
        <f t="shared" si="0"/>
        <v>3.5805690000000112</v>
      </c>
      <c r="H50" s="3">
        <f t="shared" si="1"/>
        <v>3.2407070000000147</v>
      </c>
      <c r="I50" s="3">
        <f t="shared" si="4"/>
        <v>3.5244204424603285</v>
      </c>
      <c r="J50" s="3">
        <f t="shared" si="5"/>
        <v>3.1945045853174752</v>
      </c>
      <c r="K50" s="4">
        <f t="shared" si="2"/>
        <v>3.5105151848899907</v>
      </c>
      <c r="L50" s="4">
        <f t="shared" si="3"/>
        <v>3.215754474486983</v>
      </c>
      <c r="M50" s="7">
        <f t="shared" si="6"/>
        <v>-5.0777282448777292</v>
      </c>
    </row>
    <row r="51" spans="1:13" x14ac:dyDescent="0.25">
      <c r="D51" s="1">
        <v>42325</v>
      </c>
      <c r="E51" s="3">
        <v>113.07642199999999</v>
      </c>
      <c r="F51" s="3">
        <v>204.254392</v>
      </c>
      <c r="G51" s="3">
        <f t="shared" si="0"/>
        <v>-0.48735300000001303</v>
      </c>
      <c r="H51" s="3">
        <f t="shared" si="1"/>
        <v>-0.1491060000000175</v>
      </c>
      <c r="I51" s="3">
        <f t="shared" si="4"/>
        <v>-0.54350155753969553</v>
      </c>
      <c r="J51" s="3">
        <f t="shared" si="5"/>
        <v>-0.19530841468255716</v>
      </c>
      <c r="K51" s="4">
        <f t="shared" si="2"/>
        <v>-0.49811645065170373</v>
      </c>
      <c r="L51" s="4">
        <f t="shared" si="3"/>
        <v>-0.23083514331370553</v>
      </c>
      <c r="M51" s="7">
        <f t="shared" si="6"/>
        <v>-2.6807113068915642</v>
      </c>
    </row>
    <row r="52" spans="1:13" x14ac:dyDescent="0.25">
      <c r="A52" s="2"/>
      <c r="B52" s="6"/>
      <c r="D52" s="1">
        <v>42324</v>
      </c>
      <c r="E52" s="3">
        <v>113.56377500000001</v>
      </c>
      <c r="F52" s="3">
        <v>204.40349800000001</v>
      </c>
      <c r="G52" s="3">
        <f t="shared" si="0"/>
        <v>1.8300730000000129</v>
      </c>
      <c r="H52" s="3">
        <f t="shared" si="1"/>
        <v>3.0617790000000014</v>
      </c>
      <c r="I52" s="3">
        <f t="shared" si="4"/>
        <v>1.7739244424603304</v>
      </c>
      <c r="J52" s="3">
        <f t="shared" si="5"/>
        <v>3.0155765853174619</v>
      </c>
      <c r="K52" s="4">
        <f t="shared" si="2"/>
        <v>1.6864786202710291</v>
      </c>
      <c r="L52" s="4">
        <f t="shared" si="3"/>
        <v>3.1335001269477036</v>
      </c>
      <c r="M52" s="7">
        <f t="shared" si="6"/>
        <v>-4.2967878121425924</v>
      </c>
    </row>
    <row r="53" spans="1:13" x14ac:dyDescent="0.25">
      <c r="A53" s="2"/>
      <c r="B53" s="6"/>
      <c r="D53" s="1">
        <v>42321</v>
      </c>
      <c r="E53" s="3">
        <v>111.73370199999999</v>
      </c>
      <c r="F53" s="3">
        <v>201.34171900000001</v>
      </c>
      <c r="G53" s="3">
        <f t="shared" si="0"/>
        <v>-3.3617630000000105</v>
      </c>
      <c r="H53" s="3">
        <f t="shared" si="1"/>
        <v>-2.2863949999999988</v>
      </c>
      <c r="I53" s="3">
        <f t="shared" si="4"/>
        <v>-3.4179115575396932</v>
      </c>
      <c r="J53" s="3">
        <f t="shared" si="5"/>
        <v>-2.3325974146825383</v>
      </c>
      <c r="K53" s="4">
        <f t="shared" si="2"/>
        <v>-3.4292721986438908</v>
      </c>
      <c r="L53" s="4">
        <f t="shared" si="3"/>
        <v>-2.354634141382423</v>
      </c>
      <c r="M53" s="7">
        <f t="shared" si="6"/>
        <v>-4.7529087776670682</v>
      </c>
    </row>
    <row r="54" spans="1:13" x14ac:dyDescent="0.25">
      <c r="A54" s="2"/>
      <c r="B54" s="6"/>
      <c r="D54" s="1">
        <v>42320</v>
      </c>
      <c r="E54" s="3">
        <v>115.095465</v>
      </c>
      <c r="F54" s="3">
        <v>203.62811400000001</v>
      </c>
      <c r="G54" s="3">
        <f t="shared" si="0"/>
        <v>-0.38789399999998864</v>
      </c>
      <c r="H54" s="3">
        <f t="shared" si="1"/>
        <v>-2.8828519999999855</v>
      </c>
      <c r="I54" s="3">
        <f t="shared" si="4"/>
        <v>-0.4440425575396712</v>
      </c>
      <c r="J54" s="3">
        <f t="shared" si="5"/>
        <v>-2.929054414682525</v>
      </c>
      <c r="K54" s="4">
        <f t="shared" si="2"/>
        <v>-0.46227368101165101</v>
      </c>
      <c r="L54" s="4">
        <f t="shared" si="3"/>
        <v>-2.9098042571731635</v>
      </c>
      <c r="M54" s="7">
        <f t="shared" si="6"/>
        <v>-4.5898544543304549</v>
      </c>
    </row>
    <row r="55" spans="1:13" x14ac:dyDescent="0.25">
      <c r="A55" s="2"/>
      <c r="B55" s="6"/>
      <c r="D55" s="1">
        <v>42319</v>
      </c>
      <c r="E55" s="3">
        <v>115.48335899999999</v>
      </c>
      <c r="F55" s="3">
        <v>206.510966</v>
      </c>
      <c r="G55" s="3">
        <f t="shared" si="0"/>
        <v>-0.6564340000000044</v>
      </c>
      <c r="H55" s="3">
        <f t="shared" si="1"/>
        <v>-0.81514100000001122</v>
      </c>
      <c r="I55" s="3">
        <f t="shared" si="4"/>
        <v>-0.71258255753968691</v>
      </c>
      <c r="J55" s="3">
        <f t="shared" si="5"/>
        <v>-0.86134341468255082</v>
      </c>
      <c r="K55" s="4">
        <f t="shared" si="2"/>
        <v>-0.81071587634200015</v>
      </c>
      <c r="L55" s="4">
        <f t="shared" si="3"/>
        <v>-0.68563835802334583</v>
      </c>
      <c r="M55" s="7">
        <f t="shared" si="6"/>
        <v>-2.7579117961700845</v>
      </c>
    </row>
    <row r="56" spans="1:13" x14ac:dyDescent="0.25">
      <c r="A56" s="2"/>
      <c r="B56" s="6"/>
      <c r="D56" s="1">
        <v>42318</v>
      </c>
      <c r="E56" s="3">
        <v>116.139793</v>
      </c>
      <c r="F56" s="3">
        <v>207.32610700000001</v>
      </c>
      <c r="G56" s="3">
        <f t="shared" si="0"/>
        <v>-3.7794949999999972</v>
      </c>
      <c r="H56" s="3">
        <f t="shared" si="1"/>
        <v>0.47715600000000791</v>
      </c>
      <c r="I56" s="3">
        <f t="shared" si="4"/>
        <v>-3.8356435575396799</v>
      </c>
      <c r="J56" s="3">
        <f t="shared" si="5"/>
        <v>0.43095358531746825</v>
      </c>
      <c r="K56" s="4">
        <f t="shared" si="2"/>
        <v>-3.8495488151100177</v>
      </c>
      <c r="L56" s="4">
        <f t="shared" si="3"/>
        <v>0.42660727081912631</v>
      </c>
      <c r="M56" s="7">
        <f t="shared" si="6"/>
        <v>-7.8042573503029944</v>
      </c>
    </row>
    <row r="57" spans="1:13" x14ac:dyDescent="0.25">
      <c r="A57" s="2"/>
      <c r="B57" s="6"/>
      <c r="D57" s="1">
        <v>42317</v>
      </c>
      <c r="E57" s="3">
        <v>119.91928799999999</v>
      </c>
      <c r="F57" s="3">
        <v>206.848951</v>
      </c>
      <c r="G57" s="3">
        <f t="shared" si="0"/>
        <v>-0.48735299999999881</v>
      </c>
      <c r="H57" s="3">
        <f t="shared" si="1"/>
        <v>-1.9483960000000025</v>
      </c>
      <c r="I57" s="3">
        <f t="shared" si="4"/>
        <v>-0.54350155753968132</v>
      </c>
      <c r="J57" s="3">
        <f t="shared" si="5"/>
        <v>-1.9945984146825422</v>
      </c>
      <c r="K57" s="4">
        <f t="shared" si="2"/>
        <v>-0.54137562135965511</v>
      </c>
      <c r="L57" s="4">
        <f t="shared" si="3"/>
        <v>-2.0004848793715748</v>
      </c>
      <c r="M57" s="7">
        <f t="shared" si="6"/>
        <v>-3.448979587975082</v>
      </c>
    </row>
    <row r="58" spans="1:13" x14ac:dyDescent="0.25">
      <c r="A58" s="2"/>
      <c r="B58" s="6"/>
      <c r="D58" s="1">
        <v>42314</v>
      </c>
      <c r="E58" s="3">
        <v>120.40664099999999</v>
      </c>
      <c r="F58" s="3">
        <v>208.797347</v>
      </c>
      <c r="G58" s="3">
        <f t="shared" si="0"/>
        <v>0.13924299999999334</v>
      </c>
      <c r="H58" s="3">
        <f t="shared" si="1"/>
        <v>-0.10935000000000628</v>
      </c>
      <c r="I58" s="3">
        <f t="shared" si="4"/>
        <v>8.3094442460310808E-2</v>
      </c>
      <c r="J58" s="3">
        <f t="shared" si="5"/>
        <v>-0.15555241468254594</v>
      </c>
      <c r="K58" s="4">
        <f t="shared" si="2"/>
        <v>6.7407935454471254E-2</v>
      </c>
      <c r="L58" s="4">
        <f t="shared" si="3"/>
        <v>-0.13207320375987722</v>
      </c>
      <c r="M58" s="7">
        <f t="shared" si="6"/>
        <v>-2.64291977280556</v>
      </c>
    </row>
    <row r="59" spans="1:13" x14ac:dyDescent="0.25">
      <c r="A59" s="2"/>
      <c r="B59" s="6"/>
      <c r="D59" s="1">
        <v>42313</v>
      </c>
      <c r="E59" s="3">
        <v>120.267398</v>
      </c>
      <c r="F59" s="3">
        <v>208.90669700000001</v>
      </c>
      <c r="G59" s="3">
        <f t="shared" si="0"/>
        <v>-0.55697499999999422</v>
      </c>
      <c r="H59" s="3">
        <f t="shared" si="1"/>
        <v>-0.20876400000000217</v>
      </c>
      <c r="I59" s="3">
        <f t="shared" si="4"/>
        <v>-0.61312355753967673</v>
      </c>
      <c r="J59" s="3">
        <f t="shared" si="5"/>
        <v>-0.25496641468254183</v>
      </c>
      <c r="K59" s="4">
        <f t="shared" si="2"/>
        <v>-0.62900279316574625</v>
      </c>
      <c r="L59" s="4">
        <f t="shared" si="3"/>
        <v>-0.2372349402683761</v>
      </c>
      <c r="M59" s="7">
        <f t="shared" si="6"/>
        <v>-2.7135815704282291</v>
      </c>
    </row>
    <row r="60" spans="1:13" x14ac:dyDescent="0.25">
      <c r="A60" s="2"/>
      <c r="B60" s="6"/>
      <c r="D60" s="1">
        <v>42312</v>
      </c>
      <c r="E60" s="3">
        <v>120.82437299999999</v>
      </c>
      <c r="F60" s="3">
        <v>209.11546100000001</v>
      </c>
      <c r="G60" s="3">
        <f t="shared" si="0"/>
        <v>-0.56450800000000356</v>
      </c>
      <c r="H60" s="3">
        <f t="shared" si="1"/>
        <v>-0.63621299999999792</v>
      </c>
      <c r="I60" s="3">
        <f t="shared" si="4"/>
        <v>-0.62065655753968607</v>
      </c>
      <c r="J60" s="3">
        <f t="shared" si="5"/>
        <v>-0.68241541468253752</v>
      </c>
      <c r="K60" s="4">
        <f t="shared" si="2"/>
        <v>-0.58687323771639044</v>
      </c>
      <c r="L60" s="4">
        <f t="shared" si="3"/>
        <v>-0.73282390755734972</v>
      </c>
      <c r="M60" s="7">
        <f t="shared" si="6"/>
        <v>-2.7288508483053353</v>
      </c>
    </row>
    <row r="61" spans="1:13" x14ac:dyDescent="0.25">
      <c r="A61" s="2"/>
      <c r="B61" s="6"/>
      <c r="D61" s="1">
        <v>42311</v>
      </c>
      <c r="E61" s="3">
        <v>121.388881</v>
      </c>
      <c r="F61" s="3">
        <v>209.75167400000001</v>
      </c>
      <c r="G61" s="3">
        <f t="shared" si="0"/>
        <v>1.3766049999999979</v>
      </c>
      <c r="H61" s="3">
        <f t="shared" si="1"/>
        <v>0.6063919999999996</v>
      </c>
      <c r="I61" s="3">
        <f t="shared" si="4"/>
        <v>1.3204564424603153</v>
      </c>
      <c r="J61" s="3">
        <f t="shared" si="5"/>
        <v>0.56018958531745999</v>
      </c>
      <c r="K61" s="4">
        <f t="shared" si="2"/>
        <v>1.3615878319544368</v>
      </c>
      <c r="L61" s="4">
        <f t="shared" si="3"/>
        <v>0.52324559889895939</v>
      </c>
      <c r="M61" s="7">
        <f t="shared" si="6"/>
        <v>-3.0074928809984773</v>
      </c>
    </row>
    <row r="62" spans="1:13" x14ac:dyDescent="0.25">
      <c r="A62" s="2"/>
      <c r="B62" s="6"/>
      <c r="D62" s="1">
        <v>42310</v>
      </c>
      <c r="E62" s="3">
        <v>120.012276</v>
      </c>
      <c r="F62" s="3">
        <v>209.14528200000001</v>
      </c>
      <c r="G62" s="3">
        <f t="shared" si="0"/>
        <v>1.663811999999993</v>
      </c>
      <c r="H62" s="3">
        <f t="shared" si="1"/>
        <v>2.4454530000000148</v>
      </c>
      <c r="I62" s="3">
        <f t="shared" si="4"/>
        <v>1.6076634424603105</v>
      </c>
      <c r="J62" s="3">
        <f t="shared" si="5"/>
        <v>2.3992505853174753</v>
      </c>
      <c r="K62" s="4">
        <f t="shared" si="2"/>
        <v>1.580128743326529</v>
      </c>
      <c r="L62" s="4">
        <f t="shared" si="3"/>
        <v>2.4334457557465896</v>
      </c>
      <c r="M62" s="7">
        <f t="shared" si="6"/>
        <v>-3.6276647930118417</v>
      </c>
    </row>
    <row r="63" spans="1:13" x14ac:dyDescent="0.25">
      <c r="A63" s="2"/>
      <c r="B63" s="6"/>
      <c r="D63" s="1">
        <v>42307</v>
      </c>
      <c r="E63" s="3">
        <v>118.34846400000001</v>
      </c>
      <c r="F63" s="3">
        <v>206.69982899999999</v>
      </c>
      <c r="G63" s="3">
        <f t="shared" si="0"/>
        <v>-1.0200739999999939</v>
      </c>
      <c r="H63" s="3">
        <f t="shared" si="1"/>
        <v>-0.89468500000000972</v>
      </c>
      <c r="I63" s="3">
        <f t="shared" si="4"/>
        <v>-1.0762225575396764</v>
      </c>
      <c r="J63" s="3">
        <f t="shared" si="5"/>
        <v>-0.94088741468254933</v>
      </c>
      <c r="K63" s="4">
        <f t="shared" si="2"/>
        <v>-1.045733098526531</v>
      </c>
      <c r="L63" s="4">
        <f t="shared" si="3"/>
        <v>-0.99592739524730622</v>
      </c>
      <c r="M63" s="7">
        <f t="shared" si="6"/>
        <v>-2.8563063213740447</v>
      </c>
    </row>
    <row r="64" spans="1:13" x14ac:dyDescent="0.25">
      <c r="A64" s="2"/>
      <c r="B64" s="6"/>
      <c r="D64" s="1">
        <v>42306</v>
      </c>
      <c r="E64" s="3">
        <v>119.368538</v>
      </c>
      <c r="F64" s="3">
        <v>207.594514</v>
      </c>
      <c r="G64" s="3">
        <f t="shared" si="0"/>
        <v>1.2478610000000003</v>
      </c>
      <c r="H64" s="3">
        <f t="shared" si="1"/>
        <v>-0.11928499999999076</v>
      </c>
      <c r="I64" s="3">
        <f t="shared" si="4"/>
        <v>1.1917124424603178</v>
      </c>
      <c r="J64" s="3">
        <f t="shared" si="5"/>
        <v>-0.16548741468253042</v>
      </c>
      <c r="K64" s="4">
        <f t="shared" si="2"/>
        <v>1.3098712674341322</v>
      </c>
      <c r="L64" s="4">
        <f t="shared" si="3"/>
        <v>-0.33709064899875202</v>
      </c>
      <c r="M64" s="7">
        <f t="shared" si="6"/>
        <v>-3.3522947532731111</v>
      </c>
    </row>
    <row r="65" spans="1:13" x14ac:dyDescent="0.25">
      <c r="D65" s="1">
        <v>42305</v>
      </c>
      <c r="E65" s="3">
        <v>118.120677</v>
      </c>
      <c r="F65" s="3">
        <v>207.71379899999999</v>
      </c>
      <c r="G65" s="3">
        <f t="shared" si="0"/>
        <v>4.6745099999999979</v>
      </c>
      <c r="H65" s="3">
        <f t="shared" si="1"/>
        <v>2.3360879999999895</v>
      </c>
      <c r="I65" s="3">
        <f t="shared" si="4"/>
        <v>4.6183614424603157</v>
      </c>
      <c r="J65" s="3">
        <f t="shared" si="5"/>
        <v>2.28988558531745</v>
      </c>
      <c r="K65" s="4">
        <f t="shared" si="2"/>
        <v>4.5984282538193426</v>
      </c>
      <c r="L65" s="4">
        <f t="shared" si="3"/>
        <v>2.3180163372641025</v>
      </c>
      <c r="M65" s="7">
        <f t="shared" si="6"/>
        <v>-6.5897015637053862</v>
      </c>
    </row>
    <row r="66" spans="1:13" x14ac:dyDescent="0.25">
      <c r="A66" s="2"/>
      <c r="B66" s="6"/>
      <c r="D66" s="1">
        <v>42304</v>
      </c>
      <c r="E66" s="3">
        <v>113.446167</v>
      </c>
      <c r="F66" s="3">
        <v>205.37771100000001</v>
      </c>
      <c r="G66" s="3">
        <f t="shared" ref="G66:G129" si="7">E66-E67</f>
        <v>-0.72296099999999797</v>
      </c>
      <c r="H66" s="3">
        <f t="shared" ref="H66:H129" si="8">F66-F67</f>
        <v>-0.39762799999999743</v>
      </c>
      <c r="I66" s="3">
        <f t="shared" si="4"/>
        <v>-0.77910955753968048</v>
      </c>
      <c r="J66" s="3">
        <f t="shared" si="5"/>
        <v>-0.44383041468253709</v>
      </c>
      <c r="K66" s="4">
        <f t="shared" ref="K66:K129" si="9">I66-A$11*I67</f>
        <v>-0.87683070880291225</v>
      </c>
      <c r="L66" s="4">
        <f t="shared" ref="L66:L129" si="10">J66-A$12*I67-B$12*J67</f>
        <v>-0.28283758859876718</v>
      </c>
      <c r="M66" s="7">
        <f t="shared" si="6"/>
        <v>-2.7967421789966469</v>
      </c>
    </row>
    <row r="67" spans="1:13" x14ac:dyDescent="0.25">
      <c r="B67" s="6"/>
      <c r="D67" s="1">
        <v>42303</v>
      </c>
      <c r="E67" s="3">
        <v>114.169128</v>
      </c>
      <c r="F67" s="3">
        <v>205.775339</v>
      </c>
      <c r="G67" s="3">
        <f t="shared" si="7"/>
        <v>-3.7633849999999995</v>
      </c>
      <c r="H67" s="3">
        <f t="shared" si="8"/>
        <v>-0.50697700000000623</v>
      </c>
      <c r="I67" s="3">
        <f t="shared" ref="I67:I130" si="11">G67-AVERAGE(G$2:G$505)</f>
        <v>-3.8195335575396823</v>
      </c>
      <c r="J67" s="3">
        <f t="shared" ref="J67:J130" si="12">H67-AVERAGE(H$2:H$505)</f>
        <v>-0.55317941468254583</v>
      </c>
      <c r="K67" s="4">
        <f t="shared" si="9"/>
        <v>-3.7302598737594339</v>
      </c>
      <c r="L67" s="4">
        <f t="shared" si="10"/>
        <v>-0.6762831458827504</v>
      </c>
      <c r="M67" s="7">
        <f t="shared" ref="M67:M130" si="13">-LN(2*PI()*ABS(A$2*B$3))-0.5*SUMPRODUCT(MMULT(K67:L67,A$8:B$9),K67:L67)</f>
        <v>-6.0477612671316443</v>
      </c>
    </row>
    <row r="68" spans="1:13" x14ac:dyDescent="0.25">
      <c r="D68" s="1">
        <v>42300</v>
      </c>
      <c r="E68" s="3">
        <v>117.932513</v>
      </c>
      <c r="F68" s="3">
        <v>206.28231600000001</v>
      </c>
      <c r="G68" s="3">
        <f t="shared" si="7"/>
        <v>3.545503999999994</v>
      </c>
      <c r="H68" s="3">
        <f t="shared" si="8"/>
        <v>2.2366880000000151</v>
      </c>
      <c r="I68" s="3">
        <f t="shared" si="11"/>
        <v>3.4893554424603113</v>
      </c>
      <c r="J68" s="3">
        <f t="shared" si="12"/>
        <v>2.1904855853174756</v>
      </c>
      <c r="K68" s="4">
        <f t="shared" si="9"/>
        <v>3.5320070163639392</v>
      </c>
      <c r="L68" s="4">
        <f t="shared" si="10"/>
        <v>2.1643489529421664</v>
      </c>
      <c r="M68" s="7">
        <f t="shared" si="13"/>
        <v>-4.888115862661361</v>
      </c>
    </row>
    <row r="69" spans="1:13" x14ac:dyDescent="0.25">
      <c r="B69" s="6"/>
      <c r="D69" s="1">
        <v>42299</v>
      </c>
      <c r="E69" s="3">
        <v>114.38700900000001</v>
      </c>
      <c r="F69" s="3">
        <v>204.04562799999999</v>
      </c>
      <c r="G69" s="3">
        <f t="shared" si="7"/>
        <v>1.7232300000000009</v>
      </c>
      <c r="H69" s="3">
        <f t="shared" si="8"/>
        <v>3.3898149999999987</v>
      </c>
      <c r="I69" s="3">
        <f t="shared" si="11"/>
        <v>1.6670814424603184</v>
      </c>
      <c r="J69" s="3">
        <f t="shared" si="12"/>
        <v>3.3436125853174592</v>
      </c>
      <c r="K69" s="4">
        <f t="shared" si="9"/>
        <v>1.6653916692085531</v>
      </c>
      <c r="L69" s="4">
        <f t="shared" si="10"/>
        <v>3.3280569485482943</v>
      </c>
      <c r="M69" s="7">
        <f t="shared" si="13"/>
        <v>-4.5343641979790039</v>
      </c>
    </row>
    <row r="70" spans="1:13" x14ac:dyDescent="0.25">
      <c r="D70" s="1">
        <v>42298</v>
      </c>
      <c r="E70" s="3">
        <v>112.66377900000001</v>
      </c>
      <c r="F70" s="3">
        <v>200.65581299999999</v>
      </c>
      <c r="G70" s="3">
        <f t="shared" si="7"/>
        <v>-9.8979999999926349E-3</v>
      </c>
      <c r="H70" s="3">
        <f t="shared" si="8"/>
        <v>-1.2525410000000079</v>
      </c>
      <c r="I70" s="3">
        <f t="shared" si="11"/>
        <v>-6.6046557539675171E-2</v>
      </c>
      <c r="J70" s="3">
        <f t="shared" si="12"/>
        <v>-1.2987434146825476</v>
      </c>
      <c r="K70" s="4">
        <f t="shared" si="9"/>
        <v>-1.5793652235279024E-2</v>
      </c>
      <c r="L70" s="4">
        <f t="shared" si="10"/>
        <v>-1.3899144497728217</v>
      </c>
      <c r="M70" s="7">
        <f t="shared" si="13"/>
        <v>-3.1716499676681287</v>
      </c>
    </row>
    <row r="71" spans="1:13" x14ac:dyDescent="0.25">
      <c r="B71" s="4"/>
      <c r="D71" s="1">
        <v>42297</v>
      </c>
      <c r="E71" s="3">
        <v>112.673677</v>
      </c>
      <c r="F71" s="3">
        <v>201.908354</v>
      </c>
      <c r="G71" s="3">
        <f t="shared" si="7"/>
        <v>2.0203360000000004</v>
      </c>
      <c r="H71" s="3">
        <f t="shared" si="8"/>
        <v>-0.25845599999999536</v>
      </c>
      <c r="I71" s="3">
        <f t="shared" si="11"/>
        <v>1.9641874424603178</v>
      </c>
      <c r="J71" s="3">
        <f t="shared" si="12"/>
        <v>-0.30465841468253502</v>
      </c>
      <c r="K71" s="4">
        <f t="shared" si="9"/>
        <v>1.9802342029537943</v>
      </c>
      <c r="L71" s="4">
        <f t="shared" si="10"/>
        <v>-0.33163046581927952</v>
      </c>
      <c r="M71" s="7">
        <f t="shared" si="13"/>
        <v>-4.1022577506587439</v>
      </c>
    </row>
    <row r="72" spans="1:13" x14ac:dyDescent="0.25">
      <c r="D72" s="1">
        <v>42296</v>
      </c>
      <c r="E72" s="3">
        <v>110.653341</v>
      </c>
      <c r="F72" s="3">
        <v>202.16681</v>
      </c>
      <c r="G72" s="3">
        <f t="shared" si="7"/>
        <v>0.68335299999999677</v>
      </c>
      <c r="H72" s="3">
        <f t="shared" si="8"/>
        <v>9.9399000000005344E-2</v>
      </c>
      <c r="I72" s="3">
        <f t="shared" si="11"/>
        <v>0.62720444246031426</v>
      </c>
      <c r="J72" s="3">
        <f t="shared" si="12"/>
        <v>5.319658531746569E-2</v>
      </c>
      <c r="K72" s="4">
        <f t="shared" si="9"/>
        <v>0.6049907213593092</v>
      </c>
      <c r="L72" s="4">
        <f t="shared" si="10"/>
        <v>0.10393486658426809</v>
      </c>
      <c r="M72" s="7">
        <f t="shared" si="13"/>
        <v>-2.7240392362797046</v>
      </c>
    </row>
    <row r="73" spans="1:13" x14ac:dyDescent="0.25">
      <c r="B73" s="4"/>
      <c r="C73" s="4"/>
      <c r="D73" s="1">
        <v>42293</v>
      </c>
      <c r="E73" s="3">
        <v>109.969988</v>
      </c>
      <c r="F73" s="3">
        <v>202.06741099999999</v>
      </c>
      <c r="G73" s="3">
        <f t="shared" si="7"/>
        <v>-0.81209800000000598</v>
      </c>
      <c r="H73" s="3">
        <f t="shared" si="8"/>
        <v>0.91455600000000459</v>
      </c>
      <c r="I73" s="3">
        <f t="shared" si="11"/>
        <v>-0.86824655753968849</v>
      </c>
      <c r="J73" s="3">
        <f t="shared" si="12"/>
        <v>0.86835358531746498</v>
      </c>
      <c r="K73" s="4">
        <f t="shared" si="9"/>
        <v>-0.827875285834897</v>
      </c>
      <c r="L73" s="4">
        <f t="shared" si="10"/>
        <v>0.84120810154040349</v>
      </c>
      <c r="M73" s="7">
        <f t="shared" si="13"/>
        <v>-3.3025641746735115</v>
      </c>
    </row>
    <row r="74" spans="1:13" x14ac:dyDescent="0.25">
      <c r="B74" s="4"/>
      <c r="C74" s="4"/>
      <c r="D74" s="1">
        <v>42292</v>
      </c>
      <c r="E74" s="3">
        <v>110.78208600000001</v>
      </c>
      <c r="F74" s="3">
        <v>201.15285499999999</v>
      </c>
      <c r="G74" s="3">
        <f t="shared" si="7"/>
        <v>1.6341020000000128</v>
      </c>
      <c r="H74" s="3">
        <f t="shared" si="8"/>
        <v>3.0419089999999755</v>
      </c>
      <c r="I74" s="3">
        <f t="shared" si="11"/>
        <v>1.5779534424603303</v>
      </c>
      <c r="J74" s="3">
        <f t="shared" si="12"/>
        <v>2.9957065853174361</v>
      </c>
      <c r="K74" s="4">
        <f t="shared" si="9"/>
        <v>1.5364827473588045</v>
      </c>
      <c r="L74" s="4">
        <f t="shared" si="10"/>
        <v>3.0531347139104796</v>
      </c>
      <c r="M74" s="7">
        <f t="shared" si="13"/>
        <v>-4.2314133157052698</v>
      </c>
    </row>
    <row r="75" spans="1:13" x14ac:dyDescent="0.25">
      <c r="A75" s="10"/>
      <c r="D75" s="1">
        <v>42291</v>
      </c>
      <c r="E75" s="3">
        <v>109.14798399999999</v>
      </c>
      <c r="F75" s="3">
        <v>198.11094600000001</v>
      </c>
      <c r="G75" s="3">
        <f t="shared" si="7"/>
        <v>-1.5647770000000065</v>
      </c>
      <c r="H75" s="3">
        <f t="shared" si="8"/>
        <v>-0.95432699999997794</v>
      </c>
      <c r="I75" s="3">
        <f t="shared" si="11"/>
        <v>-1.620925557539689</v>
      </c>
      <c r="J75" s="3">
        <f t="shared" si="12"/>
        <v>-1.0005294146825177</v>
      </c>
      <c r="K75" s="4">
        <f t="shared" si="9"/>
        <v>-1.6175477935806608</v>
      </c>
      <c r="L75" s="4">
        <f t="shared" si="10"/>
        <v>-1.0249833045412666</v>
      </c>
      <c r="M75" s="7">
        <f t="shared" si="13"/>
        <v>-3.1049979646283008</v>
      </c>
    </row>
    <row r="76" spans="1:13" x14ac:dyDescent="0.25">
      <c r="A76" s="11"/>
      <c r="B76" s="11"/>
      <c r="D76" s="1">
        <v>42290</v>
      </c>
      <c r="E76" s="3">
        <v>110.712761</v>
      </c>
      <c r="F76" s="3">
        <v>199.06527299999999</v>
      </c>
      <c r="G76" s="3">
        <f t="shared" si="7"/>
        <v>0.18817199999999445</v>
      </c>
      <c r="H76" s="3">
        <f t="shared" si="8"/>
        <v>-1.2624910000000114</v>
      </c>
      <c r="I76" s="3">
        <f t="shared" si="11"/>
        <v>0.13202344246031192</v>
      </c>
      <c r="J76" s="3">
        <f t="shared" si="12"/>
        <v>-1.3086934146825511</v>
      </c>
      <c r="K76" s="4">
        <f t="shared" si="9"/>
        <v>0.11741100159092095</v>
      </c>
      <c r="L76" s="4">
        <f t="shared" si="10"/>
        <v>-1.2814134451392449</v>
      </c>
      <c r="M76" s="7">
        <f t="shared" si="13"/>
        <v>-3.1583241279686676</v>
      </c>
    </row>
    <row r="77" spans="1:13" x14ac:dyDescent="0.25">
      <c r="A77" s="11"/>
      <c r="B77" s="8"/>
      <c r="D77" s="1">
        <v>42289</v>
      </c>
      <c r="E77" s="3">
        <v>110.52458900000001</v>
      </c>
      <c r="F77" s="3">
        <v>200.327764</v>
      </c>
      <c r="G77" s="3">
        <f t="shared" si="7"/>
        <v>-0.5149939999999873</v>
      </c>
      <c r="H77" s="3">
        <f t="shared" si="8"/>
        <v>0.18887799999998833</v>
      </c>
      <c r="I77" s="3">
        <f t="shared" si="11"/>
        <v>-0.5711425575396698</v>
      </c>
      <c r="J77" s="3">
        <f t="shared" si="12"/>
        <v>0.14267558531744867</v>
      </c>
      <c r="K77" s="4">
        <f t="shared" si="9"/>
        <v>-0.50619335938615884</v>
      </c>
      <c r="L77" s="4">
        <f t="shared" si="10"/>
        <v>3.1483001561213961E-2</v>
      </c>
      <c r="M77" s="7">
        <f t="shared" si="13"/>
        <v>-2.7174052826089752</v>
      </c>
    </row>
    <row r="78" spans="1:13" x14ac:dyDescent="0.25">
      <c r="A78" s="11"/>
      <c r="B78" s="8"/>
      <c r="D78" s="1">
        <v>42286</v>
      </c>
      <c r="E78" s="3">
        <v>111.03958299999999</v>
      </c>
      <c r="F78" s="3">
        <v>200.13888600000001</v>
      </c>
      <c r="G78" s="3">
        <f t="shared" si="7"/>
        <v>2.5947559999999896</v>
      </c>
      <c r="H78" s="3">
        <f t="shared" si="8"/>
        <v>0.11928600000001666</v>
      </c>
      <c r="I78" s="3">
        <f t="shared" si="11"/>
        <v>2.5386074424603069</v>
      </c>
      <c r="J78" s="3">
        <f t="shared" si="12"/>
        <v>7.3083585317476996E-2</v>
      </c>
      <c r="K78" s="4">
        <f t="shared" si="9"/>
        <v>2.50473825785159</v>
      </c>
      <c r="L78" s="4">
        <f t="shared" si="10"/>
        <v>0.15640713507195889</v>
      </c>
      <c r="M78" s="7">
        <f t="shared" si="13"/>
        <v>-4.4005322014496926</v>
      </c>
    </row>
    <row r="79" spans="1:13" x14ac:dyDescent="0.25">
      <c r="A79" s="11"/>
      <c r="B79" s="8"/>
      <c r="D79" s="1">
        <v>42285</v>
      </c>
      <c r="E79" s="3">
        <v>108.444827</v>
      </c>
      <c r="F79" s="3">
        <v>200.0196</v>
      </c>
      <c r="G79" s="3">
        <f t="shared" si="7"/>
        <v>-1.2676639999999963</v>
      </c>
      <c r="H79" s="3">
        <f t="shared" si="8"/>
        <v>1.7893530000000055</v>
      </c>
      <c r="I79" s="3">
        <f t="shared" si="11"/>
        <v>-1.3238125575396789</v>
      </c>
      <c r="J79" s="3">
        <f t="shared" si="12"/>
        <v>1.7431505853174658</v>
      </c>
      <c r="K79" s="4">
        <f t="shared" si="9"/>
        <v>-1.338678234554435</v>
      </c>
      <c r="L79" s="4">
        <f t="shared" si="10"/>
        <v>1.7910906971404477</v>
      </c>
      <c r="M79" s="7">
        <f t="shared" si="13"/>
        <v>-4.9833563927752662</v>
      </c>
    </row>
    <row r="80" spans="1:13" x14ac:dyDescent="0.25">
      <c r="A80" s="11"/>
      <c r="B80" s="9"/>
      <c r="D80" s="1">
        <v>42284</v>
      </c>
      <c r="E80" s="3">
        <v>109.712491</v>
      </c>
      <c r="F80" s="3">
        <v>198.23024699999999</v>
      </c>
      <c r="G80" s="3">
        <f t="shared" si="7"/>
        <v>-0.52489199999999414</v>
      </c>
      <c r="H80" s="3">
        <f t="shared" si="8"/>
        <v>1.6104259999999897</v>
      </c>
      <c r="I80" s="3">
        <f t="shared" si="11"/>
        <v>-0.58104055753967665</v>
      </c>
      <c r="J80" s="3">
        <f t="shared" si="12"/>
        <v>1.56422358531745</v>
      </c>
      <c r="K80" s="4">
        <f t="shared" si="9"/>
        <v>-0.56904795473772152</v>
      </c>
      <c r="L80" s="4">
        <f t="shared" si="10"/>
        <v>1.5332267360692229</v>
      </c>
      <c r="M80" s="7">
        <f t="shared" si="13"/>
        <v>-3.7234337594672007</v>
      </c>
    </row>
    <row r="81" spans="1:13" x14ac:dyDescent="0.25">
      <c r="A81" s="11"/>
      <c r="B81" s="8"/>
      <c r="D81" s="1">
        <v>42283</v>
      </c>
      <c r="E81" s="3">
        <v>110.23738299999999</v>
      </c>
      <c r="F81" s="3">
        <v>196.619821</v>
      </c>
      <c r="G81" s="3">
        <f t="shared" si="7"/>
        <v>0.52489199999999414</v>
      </c>
      <c r="H81" s="3">
        <f t="shared" si="8"/>
        <v>-0.6759839999999997</v>
      </c>
      <c r="I81" s="3">
        <f t="shared" si="11"/>
        <v>0.46874344246031158</v>
      </c>
      <c r="J81" s="3">
        <f t="shared" si="12"/>
        <v>-0.7221864146825393</v>
      </c>
      <c r="K81" s="4">
        <f t="shared" si="9"/>
        <v>0.47744215886753943</v>
      </c>
      <c r="L81" s="4">
        <f t="shared" si="10"/>
        <v>-0.68880384051770605</v>
      </c>
      <c r="M81" s="7">
        <f t="shared" si="13"/>
        <v>-2.9599246756174216</v>
      </c>
    </row>
    <row r="82" spans="1:13" x14ac:dyDescent="0.25">
      <c r="D82" s="1">
        <v>42282</v>
      </c>
      <c r="E82" s="3">
        <v>109.712491</v>
      </c>
      <c r="F82" s="3">
        <v>197.295805</v>
      </c>
      <c r="G82" s="3">
        <f t="shared" si="7"/>
        <v>0.39614699999999914</v>
      </c>
      <c r="H82" s="3">
        <f t="shared" si="8"/>
        <v>3.4494709999999884</v>
      </c>
      <c r="I82" s="3">
        <f t="shared" si="11"/>
        <v>0.33999844246031657</v>
      </c>
      <c r="J82" s="3">
        <f t="shared" si="12"/>
        <v>3.4032685853174489</v>
      </c>
      <c r="K82" s="4">
        <f t="shared" si="9"/>
        <v>0.3588322077045551</v>
      </c>
      <c r="L82" s="4">
        <f t="shared" si="10"/>
        <v>3.4106527849779344</v>
      </c>
      <c r="M82" s="7">
        <f t="shared" si="13"/>
        <v>-5.5049922069238928</v>
      </c>
    </row>
    <row r="83" spans="1:13" x14ac:dyDescent="0.25">
      <c r="D83" s="1">
        <v>42279</v>
      </c>
      <c r="E83" s="3">
        <v>109.316344</v>
      </c>
      <c r="F83" s="3">
        <v>193.84633400000001</v>
      </c>
      <c r="G83" s="3">
        <f t="shared" si="7"/>
        <v>0.79228600000000426</v>
      </c>
      <c r="H83" s="3">
        <f t="shared" si="8"/>
        <v>2.8530160000000251</v>
      </c>
      <c r="I83" s="3">
        <f t="shared" si="11"/>
        <v>0.73613744246032176</v>
      </c>
      <c r="J83" s="3">
        <f t="shared" si="12"/>
        <v>2.8068135853174856</v>
      </c>
      <c r="K83" s="4">
        <f t="shared" si="9"/>
        <v>0.7164574899647137</v>
      </c>
      <c r="L83" s="4">
        <f t="shared" si="10"/>
        <v>2.847234073918453</v>
      </c>
      <c r="M83" s="7">
        <f t="shared" si="13"/>
        <v>-4.3188596765098879</v>
      </c>
    </row>
    <row r="84" spans="1:13" x14ac:dyDescent="0.25">
      <c r="D84" s="1">
        <v>42278</v>
      </c>
      <c r="E84" s="3">
        <v>108.524058</v>
      </c>
      <c r="F84" s="3">
        <v>190.99331799999999</v>
      </c>
      <c r="G84" s="3">
        <f t="shared" si="7"/>
        <v>-0.71306300000000533</v>
      </c>
      <c r="H84" s="3">
        <f t="shared" si="8"/>
        <v>0.49704199999999332</v>
      </c>
      <c r="I84" s="3">
        <f t="shared" si="11"/>
        <v>-0.76921155753968784</v>
      </c>
      <c r="J84" s="3">
        <f t="shared" si="12"/>
        <v>0.45083958531745366</v>
      </c>
      <c r="K84" s="4">
        <f t="shared" si="9"/>
        <v>-0.73922880107846733</v>
      </c>
      <c r="L84" s="4">
        <f t="shared" si="10"/>
        <v>0.44800912611336446</v>
      </c>
      <c r="M84" s="7">
        <f t="shared" si="13"/>
        <v>-2.9801693403453822</v>
      </c>
    </row>
    <row r="85" spans="1:13" x14ac:dyDescent="0.25">
      <c r="A85" s="10"/>
      <c r="D85" s="1">
        <v>42277</v>
      </c>
      <c r="E85" s="3">
        <v>109.237121</v>
      </c>
      <c r="F85" s="3">
        <v>190.49627599999999</v>
      </c>
      <c r="G85" s="3">
        <f t="shared" si="7"/>
        <v>1.2280559999999952</v>
      </c>
      <c r="H85" s="3">
        <f t="shared" si="8"/>
        <v>3.4892439999999851</v>
      </c>
      <c r="I85" s="3">
        <f t="shared" si="11"/>
        <v>1.1719074424603126</v>
      </c>
      <c r="J85" s="3">
        <f t="shared" si="12"/>
        <v>3.4430415853174456</v>
      </c>
      <c r="K85" s="4">
        <f t="shared" si="9"/>
        <v>1.0848282216780571</v>
      </c>
      <c r="L85" s="4">
        <f t="shared" si="10"/>
        <v>3.5944128334046361</v>
      </c>
      <c r="M85" s="7">
        <f t="shared" si="13"/>
        <v>-5.1859291968020731</v>
      </c>
    </row>
    <row r="86" spans="1:13" x14ac:dyDescent="0.25">
      <c r="A86" s="11"/>
      <c r="B86" s="9"/>
      <c r="C86" s="11"/>
      <c r="D86" s="1">
        <v>42276</v>
      </c>
      <c r="E86" s="3">
        <v>108.00906500000001</v>
      </c>
      <c r="F86" s="3">
        <v>187.00703200000001</v>
      </c>
      <c r="G86" s="3">
        <f t="shared" si="7"/>
        <v>-3.3474339999999927</v>
      </c>
      <c r="H86" s="3">
        <f t="shared" si="8"/>
        <v>0.1093490000000088</v>
      </c>
      <c r="I86" s="3">
        <f t="shared" si="11"/>
        <v>-3.4035825575396754</v>
      </c>
      <c r="J86" s="3">
        <f t="shared" si="12"/>
        <v>6.3146585317469139E-2</v>
      </c>
      <c r="K86" s="4">
        <f t="shared" si="9"/>
        <v>-3.4625363455644602</v>
      </c>
      <c r="L86" s="4">
        <f t="shared" si="10"/>
        <v>9.5633512783501295E-2</v>
      </c>
      <c r="M86" s="7">
        <f t="shared" si="13"/>
        <v>-6.4042183461863988</v>
      </c>
    </row>
    <row r="87" spans="1:13" x14ac:dyDescent="0.25">
      <c r="A87" s="11"/>
      <c r="B87" s="9"/>
      <c r="C87" s="11"/>
      <c r="D87" s="1">
        <v>42275</v>
      </c>
      <c r="E87" s="3">
        <v>111.356499</v>
      </c>
      <c r="F87" s="3">
        <v>186.897683</v>
      </c>
      <c r="G87" s="3">
        <f t="shared" si="7"/>
        <v>-2.2481219999999951</v>
      </c>
      <c r="H87" s="3">
        <f t="shared" si="8"/>
        <v>-4.8312469999999905</v>
      </c>
      <c r="I87" s="3">
        <f t="shared" si="11"/>
        <v>-2.3042705575396778</v>
      </c>
      <c r="J87" s="3">
        <f t="shared" si="12"/>
        <v>-4.8774494146825305</v>
      </c>
      <c r="K87" s="4">
        <f t="shared" si="9"/>
        <v>-2.3130551387323273</v>
      </c>
      <c r="L87" s="4">
        <f t="shared" si="10"/>
        <v>-4.8633511558447085</v>
      </c>
      <c r="M87" s="7">
        <f t="shared" si="13"/>
        <v>-6.7385788605370172</v>
      </c>
    </row>
    <row r="88" spans="1:13" x14ac:dyDescent="0.25">
      <c r="A88" s="11"/>
      <c r="B88" s="9"/>
      <c r="C88" s="9"/>
      <c r="D88" s="1">
        <v>42272</v>
      </c>
      <c r="E88" s="3">
        <v>113.60462099999999</v>
      </c>
      <c r="F88" s="3">
        <v>191.72892999999999</v>
      </c>
      <c r="G88" s="3">
        <f t="shared" si="7"/>
        <v>-0.28720600000001184</v>
      </c>
      <c r="H88" s="3">
        <f t="shared" si="8"/>
        <v>-2.9821999999995796E-2</v>
      </c>
      <c r="I88" s="3">
        <f t="shared" si="11"/>
        <v>-0.3433545575396944</v>
      </c>
      <c r="J88" s="3">
        <f t="shared" si="12"/>
        <v>-7.6024414682535457E-2</v>
      </c>
      <c r="K88" s="4">
        <f t="shared" si="9"/>
        <v>-0.32756123786820035</v>
      </c>
      <c r="L88" s="4">
        <f t="shared" si="10"/>
        <v>-0.1138717975605287</v>
      </c>
      <c r="M88" s="7">
        <f t="shared" si="13"/>
        <v>-2.6555868429637455</v>
      </c>
    </row>
    <row r="89" spans="1:13" x14ac:dyDescent="0.25">
      <c r="A89" s="11"/>
      <c r="B89" s="9"/>
      <c r="C89" s="9"/>
      <c r="D89" s="1">
        <v>42271</v>
      </c>
      <c r="E89" s="3">
        <v>113.89182700000001</v>
      </c>
      <c r="F89" s="3">
        <v>191.75875199999999</v>
      </c>
      <c r="G89" s="3">
        <f t="shared" si="7"/>
        <v>0.67344700000001012</v>
      </c>
      <c r="H89" s="3">
        <f t="shared" si="8"/>
        <v>-0.69587000000001353</v>
      </c>
      <c r="I89" s="3">
        <f t="shared" si="11"/>
        <v>0.61729844246032761</v>
      </c>
      <c r="J89" s="3">
        <f t="shared" si="12"/>
        <v>-0.74207241468255314</v>
      </c>
      <c r="K89" s="4">
        <f t="shared" si="9"/>
        <v>0.63917285795392831</v>
      </c>
      <c r="L89" s="4">
        <f t="shared" si="10"/>
        <v>-0.7847709756485366</v>
      </c>
      <c r="M89" s="7">
        <f t="shared" si="13"/>
        <v>-3.119507310353411</v>
      </c>
    </row>
    <row r="90" spans="1:13" x14ac:dyDescent="0.25">
      <c r="A90" s="11"/>
      <c r="B90" s="11"/>
      <c r="C90" s="11"/>
      <c r="D90" s="1">
        <v>42270</v>
      </c>
      <c r="E90" s="3">
        <v>113.21838</v>
      </c>
      <c r="F90" s="3">
        <v>192.454622</v>
      </c>
      <c r="G90" s="3">
        <f t="shared" si="7"/>
        <v>0.91113299999999242</v>
      </c>
      <c r="H90" s="3">
        <f t="shared" si="8"/>
        <v>-0.29821300000000406</v>
      </c>
      <c r="I90" s="3">
        <f t="shared" si="11"/>
        <v>0.85498444246030991</v>
      </c>
      <c r="J90" s="3">
        <f t="shared" si="12"/>
        <v>-0.34441541468254372</v>
      </c>
      <c r="K90" s="4">
        <f t="shared" si="9"/>
        <v>0.80768611794323741</v>
      </c>
      <c r="L90" s="4">
        <f t="shared" si="10"/>
        <v>-0.29954373712691018</v>
      </c>
      <c r="M90" s="7">
        <f t="shared" si="13"/>
        <v>-2.9475444317621537</v>
      </c>
    </row>
    <row r="91" spans="1:13" x14ac:dyDescent="0.25">
      <c r="A91" s="11"/>
      <c r="B91" s="9"/>
      <c r="C91" s="11"/>
      <c r="D91" s="1">
        <v>42269</v>
      </c>
      <c r="E91" s="3">
        <v>112.307247</v>
      </c>
      <c r="F91" s="3">
        <v>192.752835</v>
      </c>
      <c r="G91" s="3">
        <f t="shared" si="7"/>
        <v>-1.7925559999999905</v>
      </c>
      <c r="H91" s="3">
        <f t="shared" si="8"/>
        <v>-2.5448680000000081</v>
      </c>
      <c r="I91" s="3">
        <f t="shared" si="11"/>
        <v>-1.848704557539673</v>
      </c>
      <c r="J91" s="3">
        <f t="shared" si="12"/>
        <v>-2.5910704146825476</v>
      </c>
      <c r="K91" s="4">
        <f t="shared" si="9"/>
        <v>-1.8055461019920798</v>
      </c>
      <c r="L91" s="4">
        <f t="shared" si="10"/>
        <v>-2.6520223875970217</v>
      </c>
      <c r="M91" s="7">
        <f t="shared" si="13"/>
        <v>-3.8209411182081956</v>
      </c>
    </row>
    <row r="92" spans="1:13" x14ac:dyDescent="0.25">
      <c r="A92" s="11"/>
      <c r="B92" s="9"/>
      <c r="C92" s="11"/>
      <c r="D92" s="1">
        <v>42268</v>
      </c>
      <c r="E92" s="3">
        <v>114.09980299999999</v>
      </c>
      <c r="F92" s="3">
        <v>195.29770300000001</v>
      </c>
      <c r="G92" s="3">
        <f t="shared" si="7"/>
        <v>1.7430419999999884</v>
      </c>
      <c r="H92" s="3">
        <f t="shared" si="8"/>
        <v>1.004035000000016</v>
      </c>
      <c r="I92" s="3">
        <f t="shared" si="11"/>
        <v>1.6868934424603059</v>
      </c>
      <c r="J92" s="3">
        <f t="shared" si="12"/>
        <v>0.95783258531747639</v>
      </c>
      <c r="K92" s="4">
        <f t="shared" si="9"/>
        <v>1.6735480010242108</v>
      </c>
      <c r="L92" s="4">
        <f t="shared" si="10"/>
        <v>0.93431860177469672</v>
      </c>
      <c r="M92" s="7">
        <f t="shared" si="13"/>
        <v>-3.146088783553556</v>
      </c>
    </row>
    <row r="93" spans="1:13" x14ac:dyDescent="0.25">
      <c r="A93" s="11"/>
      <c r="B93" s="9"/>
      <c r="C93" s="9"/>
      <c r="D93" s="1">
        <v>42265</v>
      </c>
      <c r="E93" s="3">
        <v>112.35676100000001</v>
      </c>
      <c r="F93" s="3">
        <v>194.293668</v>
      </c>
      <c r="G93" s="3">
        <f t="shared" si="7"/>
        <v>-0.46547199999999123</v>
      </c>
      <c r="H93" s="3">
        <f t="shared" si="8"/>
        <v>-3.2277899999999988</v>
      </c>
      <c r="I93" s="3">
        <f t="shared" si="11"/>
        <v>-0.52162055753967373</v>
      </c>
      <c r="J93" s="3">
        <f t="shared" si="12"/>
        <v>-3.2739924146825383</v>
      </c>
      <c r="K93" s="4">
        <f t="shared" si="9"/>
        <v>-0.58614894351125879</v>
      </c>
      <c r="L93" s="4">
        <f t="shared" si="10"/>
        <v>-3.1694753365878396</v>
      </c>
      <c r="M93" s="7">
        <f t="shared" si="13"/>
        <v>-4.8839592293071625</v>
      </c>
    </row>
    <row r="94" spans="1:13" x14ac:dyDescent="0.25">
      <c r="A94" s="11"/>
      <c r="B94" s="9"/>
      <c r="C94" s="9"/>
      <c r="D94" s="1">
        <v>42264</v>
      </c>
      <c r="E94" s="3">
        <v>112.822233</v>
      </c>
      <c r="F94" s="3">
        <v>197.521458</v>
      </c>
      <c r="G94" s="3">
        <f t="shared" si="7"/>
        <v>-2.4660110000000088</v>
      </c>
      <c r="H94" s="3">
        <f t="shared" si="8"/>
        <v>-0.445020999999997</v>
      </c>
      <c r="I94" s="3">
        <f t="shared" si="11"/>
        <v>-2.5221595575396916</v>
      </c>
      <c r="J94" s="3">
        <f t="shared" si="12"/>
        <v>-0.49122341468253666</v>
      </c>
      <c r="K94" s="4">
        <f t="shared" si="9"/>
        <v>-2.5203020291593239</v>
      </c>
      <c r="L94" s="4">
        <f t="shared" si="10"/>
        <v>-0.47075217936700126</v>
      </c>
      <c r="M94" s="7">
        <f t="shared" si="13"/>
        <v>-4.182513760681279</v>
      </c>
    </row>
    <row r="95" spans="1:13" x14ac:dyDescent="0.25">
      <c r="A95" s="11"/>
      <c r="B95" s="11"/>
      <c r="C95" s="11"/>
      <c r="D95" s="1">
        <v>42263</v>
      </c>
      <c r="E95" s="3">
        <v>115.28824400000001</v>
      </c>
      <c r="F95" s="3">
        <v>197.96647899999999</v>
      </c>
      <c r="G95" s="3">
        <f t="shared" si="7"/>
        <v>0.12875200000000575</v>
      </c>
      <c r="H95" s="3">
        <f t="shared" si="8"/>
        <v>1.7108659999999816</v>
      </c>
      <c r="I95" s="3">
        <f t="shared" si="11"/>
        <v>7.2603442460323214E-2</v>
      </c>
      <c r="J95" s="3">
        <f t="shared" si="12"/>
        <v>1.6646635853174419</v>
      </c>
      <c r="K95" s="4">
        <f t="shared" si="9"/>
        <v>9.5744831802642982E-2</v>
      </c>
      <c r="L95" s="4">
        <f t="shared" si="10"/>
        <v>1.6583449747449279</v>
      </c>
      <c r="M95" s="7">
        <f t="shared" si="13"/>
        <v>-3.354608453076072</v>
      </c>
    </row>
    <row r="96" spans="1:13" x14ac:dyDescent="0.25">
      <c r="A96" s="11"/>
      <c r="B96" s="8"/>
      <c r="C96" s="11"/>
      <c r="D96" s="1">
        <v>42262</v>
      </c>
      <c r="E96" s="3">
        <v>115.159492</v>
      </c>
      <c r="F96" s="3">
        <v>196.25561300000001</v>
      </c>
      <c r="G96" s="3">
        <f t="shared" si="7"/>
        <v>0.96065400000000523</v>
      </c>
      <c r="H96" s="3">
        <f t="shared" si="8"/>
        <v>2.4130220000000122</v>
      </c>
      <c r="I96" s="3">
        <f t="shared" si="11"/>
        <v>0.90450544246032272</v>
      </c>
      <c r="J96" s="3">
        <f t="shared" si="12"/>
        <v>2.3668195853174727</v>
      </c>
      <c r="K96" s="4">
        <f t="shared" si="9"/>
        <v>0.93094071819736979</v>
      </c>
      <c r="L96" s="4">
        <f t="shared" si="10"/>
        <v>2.3102120460024533</v>
      </c>
      <c r="M96" s="7">
        <f t="shared" si="13"/>
        <v>-3.6012585554691148</v>
      </c>
    </row>
    <row r="97" spans="1:13" x14ac:dyDescent="0.25">
      <c r="A97" s="10"/>
      <c r="D97" s="1">
        <v>42261</v>
      </c>
      <c r="E97" s="3">
        <v>114.19883799999999</v>
      </c>
      <c r="F97" s="3">
        <v>193.842591</v>
      </c>
      <c r="G97" s="3">
        <f t="shared" si="7"/>
        <v>1.0893990000000002</v>
      </c>
      <c r="H97" s="3">
        <f t="shared" si="8"/>
        <v>-0.72193899999999189</v>
      </c>
      <c r="I97" s="3">
        <f t="shared" si="11"/>
        <v>1.0332504424603177</v>
      </c>
      <c r="J97" s="3">
        <f t="shared" si="12"/>
        <v>-0.7681414146825315</v>
      </c>
      <c r="K97" s="4">
        <f t="shared" si="9"/>
        <v>1.073368273343126</v>
      </c>
      <c r="L97" s="4">
        <f t="shared" si="10"/>
        <v>-0.82560142653964586</v>
      </c>
      <c r="M97" s="7">
        <f t="shared" si="13"/>
        <v>-3.5081358897940507</v>
      </c>
    </row>
    <row r="98" spans="1:13" x14ac:dyDescent="0.25">
      <c r="A98" s="11"/>
      <c r="B98" s="12"/>
      <c r="D98" s="1">
        <v>42258</v>
      </c>
      <c r="E98" s="3">
        <v>113.10943899999999</v>
      </c>
      <c r="F98" s="3">
        <v>194.56452999999999</v>
      </c>
      <c r="G98" s="3">
        <f t="shared" si="7"/>
        <v>1.6241959999999978</v>
      </c>
      <c r="H98" s="3">
        <f t="shared" si="8"/>
        <v>0.88015799999999444</v>
      </c>
      <c r="I98" s="3">
        <f t="shared" si="11"/>
        <v>1.5680474424603152</v>
      </c>
      <c r="J98" s="3">
        <f t="shared" si="12"/>
        <v>0.83395558531745484</v>
      </c>
      <c r="K98" s="4">
        <f t="shared" si="9"/>
        <v>1.6279288987264147</v>
      </c>
      <c r="L98" s="4">
        <f t="shared" si="10"/>
        <v>0.74473584570249873</v>
      </c>
      <c r="M98" s="7">
        <f t="shared" si="13"/>
        <v>-3.1417787483835493</v>
      </c>
    </row>
    <row r="99" spans="1:13" x14ac:dyDescent="0.25">
      <c r="A99" s="11"/>
      <c r="B99" s="13"/>
      <c r="D99" s="1">
        <v>42257</v>
      </c>
      <c r="E99" s="3">
        <v>111.485243</v>
      </c>
      <c r="F99" s="3">
        <v>193.684372</v>
      </c>
      <c r="G99" s="3">
        <f t="shared" si="7"/>
        <v>2.3966779999999943</v>
      </c>
      <c r="H99" s="3">
        <f t="shared" si="8"/>
        <v>1.0482920000000036</v>
      </c>
      <c r="I99" s="3">
        <f t="shared" si="11"/>
        <v>2.3405294424603116</v>
      </c>
      <c r="J99" s="3">
        <f t="shared" si="12"/>
        <v>1.0020895853174638</v>
      </c>
      <c r="K99" s="4">
        <f t="shared" si="9"/>
        <v>2.2843628382783296</v>
      </c>
      <c r="L99" s="4">
        <f t="shared" si="10"/>
        <v>1.0613476108218287</v>
      </c>
      <c r="M99" s="7">
        <f t="shared" si="13"/>
        <v>-3.6303228055642474</v>
      </c>
    </row>
    <row r="100" spans="1:13" x14ac:dyDescent="0.25">
      <c r="A100" s="11"/>
      <c r="B100" s="13"/>
      <c r="D100" s="1">
        <v>42256</v>
      </c>
      <c r="E100" s="3">
        <v>109.088565</v>
      </c>
      <c r="F100" s="3">
        <v>192.63607999999999</v>
      </c>
      <c r="G100" s="3">
        <f t="shared" si="7"/>
        <v>-2.139181999999991</v>
      </c>
      <c r="H100" s="3">
        <f t="shared" si="8"/>
        <v>-2.61080800000002</v>
      </c>
      <c r="I100" s="3">
        <f t="shared" si="11"/>
        <v>-2.1953305575396738</v>
      </c>
      <c r="J100" s="3">
        <f t="shared" si="12"/>
        <v>-2.6570104146825595</v>
      </c>
      <c r="K100" s="4">
        <f t="shared" si="9"/>
        <v>-2.1197394289051865</v>
      </c>
      <c r="L100" s="4">
        <f t="shared" si="10"/>
        <v>-2.7201980731106365</v>
      </c>
      <c r="M100" s="7">
        <f t="shared" si="13"/>
        <v>-3.933324208472369</v>
      </c>
    </row>
    <row r="101" spans="1:13" x14ac:dyDescent="0.25">
      <c r="A101" s="11"/>
      <c r="B101" s="11"/>
      <c r="D101" s="1">
        <v>42255</v>
      </c>
      <c r="E101" s="3">
        <v>111.22774699999999</v>
      </c>
      <c r="F101" s="3">
        <v>195.24688800000001</v>
      </c>
      <c r="G101" s="3">
        <f t="shared" si="7"/>
        <v>3.0107069999999965</v>
      </c>
      <c r="H101" s="3">
        <f t="shared" si="8"/>
        <v>4.7864780000000167</v>
      </c>
      <c r="I101" s="3">
        <f t="shared" si="11"/>
        <v>2.9545584424603137</v>
      </c>
      <c r="J101" s="3">
        <f t="shared" si="12"/>
        <v>4.7402755853174767</v>
      </c>
      <c r="K101" s="4">
        <f t="shared" si="9"/>
        <v>2.9252499134184253</v>
      </c>
      <c r="L101" s="4">
        <f t="shared" si="10"/>
        <v>4.7486208554212546</v>
      </c>
      <c r="M101" s="7">
        <f t="shared" si="13"/>
        <v>-6.4122242661418731</v>
      </c>
    </row>
    <row r="102" spans="1:13" x14ac:dyDescent="0.25">
      <c r="A102" s="11"/>
      <c r="B102" s="13"/>
      <c r="D102" s="1">
        <v>42251</v>
      </c>
      <c r="E102" s="3">
        <v>108.21704</v>
      </c>
      <c r="F102" s="3">
        <v>190.46041</v>
      </c>
      <c r="G102" s="3">
        <f t="shared" si="7"/>
        <v>-1.0894059999999968</v>
      </c>
      <c r="H102" s="3">
        <f t="shared" si="8"/>
        <v>-2.9272760000000062</v>
      </c>
      <c r="I102" s="3">
        <f t="shared" si="11"/>
        <v>-1.1455545575396793</v>
      </c>
      <c r="J102" s="3">
        <f t="shared" si="12"/>
        <v>-2.9734784146825457</v>
      </c>
      <c r="K102" s="4">
        <f t="shared" si="9"/>
        <v>-1.196906860656233</v>
      </c>
      <c r="L102" s="4">
        <f t="shared" si="10"/>
        <v>-2.8834293032524108</v>
      </c>
      <c r="M102" s="7">
        <f t="shared" si="13"/>
        <v>-4.1285282325918295</v>
      </c>
    </row>
    <row r="103" spans="1:13" x14ac:dyDescent="0.25">
      <c r="A103" s="11"/>
      <c r="B103" s="13"/>
      <c r="D103" s="1">
        <v>42250</v>
      </c>
      <c r="E103" s="3">
        <v>109.30644599999999</v>
      </c>
      <c r="F103" s="3">
        <v>193.387686</v>
      </c>
      <c r="G103" s="3">
        <f t="shared" si="7"/>
        <v>-1.9510100000000108</v>
      </c>
      <c r="H103" s="3">
        <f t="shared" si="8"/>
        <v>0.13845100000000343</v>
      </c>
      <c r="I103" s="3">
        <f t="shared" si="11"/>
        <v>-2.0071585575396935</v>
      </c>
      <c r="J103" s="3">
        <f t="shared" si="12"/>
        <v>9.2248585317463772E-2</v>
      </c>
      <c r="K103" s="4">
        <f t="shared" si="9"/>
        <v>-1.8915335011712757</v>
      </c>
      <c r="L103" s="4">
        <f t="shared" si="10"/>
        <v>-5.6999788077587335E-2</v>
      </c>
      <c r="M103" s="7">
        <f t="shared" si="13"/>
        <v>-3.6813991054471265</v>
      </c>
    </row>
    <row r="104" spans="1:13" x14ac:dyDescent="0.25">
      <c r="A104" s="11"/>
      <c r="B104" s="13"/>
      <c r="D104" s="1">
        <v>42249</v>
      </c>
      <c r="E104" s="3">
        <v>111.257456</v>
      </c>
      <c r="F104" s="3">
        <v>193.249235</v>
      </c>
      <c r="G104" s="3">
        <f t="shared" si="7"/>
        <v>4.5754750000000115</v>
      </c>
      <c r="H104" s="3">
        <f t="shared" si="8"/>
        <v>3.5997500000000002</v>
      </c>
      <c r="I104" s="3">
        <f t="shared" si="11"/>
        <v>4.5193264424603292</v>
      </c>
      <c r="J104" s="3">
        <f t="shared" si="12"/>
        <v>3.5535475853174607</v>
      </c>
      <c r="K104" s="4">
        <f t="shared" si="9"/>
        <v>4.3901861767215165</v>
      </c>
      <c r="L104" s="4">
        <f t="shared" si="10"/>
        <v>3.6930411714677542</v>
      </c>
      <c r="M104" s="7">
        <f t="shared" si="13"/>
        <v>-6.2793573356157317</v>
      </c>
    </row>
    <row r="105" spans="1:13" x14ac:dyDescent="0.25">
      <c r="A105" s="11"/>
      <c r="B105" s="11"/>
      <c r="D105" s="1">
        <v>42248</v>
      </c>
      <c r="E105" s="3">
        <v>106.68198099999999</v>
      </c>
      <c r="F105" s="3">
        <v>189.649485</v>
      </c>
      <c r="G105" s="3">
        <f t="shared" si="7"/>
        <v>-4.9914340000000124</v>
      </c>
      <c r="H105" s="3">
        <f t="shared" si="8"/>
        <v>-5.8347540000000038</v>
      </c>
      <c r="I105" s="3">
        <f t="shared" si="11"/>
        <v>-5.0475825575396946</v>
      </c>
      <c r="J105" s="3">
        <f t="shared" si="12"/>
        <v>-5.8809564146825437</v>
      </c>
      <c r="K105" s="4">
        <f t="shared" si="9"/>
        <v>-5.0624482089698732</v>
      </c>
      <c r="L105" s="4">
        <f t="shared" si="10"/>
        <v>-5.8785759934722188</v>
      </c>
      <c r="M105" s="7">
        <f t="shared" si="13"/>
        <v>-9.0564498210753062</v>
      </c>
    </row>
    <row r="106" spans="1:13" x14ac:dyDescent="0.25">
      <c r="A106" s="11"/>
      <c r="B106" s="13"/>
      <c r="D106" s="1">
        <v>42247</v>
      </c>
      <c r="E106" s="3">
        <v>111.67341500000001</v>
      </c>
      <c r="F106" s="3">
        <v>195.484239</v>
      </c>
      <c r="G106" s="3">
        <f t="shared" si="7"/>
        <v>-0.52489099999999667</v>
      </c>
      <c r="H106" s="3">
        <f t="shared" si="8"/>
        <v>-1.5921979999999962</v>
      </c>
      <c r="I106" s="3">
        <f t="shared" si="11"/>
        <v>-0.58103955753967917</v>
      </c>
      <c r="J106" s="3">
        <f t="shared" si="12"/>
        <v>-1.6384004146825359</v>
      </c>
      <c r="K106" s="4">
        <f t="shared" si="9"/>
        <v>-0.5731009589217817</v>
      </c>
      <c r="L106" s="4">
        <f t="shared" si="10"/>
        <v>-1.6526349732881178</v>
      </c>
      <c r="M106" s="7">
        <f t="shared" si="13"/>
        <v>-3.1511179502870039</v>
      </c>
    </row>
    <row r="107" spans="1:13" x14ac:dyDescent="0.25">
      <c r="A107" s="11"/>
      <c r="B107" s="13"/>
      <c r="D107" s="1">
        <v>42244</v>
      </c>
      <c r="E107" s="3">
        <v>112.198306</v>
      </c>
      <c r="F107" s="3">
        <v>197.076437</v>
      </c>
      <c r="G107" s="3">
        <f t="shared" si="7"/>
        <v>0.36643700000000479</v>
      </c>
      <c r="H107" s="3">
        <f t="shared" si="8"/>
        <v>9.8839999999995598E-3</v>
      </c>
      <c r="I107" s="3">
        <f t="shared" si="11"/>
        <v>0.31028844246032222</v>
      </c>
      <c r="J107" s="3">
        <f t="shared" si="12"/>
        <v>-3.6318414682540094E-2</v>
      </c>
      <c r="K107" s="4">
        <f t="shared" si="9"/>
        <v>0.39069364189904343</v>
      </c>
      <c r="L107" s="4">
        <f t="shared" si="10"/>
        <v>-0.1082468389418948</v>
      </c>
      <c r="M107" s="7">
        <f t="shared" si="13"/>
        <v>-2.6988196573158243</v>
      </c>
    </row>
    <row r="108" spans="1:13" x14ac:dyDescent="0.25">
      <c r="A108" s="11"/>
      <c r="B108" s="13"/>
      <c r="D108" s="1">
        <v>42243</v>
      </c>
      <c r="E108" s="3">
        <v>111.831869</v>
      </c>
      <c r="F108" s="3">
        <v>197.066553</v>
      </c>
      <c r="G108" s="3">
        <f t="shared" si="7"/>
        <v>3.1988699999999994</v>
      </c>
      <c r="H108" s="3">
        <f t="shared" si="8"/>
        <v>4.7568100000000015</v>
      </c>
      <c r="I108" s="3">
        <f t="shared" si="11"/>
        <v>3.1427214424603167</v>
      </c>
      <c r="J108" s="3">
        <f t="shared" si="12"/>
        <v>4.7106075853174616</v>
      </c>
      <c r="K108" s="4">
        <f t="shared" si="9"/>
        <v>3.2920463504409643</v>
      </c>
      <c r="L108" s="4">
        <f t="shared" si="10"/>
        <v>4.553068783016295</v>
      </c>
      <c r="M108" s="7">
        <f t="shared" si="13"/>
        <v>-6.1796970637360333</v>
      </c>
    </row>
    <row r="109" spans="1:13" x14ac:dyDescent="0.25">
      <c r="A109" s="11"/>
      <c r="B109" s="11"/>
      <c r="D109" s="1">
        <v>42242</v>
      </c>
      <c r="E109" s="3">
        <v>108.632999</v>
      </c>
      <c r="F109" s="3">
        <v>192.309743</v>
      </c>
      <c r="G109" s="3">
        <f t="shared" si="7"/>
        <v>5.8926689999999979</v>
      </c>
      <c r="H109" s="3">
        <f t="shared" si="8"/>
        <v>7.1104980000000069</v>
      </c>
      <c r="I109" s="3">
        <f t="shared" si="11"/>
        <v>5.8365204424603156</v>
      </c>
      <c r="J109" s="3">
        <f t="shared" si="12"/>
        <v>7.0642955853174669</v>
      </c>
      <c r="K109" s="4">
        <f t="shared" si="9"/>
        <v>5.8507933730456854</v>
      </c>
      <c r="L109" s="4">
        <f t="shared" si="10"/>
        <v>7.0076021740867063</v>
      </c>
      <c r="M109" s="7">
        <f t="shared" si="13"/>
        <v>-11.578723341774928</v>
      </c>
    </row>
    <row r="110" spans="1:13" x14ac:dyDescent="0.25">
      <c r="A110" s="11"/>
      <c r="B110" s="13"/>
      <c r="D110" s="1">
        <v>42241</v>
      </c>
      <c r="E110" s="3">
        <v>102.74033</v>
      </c>
      <c r="F110" s="3">
        <v>185.19924499999999</v>
      </c>
      <c r="G110" s="3">
        <f t="shared" si="7"/>
        <v>0.61402099999999393</v>
      </c>
      <c r="H110" s="3">
        <f t="shared" si="8"/>
        <v>-2.2053370000000143</v>
      </c>
      <c r="I110" s="3">
        <f t="shared" si="11"/>
        <v>0.55787244246031142</v>
      </c>
      <c r="J110" s="3">
        <f t="shared" si="12"/>
        <v>-2.2515394146825538</v>
      </c>
      <c r="K110" s="4">
        <f t="shared" si="9"/>
        <v>0.48954349312665157</v>
      </c>
      <c r="L110" s="4">
        <f t="shared" si="10"/>
        <v>-2.2513141961581016</v>
      </c>
      <c r="M110" s="7">
        <f t="shared" si="13"/>
        <v>-4.5526547342299875</v>
      </c>
    </row>
    <row r="111" spans="1:13" x14ac:dyDescent="0.25">
      <c r="A111" s="11"/>
      <c r="B111" s="13"/>
      <c r="D111" s="1">
        <v>42240</v>
      </c>
      <c r="E111" s="3">
        <v>102.12630900000001</v>
      </c>
      <c r="F111" s="3">
        <v>187.404582</v>
      </c>
      <c r="G111" s="3">
        <f t="shared" si="7"/>
        <v>-2.6145599999999973</v>
      </c>
      <c r="H111" s="3">
        <f t="shared" si="8"/>
        <v>-8.237891999999988</v>
      </c>
      <c r="I111" s="3">
        <f t="shared" si="11"/>
        <v>-2.6707085575396801</v>
      </c>
      <c r="J111" s="3">
        <f t="shared" si="12"/>
        <v>-8.2840944146825279</v>
      </c>
      <c r="K111" s="4">
        <f t="shared" si="9"/>
        <v>-2.8467241437159005</v>
      </c>
      <c r="L111" s="4">
        <f t="shared" si="10"/>
        <v>-8.0669767385384876</v>
      </c>
      <c r="M111" s="7">
        <f t="shared" si="13"/>
        <v>-14.907702268437326</v>
      </c>
    </row>
    <row r="112" spans="1:13" x14ac:dyDescent="0.25">
      <c r="A112" s="11"/>
      <c r="B112" s="13"/>
      <c r="D112" s="1">
        <v>42237</v>
      </c>
      <c r="E112" s="3">
        <v>104.740869</v>
      </c>
      <c r="F112" s="3">
        <v>195.64247399999999</v>
      </c>
      <c r="G112" s="3">
        <f t="shared" si="7"/>
        <v>-6.8236050000000006</v>
      </c>
      <c r="H112" s="3">
        <f t="shared" si="8"/>
        <v>-6.0721049999999934</v>
      </c>
      <c r="I112" s="3">
        <f t="shared" si="11"/>
        <v>-6.8797535575396829</v>
      </c>
      <c r="J112" s="3">
        <f t="shared" si="12"/>
        <v>-6.1183074146825334</v>
      </c>
      <c r="K112" s="4">
        <f t="shared" si="9"/>
        <v>-6.9409878780244991</v>
      </c>
      <c r="L112" s="4">
        <f t="shared" si="10"/>
        <v>-6.0743494666681173</v>
      </c>
      <c r="M112" s="7">
        <f t="shared" si="13"/>
        <v>-11.928827280208445</v>
      </c>
    </row>
    <row r="113" spans="1:13" x14ac:dyDescent="0.25">
      <c r="A113" s="11"/>
      <c r="B113" s="11"/>
      <c r="D113" s="1">
        <v>42236</v>
      </c>
      <c r="E113" s="3">
        <v>111.564474</v>
      </c>
      <c r="F113" s="3">
        <v>201.71457899999999</v>
      </c>
      <c r="G113" s="3">
        <f t="shared" si="7"/>
        <v>-2.3372589999999889</v>
      </c>
      <c r="H113" s="3">
        <f t="shared" si="8"/>
        <v>-4.3019060000000025</v>
      </c>
      <c r="I113" s="3">
        <f t="shared" si="11"/>
        <v>-2.3934075575396716</v>
      </c>
      <c r="J113" s="3">
        <f t="shared" si="12"/>
        <v>-4.3481084146825424</v>
      </c>
      <c r="K113" s="4">
        <f t="shared" si="9"/>
        <v>-2.4325977201811657</v>
      </c>
      <c r="L113" s="4">
        <f t="shared" si="10"/>
        <v>-4.304398473193797</v>
      </c>
      <c r="M113" s="7">
        <f t="shared" si="13"/>
        <v>-5.7527915373072354</v>
      </c>
    </row>
    <row r="114" spans="1:13" x14ac:dyDescent="0.25">
      <c r="A114" s="11"/>
      <c r="D114" s="1">
        <v>42235</v>
      </c>
      <c r="E114" s="3">
        <v>113.90173299999999</v>
      </c>
      <c r="F114" s="3">
        <v>206.01648499999999</v>
      </c>
      <c r="G114" s="3">
        <f t="shared" si="7"/>
        <v>-1.4756400000000127</v>
      </c>
      <c r="H114" s="3">
        <f t="shared" si="8"/>
        <v>-1.641633000000013</v>
      </c>
      <c r="I114" s="3">
        <f t="shared" si="11"/>
        <v>-1.5317885575396952</v>
      </c>
      <c r="J114" s="3">
        <f t="shared" si="12"/>
        <v>-1.6878354146825527</v>
      </c>
      <c r="K114" s="4">
        <f t="shared" si="9"/>
        <v>-1.5499483000412195</v>
      </c>
      <c r="L114" s="4">
        <f t="shared" si="10"/>
        <v>-1.6656943716883703</v>
      </c>
      <c r="M114" s="7">
        <f t="shared" si="13"/>
        <v>-3.1817101484146848</v>
      </c>
    </row>
    <row r="115" spans="1:13" x14ac:dyDescent="0.25">
      <c r="D115" s="1">
        <v>42234</v>
      </c>
      <c r="E115" s="3">
        <v>115.37737300000001</v>
      </c>
      <c r="F115" s="3">
        <v>207.658118</v>
      </c>
      <c r="G115" s="3">
        <f t="shared" si="7"/>
        <v>-0.65364399999999989</v>
      </c>
      <c r="H115" s="3">
        <f t="shared" si="8"/>
        <v>-0.6032549999999901</v>
      </c>
      <c r="I115" s="3">
        <f t="shared" si="11"/>
        <v>-0.7097925575396824</v>
      </c>
      <c r="J115" s="3">
        <f t="shared" si="12"/>
        <v>-0.64945741468252971</v>
      </c>
      <c r="K115" s="4">
        <f t="shared" si="9"/>
        <v>-0.68082333410519758</v>
      </c>
      <c r="L115" s="4">
        <f t="shared" si="10"/>
        <v>-0.68371348087425221</v>
      </c>
      <c r="M115" s="7">
        <f t="shared" si="13"/>
        <v>-2.7321131886352159</v>
      </c>
    </row>
    <row r="116" spans="1:13" x14ac:dyDescent="0.25">
      <c r="D116" s="1">
        <v>42233</v>
      </c>
      <c r="E116" s="3">
        <v>116.03101700000001</v>
      </c>
      <c r="F116" s="3">
        <v>208.26137299999999</v>
      </c>
      <c r="G116" s="3">
        <f t="shared" si="7"/>
        <v>1.1884410000000116</v>
      </c>
      <c r="H116" s="3">
        <f t="shared" si="8"/>
        <v>1.1570609999999988</v>
      </c>
      <c r="I116" s="3">
        <f t="shared" si="11"/>
        <v>1.1322924424603291</v>
      </c>
      <c r="J116" s="3">
        <f t="shared" si="12"/>
        <v>1.1108585853174591</v>
      </c>
      <c r="K116" s="4">
        <f t="shared" si="9"/>
        <v>1.1513796485265502</v>
      </c>
      <c r="L116" s="4">
        <f t="shared" si="10"/>
        <v>1.0879105319587363</v>
      </c>
      <c r="M116" s="7">
        <f t="shared" si="13"/>
        <v>-2.9020348554479423</v>
      </c>
    </row>
    <row r="117" spans="1:13" x14ac:dyDescent="0.25">
      <c r="D117" s="1">
        <v>42230</v>
      </c>
      <c r="E117" s="3">
        <v>114.84257599999999</v>
      </c>
      <c r="F117" s="3">
        <v>207.10431199999999</v>
      </c>
      <c r="G117" s="3">
        <f t="shared" si="7"/>
        <v>0.80219199999999091</v>
      </c>
      <c r="H117" s="3">
        <f t="shared" si="8"/>
        <v>0.7515899999999931</v>
      </c>
      <c r="I117" s="3">
        <f t="shared" si="11"/>
        <v>0.7460434424603084</v>
      </c>
      <c r="J117" s="3">
        <f t="shared" si="12"/>
        <v>0.70538758531745349</v>
      </c>
      <c r="K117" s="4">
        <f t="shared" si="9"/>
        <v>0.7423265775704937</v>
      </c>
      <c r="L117" s="4">
        <f t="shared" si="10"/>
        <v>0.70749536307190697</v>
      </c>
      <c r="M117" s="7">
        <f t="shared" si="13"/>
        <v>-2.7457231768201971</v>
      </c>
    </row>
    <row r="118" spans="1:13" x14ac:dyDescent="0.25">
      <c r="D118" s="1">
        <v>42229</v>
      </c>
      <c r="E118" s="3">
        <v>114.040384</v>
      </c>
      <c r="F118" s="3">
        <v>206.352722</v>
      </c>
      <c r="G118" s="3">
        <f t="shared" si="7"/>
        <v>-8.9128999999999792E-2</v>
      </c>
      <c r="H118" s="3">
        <f t="shared" si="8"/>
        <v>-0.25711899999998877</v>
      </c>
      <c r="I118" s="3">
        <f t="shared" si="11"/>
        <v>-0.14527755753968233</v>
      </c>
      <c r="J118" s="3">
        <f t="shared" si="12"/>
        <v>-0.30332141468252843</v>
      </c>
      <c r="K118" s="4">
        <f t="shared" si="9"/>
        <v>-0.10237251722949428</v>
      </c>
      <c r="L118" s="4">
        <f t="shared" si="10"/>
        <v>-0.37446090709617463</v>
      </c>
      <c r="M118" s="7">
        <f t="shared" si="13"/>
        <v>-2.6617702417324107</v>
      </c>
    </row>
    <row r="119" spans="1:13" x14ac:dyDescent="0.25">
      <c r="D119" s="1">
        <v>42228</v>
      </c>
      <c r="E119" s="3">
        <v>114.129513</v>
      </c>
      <c r="F119" s="3">
        <v>206.60984099999999</v>
      </c>
      <c r="G119" s="3">
        <f t="shared" si="7"/>
        <v>1.7331369999999993</v>
      </c>
      <c r="H119" s="3">
        <f t="shared" si="8"/>
        <v>0.25711899999998877</v>
      </c>
      <c r="I119" s="3">
        <f t="shared" si="11"/>
        <v>1.6769884424603168</v>
      </c>
      <c r="J119" s="3">
        <f t="shared" si="12"/>
        <v>0.21091658531744911</v>
      </c>
      <c r="K119" s="4">
        <f t="shared" si="9"/>
        <v>1.5176958570026025</v>
      </c>
      <c r="L119" s="4">
        <f t="shared" si="10"/>
        <v>0.45864627018025689</v>
      </c>
      <c r="M119" s="7">
        <f t="shared" si="13"/>
        <v>-3.132303471121181</v>
      </c>
    </row>
    <row r="120" spans="1:13" x14ac:dyDescent="0.25">
      <c r="D120" s="1">
        <v>42227</v>
      </c>
      <c r="E120" s="3">
        <v>112.396376</v>
      </c>
      <c r="F120" s="3">
        <v>206.352722</v>
      </c>
      <c r="G120" s="3">
        <f t="shared" si="7"/>
        <v>-6.1699689999999947</v>
      </c>
      <c r="H120" s="3">
        <f t="shared" si="8"/>
        <v>-1.8888829999999928</v>
      </c>
      <c r="I120" s="3">
        <f t="shared" si="11"/>
        <v>-6.226117557539677</v>
      </c>
      <c r="J120" s="3">
        <f t="shared" si="12"/>
        <v>-1.9350854146825325</v>
      </c>
      <c r="K120" s="4">
        <f t="shared" si="9"/>
        <v>-6.1211342269756175</v>
      </c>
      <c r="L120" s="4">
        <f t="shared" si="10"/>
        <v>-2.0802945246336626</v>
      </c>
      <c r="M120" s="7">
        <f t="shared" si="13"/>
        <v>-10.478767683946117</v>
      </c>
    </row>
    <row r="121" spans="1:13" x14ac:dyDescent="0.25">
      <c r="D121" s="1">
        <v>42226</v>
      </c>
      <c r="E121" s="3">
        <v>118.566345</v>
      </c>
      <c r="F121" s="3">
        <v>208.24160499999999</v>
      </c>
      <c r="G121" s="3">
        <f t="shared" si="7"/>
        <v>4.1595319999999987</v>
      </c>
      <c r="H121" s="3">
        <f t="shared" si="8"/>
        <v>2.591038999999995</v>
      </c>
      <c r="I121" s="3">
        <f t="shared" si="11"/>
        <v>4.1033834424603164</v>
      </c>
      <c r="J121" s="3">
        <f t="shared" si="12"/>
        <v>2.5448365853174555</v>
      </c>
      <c r="K121" s="4">
        <f t="shared" si="9"/>
        <v>4.1118287180455617</v>
      </c>
      <c r="L121" s="4">
        <f t="shared" si="10"/>
        <v>2.5239583841539801</v>
      </c>
      <c r="M121" s="7">
        <f t="shared" si="13"/>
        <v>-5.6887168147100793</v>
      </c>
    </row>
    <row r="122" spans="1:13" x14ac:dyDescent="0.25">
      <c r="D122" s="1">
        <v>42223</v>
      </c>
      <c r="E122" s="3">
        <v>114.406813</v>
      </c>
      <c r="F122" s="3">
        <v>205.650566</v>
      </c>
      <c r="G122" s="3">
        <f t="shared" si="7"/>
        <v>0.38624099999999828</v>
      </c>
      <c r="H122" s="3">
        <f t="shared" si="8"/>
        <v>-0.39558600000000865</v>
      </c>
      <c r="I122" s="3">
        <f t="shared" si="11"/>
        <v>0.33009244246031572</v>
      </c>
      <c r="J122" s="3">
        <f t="shared" si="12"/>
        <v>-0.44178841468254831</v>
      </c>
      <c r="K122" s="4">
        <f t="shared" si="9"/>
        <v>0.33499033965969638</v>
      </c>
      <c r="L122" s="4">
        <f t="shared" si="10"/>
        <v>-0.475106947750847</v>
      </c>
      <c r="M122" s="7">
        <f t="shared" si="13"/>
        <v>-2.7908349114130524</v>
      </c>
    </row>
    <row r="123" spans="1:13" x14ac:dyDescent="0.25">
      <c r="D123" s="1">
        <v>42222</v>
      </c>
      <c r="E123" s="3">
        <v>114.020572</v>
      </c>
      <c r="F123" s="3">
        <v>206.04615200000001</v>
      </c>
      <c r="G123" s="3">
        <f t="shared" si="7"/>
        <v>0.24758800000000747</v>
      </c>
      <c r="H123" s="3">
        <f t="shared" si="8"/>
        <v>-1.700981999999982</v>
      </c>
      <c r="I123" s="3">
        <f t="shared" si="11"/>
        <v>0.19143944246032493</v>
      </c>
      <c r="J123" s="3">
        <f t="shared" si="12"/>
        <v>-1.7471844146825217</v>
      </c>
      <c r="K123" s="4">
        <f t="shared" si="9"/>
        <v>0.2091730964685006</v>
      </c>
      <c r="L123" s="4">
        <f t="shared" si="10"/>
        <v>-1.7687781912949083</v>
      </c>
      <c r="M123" s="7">
        <f t="shared" si="13"/>
        <v>-3.670181651733877</v>
      </c>
    </row>
    <row r="124" spans="1:13" x14ac:dyDescent="0.25">
      <c r="D124" s="1">
        <v>42221</v>
      </c>
      <c r="E124" s="3">
        <v>113.77298399999999</v>
      </c>
      <c r="F124" s="3">
        <v>207.74713399999999</v>
      </c>
      <c r="G124" s="3">
        <f t="shared" si="7"/>
        <v>0.74928699999999537</v>
      </c>
      <c r="H124" s="3">
        <f t="shared" si="8"/>
        <v>0.68237299999998413</v>
      </c>
      <c r="I124" s="3">
        <f t="shared" si="11"/>
        <v>0.69313844246031286</v>
      </c>
      <c r="J124" s="3">
        <f t="shared" si="12"/>
        <v>0.63617058531744453</v>
      </c>
      <c r="K124" s="4">
        <f t="shared" si="9"/>
        <v>0.59585115445764891</v>
      </c>
      <c r="L124" s="4">
        <f t="shared" si="10"/>
        <v>0.79785791943775619</v>
      </c>
      <c r="M124" s="7">
        <f t="shared" si="13"/>
        <v>-2.7432666642400236</v>
      </c>
    </row>
    <row r="125" spans="1:13" x14ac:dyDescent="0.25">
      <c r="D125" s="1">
        <v>42220</v>
      </c>
      <c r="E125" s="3">
        <v>113.023697</v>
      </c>
      <c r="F125" s="3">
        <v>207.064761</v>
      </c>
      <c r="G125" s="3">
        <f t="shared" si="7"/>
        <v>-3.7464269999999971</v>
      </c>
      <c r="H125" s="3">
        <f t="shared" si="8"/>
        <v>-0.40545499999998924</v>
      </c>
      <c r="I125" s="3">
        <f t="shared" si="11"/>
        <v>-3.8025755575396798</v>
      </c>
      <c r="J125" s="3">
        <f t="shared" si="12"/>
        <v>-0.4516574146825289</v>
      </c>
      <c r="K125" s="4">
        <f t="shared" si="9"/>
        <v>-3.8761523385998324</v>
      </c>
      <c r="L125" s="4">
        <f t="shared" si="10"/>
        <v>-0.3351626364643302</v>
      </c>
      <c r="M125" s="7">
        <f t="shared" si="13"/>
        <v>-6.7456374127078051</v>
      </c>
    </row>
    <row r="126" spans="1:13" x14ac:dyDescent="0.25">
      <c r="D126" s="1">
        <v>42219</v>
      </c>
      <c r="E126" s="3">
        <v>116.770124</v>
      </c>
      <c r="F126" s="3">
        <v>207.47021599999999</v>
      </c>
      <c r="G126" s="3">
        <f t="shared" si="7"/>
        <v>-2.8196769999999987</v>
      </c>
      <c r="H126" s="3">
        <f t="shared" si="8"/>
        <v>-0.70215600000000222</v>
      </c>
      <c r="I126" s="3">
        <f t="shared" si="11"/>
        <v>-2.8758255575396814</v>
      </c>
      <c r="J126" s="3">
        <f t="shared" si="12"/>
        <v>-0.74835841468254183</v>
      </c>
      <c r="K126" s="4">
        <f t="shared" si="9"/>
        <v>-2.9042516233439537</v>
      </c>
      <c r="L126" s="4">
        <f t="shared" si="10"/>
        <v>-0.70439742068518596</v>
      </c>
      <c r="M126" s="7">
        <f t="shared" si="13"/>
        <v>-4.571523860731765</v>
      </c>
    </row>
    <row r="127" spans="1:13" x14ac:dyDescent="0.25">
      <c r="D127" s="1">
        <v>42216</v>
      </c>
      <c r="E127" s="3">
        <v>119.58980099999999</v>
      </c>
      <c r="F127" s="3">
        <v>208.172372</v>
      </c>
      <c r="G127" s="3">
        <f t="shared" si="7"/>
        <v>-1.0549140000000108</v>
      </c>
      <c r="H127" s="3">
        <f t="shared" si="8"/>
        <v>-0.3164690000000121</v>
      </c>
      <c r="I127" s="3">
        <f t="shared" si="11"/>
        <v>-1.1110625575396933</v>
      </c>
      <c r="J127" s="3">
        <f t="shared" si="12"/>
        <v>-0.36267141468255176</v>
      </c>
      <c r="K127" s="4">
        <f t="shared" si="9"/>
        <v>-1.1281377698126842</v>
      </c>
      <c r="L127" s="4">
        <f t="shared" si="10"/>
        <v>-0.33311923908033814</v>
      </c>
      <c r="M127" s="7">
        <f t="shared" si="13"/>
        <v>-2.9108086418937305</v>
      </c>
    </row>
    <row r="128" spans="1:13" x14ac:dyDescent="0.25">
      <c r="D128" s="1">
        <v>42215</v>
      </c>
      <c r="E128" s="3">
        <v>120.64471500000001</v>
      </c>
      <c r="F128" s="3">
        <v>208.48884100000001</v>
      </c>
      <c r="G128" s="3">
        <f t="shared" si="7"/>
        <v>-0.6112539999999882</v>
      </c>
      <c r="H128" s="3">
        <f t="shared" si="8"/>
        <v>4.9450000000007321E-2</v>
      </c>
      <c r="I128" s="3">
        <f t="shared" si="11"/>
        <v>-0.6674025575396707</v>
      </c>
      <c r="J128" s="3">
        <f t="shared" si="12"/>
        <v>3.2475853174676675E-3</v>
      </c>
      <c r="K128" s="4">
        <f t="shared" si="9"/>
        <v>-0.67867639017334669</v>
      </c>
      <c r="L128" s="4">
        <f t="shared" si="10"/>
        <v>4.2330081202697656E-2</v>
      </c>
      <c r="M128" s="7">
        <f t="shared" si="13"/>
        <v>-2.7845444174582989</v>
      </c>
    </row>
    <row r="129" spans="4:13" x14ac:dyDescent="0.25">
      <c r="D129" s="1">
        <v>42214</v>
      </c>
      <c r="E129" s="3">
        <v>121.25596899999999</v>
      </c>
      <c r="F129" s="3">
        <v>208.439391</v>
      </c>
      <c r="G129" s="3">
        <f t="shared" si="7"/>
        <v>-0.3845010000000002</v>
      </c>
      <c r="H129" s="3">
        <f t="shared" si="8"/>
        <v>1.4240800000000036</v>
      </c>
      <c r="I129" s="3">
        <f t="shared" si="11"/>
        <v>-0.44064955753968277</v>
      </c>
      <c r="J129" s="3">
        <f t="shared" si="12"/>
        <v>1.3778775853174638</v>
      </c>
      <c r="K129" s="4">
        <f t="shared" si="9"/>
        <v>-0.42669952990345977</v>
      </c>
      <c r="L129" s="4">
        <f t="shared" si="10"/>
        <v>1.3888485770525856</v>
      </c>
      <c r="M129" s="7">
        <f t="shared" si="13"/>
        <v>-3.4562051832964928</v>
      </c>
    </row>
    <row r="130" spans="4:13" x14ac:dyDescent="0.25">
      <c r="D130" s="1">
        <v>42213</v>
      </c>
      <c r="E130" s="3">
        <v>121.64046999999999</v>
      </c>
      <c r="F130" s="3">
        <v>207.015311</v>
      </c>
      <c r="G130" s="3">
        <f t="shared" ref="G130:G193" si="14">E130-E131</f>
        <v>0.60139999999999816</v>
      </c>
      <c r="H130" s="3">
        <f t="shared" ref="H130:H193" si="15">F130-F131</f>
        <v>2.5119219999999984</v>
      </c>
      <c r="I130" s="3">
        <f t="shared" si="11"/>
        <v>0.54525144246031565</v>
      </c>
      <c r="J130" s="3">
        <f t="shared" si="12"/>
        <v>2.4657195853174589</v>
      </c>
      <c r="K130" s="4">
        <f t="shared" ref="K130:K193" si="16">I130-A$11*I131</f>
        <v>0.5001775434254222</v>
      </c>
      <c r="L130" s="4">
        <f t="shared" ref="L130:L193" si="17">J130-A$12*I131-B$12*J131</f>
        <v>2.5259271592968919</v>
      </c>
      <c r="M130" s="7">
        <f t="shared" si="13"/>
        <v>-4.0412270241319863</v>
      </c>
    </row>
    <row r="131" spans="4:13" x14ac:dyDescent="0.25">
      <c r="D131" s="1">
        <v>42212</v>
      </c>
      <c r="E131" s="3">
        <v>121.03907</v>
      </c>
      <c r="F131" s="3">
        <v>204.503389</v>
      </c>
      <c r="G131" s="3">
        <f t="shared" si="14"/>
        <v>-1.7056120000000021</v>
      </c>
      <c r="H131" s="3">
        <f t="shared" si="15"/>
        <v>-1.1966270000000065</v>
      </c>
      <c r="I131" s="3">
        <f t="shared" ref="I131:I194" si="18">G131-AVERAGE(G$2:G$505)</f>
        <v>-1.7617605575396846</v>
      </c>
      <c r="J131" s="3">
        <f t="shared" ref="J131:J194" si="19">H131-AVERAGE(H$2:H$505)</f>
        <v>-1.2428294146825463</v>
      </c>
      <c r="K131" s="4">
        <f t="shared" si="16"/>
        <v>-1.7798449278767066</v>
      </c>
      <c r="L131" s="4">
        <f t="shared" si="17"/>
        <v>-1.2429059297678635</v>
      </c>
      <c r="M131" s="7">
        <f t="shared" ref="M131:M194" si="20">-LN(2*PI()*ABS(A$2*B$3))-0.5*SUMPRODUCT(MMULT(K131:L131,A$8:B$9),K131:L131)</f>
        <v>-3.2048950118991533</v>
      </c>
    </row>
    <row r="132" spans="4:13" x14ac:dyDescent="0.25">
      <c r="D132" s="1">
        <v>42209</v>
      </c>
      <c r="E132" s="3">
        <v>122.744682</v>
      </c>
      <c r="F132" s="3">
        <v>205.70001600000001</v>
      </c>
      <c r="G132" s="3">
        <f t="shared" si="14"/>
        <v>-0.65069800000000555</v>
      </c>
      <c r="H132" s="3">
        <f t="shared" si="15"/>
        <v>-2.155887000000007</v>
      </c>
      <c r="I132" s="3">
        <f t="shared" si="18"/>
        <v>-0.70684655753968806</v>
      </c>
      <c r="J132" s="3">
        <f t="shared" si="19"/>
        <v>-2.2020894146825465</v>
      </c>
      <c r="K132" s="4">
        <f t="shared" si="16"/>
        <v>-0.70979647355805331</v>
      </c>
      <c r="L132" s="4">
        <f t="shared" si="17"/>
        <v>-2.2143906793865025</v>
      </c>
      <c r="M132" s="7">
        <f t="shared" si="20"/>
        <v>-3.5850810349704689</v>
      </c>
    </row>
    <row r="133" spans="4:13" x14ac:dyDescent="0.25">
      <c r="D133" s="1">
        <v>42208</v>
      </c>
      <c r="E133" s="3">
        <v>123.39538</v>
      </c>
      <c r="F133" s="3">
        <v>207.85590300000001</v>
      </c>
      <c r="G133" s="3">
        <f t="shared" si="14"/>
        <v>-5.9151999999997429E-2</v>
      </c>
      <c r="H133" s="3">
        <f t="shared" si="15"/>
        <v>-1.1768439999999885</v>
      </c>
      <c r="I133" s="3">
        <f t="shared" si="18"/>
        <v>-0.11530055753967997</v>
      </c>
      <c r="J133" s="3">
        <f t="shared" si="19"/>
        <v>-1.2230464146825282</v>
      </c>
      <c r="K133" s="4">
        <f t="shared" si="16"/>
        <v>-0.25622500279421923</v>
      </c>
      <c r="L133" s="4">
        <f t="shared" si="17"/>
        <v>-0.98567283432864938</v>
      </c>
      <c r="M133" s="7">
        <f t="shared" si="20"/>
        <v>-2.8335103846050531</v>
      </c>
    </row>
    <row r="134" spans="4:13" x14ac:dyDescent="0.25">
      <c r="D134" s="1">
        <v>42207</v>
      </c>
      <c r="E134" s="3">
        <v>123.454532</v>
      </c>
      <c r="F134" s="3">
        <v>209.032747</v>
      </c>
      <c r="G134" s="3">
        <f t="shared" si="14"/>
        <v>-5.4520310000000052</v>
      </c>
      <c r="H134" s="3">
        <f t="shared" si="15"/>
        <v>-0.38568699999999012</v>
      </c>
      <c r="I134" s="3">
        <f t="shared" si="18"/>
        <v>-5.5081795575396875</v>
      </c>
      <c r="J134" s="3">
        <f t="shared" si="19"/>
        <v>-0.43188941468252978</v>
      </c>
      <c r="K134" s="4">
        <f t="shared" si="16"/>
        <v>-5.5429117866919082</v>
      </c>
      <c r="L134" s="4">
        <f t="shared" si="17"/>
        <v>-0.38420618212952612</v>
      </c>
      <c r="M134" s="7">
        <f t="shared" si="20"/>
        <v>-11.216801735262141</v>
      </c>
    </row>
    <row r="135" spans="4:13" x14ac:dyDescent="0.25">
      <c r="D135" s="1">
        <v>42206</v>
      </c>
      <c r="E135" s="3">
        <v>128.90656300000001</v>
      </c>
      <c r="F135" s="3">
        <v>209.41843399999999</v>
      </c>
      <c r="G135" s="3">
        <f t="shared" si="14"/>
        <v>-1.3013970000000086</v>
      </c>
      <c r="H135" s="3">
        <f t="shared" si="15"/>
        <v>-0.82082400000001599</v>
      </c>
      <c r="I135" s="3">
        <f t="shared" si="18"/>
        <v>-1.3575455575396911</v>
      </c>
      <c r="J135" s="3">
        <f t="shared" si="19"/>
        <v>-0.86702641468255559</v>
      </c>
      <c r="K135" s="4">
        <f t="shared" si="16"/>
        <v>-1.2971833158983943</v>
      </c>
      <c r="L135" s="4">
        <f t="shared" si="17"/>
        <v>-0.97030152652040647</v>
      </c>
      <c r="M135" s="7">
        <f t="shared" si="20"/>
        <v>-2.9398063126311298</v>
      </c>
    </row>
    <row r="136" spans="4:13" x14ac:dyDescent="0.25">
      <c r="D136" s="1">
        <v>42205</v>
      </c>
      <c r="E136" s="3">
        <v>130.20796000000001</v>
      </c>
      <c r="F136" s="3">
        <v>210.23925800000001</v>
      </c>
      <c r="G136" s="3">
        <f t="shared" si="14"/>
        <v>2.4154700000000133</v>
      </c>
      <c r="H136" s="3">
        <f t="shared" si="15"/>
        <v>0.11866800000001376</v>
      </c>
      <c r="I136" s="3">
        <f t="shared" si="18"/>
        <v>2.3593214424603306</v>
      </c>
      <c r="J136" s="3">
        <f t="shared" si="19"/>
        <v>7.2465585317474102E-2</v>
      </c>
      <c r="K136" s="4">
        <f t="shared" si="16"/>
        <v>2.3858833874392147</v>
      </c>
      <c r="L136" s="4">
        <f t="shared" si="17"/>
        <v>2.830088129582042E-2</v>
      </c>
      <c r="M136" s="7">
        <f t="shared" si="20"/>
        <v>-4.3385558452092088</v>
      </c>
    </row>
    <row r="137" spans="4:13" x14ac:dyDescent="0.25">
      <c r="D137" s="1">
        <v>42202</v>
      </c>
      <c r="E137" s="3">
        <v>127.79249</v>
      </c>
      <c r="F137" s="3">
        <v>210.12058999999999</v>
      </c>
      <c r="G137" s="3">
        <f t="shared" si="14"/>
        <v>1.0943500000000057</v>
      </c>
      <c r="H137" s="3">
        <f t="shared" si="15"/>
        <v>0.16811899999999014</v>
      </c>
      <c r="I137" s="3">
        <f t="shared" si="18"/>
        <v>1.0382014424603232</v>
      </c>
      <c r="J137" s="3">
        <f t="shared" si="19"/>
        <v>0.12191658531745048</v>
      </c>
      <c r="K137" s="4">
        <f t="shared" si="16"/>
        <v>1.0793931092183848</v>
      </c>
      <c r="L137" s="4">
        <f t="shared" si="17"/>
        <v>7.3855765912376053E-2</v>
      </c>
      <c r="M137" s="7">
        <f t="shared" si="20"/>
        <v>-2.9591174574638708</v>
      </c>
    </row>
    <row r="138" spans="4:13" x14ac:dyDescent="0.25">
      <c r="D138" s="1">
        <v>42201</v>
      </c>
      <c r="E138" s="3">
        <v>126.69814</v>
      </c>
      <c r="F138" s="3">
        <v>209.952471</v>
      </c>
      <c r="G138" s="3">
        <f t="shared" si="14"/>
        <v>1.666167999999999</v>
      </c>
      <c r="H138" s="3">
        <f t="shared" si="15"/>
        <v>1.6713149999999928</v>
      </c>
      <c r="I138" s="3">
        <f t="shared" si="18"/>
        <v>1.6100194424603165</v>
      </c>
      <c r="J138" s="3">
        <f t="shared" si="19"/>
        <v>1.6251125853174531</v>
      </c>
      <c r="K138" s="4">
        <f t="shared" si="16"/>
        <v>1.6391037709077325</v>
      </c>
      <c r="L138" s="4">
        <f t="shared" si="17"/>
        <v>1.5732129104992669</v>
      </c>
      <c r="M138" s="7">
        <f t="shared" si="20"/>
        <v>-3.1845500418336261</v>
      </c>
    </row>
    <row r="139" spans="4:13" x14ac:dyDescent="0.25">
      <c r="D139" s="1">
        <v>42200</v>
      </c>
      <c r="E139" s="3">
        <v>125.031972</v>
      </c>
      <c r="F139" s="3">
        <v>208.28115600000001</v>
      </c>
      <c r="G139" s="3">
        <f t="shared" si="14"/>
        <v>1.192939999999993</v>
      </c>
      <c r="H139" s="3">
        <f t="shared" si="15"/>
        <v>-6.9217999999978019E-2</v>
      </c>
      <c r="I139" s="3">
        <f t="shared" si="18"/>
        <v>1.1367914424603105</v>
      </c>
      <c r="J139" s="3">
        <f t="shared" si="19"/>
        <v>-0.11542041468251768</v>
      </c>
      <c r="K139" s="4">
        <f t="shared" si="16"/>
        <v>1.1340936112813353</v>
      </c>
      <c r="L139" s="4">
        <f t="shared" si="17"/>
        <v>-9.8472904007651407E-2</v>
      </c>
      <c r="M139" s="7">
        <f t="shared" si="20"/>
        <v>-3.0687898572590528</v>
      </c>
    </row>
    <row r="140" spans="4:13" x14ac:dyDescent="0.25">
      <c r="D140" s="1">
        <v>42199</v>
      </c>
      <c r="E140" s="3">
        <v>123.839032</v>
      </c>
      <c r="F140" s="3">
        <v>208.35037399999999</v>
      </c>
      <c r="G140" s="3">
        <f t="shared" si="14"/>
        <v>-4.9298999999990656E-2</v>
      </c>
      <c r="H140" s="3">
        <f t="shared" si="15"/>
        <v>0.90982499999998367</v>
      </c>
      <c r="I140" s="3">
        <f t="shared" si="18"/>
        <v>-0.10544755753967319</v>
      </c>
      <c r="J140" s="3">
        <f t="shared" si="19"/>
        <v>0.86362258531744407</v>
      </c>
      <c r="K140" s="4">
        <f t="shared" si="16"/>
        <v>-4.6851163418390157E-2</v>
      </c>
      <c r="L140" s="4">
        <f t="shared" si="17"/>
        <v>0.79378669917489941</v>
      </c>
      <c r="M140" s="7">
        <f t="shared" si="20"/>
        <v>-2.826117523685244</v>
      </c>
    </row>
    <row r="141" spans="4:13" x14ac:dyDescent="0.25">
      <c r="D141" s="1">
        <v>42198</v>
      </c>
      <c r="E141" s="3">
        <v>123.88833099999999</v>
      </c>
      <c r="F141" s="3">
        <v>207.440549</v>
      </c>
      <c r="G141" s="3">
        <f t="shared" si="14"/>
        <v>2.3464499999999902</v>
      </c>
      <c r="H141" s="3">
        <f t="shared" si="15"/>
        <v>2.2547869999999932</v>
      </c>
      <c r="I141" s="3">
        <f t="shared" si="18"/>
        <v>2.2903014424603074</v>
      </c>
      <c r="J141" s="3">
        <f t="shared" si="19"/>
        <v>2.2085845853174537</v>
      </c>
      <c r="K141" s="4">
        <f t="shared" si="16"/>
        <v>2.3698334658629445</v>
      </c>
      <c r="L141" s="4">
        <f t="shared" si="17"/>
        <v>2.1067924933502957</v>
      </c>
      <c r="M141" s="7">
        <f t="shared" si="20"/>
        <v>-3.7265720176438872</v>
      </c>
    </row>
    <row r="142" spans="4:13" x14ac:dyDescent="0.25">
      <c r="D142" s="1">
        <v>42195</v>
      </c>
      <c r="E142" s="3">
        <v>121.541881</v>
      </c>
      <c r="F142" s="3">
        <v>205.18576200000001</v>
      </c>
      <c r="G142" s="3">
        <f t="shared" si="14"/>
        <v>3.1647410000000065</v>
      </c>
      <c r="H142" s="3">
        <f t="shared" si="15"/>
        <v>2.5514730000000156</v>
      </c>
      <c r="I142" s="3">
        <f t="shared" si="18"/>
        <v>3.1085924424603237</v>
      </c>
      <c r="J142" s="3">
        <f t="shared" si="19"/>
        <v>2.5052705853174762</v>
      </c>
      <c r="K142" s="4">
        <f t="shared" si="16"/>
        <v>3.0440962674714642</v>
      </c>
      <c r="L142" s="4">
        <f t="shared" si="17"/>
        <v>2.621267998380584</v>
      </c>
      <c r="M142" s="7">
        <f t="shared" si="20"/>
        <v>-4.4060055913435141</v>
      </c>
    </row>
    <row r="143" spans="4:13" x14ac:dyDescent="0.25">
      <c r="D143" s="1">
        <v>42194</v>
      </c>
      <c r="E143" s="3">
        <v>118.37714</v>
      </c>
      <c r="F143" s="3">
        <v>202.634289</v>
      </c>
      <c r="G143" s="3">
        <f t="shared" si="14"/>
        <v>-2.4647520000000043</v>
      </c>
      <c r="H143" s="3">
        <f t="shared" si="15"/>
        <v>0.36590400000000045</v>
      </c>
      <c r="I143" s="3">
        <f t="shared" si="18"/>
        <v>-2.520900557539687</v>
      </c>
      <c r="J143" s="3">
        <f t="shared" si="19"/>
        <v>0.31970158531746079</v>
      </c>
      <c r="K143" s="4">
        <f t="shared" si="16"/>
        <v>-2.6010356123717551</v>
      </c>
      <c r="L143" s="4">
        <f t="shared" si="17"/>
        <v>0.40855969809277037</v>
      </c>
      <c r="M143" s="7">
        <f t="shared" si="20"/>
        <v>-5.1348955680378836</v>
      </c>
    </row>
    <row r="144" spans="4:13" x14ac:dyDescent="0.25">
      <c r="D144" s="1">
        <v>42193</v>
      </c>
      <c r="E144" s="3">
        <v>120.841892</v>
      </c>
      <c r="F144" s="3">
        <v>202.26838499999999</v>
      </c>
      <c r="G144" s="3">
        <f t="shared" si="14"/>
        <v>-3.0760140000000007</v>
      </c>
      <c r="H144" s="3">
        <f t="shared" si="15"/>
        <v>-3.4415150000000096</v>
      </c>
      <c r="I144" s="3">
        <f t="shared" si="18"/>
        <v>-3.1321625575396834</v>
      </c>
      <c r="J144" s="3">
        <f t="shared" si="19"/>
        <v>-3.4877174146825491</v>
      </c>
      <c r="K144" s="4">
        <f t="shared" si="16"/>
        <v>-3.1414184322293792</v>
      </c>
      <c r="L144" s="4">
        <f t="shared" si="17"/>
        <v>-3.4542323516935185</v>
      </c>
      <c r="M144" s="7">
        <f t="shared" si="20"/>
        <v>-4.9453264136931789</v>
      </c>
    </row>
    <row r="145" spans="4:13" x14ac:dyDescent="0.25">
      <c r="D145" s="1">
        <v>42192</v>
      </c>
      <c r="E145" s="3">
        <v>123.917906</v>
      </c>
      <c r="F145" s="3">
        <v>205.7099</v>
      </c>
      <c r="G145" s="3">
        <f t="shared" si="14"/>
        <v>-0.3056270000000012</v>
      </c>
      <c r="H145" s="3">
        <f t="shared" si="15"/>
        <v>1.2757290000000125</v>
      </c>
      <c r="I145" s="3">
        <f t="shared" si="18"/>
        <v>-0.36177555753968377</v>
      </c>
      <c r="J145" s="3">
        <f t="shared" si="19"/>
        <v>1.2295265853174728</v>
      </c>
      <c r="K145" s="4">
        <f t="shared" si="16"/>
        <v>-0.37431065866135738</v>
      </c>
      <c r="L145" s="4">
        <f t="shared" si="17"/>
        <v>1.2420888519245421</v>
      </c>
      <c r="M145" s="7">
        <f t="shared" si="20"/>
        <v>-3.2864027981899988</v>
      </c>
    </row>
    <row r="146" spans="4:13" x14ac:dyDescent="0.25">
      <c r="D146" s="1">
        <v>42191</v>
      </c>
      <c r="E146" s="3">
        <v>124.223533</v>
      </c>
      <c r="F146" s="3">
        <v>204.43417099999999</v>
      </c>
      <c r="G146" s="3">
        <f t="shared" si="14"/>
        <v>-0.43379899999999338</v>
      </c>
      <c r="H146" s="3">
        <f t="shared" si="15"/>
        <v>-0.59337100000001897</v>
      </c>
      <c r="I146" s="3">
        <f t="shared" si="18"/>
        <v>-0.48994755753967595</v>
      </c>
      <c r="J146" s="3">
        <f t="shared" si="19"/>
        <v>-0.63957341468255857</v>
      </c>
      <c r="K146" s="4">
        <f t="shared" si="16"/>
        <v>-0.49541980585741913</v>
      </c>
      <c r="L146" s="4">
        <f t="shared" si="17"/>
        <v>-0.63330685097165895</v>
      </c>
      <c r="M146" s="7">
        <f t="shared" si="20"/>
        <v>-2.7038589239872008</v>
      </c>
    </row>
    <row r="147" spans="4:13" x14ac:dyDescent="0.25">
      <c r="D147" s="1">
        <v>42187</v>
      </c>
      <c r="E147" s="3">
        <v>124.657332</v>
      </c>
      <c r="F147" s="3">
        <v>205.02754200000001</v>
      </c>
      <c r="G147" s="3">
        <f t="shared" si="14"/>
        <v>-0.15774000000000399</v>
      </c>
      <c r="H147" s="3">
        <f t="shared" si="15"/>
        <v>-0.1780029999999897</v>
      </c>
      <c r="I147" s="3">
        <f t="shared" si="18"/>
        <v>-0.21388855753968652</v>
      </c>
      <c r="J147" s="3">
        <f t="shared" si="19"/>
        <v>-0.22420541468252936</v>
      </c>
      <c r="K147" s="4">
        <f t="shared" si="16"/>
        <v>-0.18581323364883759</v>
      </c>
      <c r="L147" s="4">
        <f t="shared" si="17"/>
        <v>-0.25016404129618369</v>
      </c>
      <c r="M147" s="7">
        <f t="shared" si="20"/>
        <v>-2.6440641760874048</v>
      </c>
    </row>
    <row r="148" spans="4:13" x14ac:dyDescent="0.25">
      <c r="D148" s="1">
        <v>42186</v>
      </c>
      <c r="E148" s="3">
        <v>124.815072</v>
      </c>
      <c r="F148" s="3">
        <v>205.205545</v>
      </c>
      <c r="G148" s="3">
        <f t="shared" si="14"/>
        <v>1.1535020000000031</v>
      </c>
      <c r="H148" s="3">
        <f t="shared" si="15"/>
        <v>1.6317490000000134</v>
      </c>
      <c r="I148" s="3">
        <f t="shared" si="18"/>
        <v>1.0973534424603206</v>
      </c>
      <c r="J148" s="3">
        <f t="shared" si="19"/>
        <v>1.5855465853174737</v>
      </c>
      <c r="K148" s="4">
        <f t="shared" si="16"/>
        <v>1.1186184077398642</v>
      </c>
      <c r="L148" s="4">
        <f t="shared" si="17"/>
        <v>1.5541929825955765</v>
      </c>
      <c r="M148" s="7">
        <f t="shared" si="20"/>
        <v>-3.0459902410424506</v>
      </c>
    </row>
    <row r="149" spans="4:13" x14ac:dyDescent="0.25">
      <c r="D149" s="1">
        <v>42185</v>
      </c>
      <c r="E149" s="3">
        <v>123.66157</v>
      </c>
      <c r="F149" s="3">
        <v>203.57379599999999</v>
      </c>
      <c r="G149" s="3">
        <f t="shared" si="14"/>
        <v>0.88731199999999433</v>
      </c>
      <c r="H149" s="3">
        <f t="shared" si="15"/>
        <v>0.42525299999999788</v>
      </c>
      <c r="I149" s="3">
        <f t="shared" si="18"/>
        <v>0.83116344246031182</v>
      </c>
      <c r="J149" s="3">
        <f t="shared" si="19"/>
        <v>0.37905058531745822</v>
      </c>
      <c r="K149" s="4">
        <f t="shared" si="16"/>
        <v>0.77372991559876536</v>
      </c>
      <c r="L149" s="4">
        <f t="shared" si="17"/>
        <v>0.41573731198098041</v>
      </c>
      <c r="M149" s="7">
        <f t="shared" si="20"/>
        <v>-2.7436940137422496</v>
      </c>
    </row>
    <row r="150" spans="4:13" x14ac:dyDescent="0.25">
      <c r="D150" s="1">
        <v>42184</v>
      </c>
      <c r="E150" s="3">
        <v>122.774258</v>
      </c>
      <c r="F150" s="3">
        <v>203.14854299999999</v>
      </c>
      <c r="G150" s="3">
        <f t="shared" si="14"/>
        <v>-2.1887009999999947</v>
      </c>
      <c r="H150" s="3">
        <f t="shared" si="15"/>
        <v>-4.3513550000000123</v>
      </c>
      <c r="I150" s="3">
        <f t="shared" si="18"/>
        <v>-2.2448495575396774</v>
      </c>
      <c r="J150" s="3">
        <f t="shared" si="19"/>
        <v>-4.3975574146825522</v>
      </c>
      <c r="K150" s="4">
        <f t="shared" si="16"/>
        <v>-2.2652039962446469</v>
      </c>
      <c r="L150" s="4">
        <f t="shared" si="17"/>
        <v>-4.3636048376715388</v>
      </c>
      <c r="M150" s="7">
        <f t="shared" si="20"/>
        <v>-5.8785180649043181</v>
      </c>
    </row>
    <row r="151" spans="4:13" x14ac:dyDescent="0.25">
      <c r="D151" s="1">
        <v>42181</v>
      </c>
      <c r="E151" s="3">
        <v>124.962959</v>
      </c>
      <c r="F151" s="3">
        <v>207.499898</v>
      </c>
      <c r="G151" s="3">
        <f t="shared" si="14"/>
        <v>-0.7394260000000088</v>
      </c>
      <c r="H151" s="3">
        <f t="shared" si="15"/>
        <v>-3.955099999998879E-2</v>
      </c>
      <c r="I151" s="3">
        <f t="shared" si="18"/>
        <v>-0.79557455753969131</v>
      </c>
      <c r="J151" s="3">
        <f t="shared" si="19"/>
        <v>-8.575341468252845E-2</v>
      </c>
      <c r="K151" s="4">
        <f t="shared" si="16"/>
        <v>-0.81239765938871533</v>
      </c>
      <c r="L151" s="4">
        <f t="shared" si="17"/>
        <v>-6.6484743334450716E-2</v>
      </c>
      <c r="M151" s="7">
        <f t="shared" si="20"/>
        <v>-2.8149146713278763</v>
      </c>
    </row>
    <row r="152" spans="4:13" x14ac:dyDescent="0.25">
      <c r="D152" s="1">
        <v>42180</v>
      </c>
      <c r="E152" s="3">
        <v>125.70238500000001</v>
      </c>
      <c r="F152" s="3">
        <v>207.53944899999999</v>
      </c>
      <c r="G152" s="3">
        <f t="shared" si="14"/>
        <v>-0.60139999999999816</v>
      </c>
      <c r="H152" s="3">
        <f t="shared" si="15"/>
        <v>-0.64280700000000479</v>
      </c>
      <c r="I152" s="3">
        <f t="shared" si="18"/>
        <v>-0.65754855753968067</v>
      </c>
      <c r="J152" s="3">
        <f t="shared" si="19"/>
        <v>-0.6890094146825444</v>
      </c>
      <c r="K152" s="4">
        <f t="shared" si="16"/>
        <v>-0.63174327643220163</v>
      </c>
      <c r="L152" s="4">
        <f t="shared" si="17"/>
        <v>-0.75592371143018144</v>
      </c>
      <c r="M152" s="7">
        <f t="shared" si="20"/>
        <v>-2.7374239248156762</v>
      </c>
    </row>
    <row r="153" spans="4:13" x14ac:dyDescent="0.25">
      <c r="D153" s="1">
        <v>42179</v>
      </c>
      <c r="E153" s="3">
        <v>126.303785</v>
      </c>
      <c r="F153" s="3">
        <v>208.182256</v>
      </c>
      <c r="G153" s="3">
        <f t="shared" si="14"/>
        <v>1.0647750000000116</v>
      </c>
      <c r="H153" s="3">
        <f t="shared" si="15"/>
        <v>-1.5229800000000182</v>
      </c>
      <c r="I153" s="3">
        <f t="shared" si="18"/>
        <v>1.0086264424603291</v>
      </c>
      <c r="J153" s="3">
        <f t="shared" si="19"/>
        <v>-1.5691824146825579</v>
      </c>
      <c r="K153" s="4">
        <f t="shared" si="16"/>
        <v>0.99256000448271009</v>
      </c>
      <c r="L153" s="4">
        <f t="shared" si="17"/>
        <v>-1.5398258561968092</v>
      </c>
      <c r="M153" s="7">
        <f t="shared" si="20"/>
        <v>-4.175800710914972</v>
      </c>
    </row>
    <row r="154" spans="4:13" x14ac:dyDescent="0.25">
      <c r="D154" s="1">
        <v>42178</v>
      </c>
      <c r="E154" s="3">
        <v>125.23900999999999</v>
      </c>
      <c r="F154" s="3">
        <v>209.70523600000001</v>
      </c>
      <c r="G154" s="3">
        <f t="shared" si="14"/>
        <v>-0.57182500000000402</v>
      </c>
      <c r="H154" s="3">
        <f t="shared" si="15"/>
        <v>0.158235000000019</v>
      </c>
      <c r="I154" s="3">
        <f t="shared" si="18"/>
        <v>-0.62797355753968653</v>
      </c>
      <c r="J154" s="3">
        <f t="shared" si="19"/>
        <v>0.11203258531747934</v>
      </c>
      <c r="K154" s="4">
        <f t="shared" si="16"/>
        <v>-0.60393391927560314</v>
      </c>
      <c r="L154" s="4">
        <f t="shared" si="17"/>
        <v>8.5028727130964626E-2</v>
      </c>
      <c r="M154" s="7">
        <f t="shared" si="20"/>
        <v>-2.7654136120562915</v>
      </c>
    </row>
    <row r="155" spans="4:13" x14ac:dyDescent="0.25">
      <c r="D155" s="1">
        <v>42177</v>
      </c>
      <c r="E155" s="3">
        <v>125.810835</v>
      </c>
      <c r="F155" s="3">
        <v>209.54700099999999</v>
      </c>
      <c r="G155" s="3">
        <f t="shared" si="14"/>
        <v>0.99576299999999662</v>
      </c>
      <c r="H155" s="3">
        <f t="shared" si="15"/>
        <v>1.0680590000000052</v>
      </c>
      <c r="I155" s="3">
        <f t="shared" si="18"/>
        <v>0.93961444246031411</v>
      </c>
      <c r="J155" s="3">
        <f t="shared" si="19"/>
        <v>1.0218565853174655</v>
      </c>
      <c r="K155" s="4">
        <f t="shared" si="16"/>
        <v>0.90589137137212428</v>
      </c>
      <c r="L155" s="4">
        <f t="shared" si="17"/>
        <v>1.0662484609680918</v>
      </c>
      <c r="M155" s="7">
        <f t="shared" si="20"/>
        <v>-2.8426677266123406</v>
      </c>
    </row>
    <row r="156" spans="4:13" x14ac:dyDescent="0.25">
      <c r="D156" s="1">
        <v>42174</v>
      </c>
      <c r="E156" s="3">
        <v>124.815072</v>
      </c>
      <c r="F156" s="3">
        <v>208.47894199999999</v>
      </c>
      <c r="G156" s="3">
        <f t="shared" si="14"/>
        <v>-1.2619530000000054</v>
      </c>
      <c r="H156" s="3">
        <f t="shared" si="15"/>
        <v>-0.92960800000000177</v>
      </c>
      <c r="I156" s="3">
        <f t="shared" si="18"/>
        <v>-1.3181015575396879</v>
      </c>
      <c r="J156" s="3">
        <f t="shared" si="19"/>
        <v>-0.97581041468254137</v>
      </c>
      <c r="K156" s="4">
        <f t="shared" si="16"/>
        <v>-1.3049083984514875</v>
      </c>
      <c r="L156" s="4">
        <f t="shared" si="17"/>
        <v>-0.96860473151147719</v>
      </c>
      <c r="M156" s="7">
        <f t="shared" si="20"/>
        <v>-2.9430082159997437</v>
      </c>
    </row>
    <row r="157" spans="4:13" x14ac:dyDescent="0.25">
      <c r="D157" s="1">
        <v>42173</v>
      </c>
      <c r="E157" s="3">
        <v>126.07702500000001</v>
      </c>
      <c r="F157" s="3">
        <v>209.40854999999999</v>
      </c>
      <c r="G157" s="3">
        <f t="shared" si="14"/>
        <v>0.57181700000001001</v>
      </c>
      <c r="H157" s="3">
        <f t="shared" si="15"/>
        <v>2.1553019999999776</v>
      </c>
      <c r="I157" s="3">
        <f t="shared" si="18"/>
        <v>0.5156684424603275</v>
      </c>
      <c r="J157" s="3">
        <f t="shared" si="19"/>
        <v>2.1090995853174381</v>
      </c>
      <c r="K157" s="4">
        <f t="shared" si="16"/>
        <v>0.50666488287121647</v>
      </c>
      <c r="L157" s="4">
        <f t="shared" si="17"/>
        <v>2.128760533917982</v>
      </c>
      <c r="M157" s="7">
        <f t="shared" si="20"/>
        <v>-3.5894331228192207</v>
      </c>
    </row>
    <row r="158" spans="4:13" x14ac:dyDescent="0.25">
      <c r="D158" s="1">
        <v>42172</v>
      </c>
      <c r="E158" s="3">
        <v>125.505208</v>
      </c>
      <c r="F158" s="3">
        <v>207.25324800000001</v>
      </c>
      <c r="G158" s="3">
        <f t="shared" si="14"/>
        <v>-0.29576500000000294</v>
      </c>
      <c r="H158" s="3">
        <f t="shared" si="15"/>
        <v>0.33460900000000038</v>
      </c>
      <c r="I158" s="3">
        <f t="shared" si="18"/>
        <v>-0.35191355753968551</v>
      </c>
      <c r="J158" s="3">
        <f t="shared" si="19"/>
        <v>0.28840658531746072</v>
      </c>
      <c r="K158" s="4">
        <f t="shared" si="16"/>
        <v>-0.33619786147549002</v>
      </c>
      <c r="L158" s="4">
        <f t="shared" si="17"/>
        <v>0.27669288170820622</v>
      </c>
      <c r="M158" s="7">
        <f t="shared" si="20"/>
        <v>-2.7241186745284249</v>
      </c>
    </row>
    <row r="159" spans="4:13" x14ac:dyDescent="0.25">
      <c r="D159" s="1">
        <v>42171</v>
      </c>
      <c r="E159" s="3">
        <v>125.800973</v>
      </c>
      <c r="F159" s="3">
        <v>206.91863900000001</v>
      </c>
      <c r="G159" s="3">
        <f t="shared" si="14"/>
        <v>0.67041299999999637</v>
      </c>
      <c r="H159" s="3">
        <f t="shared" si="15"/>
        <v>1.1317730000000097</v>
      </c>
      <c r="I159" s="3">
        <f t="shared" si="18"/>
        <v>0.61426444246031386</v>
      </c>
      <c r="J159" s="3">
        <f t="shared" si="19"/>
        <v>1.08557058531747</v>
      </c>
      <c r="K159" s="4">
        <f t="shared" si="16"/>
        <v>0.60652192109800562</v>
      </c>
      <c r="L159" s="4">
        <f t="shared" si="17"/>
        <v>1.085552271732503</v>
      </c>
      <c r="M159" s="7">
        <f t="shared" si="20"/>
        <v>-2.8319290095539635</v>
      </c>
    </row>
    <row r="160" spans="4:13" x14ac:dyDescent="0.25">
      <c r="D160" s="1">
        <v>42170</v>
      </c>
      <c r="E160" s="3">
        <v>125.13056</v>
      </c>
      <c r="F160" s="3">
        <v>205.786866</v>
      </c>
      <c r="G160" s="3">
        <f t="shared" si="14"/>
        <v>-0.24647600000000125</v>
      </c>
      <c r="H160" s="3">
        <f t="shared" si="15"/>
        <v>-0.89556999999999221</v>
      </c>
      <c r="I160" s="3">
        <f t="shared" si="18"/>
        <v>-0.30262455753968381</v>
      </c>
      <c r="J160" s="3">
        <f t="shared" si="19"/>
        <v>-0.94177241468253181</v>
      </c>
      <c r="K160" s="4">
        <f t="shared" si="16"/>
        <v>-0.33987891431466388</v>
      </c>
      <c r="L160" s="4">
        <f t="shared" si="17"/>
        <v>-0.90073479807983381</v>
      </c>
      <c r="M160" s="7">
        <f t="shared" si="20"/>
        <v>-2.7832746549150773</v>
      </c>
    </row>
    <row r="161" spans="4:13" x14ac:dyDescent="0.25">
      <c r="D161" s="1">
        <v>42167</v>
      </c>
      <c r="E161" s="3">
        <v>125.377036</v>
      </c>
      <c r="F161" s="3">
        <v>206.682436</v>
      </c>
      <c r="G161" s="3">
        <f t="shared" si="14"/>
        <v>-1.3999769999999927</v>
      </c>
      <c r="H161" s="3">
        <f t="shared" si="15"/>
        <v>-1.5943420000000117</v>
      </c>
      <c r="I161" s="3">
        <f t="shared" si="18"/>
        <v>-1.4561255575396752</v>
      </c>
      <c r="J161" s="3">
        <f t="shared" si="19"/>
        <v>-1.6405444146825514</v>
      </c>
      <c r="K161" s="4">
        <f t="shared" si="16"/>
        <v>-1.4648772369660141</v>
      </c>
      <c r="L161" s="4">
        <f t="shared" si="17"/>
        <v>-1.6166985839512575</v>
      </c>
      <c r="M161" s="7">
        <f t="shared" si="20"/>
        <v>-3.1381869696875229</v>
      </c>
    </row>
    <row r="162" spans="4:13" x14ac:dyDescent="0.25">
      <c r="D162" s="1">
        <v>42166</v>
      </c>
      <c r="E162" s="3">
        <v>126.777013</v>
      </c>
      <c r="F162" s="3">
        <v>208.27677800000001</v>
      </c>
      <c r="G162" s="3">
        <f t="shared" si="14"/>
        <v>-0.28592000000000439</v>
      </c>
      <c r="H162" s="3">
        <f t="shared" si="15"/>
        <v>0.6593819999999937</v>
      </c>
      <c r="I162" s="3">
        <f t="shared" si="18"/>
        <v>-0.34206855753968696</v>
      </c>
      <c r="J162" s="3">
        <f t="shared" si="19"/>
        <v>0.61317958531745409</v>
      </c>
      <c r="K162" s="4">
        <f t="shared" si="16"/>
        <v>-0.30667809132889956</v>
      </c>
      <c r="L162" s="4">
        <f t="shared" si="17"/>
        <v>0.58650853057116503</v>
      </c>
      <c r="M162" s="7">
        <f t="shared" si="20"/>
        <v>-2.8265258865197902</v>
      </c>
    </row>
    <row r="163" spans="4:13" x14ac:dyDescent="0.25">
      <c r="D163" s="1">
        <v>42165</v>
      </c>
      <c r="E163" s="3">
        <v>127.062933</v>
      </c>
      <c r="F163" s="3">
        <v>207.61739600000001</v>
      </c>
      <c r="G163" s="3">
        <f t="shared" si="14"/>
        <v>1.4394220000000075</v>
      </c>
      <c r="H163" s="3">
        <f t="shared" si="15"/>
        <v>2.4702400000000182</v>
      </c>
      <c r="I163" s="3">
        <f t="shared" si="18"/>
        <v>1.383273442460325</v>
      </c>
      <c r="J163" s="3">
        <f t="shared" si="19"/>
        <v>2.4240375853174787</v>
      </c>
      <c r="K163" s="4">
        <f t="shared" si="16"/>
        <v>1.3722517202506159</v>
      </c>
      <c r="L163" s="4">
        <f t="shared" si="17"/>
        <v>2.4420058643486553</v>
      </c>
      <c r="M163" s="7">
        <f t="shared" si="20"/>
        <v>-3.6379315882678576</v>
      </c>
    </row>
    <row r="164" spans="4:13" x14ac:dyDescent="0.25">
      <c r="D164" s="1">
        <v>42164</v>
      </c>
      <c r="E164" s="3">
        <v>125.62351099999999</v>
      </c>
      <c r="F164" s="3">
        <v>205.147156</v>
      </c>
      <c r="G164" s="3">
        <f t="shared" si="14"/>
        <v>-0.37464700000001017</v>
      </c>
      <c r="H164" s="3">
        <f t="shared" si="15"/>
        <v>-2.952400000000921E-2</v>
      </c>
      <c r="I164" s="3">
        <f t="shared" si="18"/>
        <v>-0.43079555753969273</v>
      </c>
      <c r="J164" s="3">
        <f t="shared" si="19"/>
        <v>-7.572641468254887E-2</v>
      </c>
      <c r="K164" s="4">
        <f t="shared" si="16"/>
        <v>-0.45367214945199874</v>
      </c>
      <c r="L164" s="4">
        <f t="shared" si="17"/>
        <v>-5.4913438377642003E-2</v>
      </c>
      <c r="M164" s="7">
        <f t="shared" si="20"/>
        <v>-2.6873579356984809</v>
      </c>
    </row>
    <row r="165" spans="4:13" x14ac:dyDescent="0.25">
      <c r="D165" s="1">
        <v>42163</v>
      </c>
      <c r="E165" s="3">
        <v>125.998158</v>
      </c>
      <c r="F165" s="3">
        <v>205.17668</v>
      </c>
      <c r="G165" s="3">
        <f t="shared" si="14"/>
        <v>-0.8380069999999904</v>
      </c>
      <c r="H165" s="3">
        <f t="shared" si="15"/>
        <v>-1.2695679999999925</v>
      </c>
      <c r="I165" s="3">
        <f t="shared" si="18"/>
        <v>-0.89415555753967291</v>
      </c>
      <c r="J165" s="3">
        <f t="shared" si="19"/>
        <v>-1.3157704146825322</v>
      </c>
      <c r="K165" s="4">
        <f t="shared" si="16"/>
        <v>-0.91350119636469285</v>
      </c>
      <c r="L165" s="4">
        <f t="shared" si="17"/>
        <v>-1.2880385342818703</v>
      </c>
      <c r="M165" s="7">
        <f t="shared" si="20"/>
        <v>-2.9156916738107372</v>
      </c>
    </row>
    <row r="166" spans="4:13" x14ac:dyDescent="0.25">
      <c r="D166" s="1">
        <v>42160</v>
      </c>
      <c r="E166" s="3">
        <v>126.83616499999999</v>
      </c>
      <c r="F166" s="3">
        <v>206.446248</v>
      </c>
      <c r="G166" s="3">
        <f t="shared" si="14"/>
        <v>-0.69999600000001294</v>
      </c>
      <c r="H166" s="3">
        <f t="shared" si="15"/>
        <v>-0.35429700000000253</v>
      </c>
      <c r="I166" s="3">
        <f t="shared" si="18"/>
        <v>-0.75614455753969545</v>
      </c>
      <c r="J166" s="3">
        <f t="shared" si="19"/>
        <v>-0.40049941468254219</v>
      </c>
      <c r="K166" s="4">
        <f t="shared" si="16"/>
        <v>-0.77675110666863123</v>
      </c>
      <c r="L166" s="4">
        <f t="shared" si="17"/>
        <v>-0.39060902620445137</v>
      </c>
      <c r="M166" s="7">
        <f t="shared" si="20"/>
        <v>-2.7462240356043841</v>
      </c>
    </row>
    <row r="167" spans="4:13" x14ac:dyDescent="0.25">
      <c r="D167" s="1">
        <v>42159</v>
      </c>
      <c r="E167" s="3">
        <v>127.53616100000001</v>
      </c>
      <c r="F167" s="3">
        <v>206.800545</v>
      </c>
      <c r="G167" s="3">
        <f t="shared" si="14"/>
        <v>-0.74927999999998462</v>
      </c>
      <c r="H167" s="3">
        <f t="shared" si="15"/>
        <v>-1.7616309999999942</v>
      </c>
      <c r="I167" s="3">
        <f t="shared" si="18"/>
        <v>-0.80542855753966713</v>
      </c>
      <c r="J167" s="3">
        <f t="shared" si="19"/>
        <v>-1.8078334146825339</v>
      </c>
      <c r="K167" s="4">
        <f t="shared" si="16"/>
        <v>-0.80282956252676607</v>
      </c>
      <c r="L167" s="4">
        <f t="shared" si="17"/>
        <v>-1.8051416041972617</v>
      </c>
      <c r="M167" s="7">
        <f t="shared" si="20"/>
        <v>-3.2083764372522259</v>
      </c>
    </row>
    <row r="168" spans="4:13" x14ac:dyDescent="0.25">
      <c r="D168" s="1">
        <v>42158</v>
      </c>
      <c r="E168" s="3">
        <v>128.28544099999999</v>
      </c>
      <c r="F168" s="3">
        <v>208.56217599999999</v>
      </c>
      <c r="G168" s="3">
        <f t="shared" si="14"/>
        <v>0.15773299999997903</v>
      </c>
      <c r="H168" s="3">
        <f t="shared" si="15"/>
        <v>0.55112399999998729</v>
      </c>
      <c r="I168" s="3">
        <f t="shared" si="18"/>
        <v>0.10158444246029649</v>
      </c>
      <c r="J168" s="3">
        <f t="shared" si="19"/>
        <v>0.50492158531744769</v>
      </c>
      <c r="K168" s="4">
        <f t="shared" si="16"/>
        <v>8.5518413835913937E-2</v>
      </c>
      <c r="L168" s="4">
        <f t="shared" si="17"/>
        <v>0.5290862704444047</v>
      </c>
      <c r="M168" s="7">
        <f t="shared" si="20"/>
        <v>-2.6977437527726567</v>
      </c>
    </row>
    <row r="169" spans="4:13" x14ac:dyDescent="0.25">
      <c r="D169" s="1">
        <v>42157</v>
      </c>
      <c r="E169" s="3">
        <v>128.12770800000001</v>
      </c>
      <c r="F169" s="3">
        <v>208.01105200000001</v>
      </c>
      <c r="G169" s="3">
        <f t="shared" si="14"/>
        <v>-0.57180899999997337</v>
      </c>
      <c r="H169" s="3">
        <f t="shared" si="15"/>
        <v>-0.20667899999997985</v>
      </c>
      <c r="I169" s="3">
        <f t="shared" si="18"/>
        <v>-0.62795755753965588</v>
      </c>
      <c r="J169" s="3">
        <f t="shared" si="19"/>
        <v>-0.25288141468251951</v>
      </c>
      <c r="K169" s="4">
        <f t="shared" si="16"/>
        <v>-0.62283605113533613</v>
      </c>
      <c r="L169" s="4">
        <f t="shared" si="17"/>
        <v>-0.25636838798870465</v>
      </c>
      <c r="M169" s="7">
        <f t="shared" si="20"/>
        <v>-2.7099923129560763</v>
      </c>
    </row>
    <row r="170" spans="4:13" x14ac:dyDescent="0.25">
      <c r="D170" s="1">
        <v>42156</v>
      </c>
      <c r="E170" s="3">
        <v>128.69951699999999</v>
      </c>
      <c r="F170" s="3">
        <v>208.21773099999999</v>
      </c>
      <c r="G170" s="3">
        <f t="shared" si="14"/>
        <v>0.25632799999999634</v>
      </c>
      <c r="H170" s="3">
        <f t="shared" si="15"/>
        <v>0.42319499999999266</v>
      </c>
      <c r="I170" s="3">
        <f t="shared" si="18"/>
        <v>0.2001794424603138</v>
      </c>
      <c r="J170" s="3">
        <f t="shared" si="19"/>
        <v>0.376992585317453</v>
      </c>
      <c r="K170" s="4">
        <f t="shared" si="16"/>
        <v>0.16090712774135282</v>
      </c>
      <c r="L170" s="4">
        <f t="shared" si="17"/>
        <v>0.42571737950598132</v>
      </c>
      <c r="M170" s="7">
        <f t="shared" si="20"/>
        <v>-2.6667620025309842</v>
      </c>
    </row>
    <row r="171" spans="4:13" x14ac:dyDescent="0.25">
      <c r="D171" s="1">
        <v>42153</v>
      </c>
      <c r="E171" s="3">
        <v>128.44318899999999</v>
      </c>
      <c r="F171" s="3">
        <v>207.79453599999999</v>
      </c>
      <c r="G171" s="3">
        <f t="shared" si="14"/>
        <v>-1.4788510000000201</v>
      </c>
      <c r="H171" s="3">
        <f t="shared" si="15"/>
        <v>-1.2990920000000017</v>
      </c>
      <c r="I171" s="3">
        <f t="shared" si="18"/>
        <v>-1.5349995575397026</v>
      </c>
      <c r="J171" s="3">
        <f t="shared" si="19"/>
        <v>-1.3452944146825414</v>
      </c>
      <c r="K171" s="4">
        <f t="shared" si="16"/>
        <v>-1.5429941637414004</v>
      </c>
      <c r="L171" s="4">
        <f t="shared" si="17"/>
        <v>-1.3354969389134088</v>
      </c>
      <c r="M171" s="7">
        <f t="shared" si="20"/>
        <v>-3.089936908943038</v>
      </c>
    </row>
    <row r="172" spans="4:13" x14ac:dyDescent="0.25">
      <c r="D172" s="1">
        <v>42152</v>
      </c>
      <c r="E172" s="3">
        <v>129.92204000000001</v>
      </c>
      <c r="F172" s="3">
        <v>209.093628</v>
      </c>
      <c r="G172" s="3">
        <f t="shared" si="14"/>
        <v>-0.25632899999999381</v>
      </c>
      <c r="H172" s="3">
        <f t="shared" si="15"/>
        <v>-0.23618799999999851</v>
      </c>
      <c r="I172" s="3">
        <f t="shared" si="18"/>
        <v>-0.31247755753967638</v>
      </c>
      <c r="J172" s="3">
        <f t="shared" si="19"/>
        <v>-0.28239041468253817</v>
      </c>
      <c r="K172" s="4">
        <f t="shared" si="16"/>
        <v>-0.25287238912302074</v>
      </c>
      <c r="L172" s="4">
        <f t="shared" si="17"/>
        <v>-0.35804480622201607</v>
      </c>
      <c r="M172" s="7">
        <f t="shared" si="20"/>
        <v>-2.6550720840790354</v>
      </c>
    </row>
    <row r="173" spans="4:13" x14ac:dyDescent="0.25">
      <c r="D173" s="1">
        <v>42151</v>
      </c>
      <c r="E173" s="3">
        <v>130.178369</v>
      </c>
      <c r="F173" s="3">
        <v>209.32981599999999</v>
      </c>
      <c r="G173" s="3">
        <f t="shared" si="14"/>
        <v>2.3858790000000027</v>
      </c>
      <c r="H173" s="3">
        <f t="shared" si="15"/>
        <v>1.9683100000000024</v>
      </c>
      <c r="I173" s="3">
        <f t="shared" si="18"/>
        <v>2.32973044246032</v>
      </c>
      <c r="J173" s="3">
        <f t="shared" si="19"/>
        <v>1.9221075853174627</v>
      </c>
      <c r="K173" s="4">
        <f t="shared" si="16"/>
        <v>2.2546402569036252</v>
      </c>
      <c r="L173" s="4">
        <f t="shared" si="17"/>
        <v>2.0191453628106686</v>
      </c>
      <c r="M173" s="7">
        <f t="shared" si="20"/>
        <v>-3.6272082069410789</v>
      </c>
    </row>
    <row r="174" spans="4:13" x14ac:dyDescent="0.25">
      <c r="D174" s="1">
        <v>42150</v>
      </c>
      <c r="E174" s="3">
        <v>127.79249</v>
      </c>
      <c r="F174" s="3">
        <v>207.36150599999999</v>
      </c>
      <c r="G174" s="3">
        <f t="shared" si="14"/>
        <v>-2.8788300000000078</v>
      </c>
      <c r="H174" s="3">
        <f t="shared" si="15"/>
        <v>-2.2537230000000079</v>
      </c>
      <c r="I174" s="3">
        <f t="shared" si="18"/>
        <v>-2.9349785575396905</v>
      </c>
      <c r="J174" s="3">
        <f t="shared" si="19"/>
        <v>-2.2999254146825474</v>
      </c>
      <c r="K174" s="4">
        <f t="shared" si="16"/>
        <v>-2.9074077870962798</v>
      </c>
      <c r="L174" s="4">
        <f t="shared" si="17"/>
        <v>-2.3553650744720223</v>
      </c>
      <c r="M174" s="7">
        <f t="shared" si="20"/>
        <v>-4.2080039347992368</v>
      </c>
    </row>
    <row r="175" spans="4:13" x14ac:dyDescent="0.25">
      <c r="D175" s="1">
        <v>42146</v>
      </c>
      <c r="E175" s="3">
        <v>130.67132000000001</v>
      </c>
      <c r="F175" s="3">
        <v>209.615229</v>
      </c>
      <c r="G175" s="3">
        <f t="shared" si="14"/>
        <v>1.133780999999999</v>
      </c>
      <c r="H175" s="3">
        <f t="shared" si="15"/>
        <v>-0.50191399999999931</v>
      </c>
      <c r="I175" s="3">
        <f t="shared" si="18"/>
        <v>1.0776324424603165</v>
      </c>
      <c r="J175" s="3">
        <f t="shared" si="19"/>
        <v>-0.54811641468253891</v>
      </c>
      <c r="K175" s="4">
        <f t="shared" si="16"/>
        <v>1.1097436822391258</v>
      </c>
      <c r="L175" s="4">
        <f t="shared" si="17"/>
        <v>-0.59558179329367078</v>
      </c>
      <c r="M175" s="7">
        <f t="shared" si="20"/>
        <v>-3.3554579929514663</v>
      </c>
    </row>
    <row r="176" spans="4:13" x14ac:dyDescent="0.25">
      <c r="D176" s="1">
        <v>42145</v>
      </c>
      <c r="E176" s="3">
        <v>129.53753900000001</v>
      </c>
      <c r="F176" s="3">
        <v>210.117143</v>
      </c>
      <c r="G176" s="3">
        <f t="shared" si="14"/>
        <v>1.3112500000000011</v>
      </c>
      <c r="H176" s="3">
        <f t="shared" si="15"/>
        <v>0.61017100000000823</v>
      </c>
      <c r="I176" s="3">
        <f t="shared" si="18"/>
        <v>1.2551014424603186</v>
      </c>
      <c r="J176" s="3">
        <f t="shared" si="19"/>
        <v>0.56396858531746863</v>
      </c>
      <c r="K176" s="4">
        <f t="shared" si="16"/>
        <v>1.2534124111612932</v>
      </c>
      <c r="L176" s="4">
        <f t="shared" si="17"/>
        <v>0.56413001076797609</v>
      </c>
      <c r="M176" s="7">
        <f t="shared" si="20"/>
        <v>-2.9360884565164582</v>
      </c>
    </row>
    <row r="177" spans="4:13" x14ac:dyDescent="0.25">
      <c r="D177" s="1">
        <v>42144</v>
      </c>
      <c r="E177" s="3">
        <v>128.22628900000001</v>
      </c>
      <c r="F177" s="3">
        <v>209.50697199999999</v>
      </c>
      <c r="G177" s="3">
        <f t="shared" si="14"/>
        <v>-9.8689999999805877E-3</v>
      </c>
      <c r="H177" s="3">
        <f t="shared" si="15"/>
        <v>-0.14761699999999678</v>
      </c>
      <c r="I177" s="3">
        <f t="shared" si="18"/>
        <v>-6.6017557539663124E-2</v>
      </c>
      <c r="J177" s="3">
        <f t="shared" si="19"/>
        <v>-0.19381941468253644</v>
      </c>
      <c r="K177" s="4">
        <f t="shared" si="16"/>
        <v>-7.0480826885416042E-2</v>
      </c>
      <c r="L177" s="4">
        <f t="shared" si="17"/>
        <v>-0.18774426953760301</v>
      </c>
      <c r="M177" s="7">
        <f t="shared" si="20"/>
        <v>-2.6397970785895581</v>
      </c>
    </row>
    <row r="178" spans="4:13" x14ac:dyDescent="0.25">
      <c r="D178" s="1">
        <v>42143</v>
      </c>
      <c r="E178" s="3">
        <v>128.23615799999999</v>
      </c>
      <c r="F178" s="3">
        <v>209.65458899999999</v>
      </c>
      <c r="G178" s="3">
        <f t="shared" si="14"/>
        <v>-0.11830299999999738</v>
      </c>
      <c r="H178" s="3">
        <f t="shared" si="15"/>
        <v>-6.8898000000018556E-2</v>
      </c>
      <c r="I178" s="3">
        <f t="shared" si="18"/>
        <v>-0.17445155753967992</v>
      </c>
      <c r="J178" s="3">
        <f t="shared" si="19"/>
        <v>-0.11510041468255822</v>
      </c>
      <c r="K178" s="4">
        <f t="shared" si="16"/>
        <v>-0.14007024939292365</v>
      </c>
      <c r="L178" s="4">
        <f t="shared" si="17"/>
        <v>-0.1659283348033864</v>
      </c>
      <c r="M178" s="7">
        <f t="shared" si="20"/>
        <v>-2.6383202271039239</v>
      </c>
    </row>
    <row r="179" spans="4:13" x14ac:dyDescent="0.25">
      <c r="D179" s="1">
        <v>42142</v>
      </c>
      <c r="E179" s="3">
        <v>128.35446099999999</v>
      </c>
      <c r="F179" s="3">
        <v>209.72348700000001</v>
      </c>
      <c r="G179" s="3">
        <f t="shared" si="14"/>
        <v>1.3999779999999902</v>
      </c>
      <c r="H179" s="3">
        <f t="shared" si="15"/>
        <v>0.64954600000001506</v>
      </c>
      <c r="I179" s="3">
        <f t="shared" si="18"/>
        <v>1.3438294424603077</v>
      </c>
      <c r="J179" s="3">
        <f t="shared" si="19"/>
        <v>0.60334358531747545</v>
      </c>
      <c r="K179" s="4">
        <f t="shared" si="16"/>
        <v>1.3378527942025895</v>
      </c>
      <c r="L179" s="4">
        <f t="shared" si="17"/>
        <v>0.61623398097325821</v>
      </c>
      <c r="M179" s="7">
        <f t="shared" si="20"/>
        <v>-2.9760601398980864</v>
      </c>
    </row>
    <row r="180" spans="4:13" x14ac:dyDescent="0.25">
      <c r="D180" s="1">
        <v>42139</v>
      </c>
      <c r="E180" s="3">
        <v>126.954483</v>
      </c>
      <c r="F180" s="3">
        <v>209.07394099999999</v>
      </c>
      <c r="G180" s="3">
        <f t="shared" si="14"/>
        <v>-0.17745500000000902</v>
      </c>
      <c r="H180" s="3">
        <f t="shared" si="15"/>
        <v>0.22635099999999397</v>
      </c>
      <c r="I180" s="3">
        <f t="shared" si="18"/>
        <v>-0.23360355753969156</v>
      </c>
      <c r="J180" s="3">
        <f t="shared" si="19"/>
        <v>0.18014858531745431</v>
      </c>
      <c r="K180" s="4">
        <f t="shared" si="16"/>
        <v>-0.16088207184040026</v>
      </c>
      <c r="L180" s="4">
        <f t="shared" si="17"/>
        <v>8.4489301068836495E-2</v>
      </c>
      <c r="M180" s="7">
        <f t="shared" si="20"/>
        <v>-2.6482472052444894</v>
      </c>
    </row>
    <row r="181" spans="4:13" x14ac:dyDescent="0.25">
      <c r="D181" s="1">
        <v>42138</v>
      </c>
      <c r="E181" s="3">
        <v>127.13193800000001</v>
      </c>
      <c r="F181" s="3">
        <v>208.84759</v>
      </c>
      <c r="G181" s="3">
        <f t="shared" si="14"/>
        <v>2.8985440000000011</v>
      </c>
      <c r="H181" s="3">
        <f t="shared" si="15"/>
        <v>2.1553030000000035</v>
      </c>
      <c r="I181" s="3">
        <f t="shared" si="18"/>
        <v>2.8423954424603184</v>
      </c>
      <c r="J181" s="3">
        <f t="shared" si="19"/>
        <v>2.109100585317464</v>
      </c>
      <c r="K181" s="4">
        <f t="shared" si="16"/>
        <v>2.8444902166252857</v>
      </c>
      <c r="L181" s="4">
        <f t="shared" si="17"/>
        <v>2.1053836752445365</v>
      </c>
      <c r="M181" s="7">
        <f t="shared" si="20"/>
        <v>-4.1042822097245413</v>
      </c>
    </row>
    <row r="182" spans="4:13" x14ac:dyDescent="0.25">
      <c r="D182" s="1">
        <v>42137</v>
      </c>
      <c r="E182" s="3">
        <v>124.233394</v>
      </c>
      <c r="F182" s="3">
        <v>206.69228699999999</v>
      </c>
      <c r="G182" s="3">
        <f t="shared" si="14"/>
        <v>0.13802499999999895</v>
      </c>
      <c r="H182" s="3">
        <f t="shared" si="15"/>
        <v>3.9373999999980924E-2</v>
      </c>
      <c r="I182" s="3">
        <f t="shared" si="18"/>
        <v>8.1876442460316418E-2</v>
      </c>
      <c r="J182" s="3">
        <f t="shared" si="19"/>
        <v>-6.8284146825587297E-3</v>
      </c>
      <c r="K182" s="4">
        <f t="shared" si="16"/>
        <v>6.908925649925278E-2</v>
      </c>
      <c r="L182" s="4">
        <f t="shared" si="17"/>
        <v>5.7903248866648174E-3</v>
      </c>
      <c r="M182" s="7">
        <f t="shared" si="20"/>
        <v>-2.6345808986914698</v>
      </c>
    </row>
    <row r="183" spans="4:13" x14ac:dyDescent="0.25">
      <c r="D183" s="1">
        <v>42136</v>
      </c>
      <c r="E183" s="3">
        <v>124.09536900000001</v>
      </c>
      <c r="F183" s="3">
        <v>206.65291300000001</v>
      </c>
      <c r="G183" s="3">
        <f t="shared" si="14"/>
        <v>-0.44365200000000016</v>
      </c>
      <c r="H183" s="3">
        <f t="shared" si="15"/>
        <v>-0.62002199999997742</v>
      </c>
      <c r="I183" s="3">
        <f t="shared" si="18"/>
        <v>-0.49980055753968272</v>
      </c>
      <c r="J183" s="3">
        <f t="shared" si="19"/>
        <v>-0.66622441468251703</v>
      </c>
      <c r="K183" s="4">
        <f t="shared" si="16"/>
        <v>-0.53402820765988757</v>
      </c>
      <c r="L183" s="4">
        <f t="shared" si="17"/>
        <v>-0.62187653522284092</v>
      </c>
      <c r="M183" s="7">
        <f t="shared" si="20"/>
        <v>-2.7050116966008124</v>
      </c>
    </row>
    <row r="184" spans="4:13" x14ac:dyDescent="0.25">
      <c r="D184" s="1">
        <v>42135</v>
      </c>
      <c r="E184" s="3">
        <v>124.53902100000001</v>
      </c>
      <c r="F184" s="3">
        <v>207.27293499999999</v>
      </c>
      <c r="G184" s="3">
        <f t="shared" si="14"/>
        <v>-1.2816749999999928</v>
      </c>
      <c r="H184" s="3">
        <f t="shared" si="15"/>
        <v>-0.99399200000001997</v>
      </c>
      <c r="I184" s="3">
        <f t="shared" si="18"/>
        <v>-1.3378235575396753</v>
      </c>
      <c r="J184" s="3">
        <f t="shared" si="19"/>
        <v>-1.0401944146825597</v>
      </c>
      <c r="K184" s="4">
        <f t="shared" si="16"/>
        <v>-1.2797317680349849</v>
      </c>
      <c r="L184" s="4">
        <f t="shared" si="17"/>
        <v>-1.1027334375946127</v>
      </c>
      <c r="M184" s="7">
        <f t="shared" si="20"/>
        <v>-2.9466831218770624</v>
      </c>
    </row>
    <row r="185" spans="4:13" x14ac:dyDescent="0.25">
      <c r="D185" s="1">
        <v>42132</v>
      </c>
      <c r="E185" s="3">
        <v>125.820696</v>
      </c>
      <c r="F185" s="3">
        <v>208.26692700000001</v>
      </c>
      <c r="G185" s="3">
        <f t="shared" si="14"/>
        <v>2.3267269999999911</v>
      </c>
      <c r="H185" s="3">
        <f t="shared" si="15"/>
        <v>2.7064270000000192</v>
      </c>
      <c r="I185" s="3">
        <f t="shared" si="18"/>
        <v>2.2705784424603084</v>
      </c>
      <c r="J185" s="3">
        <f t="shared" si="19"/>
        <v>2.6602245853174797</v>
      </c>
      <c r="K185" s="4">
        <f t="shared" si="16"/>
        <v>2.288564155723297</v>
      </c>
      <c r="L185" s="4">
        <f t="shared" si="17"/>
        <v>2.6401082971387115</v>
      </c>
      <c r="M185" s="7">
        <f t="shared" si="20"/>
        <v>-3.9347722169129478</v>
      </c>
    </row>
    <row r="186" spans="4:13" x14ac:dyDescent="0.25">
      <c r="D186" s="1">
        <v>42131</v>
      </c>
      <c r="E186" s="3">
        <v>123.49396900000001</v>
      </c>
      <c r="F186" s="3">
        <v>205.56049999999999</v>
      </c>
      <c r="G186" s="3">
        <f t="shared" si="14"/>
        <v>0.75913900000000467</v>
      </c>
      <c r="H186" s="3">
        <f t="shared" si="15"/>
        <v>0.81685099999998556</v>
      </c>
      <c r="I186" s="3">
        <f t="shared" si="18"/>
        <v>0.70299044246032216</v>
      </c>
      <c r="J186" s="3">
        <f t="shared" si="19"/>
        <v>0.77064858531744596</v>
      </c>
      <c r="K186" s="4">
        <f t="shared" si="16"/>
        <v>0.68170991881356946</v>
      </c>
      <c r="L186" s="4">
        <f t="shared" si="17"/>
        <v>0.79472379598227061</v>
      </c>
      <c r="M186" s="7">
        <f t="shared" si="20"/>
        <v>-2.7503466075848184</v>
      </c>
    </row>
    <row r="187" spans="4:13" x14ac:dyDescent="0.25">
      <c r="D187" s="1">
        <v>42130</v>
      </c>
      <c r="E187" s="3">
        <v>122.73483</v>
      </c>
      <c r="F187" s="3">
        <v>204.743649</v>
      </c>
      <c r="G187" s="3">
        <f t="shared" si="14"/>
        <v>-0.77562299999999595</v>
      </c>
      <c r="H187" s="3">
        <f t="shared" si="15"/>
        <v>-0.8463739999999973</v>
      </c>
      <c r="I187" s="3">
        <f t="shared" si="18"/>
        <v>-0.83177155753967846</v>
      </c>
      <c r="J187" s="3">
        <f t="shared" si="19"/>
        <v>-0.8925764146825369</v>
      </c>
      <c r="K187" s="4">
        <f t="shared" si="16"/>
        <v>-0.90605286110285366</v>
      </c>
      <c r="L187" s="4">
        <f t="shared" si="17"/>
        <v>-0.79875651026104333</v>
      </c>
      <c r="M187" s="7">
        <f t="shared" si="20"/>
        <v>-2.7923121151896897</v>
      </c>
    </row>
    <row r="188" spans="4:13" x14ac:dyDescent="0.25">
      <c r="D188" s="1">
        <v>42129</v>
      </c>
      <c r="E188" s="3">
        <v>123.510453</v>
      </c>
      <c r="F188" s="3">
        <v>205.590023</v>
      </c>
      <c r="G188" s="3">
        <f t="shared" si="14"/>
        <v>-2.8472140000000081</v>
      </c>
      <c r="H188" s="3">
        <f t="shared" si="15"/>
        <v>-2.381668999999988</v>
      </c>
      <c r="I188" s="3">
        <f t="shared" si="18"/>
        <v>-2.9033625575396909</v>
      </c>
      <c r="J188" s="3">
        <f t="shared" si="19"/>
        <v>-2.4278714146825275</v>
      </c>
      <c r="K188" s="4">
        <f t="shared" si="16"/>
        <v>-2.911078829125767</v>
      </c>
      <c r="L188" s="4">
        <f t="shared" si="17"/>
        <v>-2.4067946798520534</v>
      </c>
      <c r="M188" s="7">
        <f t="shared" si="20"/>
        <v>-4.2244854374180134</v>
      </c>
    </row>
    <row r="189" spans="4:13" x14ac:dyDescent="0.25">
      <c r="D189" s="1">
        <v>42128</v>
      </c>
      <c r="E189" s="3">
        <v>126.35766700000001</v>
      </c>
      <c r="F189" s="3">
        <v>207.97169199999999</v>
      </c>
      <c r="G189" s="3">
        <f t="shared" si="14"/>
        <v>-0.24544999999999106</v>
      </c>
      <c r="H189" s="3">
        <f t="shared" si="15"/>
        <v>0.59049899999999411</v>
      </c>
      <c r="I189" s="3">
        <f t="shared" si="18"/>
        <v>-0.30159855753967363</v>
      </c>
      <c r="J189" s="3">
        <f t="shared" si="19"/>
        <v>0.54429658531745451</v>
      </c>
      <c r="K189" s="4">
        <f t="shared" si="16"/>
        <v>-0.20758323289331287</v>
      </c>
      <c r="L189" s="4">
        <f t="shared" si="17"/>
        <v>0.41282144604468329</v>
      </c>
      <c r="M189" s="7">
        <f t="shared" si="20"/>
        <v>-2.7266689210188249</v>
      </c>
    </row>
    <row r="190" spans="4:13" x14ac:dyDescent="0.25">
      <c r="D190" s="1">
        <v>42125</v>
      </c>
      <c r="E190" s="3">
        <v>126.603117</v>
      </c>
      <c r="F190" s="3">
        <v>207.381193</v>
      </c>
      <c r="G190" s="3">
        <f t="shared" si="14"/>
        <v>3.7308359999999965</v>
      </c>
      <c r="H190" s="3">
        <f t="shared" si="15"/>
        <v>2.2241860000000031</v>
      </c>
      <c r="I190" s="3">
        <f t="shared" si="18"/>
        <v>3.6746874424603138</v>
      </c>
      <c r="J190" s="3">
        <f t="shared" si="19"/>
        <v>2.1779835853174636</v>
      </c>
      <c r="K190" s="4">
        <f t="shared" si="16"/>
        <v>3.5855858376022183</v>
      </c>
      <c r="L190" s="4">
        <f t="shared" si="17"/>
        <v>2.3017532471739237</v>
      </c>
      <c r="M190" s="7">
        <f t="shared" si="20"/>
        <v>-4.9497393443846853</v>
      </c>
    </row>
    <row r="191" spans="4:13" x14ac:dyDescent="0.25">
      <c r="D191" s="1">
        <v>42124</v>
      </c>
      <c r="E191" s="3">
        <v>122.872281</v>
      </c>
      <c r="F191" s="3">
        <v>205.15700699999999</v>
      </c>
      <c r="G191" s="3">
        <f t="shared" si="14"/>
        <v>-3.4264809999999954</v>
      </c>
      <c r="H191" s="3">
        <f t="shared" si="15"/>
        <v>-2.0765690000000063</v>
      </c>
      <c r="I191" s="3">
        <f t="shared" si="18"/>
        <v>-3.4826295575396782</v>
      </c>
      <c r="J191" s="3">
        <f t="shared" si="19"/>
        <v>-2.1227714146825458</v>
      </c>
      <c r="K191" s="4">
        <f t="shared" si="16"/>
        <v>-3.5322944042808335</v>
      </c>
      <c r="L191" s="4">
        <f t="shared" si="17"/>
        <v>-2.0497880020761228</v>
      </c>
      <c r="M191" s="7">
        <f t="shared" si="20"/>
        <v>-4.9034471213292274</v>
      </c>
    </row>
    <row r="192" spans="4:13" x14ac:dyDescent="0.25">
      <c r="D192" s="1">
        <v>42123</v>
      </c>
      <c r="E192" s="3">
        <v>126.298762</v>
      </c>
      <c r="F192" s="3">
        <v>207.233576</v>
      </c>
      <c r="G192" s="3">
        <f t="shared" si="14"/>
        <v>-1.8850540000000109</v>
      </c>
      <c r="H192" s="3">
        <f t="shared" si="15"/>
        <v>-0.85621000000000436</v>
      </c>
      <c r="I192" s="3">
        <f t="shared" si="18"/>
        <v>-1.9412025575396934</v>
      </c>
      <c r="J192" s="3">
        <f t="shared" si="19"/>
        <v>-0.90241241468254396</v>
      </c>
      <c r="K192" s="4">
        <f t="shared" si="16"/>
        <v>-1.9951375981424504</v>
      </c>
      <c r="L192" s="4">
        <f t="shared" si="17"/>
        <v>-0.80048971059220497</v>
      </c>
      <c r="M192" s="7">
        <f t="shared" si="20"/>
        <v>-3.4265092571614053</v>
      </c>
    </row>
    <row r="193" spans="4:13" x14ac:dyDescent="0.25">
      <c r="D193" s="1">
        <v>42122</v>
      </c>
      <c r="E193" s="3">
        <v>128.18381600000001</v>
      </c>
      <c r="F193" s="3">
        <v>208.089786</v>
      </c>
      <c r="G193" s="3">
        <f t="shared" si="14"/>
        <v>-2.0519589999999823</v>
      </c>
      <c r="H193" s="3">
        <f t="shared" si="15"/>
        <v>0.6593819999999937</v>
      </c>
      <c r="I193" s="3">
        <f t="shared" si="18"/>
        <v>-2.1081075575396651</v>
      </c>
      <c r="J193" s="3">
        <f t="shared" si="19"/>
        <v>0.61317958531745409</v>
      </c>
      <c r="K193" s="4">
        <f t="shared" si="16"/>
        <v>-2.0500123141170494</v>
      </c>
      <c r="L193" s="4">
        <f t="shared" si="17"/>
        <v>0.4998135776846851</v>
      </c>
      <c r="M193" s="7">
        <f t="shared" si="20"/>
        <v>-4.3650661515346352</v>
      </c>
    </row>
    <row r="194" spans="4:13" x14ac:dyDescent="0.25">
      <c r="D194" s="1">
        <v>42121</v>
      </c>
      <c r="E194" s="3">
        <v>130.23577499999999</v>
      </c>
      <c r="F194" s="3">
        <v>207.43040400000001</v>
      </c>
      <c r="G194" s="3">
        <f t="shared" ref="G194:G257" si="21">E194-E195</f>
        <v>2.3268619999999913</v>
      </c>
      <c r="H194" s="3">
        <f t="shared" ref="H194:H257" si="22">F194-F195</f>
        <v>-0.866045999999983</v>
      </c>
      <c r="I194" s="3">
        <f t="shared" si="18"/>
        <v>2.2707134424603086</v>
      </c>
      <c r="J194" s="3">
        <f t="shared" si="19"/>
        <v>-0.9122484146825226</v>
      </c>
      <c r="K194" s="4">
        <f t="shared" ref="K194:K257" si="23">I194-A$11*I195</f>
        <v>2.2845994830688943</v>
      </c>
      <c r="L194" s="4">
        <f t="shared" ref="L194:L257" si="24">J194-A$12*I195-B$12*J195</f>
        <v>-0.93004074925340485</v>
      </c>
      <c r="M194" s="7">
        <f t="shared" si="20"/>
        <v>-5.2601325873629188</v>
      </c>
    </row>
    <row r="195" spans="4:13" x14ac:dyDescent="0.25">
      <c r="D195" s="1">
        <v>42118</v>
      </c>
      <c r="E195" s="3">
        <v>127.908913</v>
      </c>
      <c r="F195" s="3">
        <v>208.29644999999999</v>
      </c>
      <c r="G195" s="3">
        <f t="shared" si="21"/>
        <v>0.59889900000000296</v>
      </c>
      <c r="H195" s="3">
        <f t="shared" si="22"/>
        <v>0.48222599999999716</v>
      </c>
      <c r="I195" s="3">
        <f t="shared" ref="I195:I258" si="25">G195-AVERAGE(G$2:G$505)</f>
        <v>0.54275044246032045</v>
      </c>
      <c r="J195" s="3">
        <f t="shared" ref="J195:J258" si="26">H195-AVERAGE(H$2:H$505)</f>
        <v>0.4360235853174575</v>
      </c>
      <c r="K195" s="4">
        <f t="shared" si="23"/>
        <v>0.56768886692228926</v>
      </c>
      <c r="L195" s="4">
        <f t="shared" si="24"/>
        <v>0.39969286317092778</v>
      </c>
      <c r="M195" s="7">
        <f t="shared" ref="M195:M258" si="27">-LN(2*PI()*ABS(A$2*B$3))-0.5*SUMPRODUCT(MMULT(K195:L195,A$8:B$9),K195:L195)</f>
        <v>-2.6914639182798923</v>
      </c>
    </row>
    <row r="196" spans="4:13" x14ac:dyDescent="0.25">
      <c r="D196" s="1">
        <v>42117</v>
      </c>
      <c r="E196" s="3">
        <v>127.310014</v>
      </c>
      <c r="F196" s="3">
        <v>207.814224</v>
      </c>
      <c r="G196" s="3">
        <f t="shared" si="21"/>
        <v>1.0308929999999918</v>
      </c>
      <c r="H196" s="3">
        <f t="shared" si="22"/>
        <v>0.52160100000000398</v>
      </c>
      <c r="I196" s="3">
        <f t="shared" si="25"/>
        <v>0.97474444246030933</v>
      </c>
      <c r="J196" s="3">
        <f t="shared" si="26"/>
        <v>0.47539858531746432</v>
      </c>
      <c r="K196" s="4">
        <f t="shared" si="23"/>
        <v>1.0162610589336956</v>
      </c>
      <c r="L196" s="4">
        <f t="shared" si="24"/>
        <v>0.41742090412677585</v>
      </c>
      <c r="M196" s="7">
        <f t="shared" si="27"/>
        <v>-2.837658073654215</v>
      </c>
    </row>
    <row r="197" spans="4:13" x14ac:dyDescent="0.25">
      <c r="D197" s="1">
        <v>42116</v>
      </c>
      <c r="E197" s="3">
        <v>126.279121</v>
      </c>
      <c r="F197" s="3">
        <v>207.29262299999999</v>
      </c>
      <c r="G197" s="3">
        <f t="shared" si="21"/>
        <v>1.6788690000000059</v>
      </c>
      <c r="H197" s="3">
        <f t="shared" si="22"/>
        <v>1.0136789999999962</v>
      </c>
      <c r="I197" s="3">
        <f t="shared" si="25"/>
        <v>1.6227204424603234</v>
      </c>
      <c r="J197" s="3">
        <f t="shared" si="26"/>
        <v>0.96747658531745662</v>
      </c>
      <c r="K197" s="4">
        <f t="shared" si="23"/>
        <v>1.6039519661129042</v>
      </c>
      <c r="L197" s="4">
        <f t="shared" si="24"/>
        <v>0.99575117710716254</v>
      </c>
      <c r="M197" s="7">
        <f t="shared" si="27"/>
        <v>-3.0977479816127067</v>
      </c>
    </row>
    <row r="198" spans="4:13" x14ac:dyDescent="0.25">
      <c r="D198" s="1">
        <v>42115</v>
      </c>
      <c r="E198" s="3">
        <v>124.600252</v>
      </c>
      <c r="F198" s="3">
        <v>206.278944</v>
      </c>
      <c r="G198" s="3">
        <f t="shared" si="21"/>
        <v>-0.67743699999999762</v>
      </c>
      <c r="H198" s="3">
        <f t="shared" si="22"/>
        <v>-0.24603899999999612</v>
      </c>
      <c r="I198" s="3">
        <f t="shared" si="25"/>
        <v>-0.73358555753968013</v>
      </c>
      <c r="J198" s="3">
        <f t="shared" si="26"/>
        <v>-0.29224141468253578</v>
      </c>
      <c r="K198" s="4">
        <f t="shared" si="23"/>
        <v>-0.66343314716235546</v>
      </c>
      <c r="L198" s="4">
        <f t="shared" si="24"/>
        <v>-0.38752134285929157</v>
      </c>
      <c r="M198" s="7">
        <f t="shared" si="27"/>
        <v>-2.7132776026376377</v>
      </c>
    </row>
    <row r="199" spans="4:13" x14ac:dyDescent="0.25">
      <c r="D199" s="1">
        <v>42114</v>
      </c>
      <c r="E199" s="3">
        <v>125.277689</v>
      </c>
      <c r="F199" s="3">
        <v>206.52498299999999</v>
      </c>
      <c r="G199" s="3">
        <f t="shared" si="21"/>
        <v>2.7981289999999888</v>
      </c>
      <c r="H199" s="3">
        <f t="shared" si="22"/>
        <v>1.8699039999999911</v>
      </c>
      <c r="I199" s="3">
        <f t="shared" si="25"/>
        <v>2.741980442460306</v>
      </c>
      <c r="J199" s="3">
        <f t="shared" si="26"/>
        <v>1.8237015853174514</v>
      </c>
      <c r="K199" s="4">
        <f t="shared" si="23"/>
        <v>2.704875064678502</v>
      </c>
      <c r="L199" s="4">
        <f t="shared" si="24"/>
        <v>1.8532816826025595</v>
      </c>
      <c r="M199" s="7">
        <f t="shared" si="27"/>
        <v>-3.9518433038187295</v>
      </c>
    </row>
    <row r="200" spans="4:13" x14ac:dyDescent="0.25">
      <c r="D200" s="1">
        <v>42111</v>
      </c>
      <c r="E200" s="3">
        <v>122.47956000000001</v>
      </c>
      <c r="F200" s="3">
        <v>204.655079</v>
      </c>
      <c r="G200" s="3">
        <f t="shared" si="21"/>
        <v>-1.3941540000000003</v>
      </c>
      <c r="H200" s="3">
        <f t="shared" si="22"/>
        <v>-2.3816539999999975</v>
      </c>
      <c r="I200" s="3">
        <f t="shared" si="25"/>
        <v>-1.4503025575396828</v>
      </c>
      <c r="J200" s="3">
        <f t="shared" si="26"/>
        <v>-2.427856414682537</v>
      </c>
      <c r="K200" s="4">
        <f t="shared" si="23"/>
        <v>-1.467061672361069</v>
      </c>
      <c r="L200" s="4">
        <f t="shared" si="24"/>
        <v>-2.4003938898485524</v>
      </c>
      <c r="M200" s="7">
        <f t="shared" si="27"/>
        <v>-3.598919422952267</v>
      </c>
    </row>
    <row r="201" spans="4:13" x14ac:dyDescent="0.25">
      <c r="D201" s="1">
        <v>42110</v>
      </c>
      <c r="E201" s="3">
        <v>123.87371400000001</v>
      </c>
      <c r="F201" s="3">
        <v>207.036733</v>
      </c>
      <c r="G201" s="3">
        <f t="shared" si="21"/>
        <v>-0.59889899999998875</v>
      </c>
      <c r="H201" s="3">
        <f t="shared" si="22"/>
        <v>-5.9045999999995047E-2</v>
      </c>
      <c r="I201" s="3">
        <f t="shared" si="25"/>
        <v>-0.65504755753967125</v>
      </c>
      <c r="J201" s="3">
        <f t="shared" si="26"/>
        <v>-0.10524841468253471</v>
      </c>
      <c r="K201" s="4">
        <f t="shared" si="23"/>
        <v>-0.64442710678340331</v>
      </c>
      <c r="L201" s="4">
        <f t="shared" si="24"/>
        <v>-0.11109770427311343</v>
      </c>
      <c r="M201" s="7">
        <f t="shared" si="27"/>
        <v>-2.7361892458069295</v>
      </c>
    </row>
    <row r="202" spans="4:13" x14ac:dyDescent="0.25">
      <c r="D202" s="1">
        <v>42109</v>
      </c>
      <c r="E202" s="3">
        <v>124.472613</v>
      </c>
      <c r="F202" s="3">
        <v>207.09577899999999</v>
      </c>
      <c r="G202" s="3">
        <f t="shared" si="21"/>
        <v>0.4712600000000009</v>
      </c>
      <c r="H202" s="3">
        <f t="shared" si="22"/>
        <v>0.92509300000000394</v>
      </c>
      <c r="I202" s="3">
        <f t="shared" si="25"/>
        <v>0.41511144246031834</v>
      </c>
      <c r="J202" s="3">
        <f t="shared" si="26"/>
        <v>0.87889058531746433</v>
      </c>
      <c r="K202" s="4">
        <f t="shared" si="23"/>
        <v>0.39985959183694031</v>
      </c>
      <c r="L202" s="4">
        <f t="shared" si="24"/>
        <v>0.91018878405136505</v>
      </c>
      <c r="M202" s="7">
        <f t="shared" si="27"/>
        <v>-2.7799597257349111</v>
      </c>
    </row>
    <row r="203" spans="4:13" x14ac:dyDescent="0.25">
      <c r="D203" s="1">
        <v>42108</v>
      </c>
      <c r="E203" s="3">
        <v>124.00135299999999</v>
      </c>
      <c r="F203" s="3">
        <v>206.17068599999999</v>
      </c>
      <c r="G203" s="3">
        <f t="shared" si="21"/>
        <v>-0.53998599999999897</v>
      </c>
      <c r="H203" s="3">
        <f t="shared" si="22"/>
        <v>0.39367099999998345</v>
      </c>
      <c r="I203" s="3">
        <f t="shared" si="25"/>
        <v>-0.59613455753968148</v>
      </c>
      <c r="J203" s="3">
        <f t="shared" si="26"/>
        <v>0.34746858531744379</v>
      </c>
      <c r="K203" s="4">
        <f t="shared" si="23"/>
        <v>-0.60385082912575772</v>
      </c>
      <c r="L203" s="4">
        <f t="shared" si="24"/>
        <v>0.34684477420596455</v>
      </c>
      <c r="M203" s="7">
        <f t="shared" si="27"/>
        <v>-2.856567363998574</v>
      </c>
    </row>
    <row r="204" spans="4:13" x14ac:dyDescent="0.25">
      <c r="D204" s="1">
        <v>42107</v>
      </c>
      <c r="E204" s="3">
        <v>124.54133899999999</v>
      </c>
      <c r="F204" s="3">
        <v>205.77701500000001</v>
      </c>
      <c r="G204" s="3">
        <f t="shared" si="21"/>
        <v>-0.24545000000000528</v>
      </c>
      <c r="H204" s="3">
        <f t="shared" si="22"/>
        <v>-0.93494499999999903</v>
      </c>
      <c r="I204" s="3">
        <f t="shared" si="25"/>
        <v>-0.30159855753968784</v>
      </c>
      <c r="J204" s="3">
        <f t="shared" si="26"/>
        <v>-0.98114741468253863</v>
      </c>
      <c r="K204" s="4">
        <f t="shared" si="23"/>
        <v>-0.2894708425854115</v>
      </c>
      <c r="L204" s="4">
        <f t="shared" si="24"/>
        <v>-0.98680100915433411</v>
      </c>
      <c r="M204" s="7">
        <f t="shared" si="27"/>
        <v>-2.8272619362008977</v>
      </c>
    </row>
    <row r="205" spans="4:13" x14ac:dyDescent="0.25">
      <c r="D205" s="1">
        <v>42104</v>
      </c>
      <c r="E205" s="3">
        <v>124.786789</v>
      </c>
      <c r="F205" s="3">
        <v>206.71196</v>
      </c>
      <c r="G205" s="3">
        <f t="shared" si="21"/>
        <v>0.53017300000000489</v>
      </c>
      <c r="H205" s="3">
        <f t="shared" si="22"/>
        <v>1.1219370000000026</v>
      </c>
      <c r="I205" s="3">
        <f t="shared" si="25"/>
        <v>0.47402444246032233</v>
      </c>
      <c r="J205" s="3">
        <f t="shared" si="26"/>
        <v>1.0757345853174629</v>
      </c>
      <c r="K205" s="4">
        <f t="shared" si="23"/>
        <v>0.49670208575587632</v>
      </c>
      <c r="L205" s="4">
        <f t="shared" si="24"/>
        <v>1.0487706118315137</v>
      </c>
      <c r="M205" s="7">
        <f t="shared" si="27"/>
        <v>-2.8243727646390244</v>
      </c>
    </row>
    <row r="206" spans="4:13" x14ac:dyDescent="0.25">
      <c r="D206" s="1">
        <v>42103</v>
      </c>
      <c r="E206" s="3">
        <v>124.25661599999999</v>
      </c>
      <c r="F206" s="3">
        <v>205.590023</v>
      </c>
      <c r="G206" s="3">
        <f t="shared" si="21"/>
        <v>0.94252799999999581</v>
      </c>
      <c r="H206" s="3">
        <f t="shared" si="22"/>
        <v>0.90542099999998982</v>
      </c>
      <c r="I206" s="3">
        <f t="shared" si="25"/>
        <v>0.8863794424603133</v>
      </c>
      <c r="J206" s="3">
        <f t="shared" si="26"/>
        <v>0.85921858531745021</v>
      </c>
      <c r="K206" s="4">
        <f t="shared" si="23"/>
        <v>0.8746440384689359</v>
      </c>
      <c r="L206" s="4">
        <f t="shared" si="24"/>
        <v>0.88864029405167155</v>
      </c>
      <c r="M206" s="7">
        <f t="shared" si="27"/>
        <v>-2.7981749707241441</v>
      </c>
    </row>
    <row r="207" spans="4:13" x14ac:dyDescent="0.25">
      <c r="D207" s="1">
        <v>42102</v>
      </c>
      <c r="E207" s="3">
        <v>123.314088</v>
      </c>
      <c r="F207" s="3">
        <v>204.68460200000001</v>
      </c>
      <c r="G207" s="3">
        <f t="shared" si="21"/>
        <v>-0.40254199999999685</v>
      </c>
      <c r="H207" s="3">
        <f t="shared" si="22"/>
        <v>0.6889060000000029</v>
      </c>
      <c r="I207" s="3">
        <f t="shared" si="25"/>
        <v>-0.45869055753967941</v>
      </c>
      <c r="J207" s="3">
        <f t="shared" si="26"/>
        <v>0.6427035853174633</v>
      </c>
      <c r="K207" s="4">
        <f t="shared" si="23"/>
        <v>-0.49378639470341007</v>
      </c>
      <c r="L207" s="4">
        <f t="shared" si="24"/>
        <v>0.69499172058956815</v>
      </c>
      <c r="M207" s="7">
        <f t="shared" si="27"/>
        <v>-2.9725319395246483</v>
      </c>
    </row>
    <row r="208" spans="4:13" x14ac:dyDescent="0.25">
      <c r="D208" s="1">
        <v>42101</v>
      </c>
      <c r="E208" s="3">
        <v>123.71662999999999</v>
      </c>
      <c r="F208" s="3">
        <v>203.99569600000001</v>
      </c>
      <c r="G208" s="3">
        <f t="shared" si="21"/>
        <v>-1.3156090000000091</v>
      </c>
      <c r="H208" s="3">
        <f t="shared" si="22"/>
        <v>-0.5412889999999777</v>
      </c>
      <c r="I208" s="3">
        <f t="shared" si="25"/>
        <v>-1.3717575575396916</v>
      </c>
      <c r="J208" s="3">
        <f t="shared" si="26"/>
        <v>-0.58749141468251731</v>
      </c>
      <c r="K208" s="4">
        <f t="shared" si="23"/>
        <v>-1.3222026762557029</v>
      </c>
      <c r="L208" s="4">
        <f t="shared" si="24"/>
        <v>-0.65431910470288646</v>
      </c>
      <c r="M208" s="7">
        <f t="shared" si="27"/>
        <v>-2.9618505550745855</v>
      </c>
    </row>
    <row r="209" spans="4:13" x14ac:dyDescent="0.25">
      <c r="D209" s="1">
        <v>42100</v>
      </c>
      <c r="E209" s="3">
        <v>125.032239</v>
      </c>
      <c r="F209" s="3">
        <v>204.53698499999999</v>
      </c>
      <c r="G209" s="3">
        <f t="shared" si="21"/>
        <v>1.9930530000000033</v>
      </c>
      <c r="H209" s="3">
        <f t="shared" si="22"/>
        <v>1.3679750000000013</v>
      </c>
      <c r="I209" s="3">
        <f t="shared" si="25"/>
        <v>1.9369044424603208</v>
      </c>
      <c r="J209" s="3">
        <f t="shared" si="26"/>
        <v>1.3217725853174616</v>
      </c>
      <c r="K209" s="4">
        <f t="shared" si="23"/>
        <v>1.9623451689269322</v>
      </c>
      <c r="L209" s="4">
        <f t="shared" si="24"/>
        <v>1.2875140577466382</v>
      </c>
      <c r="M209" s="7">
        <f t="shared" si="27"/>
        <v>-3.3267125396989696</v>
      </c>
    </row>
    <row r="210" spans="4:13" x14ac:dyDescent="0.25">
      <c r="D210" s="1">
        <v>42096</v>
      </c>
      <c r="E210" s="3">
        <v>123.039186</v>
      </c>
      <c r="F210" s="3">
        <v>203.16900999999999</v>
      </c>
      <c r="G210" s="3">
        <f t="shared" si="21"/>
        <v>1.050526000000005</v>
      </c>
      <c r="H210" s="3">
        <f t="shared" si="22"/>
        <v>0.7282809999999813</v>
      </c>
      <c r="I210" s="3">
        <f t="shared" si="25"/>
        <v>0.99437744246032245</v>
      </c>
      <c r="J210" s="3">
        <f t="shared" si="26"/>
        <v>0.6820785853174417</v>
      </c>
      <c r="K210" s="4">
        <f t="shared" si="23"/>
        <v>0.98841949652855532</v>
      </c>
      <c r="L210" s="4">
        <f t="shared" si="24"/>
        <v>0.68149646921278328</v>
      </c>
      <c r="M210" s="7">
        <f t="shared" si="27"/>
        <v>-2.8094040126708557</v>
      </c>
    </row>
    <row r="211" spans="4:13" x14ac:dyDescent="0.25">
      <c r="D211" s="1">
        <v>42095</v>
      </c>
      <c r="E211" s="3">
        <v>121.98866</v>
      </c>
      <c r="F211" s="3">
        <v>202.440729</v>
      </c>
      <c r="G211" s="3">
        <f t="shared" si="21"/>
        <v>-0.17672400000000721</v>
      </c>
      <c r="H211" s="3">
        <f t="shared" si="22"/>
        <v>-0.71842999999998369</v>
      </c>
      <c r="I211" s="3">
        <f t="shared" si="25"/>
        <v>-0.23287255753968975</v>
      </c>
      <c r="J211" s="3">
        <f t="shared" si="26"/>
        <v>-0.7646324146825233</v>
      </c>
      <c r="K211" s="4">
        <f t="shared" si="23"/>
        <v>-0.28303991096210523</v>
      </c>
      <c r="L211" s="4">
        <f t="shared" si="24"/>
        <v>-0.70408113931573313</v>
      </c>
      <c r="M211" s="7">
        <f t="shared" si="27"/>
        <v>-2.7232433574125863</v>
      </c>
    </row>
    <row r="212" spans="4:13" x14ac:dyDescent="0.25">
      <c r="D212" s="1">
        <v>42094</v>
      </c>
      <c r="E212" s="3">
        <v>122.165384</v>
      </c>
      <c r="F212" s="3">
        <v>203.15915899999999</v>
      </c>
      <c r="G212" s="3">
        <f t="shared" si="21"/>
        <v>-1.9046950000000038</v>
      </c>
      <c r="H212" s="3">
        <f t="shared" si="22"/>
        <v>-1.7911690000000249</v>
      </c>
      <c r="I212" s="3">
        <f t="shared" si="25"/>
        <v>-1.9608435575396863</v>
      </c>
      <c r="J212" s="3">
        <f t="shared" si="26"/>
        <v>-1.8373714146825646</v>
      </c>
      <c r="K212" s="4">
        <f t="shared" si="23"/>
        <v>-1.8839089315860027</v>
      </c>
      <c r="L212" s="4">
        <f t="shared" si="24"/>
        <v>-1.9358310282889608</v>
      </c>
      <c r="M212" s="7">
        <f t="shared" si="27"/>
        <v>-3.4066763964951603</v>
      </c>
    </row>
    <row r="213" spans="4:13" x14ac:dyDescent="0.25">
      <c r="D213" s="1">
        <v>42093</v>
      </c>
      <c r="E213" s="3">
        <v>124.07007900000001</v>
      </c>
      <c r="F213" s="3">
        <v>204.95032800000001</v>
      </c>
      <c r="G213" s="3">
        <f t="shared" si="21"/>
        <v>3.0632190000000037</v>
      </c>
      <c r="H213" s="3">
        <f t="shared" si="22"/>
        <v>2.4702240000000018</v>
      </c>
      <c r="I213" s="3">
        <f t="shared" si="25"/>
        <v>3.007070442460321</v>
      </c>
      <c r="J213" s="3">
        <f t="shared" si="26"/>
        <v>2.4240215853174623</v>
      </c>
      <c r="K213" s="4">
        <f t="shared" si="23"/>
        <v>2.9807662079835593</v>
      </c>
      <c r="L213" s="4">
        <f t="shared" si="24"/>
        <v>2.475398220099839</v>
      </c>
      <c r="M213" s="7">
        <f t="shared" si="27"/>
        <v>-4.3046718246508835</v>
      </c>
    </row>
    <row r="214" spans="4:13" x14ac:dyDescent="0.25">
      <c r="D214" s="1">
        <v>42090</v>
      </c>
      <c r="E214" s="3">
        <v>121.00686</v>
      </c>
      <c r="F214" s="3">
        <v>202.48010400000001</v>
      </c>
      <c r="G214" s="3">
        <f t="shared" si="21"/>
        <v>-0.97198000000000206</v>
      </c>
      <c r="H214" s="3">
        <f t="shared" si="22"/>
        <v>0.46255400000001146</v>
      </c>
      <c r="I214" s="3">
        <f t="shared" si="25"/>
        <v>-1.0281285575396846</v>
      </c>
      <c r="J214" s="3">
        <f t="shared" si="26"/>
        <v>0.4163515853174718</v>
      </c>
      <c r="K214" s="4">
        <f t="shared" si="23"/>
        <v>-1.0079627824514232</v>
      </c>
      <c r="L214" s="4">
        <f t="shared" si="24"/>
        <v>0.37398783770135535</v>
      </c>
      <c r="M214" s="7">
        <f t="shared" si="27"/>
        <v>-3.122823962392959</v>
      </c>
    </row>
    <row r="215" spans="4:13" x14ac:dyDescent="0.25">
      <c r="D215" s="1">
        <v>42089</v>
      </c>
      <c r="E215" s="3">
        <v>121.97884000000001</v>
      </c>
      <c r="F215" s="3">
        <v>202.01755</v>
      </c>
      <c r="G215" s="3">
        <f t="shared" si="21"/>
        <v>0.84434900000000823</v>
      </c>
      <c r="H215" s="3">
        <f t="shared" si="22"/>
        <v>-0.48222599999999716</v>
      </c>
      <c r="I215" s="3">
        <f t="shared" si="25"/>
        <v>0.78820044246032572</v>
      </c>
      <c r="J215" s="3">
        <f t="shared" si="26"/>
        <v>-0.52842841468253676</v>
      </c>
      <c r="K215" s="4">
        <f t="shared" si="23"/>
        <v>0.70362009292013317</v>
      </c>
      <c r="L215" s="4">
        <f t="shared" si="24"/>
        <v>-0.42577195360728826</v>
      </c>
      <c r="M215" s="7">
        <f t="shared" si="27"/>
        <v>-2.9472226988086518</v>
      </c>
    </row>
    <row r="216" spans="4:13" x14ac:dyDescent="0.25">
      <c r="D216" s="1">
        <v>42088</v>
      </c>
      <c r="E216" s="3">
        <v>121.134491</v>
      </c>
      <c r="F216" s="3">
        <v>202.499776</v>
      </c>
      <c r="G216" s="3">
        <f t="shared" si="21"/>
        <v>-3.2497630000000015</v>
      </c>
      <c r="H216" s="3">
        <f t="shared" si="22"/>
        <v>-3.0115279999999984</v>
      </c>
      <c r="I216" s="3">
        <f t="shared" si="25"/>
        <v>-3.3059115575396842</v>
      </c>
      <c r="J216" s="3">
        <f t="shared" si="26"/>
        <v>-3.0577304146825379</v>
      </c>
      <c r="K216" s="4">
        <f t="shared" si="23"/>
        <v>-3.3204098656100784</v>
      </c>
      <c r="L216" s="4">
        <f t="shared" si="24"/>
        <v>-3.0498548699048502</v>
      </c>
      <c r="M216" s="7">
        <f t="shared" si="27"/>
        <v>-4.8241033302841387</v>
      </c>
    </row>
    <row r="217" spans="4:13" x14ac:dyDescent="0.25">
      <c r="D217" s="1">
        <v>42087</v>
      </c>
      <c r="E217" s="3">
        <v>124.384254</v>
      </c>
      <c r="F217" s="3">
        <v>205.511304</v>
      </c>
      <c r="G217" s="3">
        <f t="shared" si="21"/>
        <v>-0.51053299999999524</v>
      </c>
      <c r="H217" s="3">
        <f t="shared" si="22"/>
        <v>-1.161295999999993</v>
      </c>
      <c r="I217" s="3">
        <f t="shared" si="25"/>
        <v>-0.56668155753967775</v>
      </c>
      <c r="J217" s="3">
        <f t="shared" si="26"/>
        <v>-1.2074984146825327</v>
      </c>
      <c r="K217" s="4">
        <f t="shared" si="23"/>
        <v>-0.53521233714173233</v>
      </c>
      <c r="L217" s="4">
        <f t="shared" si="24"/>
        <v>-1.2682746873100053</v>
      </c>
      <c r="M217" s="7">
        <f t="shared" si="27"/>
        <v>-2.9212219580110665</v>
      </c>
    </row>
    <row r="218" spans="4:13" x14ac:dyDescent="0.25">
      <c r="D218" s="1">
        <v>42086</v>
      </c>
      <c r="E218" s="3">
        <v>124.89478699999999</v>
      </c>
      <c r="F218" s="3">
        <v>206.67259999999999</v>
      </c>
      <c r="G218" s="3">
        <f t="shared" si="21"/>
        <v>1.2861559999999912</v>
      </c>
      <c r="H218" s="3">
        <f t="shared" si="22"/>
        <v>-0.40350700000001893</v>
      </c>
      <c r="I218" s="3">
        <f t="shared" si="25"/>
        <v>1.2300074424603087</v>
      </c>
      <c r="J218" s="3">
        <f t="shared" si="26"/>
        <v>-0.44970941468255859</v>
      </c>
      <c r="K218" s="4">
        <f t="shared" si="23"/>
        <v>1.1883806302685613</v>
      </c>
      <c r="L218" s="4">
        <f t="shared" si="24"/>
        <v>-0.35266091429681168</v>
      </c>
      <c r="M218" s="7">
        <f t="shared" si="27"/>
        <v>-3.2546668673874004</v>
      </c>
    </row>
    <row r="219" spans="4:13" x14ac:dyDescent="0.25">
      <c r="D219" s="1">
        <v>42083</v>
      </c>
      <c r="E219" s="3">
        <v>123.608631</v>
      </c>
      <c r="F219" s="3">
        <v>207.07610700000001</v>
      </c>
      <c r="G219" s="3">
        <f t="shared" si="21"/>
        <v>-1.5708789999999908</v>
      </c>
      <c r="H219" s="3">
        <f t="shared" si="22"/>
        <v>1.8118310000000122</v>
      </c>
      <c r="I219" s="3">
        <f t="shared" si="25"/>
        <v>-1.6270275575396733</v>
      </c>
      <c r="J219" s="3">
        <f t="shared" si="26"/>
        <v>1.7656285853174725</v>
      </c>
      <c r="K219" s="4">
        <f t="shared" si="23"/>
        <v>-1.6528294900117928</v>
      </c>
      <c r="L219" s="4">
        <f t="shared" si="24"/>
        <v>1.7961764025280884</v>
      </c>
      <c r="M219" s="7">
        <f t="shared" si="27"/>
        <v>-5.488024191504663</v>
      </c>
    </row>
    <row r="220" spans="4:13" x14ac:dyDescent="0.25">
      <c r="D220" s="1">
        <v>42082</v>
      </c>
      <c r="E220" s="3">
        <v>125.17950999999999</v>
      </c>
      <c r="F220" s="3">
        <v>205.264276</v>
      </c>
      <c r="G220" s="3">
        <f t="shared" si="21"/>
        <v>-0.95234700000000316</v>
      </c>
      <c r="H220" s="3">
        <f t="shared" si="22"/>
        <v>-0.9405969999999968</v>
      </c>
      <c r="I220" s="3">
        <f t="shared" si="25"/>
        <v>-1.0084955575396857</v>
      </c>
      <c r="J220" s="3">
        <f t="shared" si="26"/>
        <v>-0.9867994146825364</v>
      </c>
      <c r="K220" s="4">
        <f t="shared" si="23"/>
        <v>-0.97401201342234156</v>
      </c>
      <c r="L220" s="4">
        <f t="shared" si="24"/>
        <v>-1.0121990034521322</v>
      </c>
      <c r="M220" s="7">
        <f t="shared" si="27"/>
        <v>-2.8423290940790054</v>
      </c>
    </row>
    <row r="221" spans="4:13" x14ac:dyDescent="0.25">
      <c r="D221" s="1">
        <v>42081</v>
      </c>
      <c r="E221" s="3">
        <v>126.131857</v>
      </c>
      <c r="F221" s="3">
        <v>206.20487299999999</v>
      </c>
      <c r="G221" s="3">
        <f t="shared" si="21"/>
        <v>1.403973999999991</v>
      </c>
      <c r="H221" s="3">
        <f t="shared" si="22"/>
        <v>2.4494540000000029</v>
      </c>
      <c r="I221" s="3">
        <f t="shared" si="25"/>
        <v>1.3478254424603084</v>
      </c>
      <c r="J221" s="3">
        <f t="shared" si="26"/>
        <v>2.4032515853174634</v>
      </c>
      <c r="K221" s="4">
        <f t="shared" si="23"/>
        <v>1.3988875879423057</v>
      </c>
      <c r="L221" s="4">
        <f t="shared" si="24"/>
        <v>2.3057173480272732</v>
      </c>
      <c r="M221" s="7">
        <f t="shared" si="27"/>
        <v>-3.5243481202628559</v>
      </c>
    </row>
    <row r="222" spans="4:13" x14ac:dyDescent="0.25">
      <c r="D222" s="1">
        <v>42080</v>
      </c>
      <c r="E222" s="3">
        <v>124.72788300000001</v>
      </c>
      <c r="F222" s="3">
        <v>203.75541899999999</v>
      </c>
      <c r="G222" s="3">
        <f t="shared" si="21"/>
        <v>2.0519660000000073</v>
      </c>
      <c r="H222" s="3">
        <f t="shared" si="22"/>
        <v>-0.60746000000000322</v>
      </c>
      <c r="I222" s="3">
        <f t="shared" si="25"/>
        <v>1.9958174424603248</v>
      </c>
      <c r="J222" s="3">
        <f t="shared" si="26"/>
        <v>-0.65366241468254282</v>
      </c>
      <c r="K222" s="4">
        <f t="shared" si="23"/>
        <v>2.0285426865079375</v>
      </c>
      <c r="L222" s="4">
        <f t="shared" si="24"/>
        <v>-0.67253912565865293</v>
      </c>
      <c r="M222" s="7">
        <f t="shared" si="27"/>
        <v>-4.5229152231179146</v>
      </c>
    </row>
    <row r="223" spans="4:13" x14ac:dyDescent="0.25">
      <c r="D223" s="1">
        <v>42079</v>
      </c>
      <c r="E223" s="3">
        <v>122.675917</v>
      </c>
      <c r="F223" s="3">
        <v>204.36287899999999</v>
      </c>
      <c r="G223" s="3">
        <f t="shared" si="21"/>
        <v>1.3352490000000046</v>
      </c>
      <c r="H223" s="3">
        <f t="shared" si="22"/>
        <v>2.6944000000000017</v>
      </c>
      <c r="I223" s="3">
        <f t="shared" si="25"/>
        <v>1.2791004424603221</v>
      </c>
      <c r="J223" s="3">
        <f t="shared" si="26"/>
        <v>2.6481975853174622</v>
      </c>
      <c r="K223" s="4">
        <f t="shared" si="23"/>
        <v>1.2560615931592598</v>
      </c>
      <c r="L223" s="4">
        <f t="shared" si="24"/>
        <v>2.6696500139905526</v>
      </c>
      <c r="M223" s="7">
        <f t="shared" si="27"/>
        <v>-3.8734735526052773</v>
      </c>
    </row>
    <row r="224" spans="4:13" x14ac:dyDescent="0.25">
      <c r="D224" s="1">
        <v>42076</v>
      </c>
      <c r="E224" s="3">
        <v>121.34066799999999</v>
      </c>
      <c r="F224" s="3">
        <v>201.66847899999999</v>
      </c>
      <c r="G224" s="3">
        <f t="shared" si="21"/>
        <v>-0.84434900000000823</v>
      </c>
      <c r="H224" s="3">
        <f t="shared" si="22"/>
        <v>-1.2443269999999984</v>
      </c>
      <c r="I224" s="3">
        <f t="shared" si="25"/>
        <v>-0.90049755753969074</v>
      </c>
      <c r="J224" s="3">
        <f t="shared" si="26"/>
        <v>-1.2905294146825381</v>
      </c>
      <c r="K224" s="4">
        <f t="shared" si="23"/>
        <v>-0.84642126743033563</v>
      </c>
      <c r="L224" s="4">
        <f t="shared" si="24"/>
        <v>-1.3483913718677754</v>
      </c>
      <c r="M224" s="7">
        <f t="shared" si="27"/>
        <v>-2.9380445359322409</v>
      </c>
    </row>
    <row r="225" spans="4:13" x14ac:dyDescent="0.25">
      <c r="D225" s="1">
        <v>42075</v>
      </c>
      <c r="E225" s="3">
        <v>122.185017</v>
      </c>
      <c r="F225" s="3">
        <v>202.91280599999999</v>
      </c>
      <c r="G225" s="3">
        <f t="shared" si="21"/>
        <v>2.1697769999999963</v>
      </c>
      <c r="H225" s="3">
        <f t="shared" si="22"/>
        <v>2.5474389999999971</v>
      </c>
      <c r="I225" s="3">
        <f t="shared" si="25"/>
        <v>2.1136284424603136</v>
      </c>
      <c r="J225" s="3">
        <f t="shared" si="26"/>
        <v>2.5012365853174576</v>
      </c>
      <c r="K225" s="4">
        <f t="shared" si="23"/>
        <v>2.0551718139401491</v>
      </c>
      <c r="L225" s="4">
        <f t="shared" si="24"/>
        <v>2.5949021790877493</v>
      </c>
      <c r="M225" s="7">
        <f t="shared" si="27"/>
        <v>-3.8251719375753863</v>
      </c>
    </row>
    <row r="226" spans="4:13" x14ac:dyDescent="0.25">
      <c r="D226" s="1">
        <v>42074</v>
      </c>
      <c r="E226" s="3">
        <v>120.01524000000001</v>
      </c>
      <c r="F226" s="3">
        <v>200.36536699999999</v>
      </c>
      <c r="G226" s="3">
        <f t="shared" si="21"/>
        <v>-2.2286900000000003</v>
      </c>
      <c r="H226" s="3">
        <f t="shared" si="22"/>
        <v>-0.47029100000000312</v>
      </c>
      <c r="I226" s="3">
        <f t="shared" si="25"/>
        <v>-2.284838557539683</v>
      </c>
      <c r="J226" s="3">
        <f t="shared" si="26"/>
        <v>-0.51649341468254273</v>
      </c>
      <c r="K226" s="4">
        <f t="shared" si="23"/>
        <v>-2.3523378246185396</v>
      </c>
      <c r="L226" s="4">
        <f t="shared" si="24"/>
        <v>-0.44762276834225662</v>
      </c>
      <c r="M226" s="7">
        <f t="shared" si="27"/>
        <v>-3.9777050961877363</v>
      </c>
    </row>
    <row r="227" spans="4:13" x14ac:dyDescent="0.25">
      <c r="D227" s="1">
        <v>42073</v>
      </c>
      <c r="E227" s="3">
        <v>122.24393000000001</v>
      </c>
      <c r="F227" s="3">
        <v>200.835658</v>
      </c>
      <c r="G227" s="3">
        <f t="shared" si="21"/>
        <v>-2.5821309999999897</v>
      </c>
      <c r="H227" s="3">
        <f t="shared" si="22"/>
        <v>-3.3116669999999999</v>
      </c>
      <c r="I227" s="3">
        <f t="shared" si="25"/>
        <v>-2.6382795575396725</v>
      </c>
      <c r="J227" s="3">
        <f t="shared" si="26"/>
        <v>-3.3578694146825394</v>
      </c>
      <c r="K227" s="4">
        <f t="shared" si="23"/>
        <v>-2.6261518681699738</v>
      </c>
      <c r="L227" s="4">
        <f t="shared" si="24"/>
        <v>-3.3674965511883661</v>
      </c>
      <c r="M227" s="7">
        <f t="shared" si="27"/>
        <v>-4.6263312772578056</v>
      </c>
    </row>
    <row r="228" spans="4:13" x14ac:dyDescent="0.25">
      <c r="D228" s="1">
        <v>42072</v>
      </c>
      <c r="E228" s="3">
        <v>124.826061</v>
      </c>
      <c r="F228" s="3">
        <v>204.147325</v>
      </c>
      <c r="G228" s="3">
        <f t="shared" si="21"/>
        <v>0.5301719999999932</v>
      </c>
      <c r="H228" s="3">
        <f t="shared" si="22"/>
        <v>0.84261300000000006</v>
      </c>
      <c r="I228" s="3">
        <f t="shared" si="25"/>
        <v>0.47402344246031064</v>
      </c>
      <c r="J228" s="3">
        <f t="shared" si="26"/>
        <v>0.79641058531746045</v>
      </c>
      <c r="K228" s="4">
        <f t="shared" si="23"/>
        <v>0.47735937563557757</v>
      </c>
      <c r="L228" s="4">
        <f t="shared" si="24"/>
        <v>0.74873193698719653</v>
      </c>
      <c r="M228" s="7">
        <f t="shared" si="27"/>
        <v>-2.7272984115988321</v>
      </c>
    </row>
    <row r="229" spans="4:13" x14ac:dyDescent="0.25">
      <c r="D229" s="1">
        <v>42069</v>
      </c>
      <c r="E229" s="3">
        <v>124.295889</v>
      </c>
      <c r="F229" s="3">
        <v>203.30471199999999</v>
      </c>
      <c r="G229" s="3">
        <f t="shared" si="21"/>
        <v>0.18653700000000129</v>
      </c>
      <c r="H229" s="3">
        <f t="shared" si="22"/>
        <v>-2.9001609999999971</v>
      </c>
      <c r="I229" s="3">
        <f t="shared" si="25"/>
        <v>0.13038844246031875</v>
      </c>
      <c r="J229" s="3">
        <f t="shared" si="26"/>
        <v>-2.9463634146825366</v>
      </c>
      <c r="K229" s="4">
        <f t="shared" si="23"/>
        <v>7.5448823432853862E-2</v>
      </c>
      <c r="L229" s="4">
        <f t="shared" si="24"/>
        <v>-2.8488790616457429</v>
      </c>
      <c r="M229" s="7">
        <f t="shared" si="27"/>
        <v>-5.0115330264474025</v>
      </c>
    </row>
    <row r="230" spans="4:13" x14ac:dyDescent="0.25">
      <c r="D230" s="1">
        <v>42068</v>
      </c>
      <c r="E230" s="3">
        <v>124.109352</v>
      </c>
      <c r="F230" s="3">
        <v>206.20487299999999</v>
      </c>
      <c r="G230" s="3">
        <f t="shared" si="21"/>
        <v>-2.0912239999999969</v>
      </c>
      <c r="H230" s="3">
        <f t="shared" si="22"/>
        <v>0.22536099999999237</v>
      </c>
      <c r="I230" s="3">
        <f t="shared" si="25"/>
        <v>-2.1473725575396796</v>
      </c>
      <c r="J230" s="3">
        <f t="shared" si="26"/>
        <v>0.17915858531745271</v>
      </c>
      <c r="K230" s="4">
        <f t="shared" si="23"/>
        <v>-2.1694068028314568</v>
      </c>
      <c r="L230" s="4">
        <f t="shared" si="24"/>
        <v>0.2041715936380272</v>
      </c>
      <c r="M230" s="7">
        <f t="shared" si="27"/>
        <v>-4.2415083404662948</v>
      </c>
    </row>
    <row r="231" spans="4:13" x14ac:dyDescent="0.25">
      <c r="D231" s="1">
        <v>42067</v>
      </c>
      <c r="E231" s="3">
        <v>126.200576</v>
      </c>
      <c r="F231" s="3">
        <v>205.979512</v>
      </c>
      <c r="G231" s="3">
        <f t="shared" si="21"/>
        <v>-0.80508299999999622</v>
      </c>
      <c r="H231" s="3">
        <f t="shared" si="22"/>
        <v>-0.87200599999999895</v>
      </c>
      <c r="I231" s="3">
        <f t="shared" si="25"/>
        <v>-0.86123155753967873</v>
      </c>
      <c r="J231" s="3">
        <f t="shared" si="26"/>
        <v>-0.91820841468253855</v>
      </c>
      <c r="K231" s="4">
        <f t="shared" si="23"/>
        <v>-0.85588587906972058</v>
      </c>
      <c r="L231" s="4">
        <f t="shared" si="24"/>
        <v>-0.94022930488253909</v>
      </c>
      <c r="M231" s="7">
        <f t="shared" si="27"/>
        <v>-2.8047074009457926</v>
      </c>
    </row>
    <row r="232" spans="4:13" x14ac:dyDescent="0.25">
      <c r="D232" s="1">
        <v>42066</v>
      </c>
      <c r="E232" s="3">
        <v>127.00565899999999</v>
      </c>
      <c r="F232" s="3">
        <v>206.851518</v>
      </c>
      <c r="G232" s="3">
        <f t="shared" si="21"/>
        <v>0.26509000000000071</v>
      </c>
      <c r="H232" s="3">
        <f t="shared" si="22"/>
        <v>-0.85241999999999507</v>
      </c>
      <c r="I232" s="3">
        <f t="shared" si="25"/>
        <v>0.20894144246031818</v>
      </c>
      <c r="J232" s="3">
        <f t="shared" si="26"/>
        <v>-0.89862241468253468</v>
      </c>
      <c r="K232" s="4">
        <f t="shared" si="23"/>
        <v>0.22332958039692799</v>
      </c>
      <c r="L232" s="4">
        <f t="shared" si="24"/>
        <v>-0.90560467571141756</v>
      </c>
      <c r="M232" s="7">
        <f t="shared" si="27"/>
        <v>-2.956173978062532</v>
      </c>
    </row>
    <row r="233" spans="4:13" x14ac:dyDescent="0.25">
      <c r="D233" s="1">
        <v>42065</v>
      </c>
      <c r="E233" s="3">
        <v>126.74056899999999</v>
      </c>
      <c r="F233" s="3">
        <v>207.70393799999999</v>
      </c>
      <c r="G233" s="3">
        <f t="shared" si="21"/>
        <v>0.61852399999999363</v>
      </c>
      <c r="H233" s="3">
        <f t="shared" si="22"/>
        <v>1.3031119999999987</v>
      </c>
      <c r="I233" s="3">
        <f t="shared" si="25"/>
        <v>0.56237544246031113</v>
      </c>
      <c r="J233" s="3">
        <f t="shared" si="26"/>
        <v>1.256909585317459</v>
      </c>
      <c r="K233" s="4">
        <f t="shared" si="23"/>
        <v>0.51170599170987097</v>
      </c>
      <c r="L233" s="4">
        <f t="shared" si="24"/>
        <v>1.3337737097791587</v>
      </c>
      <c r="M233" s="7">
        <f t="shared" si="27"/>
        <v>-2.9605696867266094</v>
      </c>
    </row>
    <row r="234" spans="4:13" x14ac:dyDescent="0.25">
      <c r="D234" s="1">
        <v>42062</v>
      </c>
      <c r="E234" s="3">
        <v>126.122045</v>
      </c>
      <c r="F234" s="3">
        <v>206.400826</v>
      </c>
      <c r="G234" s="3">
        <f t="shared" si="21"/>
        <v>-1.9243200000000087</v>
      </c>
      <c r="H234" s="3">
        <f t="shared" si="22"/>
        <v>-0.70544399999999996</v>
      </c>
      <c r="I234" s="3">
        <f t="shared" si="25"/>
        <v>-1.9804685575396912</v>
      </c>
      <c r="J234" s="3">
        <f t="shared" si="26"/>
        <v>-0.75164641468253957</v>
      </c>
      <c r="K234" s="4">
        <f t="shared" si="23"/>
        <v>-1.9409610979157201</v>
      </c>
      <c r="L234" s="4">
        <f t="shared" si="24"/>
        <v>-0.82405712409628806</v>
      </c>
      <c r="M234" s="7">
        <f t="shared" si="27"/>
        <v>-3.3716306643171983</v>
      </c>
    </row>
    <row r="235" spans="4:13" x14ac:dyDescent="0.25">
      <c r="D235" s="1">
        <v>42061</v>
      </c>
      <c r="E235" s="3">
        <v>128.04636500000001</v>
      </c>
      <c r="F235" s="3">
        <v>207.10626999999999</v>
      </c>
      <c r="G235" s="3">
        <f t="shared" si="21"/>
        <v>1.6003390000000053</v>
      </c>
      <c r="H235" s="3">
        <f t="shared" si="22"/>
        <v>-0.24494599999999878</v>
      </c>
      <c r="I235" s="3">
        <f t="shared" si="25"/>
        <v>1.5441904424603228</v>
      </c>
      <c r="J235" s="3">
        <f t="shared" si="26"/>
        <v>-0.29114841468253844</v>
      </c>
      <c r="K235" s="4">
        <f t="shared" si="23"/>
        <v>1.4578517672658213</v>
      </c>
      <c r="L235" s="4">
        <f t="shared" si="24"/>
        <v>-0.14512114769922857</v>
      </c>
      <c r="M235" s="7">
        <f t="shared" si="27"/>
        <v>-3.3644892187258568</v>
      </c>
    </row>
    <row r="236" spans="4:13" x14ac:dyDescent="0.25">
      <c r="D236" s="1">
        <v>42060</v>
      </c>
      <c r="E236" s="3">
        <v>126.446026</v>
      </c>
      <c r="F236" s="3">
        <v>207.35121599999999</v>
      </c>
      <c r="G236" s="3">
        <f t="shared" si="21"/>
        <v>-3.3184889999999854</v>
      </c>
      <c r="H236" s="3">
        <f t="shared" si="22"/>
        <v>-0.17635300000000598</v>
      </c>
      <c r="I236" s="3">
        <f t="shared" si="25"/>
        <v>-3.3746375575396681</v>
      </c>
      <c r="J236" s="3">
        <f t="shared" si="26"/>
        <v>-0.22255541468254564</v>
      </c>
      <c r="K236" s="4">
        <f t="shared" si="23"/>
        <v>-3.3969228642877463</v>
      </c>
      <c r="L236" s="4">
        <f t="shared" si="24"/>
        <v>-0.1763409206383949</v>
      </c>
      <c r="M236" s="7">
        <f t="shared" si="27"/>
        <v>-5.9253277080074653</v>
      </c>
    </row>
    <row r="237" spans="4:13" x14ac:dyDescent="0.25">
      <c r="D237" s="1">
        <v>42059</v>
      </c>
      <c r="E237" s="3">
        <v>129.76451499999999</v>
      </c>
      <c r="F237" s="3">
        <v>207.527569</v>
      </c>
      <c r="G237" s="3">
        <f t="shared" si="21"/>
        <v>-0.81489600000000451</v>
      </c>
      <c r="H237" s="3">
        <f t="shared" si="22"/>
        <v>0.58786000000000627</v>
      </c>
      <c r="I237" s="3">
        <f t="shared" si="25"/>
        <v>-0.87104455753968701</v>
      </c>
      <c r="J237" s="3">
        <f t="shared" si="26"/>
        <v>0.54165758531746666</v>
      </c>
      <c r="K237" s="4">
        <f t="shared" si="23"/>
        <v>-0.78456478634605087</v>
      </c>
      <c r="L237" s="4">
        <f t="shared" si="24"/>
        <v>0.39114509283861815</v>
      </c>
      <c r="M237" s="7">
        <f t="shared" si="27"/>
        <v>-2.9785692233746723</v>
      </c>
    </row>
    <row r="238" spans="4:13" x14ac:dyDescent="0.25">
      <c r="D238" s="1">
        <v>42058</v>
      </c>
      <c r="E238" s="3">
        <v>130.57941099999999</v>
      </c>
      <c r="F238" s="3">
        <v>206.93970899999999</v>
      </c>
      <c r="G238" s="3">
        <f t="shared" si="21"/>
        <v>3.4363010000000003</v>
      </c>
      <c r="H238" s="3">
        <f t="shared" si="22"/>
        <v>-2.9392999999998892E-2</v>
      </c>
      <c r="I238" s="3">
        <f t="shared" si="25"/>
        <v>3.3801524424603175</v>
      </c>
      <c r="J238" s="3">
        <f t="shared" si="26"/>
        <v>-7.5595414682538553E-2</v>
      </c>
      <c r="K238" s="4">
        <f t="shared" si="23"/>
        <v>3.4050908669222864</v>
      </c>
      <c r="L238" s="4">
        <f t="shared" si="24"/>
        <v>-0.10178413422485533</v>
      </c>
      <c r="M238" s="7">
        <f t="shared" si="27"/>
        <v>-6.2904256577374484</v>
      </c>
    </row>
    <row r="239" spans="4:13" x14ac:dyDescent="0.25">
      <c r="D239" s="1">
        <v>42055</v>
      </c>
      <c r="E239" s="3">
        <v>127.14310999999999</v>
      </c>
      <c r="F239" s="3">
        <v>206.96910199999999</v>
      </c>
      <c r="G239" s="3">
        <f t="shared" si="21"/>
        <v>1.0308929999999918</v>
      </c>
      <c r="H239" s="3">
        <f t="shared" si="22"/>
        <v>1.2345349999999939</v>
      </c>
      <c r="I239" s="3">
        <f t="shared" si="25"/>
        <v>0.97474444246030933</v>
      </c>
      <c r="J239" s="3">
        <f t="shared" si="26"/>
        <v>1.1883325853174542</v>
      </c>
      <c r="K239" s="4">
        <f t="shared" si="23"/>
        <v>0.96652568977755027</v>
      </c>
      <c r="L239" s="4">
        <f t="shared" si="24"/>
        <v>1.199786491656879</v>
      </c>
      <c r="M239" s="7">
        <f t="shared" si="27"/>
        <v>-2.8902472821499923</v>
      </c>
    </row>
    <row r="240" spans="4:13" x14ac:dyDescent="0.25">
      <c r="D240" s="1">
        <v>42054</v>
      </c>
      <c r="E240" s="3">
        <v>126.112217</v>
      </c>
      <c r="F240" s="3">
        <v>205.734567</v>
      </c>
      <c r="G240" s="3">
        <f t="shared" si="21"/>
        <v>-0.26509000000000071</v>
      </c>
      <c r="H240" s="3">
        <f t="shared" si="22"/>
        <v>-0.14697599999999511</v>
      </c>
      <c r="I240" s="3">
        <f t="shared" si="25"/>
        <v>-0.32123855753968328</v>
      </c>
      <c r="J240" s="3">
        <f t="shared" si="26"/>
        <v>-0.19317841468253477</v>
      </c>
      <c r="K240" s="4">
        <f t="shared" si="23"/>
        <v>-0.30031926548301557</v>
      </c>
      <c r="L240" s="4">
        <f t="shared" si="24"/>
        <v>-0.22970540166493547</v>
      </c>
      <c r="M240" s="7">
        <f t="shared" si="27"/>
        <v>-2.6497819896745356</v>
      </c>
    </row>
    <row r="241" spans="4:13" x14ac:dyDescent="0.25">
      <c r="D241" s="1">
        <v>42053</v>
      </c>
      <c r="E241" s="3">
        <v>126.377307</v>
      </c>
      <c r="F241" s="3">
        <v>205.88154299999999</v>
      </c>
      <c r="G241" s="3">
        <f t="shared" si="21"/>
        <v>0.87380100000000027</v>
      </c>
      <c r="H241" s="3">
        <f t="shared" si="22"/>
        <v>1.9599999999996953E-2</v>
      </c>
      <c r="I241" s="3">
        <f t="shared" si="25"/>
        <v>0.81765244246031776</v>
      </c>
      <c r="J241" s="3">
        <f t="shared" si="26"/>
        <v>-2.6602414682542701E-2</v>
      </c>
      <c r="K241" s="4">
        <f t="shared" si="23"/>
        <v>0.83505510879294431</v>
      </c>
      <c r="L241" s="4">
        <f t="shared" si="24"/>
        <v>-5.2731905400543823E-2</v>
      </c>
      <c r="M241" s="7">
        <f t="shared" si="27"/>
        <v>-2.8625101370460975</v>
      </c>
    </row>
    <row r="242" spans="4:13" x14ac:dyDescent="0.25">
      <c r="D242" s="1">
        <v>42052</v>
      </c>
      <c r="E242" s="3">
        <v>125.503506</v>
      </c>
      <c r="F242" s="3">
        <v>205.861943</v>
      </c>
      <c r="G242" s="3">
        <f t="shared" si="21"/>
        <v>0.73635000000000161</v>
      </c>
      <c r="H242" s="3">
        <f t="shared" si="22"/>
        <v>0.32332900000000109</v>
      </c>
      <c r="I242" s="3">
        <f t="shared" si="25"/>
        <v>0.68020144246031911</v>
      </c>
      <c r="J242" s="3">
        <f t="shared" si="26"/>
        <v>0.27712658531746143</v>
      </c>
      <c r="K242" s="4">
        <f t="shared" si="23"/>
        <v>0.6943387236172458</v>
      </c>
      <c r="L242" s="4">
        <f t="shared" si="24"/>
        <v>0.26402687308044592</v>
      </c>
      <c r="M242" s="7">
        <f t="shared" si="27"/>
        <v>-2.7308932298613788</v>
      </c>
    </row>
    <row r="243" spans="4:13" x14ac:dyDescent="0.25">
      <c r="D243" s="1">
        <v>42048</v>
      </c>
      <c r="E243" s="3">
        <v>124.767156</v>
      </c>
      <c r="F243" s="3">
        <v>205.538614</v>
      </c>
      <c r="G243" s="3">
        <f t="shared" si="21"/>
        <v>0.60871899999999357</v>
      </c>
      <c r="H243" s="3">
        <f t="shared" si="22"/>
        <v>0.84261300000000006</v>
      </c>
      <c r="I243" s="3">
        <f t="shared" si="25"/>
        <v>0.55257044246031106</v>
      </c>
      <c r="J243" s="3">
        <f t="shared" si="26"/>
        <v>0.79641058531746045</v>
      </c>
      <c r="K243" s="4">
        <f t="shared" si="23"/>
        <v>0.59082187843461542</v>
      </c>
      <c r="L243" s="4">
        <f t="shared" si="24"/>
        <v>0.7573917246649825</v>
      </c>
      <c r="M243" s="7">
        <f t="shared" si="27"/>
        <v>-2.7341030860456343</v>
      </c>
    </row>
    <row r="244" spans="4:13" x14ac:dyDescent="0.25">
      <c r="D244" s="1">
        <v>42047</v>
      </c>
      <c r="E244" s="3">
        <v>124.15843700000001</v>
      </c>
      <c r="F244" s="3">
        <v>204.696001</v>
      </c>
      <c r="G244" s="3">
        <f t="shared" si="21"/>
        <v>1.5512460000000061</v>
      </c>
      <c r="H244" s="3">
        <f t="shared" si="22"/>
        <v>1.9497709999999984</v>
      </c>
      <c r="I244" s="3">
        <f t="shared" si="25"/>
        <v>1.4950974424603236</v>
      </c>
      <c r="J244" s="3">
        <f t="shared" si="26"/>
        <v>1.9035685853174587</v>
      </c>
      <c r="K244" s="4">
        <f t="shared" si="23"/>
        <v>1.5655010933859899</v>
      </c>
      <c r="L244" s="4">
        <f t="shared" si="24"/>
        <v>1.7829262785544584</v>
      </c>
      <c r="M244" s="7">
        <f t="shared" si="27"/>
        <v>-3.2323907609070099</v>
      </c>
    </row>
    <row r="245" spans="4:13" x14ac:dyDescent="0.25">
      <c r="D245" s="1">
        <v>42046</v>
      </c>
      <c r="E245" s="3">
        <v>122.607191</v>
      </c>
      <c r="F245" s="3">
        <v>202.74623</v>
      </c>
      <c r="G245" s="3">
        <f t="shared" si="21"/>
        <v>2.8079489999999936</v>
      </c>
      <c r="H245" s="3">
        <f t="shared" si="22"/>
        <v>0.11756900000000314</v>
      </c>
      <c r="I245" s="3">
        <f t="shared" si="25"/>
        <v>2.7518004424603109</v>
      </c>
      <c r="J245" s="3">
        <f t="shared" si="26"/>
        <v>7.1366585317463482E-2</v>
      </c>
      <c r="K245" s="4">
        <f t="shared" si="23"/>
        <v>2.8081373346440408</v>
      </c>
      <c r="L245" s="4">
        <f t="shared" si="24"/>
        <v>3.7441079252749747E-3</v>
      </c>
      <c r="M245" s="7">
        <f t="shared" si="27"/>
        <v>-5.0263500621408514</v>
      </c>
    </row>
    <row r="246" spans="4:13" x14ac:dyDescent="0.25">
      <c r="D246" s="1">
        <v>42045</v>
      </c>
      <c r="E246" s="3">
        <v>119.79924200000001</v>
      </c>
      <c r="F246" s="3">
        <v>202.62866099999999</v>
      </c>
      <c r="G246" s="3">
        <f t="shared" si="21"/>
        <v>2.25813500000001</v>
      </c>
      <c r="H246" s="3">
        <f t="shared" si="22"/>
        <v>2.1359170000000063</v>
      </c>
      <c r="I246" s="3">
        <f t="shared" si="25"/>
        <v>2.2019864424603273</v>
      </c>
      <c r="J246" s="3">
        <f t="shared" si="26"/>
        <v>2.0897145853174668</v>
      </c>
      <c r="K246" s="4">
        <f t="shared" si="23"/>
        <v>2.2203938918942789</v>
      </c>
      <c r="L246" s="4">
        <f t="shared" si="24"/>
        <v>2.0444262142891527</v>
      </c>
      <c r="M246" s="7">
        <f t="shared" si="27"/>
        <v>-3.6145592283164292</v>
      </c>
    </row>
    <row r="247" spans="4:13" x14ac:dyDescent="0.25">
      <c r="D247" s="1">
        <v>42044</v>
      </c>
      <c r="E247" s="3">
        <v>117.541107</v>
      </c>
      <c r="F247" s="3">
        <v>200.49274399999999</v>
      </c>
      <c r="G247" s="3">
        <f t="shared" si="21"/>
        <v>0.77562299999999595</v>
      </c>
      <c r="H247" s="3">
        <f t="shared" si="22"/>
        <v>-0.90139700000000289</v>
      </c>
      <c r="I247" s="3">
        <f t="shared" si="25"/>
        <v>0.71947444246031345</v>
      </c>
      <c r="J247" s="3">
        <f t="shared" si="26"/>
        <v>-0.9475994146825425</v>
      </c>
      <c r="K247" s="4">
        <f t="shared" si="23"/>
        <v>0.69266772688686884</v>
      </c>
      <c r="L247" s="4">
        <f t="shared" si="24"/>
        <v>-0.90987926986958145</v>
      </c>
      <c r="M247" s="7">
        <f t="shared" si="27"/>
        <v>-3.2493118113453354</v>
      </c>
    </row>
    <row r="248" spans="4:13" x14ac:dyDescent="0.25">
      <c r="D248" s="1">
        <v>42041</v>
      </c>
      <c r="E248" s="3">
        <v>116.765484</v>
      </c>
      <c r="F248" s="3">
        <v>201.39414099999999</v>
      </c>
      <c r="G248" s="3">
        <f t="shared" si="21"/>
        <v>-0.9916199999999975</v>
      </c>
      <c r="H248" s="3">
        <f t="shared" si="22"/>
        <v>-0.55846800000000485</v>
      </c>
      <c r="I248" s="3">
        <f t="shared" si="25"/>
        <v>-1.04776855753968</v>
      </c>
      <c r="J248" s="3">
        <f t="shared" si="26"/>
        <v>-0.60467041468254445</v>
      </c>
      <c r="K248" s="4">
        <f t="shared" si="23"/>
        <v>-1.0278537415694109</v>
      </c>
      <c r="L248" s="4">
        <f t="shared" si="24"/>
        <v>-0.6110280282198236</v>
      </c>
      <c r="M248" s="7">
        <f t="shared" si="27"/>
        <v>-2.8248643437350314</v>
      </c>
    </row>
    <row r="249" spans="4:13" x14ac:dyDescent="0.25">
      <c r="D249" s="1">
        <v>42040</v>
      </c>
      <c r="E249" s="3">
        <v>117.757104</v>
      </c>
      <c r="F249" s="3">
        <v>201.952609</v>
      </c>
      <c r="G249" s="3">
        <f t="shared" si="21"/>
        <v>0.83454000000000406</v>
      </c>
      <c r="H249" s="3">
        <f t="shared" si="22"/>
        <v>2.0183480000000031</v>
      </c>
      <c r="I249" s="3">
        <f t="shared" si="25"/>
        <v>0.77839144246032155</v>
      </c>
      <c r="J249" s="3">
        <f t="shared" si="26"/>
        <v>1.9721455853174634</v>
      </c>
      <c r="K249" s="4">
        <f t="shared" si="23"/>
        <v>0.79972318348642024</v>
      </c>
      <c r="L249" s="4">
        <f t="shared" si="24"/>
        <v>1.9237553651751238</v>
      </c>
      <c r="M249" s="7">
        <f t="shared" si="27"/>
        <v>-3.2985699083871403</v>
      </c>
    </row>
    <row r="250" spans="4:13" x14ac:dyDescent="0.25">
      <c r="D250" s="1">
        <v>42039</v>
      </c>
      <c r="E250" s="3">
        <v>116.92256399999999</v>
      </c>
      <c r="F250" s="3">
        <v>199.93426099999999</v>
      </c>
      <c r="G250" s="3">
        <f t="shared" si="21"/>
        <v>0.88992199999999855</v>
      </c>
      <c r="H250" s="3">
        <f t="shared" si="22"/>
        <v>-0.76422800000000279</v>
      </c>
      <c r="I250" s="3">
        <f t="shared" si="25"/>
        <v>0.83377344246031604</v>
      </c>
      <c r="J250" s="3">
        <f t="shared" si="26"/>
        <v>-0.8104304146825424</v>
      </c>
      <c r="K250" s="4">
        <f t="shared" si="23"/>
        <v>0.83283741643815201</v>
      </c>
      <c r="L250" s="4">
        <f t="shared" si="24"/>
        <v>-0.76877099551265926</v>
      </c>
      <c r="M250" s="7">
        <f t="shared" si="27"/>
        <v>-3.2510500279385965</v>
      </c>
    </row>
    <row r="251" spans="4:13" x14ac:dyDescent="0.25">
      <c r="D251" s="1">
        <v>42038</v>
      </c>
      <c r="E251" s="3">
        <v>116.032642</v>
      </c>
      <c r="F251" s="3">
        <v>200.698489</v>
      </c>
      <c r="G251" s="3">
        <f t="shared" si="21"/>
        <v>1.9562999999990893E-2</v>
      </c>
      <c r="H251" s="3">
        <f t="shared" si="22"/>
        <v>2.8609600000000057</v>
      </c>
      <c r="I251" s="3">
        <f t="shared" si="25"/>
        <v>-3.658555753969165E-2</v>
      </c>
      <c r="J251" s="3">
        <f t="shared" si="26"/>
        <v>2.8147575853174662</v>
      </c>
      <c r="K251" s="4">
        <f t="shared" si="23"/>
        <v>-1.2425763042324331E-3</v>
      </c>
      <c r="L251" s="4">
        <f t="shared" si="24"/>
        <v>2.787454780461518</v>
      </c>
      <c r="M251" s="7">
        <f t="shared" si="27"/>
        <v>-4.8326729119283183</v>
      </c>
    </row>
    <row r="252" spans="4:13" x14ac:dyDescent="0.25">
      <c r="D252" s="1">
        <v>42037</v>
      </c>
      <c r="E252" s="3">
        <v>116.013079</v>
      </c>
      <c r="F252" s="3">
        <v>197.83752899999999</v>
      </c>
      <c r="G252" s="3">
        <f t="shared" si="21"/>
        <v>1.4375660000000039</v>
      </c>
      <c r="H252" s="3">
        <f t="shared" si="22"/>
        <v>2.420062999999999</v>
      </c>
      <c r="I252" s="3">
        <f t="shared" si="25"/>
        <v>1.3814174424603214</v>
      </c>
      <c r="J252" s="3">
        <f t="shared" si="26"/>
        <v>2.3738605853174595</v>
      </c>
      <c r="K252" s="4">
        <f t="shared" si="23"/>
        <v>1.3364458305651705</v>
      </c>
      <c r="L252" s="4">
        <f t="shared" si="24"/>
        <v>2.4155113870341642</v>
      </c>
      <c r="M252" s="7">
        <f t="shared" si="27"/>
        <v>-3.6180410282967386</v>
      </c>
    </row>
    <row r="253" spans="4:13" x14ac:dyDescent="0.25">
      <c r="D253" s="1">
        <v>42034</v>
      </c>
      <c r="E253" s="3">
        <v>114.575513</v>
      </c>
      <c r="F253" s="3">
        <v>195.41746599999999</v>
      </c>
      <c r="G253" s="3">
        <f t="shared" si="21"/>
        <v>-1.7016139999999922</v>
      </c>
      <c r="H253" s="3">
        <f t="shared" si="22"/>
        <v>-2.4886539999999968</v>
      </c>
      <c r="I253" s="3">
        <f t="shared" si="25"/>
        <v>-1.7577625575396747</v>
      </c>
      <c r="J253" s="3">
        <f t="shared" si="26"/>
        <v>-2.5348564146825363</v>
      </c>
      <c r="K253" s="4">
        <f t="shared" si="23"/>
        <v>-1.669376505081642</v>
      </c>
      <c r="L253" s="4">
        <f t="shared" si="24"/>
        <v>-2.6624592490227559</v>
      </c>
      <c r="M253" s="7">
        <f t="shared" si="27"/>
        <v>-3.8214970028843762</v>
      </c>
    </row>
    <row r="254" spans="4:13" x14ac:dyDescent="0.25">
      <c r="D254" s="1">
        <v>42033</v>
      </c>
      <c r="E254" s="3">
        <v>116.27712699999999</v>
      </c>
      <c r="F254" s="3">
        <v>197.90611999999999</v>
      </c>
      <c r="G254" s="3">
        <f t="shared" si="21"/>
        <v>3.5108099999999922</v>
      </c>
      <c r="H254" s="3">
        <f t="shared" si="22"/>
        <v>1.8126019999999983</v>
      </c>
      <c r="I254" s="3">
        <f t="shared" si="25"/>
        <v>3.4546614424603095</v>
      </c>
      <c r="J254" s="3">
        <f t="shared" si="26"/>
        <v>1.7663995853174586</v>
      </c>
      <c r="K254" s="4">
        <f t="shared" si="23"/>
        <v>3.6075994556057105</v>
      </c>
      <c r="L254" s="4">
        <f t="shared" si="24"/>
        <v>1.4652261851728712</v>
      </c>
      <c r="M254" s="7">
        <f t="shared" si="27"/>
        <v>-5.2174527569050015</v>
      </c>
    </row>
    <row r="255" spans="4:13" x14ac:dyDescent="0.25">
      <c r="D255" s="1">
        <v>42032</v>
      </c>
      <c r="E255" s="3">
        <v>112.766317</v>
      </c>
      <c r="F255" s="3">
        <v>196.09351799999999</v>
      </c>
      <c r="G255" s="3">
        <f t="shared" si="21"/>
        <v>6.033890999999997</v>
      </c>
      <c r="H255" s="3">
        <f t="shared" si="22"/>
        <v>-2.5474389999999971</v>
      </c>
      <c r="I255" s="3">
        <f t="shared" si="25"/>
        <v>5.9777424424603147</v>
      </c>
      <c r="J255" s="3">
        <f t="shared" si="26"/>
        <v>-2.5936414146825366</v>
      </c>
      <c r="K255" s="4">
        <f t="shared" si="23"/>
        <v>5.8772259714587234</v>
      </c>
      <c r="L255" s="4">
        <f t="shared" si="24"/>
        <v>-2.4583783028912722</v>
      </c>
      <c r="M255" s="7">
        <f t="shared" si="27"/>
        <v>-20.25290210845257</v>
      </c>
    </row>
    <row r="256" spans="4:13" x14ac:dyDescent="0.25">
      <c r="D256" s="1">
        <v>42031</v>
      </c>
      <c r="E256" s="3">
        <v>106.732426</v>
      </c>
      <c r="F256" s="3">
        <v>198.64095699999999</v>
      </c>
      <c r="G256" s="3">
        <f t="shared" si="21"/>
        <v>-3.8726429999999965</v>
      </c>
      <c r="H256" s="3">
        <f t="shared" si="22"/>
        <v>-2.6552000000000078</v>
      </c>
      <c r="I256" s="3">
        <f t="shared" si="25"/>
        <v>-3.9287915575396792</v>
      </c>
      <c r="J256" s="3">
        <f t="shared" si="26"/>
        <v>-2.7014024146825473</v>
      </c>
      <c r="K256" s="4">
        <f t="shared" si="23"/>
        <v>-3.9272257956779759</v>
      </c>
      <c r="L256" s="4">
        <f t="shared" si="24"/>
        <v>-2.6980750847156583</v>
      </c>
      <c r="M256" s="7">
        <f t="shared" si="27"/>
        <v>-5.4132583700671439</v>
      </c>
    </row>
    <row r="257" spans="4:13" x14ac:dyDescent="0.25">
      <c r="D257" s="1">
        <v>42030</v>
      </c>
      <c r="E257" s="3">
        <v>110.605069</v>
      </c>
      <c r="F257" s="3">
        <v>201.29615699999999</v>
      </c>
      <c r="G257" s="3">
        <f t="shared" si="21"/>
        <v>0.11734800000000689</v>
      </c>
      <c r="H257" s="3">
        <f t="shared" si="22"/>
        <v>0.47029100000000312</v>
      </c>
      <c r="I257" s="3">
        <f t="shared" si="25"/>
        <v>6.1199442460324348E-2</v>
      </c>
      <c r="J257" s="3">
        <f t="shared" si="26"/>
        <v>0.42408858531746346</v>
      </c>
      <c r="K257" s="4">
        <f t="shared" si="23"/>
        <v>7.4274656647520837E-2</v>
      </c>
      <c r="L257" s="4">
        <f t="shared" si="24"/>
        <v>0.38508722049526767</v>
      </c>
      <c r="M257" s="7">
        <f t="shared" si="27"/>
        <v>-2.6661890545952569</v>
      </c>
    </row>
    <row r="258" spans="4:13" x14ac:dyDescent="0.25">
      <c r="D258" s="1">
        <v>42027</v>
      </c>
      <c r="E258" s="3">
        <v>110.48772099999999</v>
      </c>
      <c r="F258" s="3">
        <v>200.82586599999999</v>
      </c>
      <c r="G258" s="3">
        <f t="shared" ref="G258:G321" si="28">E258-E259</f>
        <v>0.56720699999999624</v>
      </c>
      <c r="H258" s="3">
        <f t="shared" ref="H258:H321" si="29">F258-F259</f>
        <v>-1.1071579999999983</v>
      </c>
      <c r="I258" s="3">
        <f t="shared" si="25"/>
        <v>0.51105844246031373</v>
      </c>
      <c r="J258" s="3">
        <f t="shared" si="26"/>
        <v>-1.153360414682538</v>
      </c>
      <c r="K258" s="4">
        <f t="shared" ref="K258:K321" si="30">I258-A$11*I259</f>
        <v>0.58092942248817248</v>
      </c>
      <c r="L258" s="4">
        <f t="shared" ref="L258:L321" si="31">J258-A$12*I259-B$12*J259</f>
        <v>-1.2326616339244989</v>
      </c>
      <c r="M258" s="7">
        <f t="shared" si="27"/>
        <v>-3.4338444385952815</v>
      </c>
    </row>
    <row r="259" spans="4:13" x14ac:dyDescent="0.25">
      <c r="D259" s="1">
        <v>42026</v>
      </c>
      <c r="E259" s="3">
        <v>109.920514</v>
      </c>
      <c r="F259" s="3">
        <v>201.93302399999999</v>
      </c>
      <c r="G259" s="3">
        <f t="shared" si="28"/>
        <v>2.7871289999999931</v>
      </c>
      <c r="H259" s="3">
        <f t="shared" si="29"/>
        <v>2.9589449999999999</v>
      </c>
      <c r="I259" s="3">
        <f t="shared" ref="I259:I322" si="32">G259-AVERAGE(G$2:G$505)</f>
        <v>2.7309804424603104</v>
      </c>
      <c r="J259" s="3">
        <f t="shared" ref="J259:J322" si="33">H259-AVERAGE(H$2:H$505)</f>
        <v>2.9127425853174604</v>
      </c>
      <c r="K259" s="4">
        <f t="shared" si="30"/>
        <v>2.7503107275947385</v>
      </c>
      <c r="L259" s="4">
        <f t="shared" si="31"/>
        <v>2.8928995118952563</v>
      </c>
      <c r="M259" s="7">
        <f t="shared" ref="M259:M322" si="34">-LN(2*PI()*ABS(A$2*B$3))-0.5*SUMPRODUCT(MMULT(K259:L259,A$8:B$9),K259:L259)</f>
        <v>-4.3209032161878191</v>
      </c>
    </row>
    <row r="260" spans="4:13" x14ac:dyDescent="0.25">
      <c r="D260" s="1">
        <v>42025</v>
      </c>
      <c r="E260" s="3">
        <v>107.133385</v>
      </c>
      <c r="F260" s="3">
        <v>198.97407899999999</v>
      </c>
      <c r="G260" s="3">
        <f t="shared" si="28"/>
        <v>0.81169300000000533</v>
      </c>
      <c r="H260" s="3">
        <f t="shared" si="29"/>
        <v>0.99938199999999711</v>
      </c>
      <c r="I260" s="3">
        <f t="shared" si="32"/>
        <v>0.75554444246032282</v>
      </c>
      <c r="J260" s="3">
        <f t="shared" si="33"/>
        <v>0.9531795853174575</v>
      </c>
      <c r="K260" s="4">
        <f t="shared" si="30"/>
        <v>0.82241312352007834</v>
      </c>
      <c r="L260" s="4">
        <f t="shared" si="31"/>
        <v>0.8429664877319818</v>
      </c>
      <c r="M260" s="7">
        <f t="shared" si="34"/>
        <v>-2.7803018351196913</v>
      </c>
    </row>
    <row r="261" spans="4:13" x14ac:dyDescent="0.25">
      <c r="D261" s="1">
        <v>42024</v>
      </c>
      <c r="E261" s="3">
        <v>106.321692</v>
      </c>
      <c r="F261" s="3">
        <v>197.97469699999999</v>
      </c>
      <c r="G261" s="3">
        <f t="shared" si="28"/>
        <v>2.6697810000000004</v>
      </c>
      <c r="H261" s="3">
        <f t="shared" si="29"/>
        <v>0.42129900000000475</v>
      </c>
      <c r="I261" s="3">
        <f t="shared" si="32"/>
        <v>2.6136324424603177</v>
      </c>
      <c r="J261" s="3">
        <f t="shared" si="33"/>
        <v>0.37509658531746509</v>
      </c>
      <c r="K261" s="4">
        <f t="shared" si="30"/>
        <v>2.5914290831130886</v>
      </c>
      <c r="L261" s="4">
        <f t="shared" si="31"/>
        <v>0.44918520330783657</v>
      </c>
      <c r="M261" s="7">
        <f t="shared" si="34"/>
        <v>-4.2958096828536911</v>
      </c>
    </row>
    <row r="262" spans="4:13" x14ac:dyDescent="0.25">
      <c r="D262" s="1">
        <v>42020</v>
      </c>
      <c r="E262" s="3">
        <v>103.651911</v>
      </c>
      <c r="F262" s="3">
        <v>197.55339799999999</v>
      </c>
      <c r="G262" s="3">
        <f t="shared" si="28"/>
        <v>-0.81169300000000533</v>
      </c>
      <c r="H262" s="3">
        <f t="shared" si="29"/>
        <v>2.5572309999999732</v>
      </c>
      <c r="I262" s="3">
        <f t="shared" si="32"/>
        <v>-0.86784155753968784</v>
      </c>
      <c r="J262" s="3">
        <f t="shared" si="33"/>
        <v>2.5110285853174337</v>
      </c>
      <c r="K262" s="4">
        <f t="shared" si="30"/>
        <v>-0.94383835817489858</v>
      </c>
      <c r="L262" s="4">
        <f t="shared" si="31"/>
        <v>2.6160477716281809</v>
      </c>
      <c r="M262" s="7">
        <f t="shared" si="34"/>
        <v>-5.764694766238545</v>
      </c>
    </row>
    <row r="263" spans="4:13" x14ac:dyDescent="0.25">
      <c r="D263" s="1">
        <v>42019</v>
      </c>
      <c r="E263" s="3">
        <v>104.463604</v>
      </c>
      <c r="F263" s="3">
        <v>194.99616700000001</v>
      </c>
      <c r="G263" s="3">
        <f t="shared" si="28"/>
        <v>-2.9142659999999978</v>
      </c>
      <c r="H263" s="3">
        <f t="shared" si="29"/>
        <v>-1.8027949999999748</v>
      </c>
      <c r="I263" s="3">
        <f t="shared" si="32"/>
        <v>-2.9704145575396805</v>
      </c>
      <c r="J263" s="3">
        <f t="shared" si="33"/>
        <v>-1.8489974146825146</v>
      </c>
      <c r="K263" s="4">
        <f t="shared" si="30"/>
        <v>-2.9823595248031012</v>
      </c>
      <c r="L263" s="4">
        <f t="shared" si="31"/>
        <v>-1.8460182736790376</v>
      </c>
      <c r="M263" s="7">
        <f t="shared" si="34"/>
        <v>-4.2394962065701556</v>
      </c>
    </row>
    <row r="264" spans="4:13" x14ac:dyDescent="0.25">
      <c r="D264" s="1">
        <v>42018</v>
      </c>
      <c r="E264" s="3">
        <v>107.37787</v>
      </c>
      <c r="F264" s="3">
        <v>196.79896199999999</v>
      </c>
      <c r="G264" s="3">
        <f t="shared" si="28"/>
        <v>-0.41073299999999335</v>
      </c>
      <c r="H264" s="3">
        <f t="shared" si="29"/>
        <v>-1.195335</v>
      </c>
      <c r="I264" s="3">
        <f t="shared" si="32"/>
        <v>-0.46688155753967592</v>
      </c>
      <c r="J264" s="3">
        <f t="shared" si="33"/>
        <v>-1.2415374146825398</v>
      </c>
      <c r="K264" s="4">
        <f t="shared" si="30"/>
        <v>-0.44404848793748514</v>
      </c>
      <c r="L264" s="4">
        <f t="shared" si="31"/>
        <v>-1.2895948463892974</v>
      </c>
      <c r="M264" s="7">
        <f t="shared" si="34"/>
        <v>-2.9492618556120207</v>
      </c>
    </row>
    <row r="265" spans="4:13" x14ac:dyDescent="0.25">
      <c r="D265" s="1">
        <v>42017</v>
      </c>
      <c r="E265" s="3">
        <v>107.78860299999999</v>
      </c>
      <c r="F265" s="3">
        <v>197.99429699999999</v>
      </c>
      <c r="G265" s="3">
        <f t="shared" si="28"/>
        <v>0.94860299999999143</v>
      </c>
      <c r="H265" s="3">
        <f t="shared" si="29"/>
        <v>-0.55846800000000485</v>
      </c>
      <c r="I265" s="3">
        <f t="shared" si="32"/>
        <v>0.89245444246030892</v>
      </c>
      <c r="J265" s="3">
        <f t="shared" si="33"/>
        <v>-0.60467041468254445</v>
      </c>
      <c r="K265" s="4">
        <f t="shared" si="30"/>
        <v>0.82196213803030371</v>
      </c>
      <c r="L265" s="4">
        <f t="shared" si="31"/>
        <v>-0.50581799250447124</v>
      </c>
      <c r="M265" s="7">
        <f t="shared" si="34"/>
        <v>-3.0667014856976493</v>
      </c>
    </row>
    <row r="266" spans="4:13" x14ac:dyDescent="0.25">
      <c r="D266" s="1">
        <v>42016</v>
      </c>
      <c r="E266" s="3">
        <v>106.84</v>
      </c>
      <c r="F266" s="3">
        <v>198.55276499999999</v>
      </c>
      <c r="G266" s="3">
        <f t="shared" si="28"/>
        <v>-2.6991170000000011</v>
      </c>
      <c r="H266" s="3">
        <f t="shared" si="29"/>
        <v>-1.567656999999997</v>
      </c>
      <c r="I266" s="3">
        <f t="shared" si="32"/>
        <v>-2.7552655575396838</v>
      </c>
      <c r="J266" s="3">
        <f t="shared" si="33"/>
        <v>-1.6138594146825367</v>
      </c>
      <c r="K266" s="4">
        <f t="shared" si="30"/>
        <v>-2.7536996165859402</v>
      </c>
      <c r="L266" s="4">
        <f t="shared" si="31"/>
        <v>-1.640220414094383</v>
      </c>
      <c r="M266" s="7">
        <f t="shared" si="34"/>
        <v>-4.008092458042996</v>
      </c>
    </row>
    <row r="267" spans="4:13" x14ac:dyDescent="0.25">
      <c r="D267" s="1">
        <v>42013</v>
      </c>
      <c r="E267" s="3">
        <v>109.539117</v>
      </c>
      <c r="F267" s="3">
        <v>200.12042199999999</v>
      </c>
      <c r="G267" s="3">
        <f t="shared" si="28"/>
        <v>0.11735500000000343</v>
      </c>
      <c r="H267" s="3">
        <f t="shared" si="29"/>
        <v>-1.6166340000000048</v>
      </c>
      <c r="I267" s="3">
        <f t="shared" si="32"/>
        <v>6.1206442460320885E-2</v>
      </c>
      <c r="J267" s="3">
        <f t="shared" si="33"/>
        <v>-1.6628364146825445</v>
      </c>
      <c r="K267" s="4">
        <f t="shared" si="30"/>
        <v>0.16335349237788452</v>
      </c>
      <c r="L267" s="4">
        <f t="shared" si="31"/>
        <v>-1.7899660888701661</v>
      </c>
      <c r="M267" s="7">
        <f t="shared" si="34"/>
        <v>-3.6572736310977563</v>
      </c>
    </row>
    <row r="268" spans="4:13" x14ac:dyDescent="0.25">
      <c r="D268" s="1">
        <v>42012</v>
      </c>
      <c r="E268" s="3">
        <v>109.421762</v>
      </c>
      <c r="F268" s="3">
        <v>201.737056</v>
      </c>
      <c r="G268" s="3">
        <f t="shared" si="28"/>
        <v>4.048673000000008</v>
      </c>
      <c r="H268" s="3">
        <f t="shared" si="29"/>
        <v>3.5174130000000048</v>
      </c>
      <c r="I268" s="3">
        <f t="shared" si="32"/>
        <v>3.9925244424603252</v>
      </c>
      <c r="J268" s="3">
        <f t="shared" si="33"/>
        <v>3.4712105853174653</v>
      </c>
      <c r="K268" s="4">
        <f t="shared" si="30"/>
        <v>4.0283679347800208</v>
      </c>
      <c r="L268" s="4">
        <f t="shared" si="31"/>
        <v>3.4433214936150778</v>
      </c>
      <c r="M268" s="7">
        <f t="shared" si="34"/>
        <v>-5.7263251135332967</v>
      </c>
    </row>
    <row r="269" spans="4:13" x14ac:dyDescent="0.25">
      <c r="D269" s="1">
        <v>42011</v>
      </c>
      <c r="E269" s="3">
        <v>105.37308899999999</v>
      </c>
      <c r="F269" s="3">
        <v>198.21964299999999</v>
      </c>
      <c r="G269" s="3">
        <f t="shared" si="28"/>
        <v>1.4571289999999948</v>
      </c>
      <c r="H269" s="3">
        <f t="shared" si="29"/>
        <v>2.4396469999999795</v>
      </c>
      <c r="I269" s="3">
        <f t="shared" si="32"/>
        <v>1.4009804424603123</v>
      </c>
      <c r="J269" s="3">
        <f t="shared" si="33"/>
        <v>2.39344458531744</v>
      </c>
      <c r="K269" s="4">
        <f t="shared" si="30"/>
        <v>1.3997941736883188</v>
      </c>
      <c r="L269" s="4">
        <f t="shared" si="31"/>
        <v>2.3683548857846493</v>
      </c>
      <c r="M269" s="7">
        <f t="shared" si="34"/>
        <v>-3.5743306923187297</v>
      </c>
    </row>
    <row r="270" spans="4:13" x14ac:dyDescent="0.25">
      <c r="D270" s="1">
        <v>42010</v>
      </c>
      <c r="E270" s="3">
        <v>103.91596</v>
      </c>
      <c r="F270" s="3">
        <v>195.77999600000001</v>
      </c>
      <c r="G270" s="3">
        <f t="shared" si="28"/>
        <v>9.7820000000012897E-3</v>
      </c>
      <c r="H270" s="3">
        <f t="shared" si="29"/>
        <v>-1.8615789999999777</v>
      </c>
      <c r="I270" s="3">
        <f t="shared" si="32"/>
        <v>-4.6366557539681254E-2</v>
      </c>
      <c r="J270" s="3">
        <f t="shared" si="33"/>
        <v>-1.9077814146825174</v>
      </c>
      <c r="K270" s="4">
        <f t="shared" si="30"/>
        <v>-0.12486535073537683</v>
      </c>
      <c r="L270" s="4">
        <f t="shared" si="31"/>
        <v>-1.8245029711529239</v>
      </c>
      <c r="M270" s="7">
        <f t="shared" si="34"/>
        <v>-3.4944248700215659</v>
      </c>
    </row>
    <row r="271" spans="4:13" x14ac:dyDescent="0.25">
      <c r="D271" s="1">
        <v>42009</v>
      </c>
      <c r="E271" s="3">
        <v>103.906178</v>
      </c>
      <c r="F271" s="3">
        <v>197.64157499999999</v>
      </c>
      <c r="G271" s="3">
        <f t="shared" si="28"/>
        <v>-3.0120590000000078</v>
      </c>
      <c r="H271" s="3">
        <f t="shared" si="29"/>
        <v>-3.6349820000000079</v>
      </c>
      <c r="I271" s="3">
        <f t="shared" si="32"/>
        <v>-3.0682075575396905</v>
      </c>
      <c r="J271" s="3">
        <f t="shared" si="33"/>
        <v>-3.6811844146825474</v>
      </c>
      <c r="K271" s="4">
        <f t="shared" si="30"/>
        <v>-3.0959151828309301</v>
      </c>
      <c r="L271" s="4">
        <f t="shared" si="31"/>
        <v>-3.6354960914152437</v>
      </c>
      <c r="M271" s="7">
        <f t="shared" si="34"/>
        <v>-5.0713357619001957</v>
      </c>
    </row>
    <row r="272" spans="4:13" x14ac:dyDescent="0.25">
      <c r="D272" s="1">
        <v>42006</v>
      </c>
      <c r="E272" s="3">
        <v>106.918237</v>
      </c>
      <c r="F272" s="3">
        <v>201.276557</v>
      </c>
      <c r="G272" s="3">
        <f t="shared" si="28"/>
        <v>-1.0268329999999963</v>
      </c>
      <c r="H272" s="3">
        <f t="shared" si="29"/>
        <v>-0.10777699999999868</v>
      </c>
      <c r="I272" s="3">
        <f t="shared" si="32"/>
        <v>-1.0829815575396788</v>
      </c>
      <c r="J272" s="3">
        <f t="shared" si="33"/>
        <v>-0.15397941468253834</v>
      </c>
      <c r="K272" s="4">
        <f t="shared" si="30"/>
        <v>-1.1379612931842313</v>
      </c>
      <c r="L272" s="4">
        <f t="shared" si="31"/>
        <v>-8.834433937784783E-2</v>
      </c>
      <c r="M272" s="7">
        <f t="shared" si="34"/>
        <v>-2.9914647034564288</v>
      </c>
    </row>
    <row r="273" spans="4:13" x14ac:dyDescent="0.25">
      <c r="D273" s="1">
        <v>42004</v>
      </c>
      <c r="E273" s="3">
        <v>107.94507</v>
      </c>
      <c r="F273" s="3">
        <v>201.384334</v>
      </c>
      <c r="G273" s="3">
        <f t="shared" si="28"/>
        <v>-2.0927920000000029</v>
      </c>
      <c r="H273" s="3">
        <f t="shared" si="29"/>
        <v>-2.0183629999999937</v>
      </c>
      <c r="I273" s="3">
        <f t="shared" si="32"/>
        <v>-2.1489405575396856</v>
      </c>
      <c r="J273" s="3">
        <f t="shared" si="33"/>
        <v>-2.0645654146825332</v>
      </c>
      <c r="K273" s="4">
        <f t="shared" si="30"/>
        <v>-2.1851553361883154</v>
      </c>
      <c r="L273" s="4">
        <f t="shared" si="31"/>
        <v>-2.0182541184386653</v>
      </c>
      <c r="M273" s="7">
        <f t="shared" si="34"/>
        <v>-3.585679202230426</v>
      </c>
    </row>
    <row r="274" spans="4:13" x14ac:dyDescent="0.25">
      <c r="D274" s="1">
        <v>42003</v>
      </c>
      <c r="E274" s="3">
        <v>110.037862</v>
      </c>
      <c r="F274" s="3">
        <v>203.40269699999999</v>
      </c>
      <c r="G274" s="3">
        <f t="shared" si="28"/>
        <v>-1.359343999999993</v>
      </c>
      <c r="H274" s="3">
        <f t="shared" si="29"/>
        <v>-1.0973500000000058</v>
      </c>
      <c r="I274" s="3">
        <f t="shared" si="32"/>
        <v>-1.4154925575396755</v>
      </c>
      <c r="J274" s="3">
        <f t="shared" si="33"/>
        <v>-1.1435524146825455</v>
      </c>
      <c r="K274" s="4">
        <f t="shared" si="30"/>
        <v>-1.4189305505377467</v>
      </c>
      <c r="L274" s="4">
        <f t="shared" si="31"/>
        <v>-1.1343661811225225</v>
      </c>
      <c r="M274" s="7">
        <f t="shared" si="34"/>
        <v>-3.0066060509058135</v>
      </c>
    </row>
    <row r="275" spans="4:13" x14ac:dyDescent="0.25">
      <c r="D275" s="1">
        <v>42002</v>
      </c>
      <c r="E275" s="3">
        <v>111.397206</v>
      </c>
      <c r="F275" s="3">
        <v>204.500047</v>
      </c>
      <c r="G275" s="3">
        <f t="shared" si="28"/>
        <v>-7.8229000000007431E-2</v>
      </c>
      <c r="H275" s="3">
        <f t="shared" si="29"/>
        <v>0.27433700000000272</v>
      </c>
      <c r="I275" s="3">
        <f t="shared" si="32"/>
        <v>-0.13437755753968997</v>
      </c>
      <c r="J275" s="3">
        <f t="shared" si="33"/>
        <v>0.22813458531746306</v>
      </c>
      <c r="K275" s="4">
        <f t="shared" si="30"/>
        <v>-8.6274217244515228E-2</v>
      </c>
      <c r="L275" s="4">
        <f t="shared" si="31"/>
        <v>0.15369322882973779</v>
      </c>
      <c r="M275" s="7">
        <f t="shared" si="34"/>
        <v>-2.6471803983754754</v>
      </c>
    </row>
    <row r="276" spans="4:13" x14ac:dyDescent="0.25">
      <c r="D276" s="1">
        <v>41999</v>
      </c>
      <c r="E276" s="3">
        <v>111.475435</v>
      </c>
      <c r="F276" s="3">
        <v>204.22570999999999</v>
      </c>
      <c r="G276" s="3">
        <f t="shared" si="28"/>
        <v>1.936318</v>
      </c>
      <c r="H276" s="3">
        <f t="shared" si="29"/>
        <v>0.65645200000000159</v>
      </c>
      <c r="I276" s="3">
        <f t="shared" si="32"/>
        <v>1.8801694424603175</v>
      </c>
      <c r="J276" s="3">
        <f t="shared" si="33"/>
        <v>0.61024958531746198</v>
      </c>
      <c r="K276" s="4">
        <f t="shared" si="30"/>
        <v>1.8654722143020055</v>
      </c>
      <c r="L276" s="4">
        <f t="shared" si="31"/>
        <v>0.63526796516727024</v>
      </c>
      <c r="M276" s="7">
        <f t="shared" si="34"/>
        <v>-3.3615117420139669</v>
      </c>
    </row>
    <row r="277" spans="4:13" x14ac:dyDescent="0.25">
      <c r="D277" s="1">
        <v>41997</v>
      </c>
      <c r="E277" s="3">
        <v>109.539117</v>
      </c>
      <c r="F277" s="3">
        <v>203.56925799999999</v>
      </c>
      <c r="G277" s="3">
        <f t="shared" si="28"/>
        <v>-0.51830799999999044</v>
      </c>
      <c r="H277" s="3">
        <f t="shared" si="29"/>
        <v>1.9599999999996953E-2</v>
      </c>
      <c r="I277" s="3">
        <f t="shared" si="32"/>
        <v>-0.57445655753967295</v>
      </c>
      <c r="J277" s="3">
        <f t="shared" si="33"/>
        <v>-2.6602414682542701E-2</v>
      </c>
      <c r="K277" s="4">
        <f t="shared" si="30"/>
        <v>-0.58590119281089759</v>
      </c>
      <c r="L277" s="4">
        <f t="shared" si="31"/>
        <v>-3.5806845750763466E-3</v>
      </c>
      <c r="M277" s="7">
        <f t="shared" si="34"/>
        <v>-2.7368359102485673</v>
      </c>
    </row>
    <row r="278" spans="4:13" x14ac:dyDescent="0.25">
      <c r="D278" s="1">
        <v>41996</v>
      </c>
      <c r="E278" s="3">
        <v>110.05742499999999</v>
      </c>
      <c r="F278" s="3">
        <v>203.54965799999999</v>
      </c>
      <c r="G278" s="3">
        <f t="shared" si="28"/>
        <v>-0.391176999999999</v>
      </c>
      <c r="H278" s="3">
        <f t="shared" si="29"/>
        <v>0.27433800000000019</v>
      </c>
      <c r="I278" s="3">
        <f t="shared" si="32"/>
        <v>-0.44732555753968156</v>
      </c>
      <c r="J278" s="3">
        <f t="shared" si="33"/>
        <v>0.22813558531746053</v>
      </c>
      <c r="K278" s="4">
        <f t="shared" si="30"/>
        <v>-0.41973859205888808</v>
      </c>
      <c r="L278" s="4">
        <f t="shared" si="31"/>
        <v>0.19304917852908565</v>
      </c>
      <c r="M278" s="7">
        <f t="shared" si="34"/>
        <v>-2.7277086894072369</v>
      </c>
    </row>
    <row r="279" spans="4:13" x14ac:dyDescent="0.25">
      <c r="D279" s="1">
        <v>41995</v>
      </c>
      <c r="E279" s="3">
        <v>110.44860199999999</v>
      </c>
      <c r="F279" s="3">
        <v>203.27531999999999</v>
      </c>
      <c r="G279" s="3">
        <f t="shared" si="28"/>
        <v>1.1344139999999925</v>
      </c>
      <c r="H279" s="3">
        <f t="shared" si="29"/>
        <v>0.93078900000000431</v>
      </c>
      <c r="I279" s="3">
        <f t="shared" si="32"/>
        <v>1.07826544246031</v>
      </c>
      <c r="J279" s="3">
        <f t="shared" si="33"/>
        <v>0.8845865853174647</v>
      </c>
      <c r="K279" s="4">
        <f t="shared" si="30"/>
        <v>1.0550612656212255</v>
      </c>
      <c r="L279" s="4">
        <f t="shared" si="31"/>
        <v>0.93622207996231765</v>
      </c>
      <c r="M279" s="7">
        <f t="shared" si="34"/>
        <v>-2.8497365961740888</v>
      </c>
    </row>
    <row r="280" spans="4:13" x14ac:dyDescent="0.25">
      <c r="D280" s="1">
        <v>41992</v>
      </c>
      <c r="E280" s="3">
        <v>109.314188</v>
      </c>
      <c r="F280" s="3">
        <v>202.34453099999999</v>
      </c>
      <c r="G280" s="3">
        <f t="shared" si="28"/>
        <v>-0.8508109999999931</v>
      </c>
      <c r="H280" s="3">
        <f t="shared" si="29"/>
        <v>0.85731499999999983</v>
      </c>
      <c r="I280" s="3">
        <f t="shared" si="32"/>
        <v>-0.90695955753967561</v>
      </c>
      <c r="J280" s="3">
        <f t="shared" si="33"/>
        <v>0.81111258531746022</v>
      </c>
      <c r="K280" s="4">
        <f t="shared" si="30"/>
        <v>-0.82733072209682257</v>
      </c>
      <c r="L280" s="4">
        <f t="shared" si="31"/>
        <v>0.74202610562994042</v>
      </c>
      <c r="M280" s="7">
        <f t="shared" si="34"/>
        <v>-3.2269697439554226</v>
      </c>
    </row>
    <row r="281" spans="4:13" x14ac:dyDescent="0.25">
      <c r="D281" s="1">
        <v>41991</v>
      </c>
      <c r="E281" s="3">
        <v>110.16499899999999</v>
      </c>
      <c r="F281" s="3">
        <v>201.48721599999999</v>
      </c>
      <c r="G281" s="3">
        <f t="shared" si="28"/>
        <v>3.1685249999999883</v>
      </c>
      <c r="H281" s="3">
        <f t="shared" si="29"/>
        <v>4.8622799999999984</v>
      </c>
      <c r="I281" s="3">
        <f t="shared" si="32"/>
        <v>3.1123764424603055</v>
      </c>
      <c r="J281" s="3">
        <f t="shared" si="33"/>
        <v>4.8160775853174584</v>
      </c>
      <c r="K281" s="4">
        <f t="shared" si="30"/>
        <v>3.1774937312861797</v>
      </c>
      <c r="L281" s="4">
        <f t="shared" si="31"/>
        <v>4.7566804800968709</v>
      </c>
      <c r="M281" s="7">
        <f t="shared" si="34"/>
        <v>-6.4437214219572025</v>
      </c>
    </row>
    <row r="282" spans="4:13" x14ac:dyDescent="0.25">
      <c r="D282" s="1">
        <v>41990</v>
      </c>
      <c r="E282" s="3">
        <v>106.99647400000001</v>
      </c>
      <c r="F282" s="3">
        <v>196.62493599999999</v>
      </c>
      <c r="G282" s="3">
        <f t="shared" si="28"/>
        <v>2.6013260000000002</v>
      </c>
      <c r="H282" s="3">
        <f t="shared" si="29"/>
        <v>3.7806769999999972</v>
      </c>
      <c r="I282" s="3">
        <f t="shared" si="32"/>
        <v>2.5451774424603175</v>
      </c>
      <c r="J282" s="3">
        <f t="shared" si="33"/>
        <v>3.7344745853174577</v>
      </c>
      <c r="K282" s="4">
        <f t="shared" si="30"/>
        <v>2.5067109140010326</v>
      </c>
      <c r="L282" s="4">
        <f t="shared" si="31"/>
        <v>3.7781090602423912</v>
      </c>
      <c r="M282" s="7">
        <f t="shared" si="34"/>
        <v>-5.0352200700754972</v>
      </c>
    </row>
    <row r="283" spans="4:13" x14ac:dyDescent="0.25">
      <c r="D283" s="1">
        <v>41989</v>
      </c>
      <c r="E283" s="3">
        <v>104.39514800000001</v>
      </c>
      <c r="F283" s="3">
        <v>192.84425899999999</v>
      </c>
      <c r="G283" s="3">
        <f t="shared" si="28"/>
        <v>-1.4473559999999992</v>
      </c>
      <c r="H283" s="3">
        <f t="shared" si="29"/>
        <v>-1.5590380000000152</v>
      </c>
      <c r="I283" s="3">
        <f t="shared" si="32"/>
        <v>-1.5035045575396817</v>
      </c>
      <c r="J283" s="3">
        <f t="shared" si="33"/>
        <v>-1.605240414682555</v>
      </c>
      <c r="K283" s="4">
        <f t="shared" si="30"/>
        <v>-1.5424713668220082</v>
      </c>
      <c r="L283" s="4">
        <f t="shared" si="31"/>
        <v>-1.5576920848349363</v>
      </c>
      <c r="M283" s="7">
        <f t="shared" si="34"/>
        <v>-3.1432374080251666</v>
      </c>
    </row>
    <row r="284" spans="4:13" x14ac:dyDescent="0.25">
      <c r="D284" s="1">
        <v>41988</v>
      </c>
      <c r="E284" s="3">
        <v>105.84250400000001</v>
      </c>
      <c r="F284" s="3">
        <v>194.40329700000001</v>
      </c>
      <c r="G284" s="3">
        <f t="shared" si="28"/>
        <v>-1.4669099999999986</v>
      </c>
      <c r="H284" s="3">
        <f t="shared" si="29"/>
        <v>-1.3446819999999775</v>
      </c>
      <c r="I284" s="3">
        <f t="shared" si="32"/>
        <v>-1.5230585575396811</v>
      </c>
      <c r="J284" s="3">
        <f t="shared" si="33"/>
        <v>-1.3908844146825172</v>
      </c>
      <c r="K284" s="4">
        <f t="shared" si="30"/>
        <v>-1.571783247821579</v>
      </c>
      <c r="L284" s="4">
        <f t="shared" si="31"/>
        <v>-1.3530887001989962</v>
      </c>
      <c r="M284" s="7">
        <f t="shared" si="34"/>
        <v>-3.1058247151697262</v>
      </c>
    </row>
    <row r="285" spans="4:13" x14ac:dyDescent="0.25">
      <c r="D285" s="1">
        <v>41985</v>
      </c>
      <c r="E285" s="3">
        <v>107.309414</v>
      </c>
      <c r="F285" s="3">
        <v>195.74797899999999</v>
      </c>
      <c r="G285" s="3">
        <f t="shared" si="28"/>
        <v>-1.8483069999999913</v>
      </c>
      <c r="H285" s="3">
        <f t="shared" si="29"/>
        <v>-3.2155350000000169</v>
      </c>
      <c r="I285" s="3">
        <f t="shared" si="32"/>
        <v>-1.9044555575396738</v>
      </c>
      <c r="J285" s="3">
        <f t="shared" si="33"/>
        <v>-3.2617374146825564</v>
      </c>
      <c r="K285" s="4">
        <f t="shared" si="30"/>
        <v>-1.9141486214849766</v>
      </c>
      <c r="L285" s="4">
        <f t="shared" si="31"/>
        <v>-3.2313676226722921</v>
      </c>
      <c r="M285" s="7">
        <f t="shared" si="34"/>
        <v>-4.3849157910127303</v>
      </c>
    </row>
    <row r="286" spans="4:13" x14ac:dyDescent="0.25">
      <c r="D286" s="1">
        <v>41984</v>
      </c>
      <c r="E286" s="3">
        <v>109.157721</v>
      </c>
      <c r="F286" s="3">
        <v>198.963514</v>
      </c>
      <c r="G286" s="3">
        <f t="shared" si="28"/>
        <v>-0.32271500000000231</v>
      </c>
      <c r="H286" s="3">
        <f t="shared" si="29"/>
        <v>1.0036350000000027</v>
      </c>
      <c r="I286" s="3">
        <f t="shared" si="32"/>
        <v>-0.37886355753968487</v>
      </c>
      <c r="J286" s="3">
        <f t="shared" si="33"/>
        <v>0.95743258531746311</v>
      </c>
      <c r="K286" s="4">
        <f t="shared" si="30"/>
        <v>-0.43459407260288124</v>
      </c>
      <c r="L286" s="4">
        <f t="shared" si="31"/>
        <v>1.0071958246075738</v>
      </c>
      <c r="M286" s="7">
        <f t="shared" si="34"/>
        <v>-3.1415707719507342</v>
      </c>
    </row>
    <row r="287" spans="4:13" x14ac:dyDescent="0.25">
      <c r="D287" s="1">
        <v>41983</v>
      </c>
      <c r="E287" s="3">
        <v>109.480436</v>
      </c>
      <c r="F287" s="3">
        <v>197.959879</v>
      </c>
      <c r="G287" s="3">
        <f t="shared" si="28"/>
        <v>-2.1221370000000093</v>
      </c>
      <c r="H287" s="3">
        <f t="shared" si="29"/>
        <v>-3.2252740000000131</v>
      </c>
      <c r="I287" s="3">
        <f t="shared" si="32"/>
        <v>-2.178285557539692</v>
      </c>
      <c r="J287" s="3">
        <f t="shared" si="33"/>
        <v>-3.2714764146825526</v>
      </c>
      <c r="K287" s="4">
        <f t="shared" si="30"/>
        <v>-2.1366873262649606</v>
      </c>
      <c r="L287" s="4">
        <f t="shared" si="31"/>
        <v>-3.345956060807167</v>
      </c>
      <c r="M287" s="7">
        <f t="shared" si="34"/>
        <v>-4.5112098851868589</v>
      </c>
    </row>
    <row r="288" spans="4:13" x14ac:dyDescent="0.25">
      <c r="D288" s="1">
        <v>41982</v>
      </c>
      <c r="E288" s="3">
        <v>111.60257300000001</v>
      </c>
      <c r="F288" s="3">
        <v>201.18515300000001</v>
      </c>
      <c r="G288" s="3">
        <f t="shared" si="28"/>
        <v>1.6820590000000095</v>
      </c>
      <c r="H288" s="3">
        <f t="shared" si="29"/>
        <v>-0.13641599999999698</v>
      </c>
      <c r="I288" s="3">
        <f t="shared" si="32"/>
        <v>1.625910442460327</v>
      </c>
      <c r="J288" s="3">
        <f t="shared" si="33"/>
        <v>-0.18261841468253664</v>
      </c>
      <c r="K288" s="4">
        <f t="shared" si="30"/>
        <v>1.5594214591668987</v>
      </c>
      <c r="L288" s="4">
        <f t="shared" si="31"/>
        <v>-8.7650297095722168E-2</v>
      </c>
      <c r="M288" s="7">
        <f t="shared" si="34"/>
        <v>-3.4258220633051524</v>
      </c>
    </row>
    <row r="289" spans="4:13" x14ac:dyDescent="0.25">
      <c r="D289" s="1">
        <v>41981</v>
      </c>
      <c r="E289" s="3">
        <v>109.920514</v>
      </c>
      <c r="F289" s="3">
        <v>201.32156900000001</v>
      </c>
      <c r="G289" s="3">
        <f t="shared" si="28"/>
        <v>-2.5426429999999982</v>
      </c>
      <c r="H289" s="3">
        <f t="shared" si="29"/>
        <v>-1.3544210000000021</v>
      </c>
      <c r="I289" s="3">
        <f t="shared" si="32"/>
        <v>-2.5987915575396809</v>
      </c>
      <c r="J289" s="3">
        <f t="shared" si="33"/>
        <v>-1.4006234146825418</v>
      </c>
      <c r="K289" s="4">
        <f t="shared" si="30"/>
        <v>-2.6124879426215606</v>
      </c>
      <c r="L289" s="4">
        <f t="shared" si="31"/>
        <v>-1.3729004192847869</v>
      </c>
      <c r="M289" s="7">
        <f t="shared" si="34"/>
        <v>-3.8981153241529238</v>
      </c>
    </row>
    <row r="290" spans="4:13" x14ac:dyDescent="0.25">
      <c r="D290" s="1">
        <v>41978</v>
      </c>
      <c r="E290" s="3">
        <v>112.463157</v>
      </c>
      <c r="F290" s="3">
        <v>202.67599000000001</v>
      </c>
      <c r="G290" s="3">
        <f t="shared" si="28"/>
        <v>-0.47918900000000519</v>
      </c>
      <c r="H290" s="3">
        <f t="shared" si="29"/>
        <v>0.33129400000001397</v>
      </c>
      <c r="I290" s="3">
        <f t="shared" si="32"/>
        <v>-0.5353375575396877</v>
      </c>
      <c r="J290" s="3">
        <f t="shared" si="33"/>
        <v>0.28509158531747431</v>
      </c>
      <c r="K290" s="4">
        <f t="shared" si="30"/>
        <v>-0.54778303588734512</v>
      </c>
      <c r="L290" s="4">
        <f t="shared" si="31"/>
        <v>0.3027520031668583</v>
      </c>
      <c r="M290" s="7">
        <f t="shared" si="34"/>
        <v>-2.8125111976514821</v>
      </c>
    </row>
    <row r="291" spans="4:13" x14ac:dyDescent="0.25">
      <c r="D291" s="1">
        <v>41977</v>
      </c>
      <c r="E291" s="3">
        <v>112.942346</v>
      </c>
      <c r="F291" s="3">
        <v>202.344696</v>
      </c>
      <c r="G291" s="3">
        <f t="shared" si="28"/>
        <v>-0.43029599999999846</v>
      </c>
      <c r="H291" s="3">
        <f t="shared" si="29"/>
        <v>-0.22410899999999856</v>
      </c>
      <c r="I291" s="3">
        <f t="shared" si="32"/>
        <v>-0.48644455753968102</v>
      </c>
      <c r="J291" s="3">
        <f t="shared" si="33"/>
        <v>-0.27031141468253822</v>
      </c>
      <c r="K291" s="4">
        <f t="shared" si="30"/>
        <v>-0.45535478200654717</v>
      </c>
      <c r="L291" s="4">
        <f t="shared" si="31"/>
        <v>-0.31360250494949232</v>
      </c>
      <c r="M291" s="7">
        <f t="shared" si="34"/>
        <v>-2.6706495147906568</v>
      </c>
    </row>
    <row r="292" spans="4:13" x14ac:dyDescent="0.25">
      <c r="D292" s="1">
        <v>41976</v>
      </c>
      <c r="E292" s="3">
        <v>113.372642</v>
      </c>
      <c r="F292" s="3">
        <v>202.568805</v>
      </c>
      <c r="G292" s="3">
        <f t="shared" si="28"/>
        <v>1.2713250000000045</v>
      </c>
      <c r="H292" s="3">
        <f t="shared" si="29"/>
        <v>0.77952600000000416</v>
      </c>
      <c r="I292" s="3">
        <f t="shared" si="32"/>
        <v>1.215176442460322</v>
      </c>
      <c r="J292" s="3">
        <f t="shared" si="33"/>
        <v>0.73332358531746455</v>
      </c>
      <c r="K292" s="4">
        <f t="shared" si="30"/>
        <v>1.2027309641126647</v>
      </c>
      <c r="L292" s="4">
        <f t="shared" si="31"/>
        <v>0.77260807161439171</v>
      </c>
      <c r="M292" s="7">
        <f t="shared" si="34"/>
        <v>-2.8939046189380675</v>
      </c>
    </row>
    <row r="293" spans="4:13" x14ac:dyDescent="0.25">
      <c r="D293" s="1">
        <v>41975</v>
      </c>
      <c r="E293" s="3">
        <v>112.10131699999999</v>
      </c>
      <c r="F293" s="3">
        <v>201.78927899999999</v>
      </c>
      <c r="G293" s="3">
        <f t="shared" si="28"/>
        <v>-0.43029599999999846</v>
      </c>
      <c r="H293" s="3">
        <f t="shared" si="29"/>
        <v>1.2959589999999821</v>
      </c>
      <c r="I293" s="3">
        <f t="shared" si="32"/>
        <v>-0.48644455753968102</v>
      </c>
      <c r="J293" s="3">
        <f t="shared" si="33"/>
        <v>1.2497565853174424</v>
      </c>
      <c r="K293" s="4">
        <f t="shared" si="30"/>
        <v>-0.58445906156536553</v>
      </c>
      <c r="L293" s="4">
        <f t="shared" si="31"/>
        <v>1.3985077003742037</v>
      </c>
      <c r="M293" s="7">
        <f t="shared" si="34"/>
        <v>-3.5964678137148329</v>
      </c>
    </row>
    <row r="294" spans="4:13" x14ac:dyDescent="0.25">
      <c r="D294" s="1">
        <v>41974</v>
      </c>
      <c r="E294" s="3">
        <v>112.53161299999999</v>
      </c>
      <c r="F294" s="3">
        <v>200.49332000000001</v>
      </c>
      <c r="G294" s="3">
        <f t="shared" si="28"/>
        <v>-3.7748510000000124</v>
      </c>
      <c r="H294" s="3">
        <f t="shared" si="29"/>
        <v>-1.4031439999999975</v>
      </c>
      <c r="I294" s="3">
        <f t="shared" si="32"/>
        <v>-3.8309995575396951</v>
      </c>
      <c r="J294" s="3">
        <f t="shared" si="33"/>
        <v>-1.4493464146825372</v>
      </c>
      <c r="K294" s="4">
        <f t="shared" si="30"/>
        <v>-3.8341874868799772</v>
      </c>
      <c r="L294" s="4">
        <f t="shared" si="31"/>
        <v>-1.4505940709016327</v>
      </c>
      <c r="M294" s="7">
        <f t="shared" si="34"/>
        <v>-5.6146369963136165</v>
      </c>
    </row>
    <row r="295" spans="4:13" x14ac:dyDescent="0.25">
      <c r="D295" s="1">
        <v>41971</v>
      </c>
      <c r="E295" s="3">
        <v>116.30646400000001</v>
      </c>
      <c r="F295" s="3">
        <v>201.89646400000001</v>
      </c>
      <c r="G295" s="3">
        <f t="shared" si="28"/>
        <v>-6.8455000000000155E-2</v>
      </c>
      <c r="H295" s="3">
        <f t="shared" si="29"/>
        <v>-0.42874000000000478</v>
      </c>
      <c r="I295" s="3">
        <f t="shared" si="32"/>
        <v>-0.12460355753968269</v>
      </c>
      <c r="J295" s="3">
        <f t="shared" si="33"/>
        <v>-0.47494241468254444</v>
      </c>
      <c r="K295" s="4">
        <f t="shared" si="30"/>
        <v>-9.1011789446064431E-2</v>
      </c>
      <c r="L295" s="4">
        <f t="shared" si="31"/>
        <v>-0.52629963800335267</v>
      </c>
      <c r="M295" s="7">
        <f t="shared" si="34"/>
        <v>-2.6962131790599813</v>
      </c>
    </row>
    <row r="296" spans="4:13" x14ac:dyDescent="0.25">
      <c r="D296" s="1">
        <v>41969</v>
      </c>
      <c r="E296" s="3">
        <v>116.37491900000001</v>
      </c>
      <c r="F296" s="3">
        <v>202.32520400000001</v>
      </c>
      <c r="G296" s="3">
        <f t="shared" si="28"/>
        <v>1.3691180000000003</v>
      </c>
      <c r="H296" s="3">
        <f t="shared" si="29"/>
        <v>0.51643300000000636</v>
      </c>
      <c r="I296" s="3">
        <f t="shared" si="32"/>
        <v>1.3129694424603178</v>
      </c>
      <c r="J296" s="3">
        <f t="shared" si="33"/>
        <v>0.4702305853174667</v>
      </c>
      <c r="K296" s="4">
        <f t="shared" si="30"/>
        <v>1.2857621235766969</v>
      </c>
      <c r="L296" s="4">
        <f t="shared" si="31"/>
        <v>0.51450842398157637</v>
      </c>
      <c r="M296" s="7">
        <f t="shared" si="34"/>
        <v>-2.962972111864965</v>
      </c>
    </row>
    <row r="297" spans="4:13" x14ac:dyDescent="0.25">
      <c r="D297" s="1">
        <v>41968</v>
      </c>
      <c r="E297" s="3">
        <v>115.00580100000001</v>
      </c>
      <c r="F297" s="3">
        <v>201.80877100000001</v>
      </c>
      <c r="G297" s="3">
        <f t="shared" si="28"/>
        <v>-1.0072779999999995</v>
      </c>
      <c r="H297" s="3">
        <f t="shared" si="29"/>
        <v>-0.14615499999999315</v>
      </c>
      <c r="I297" s="3">
        <f t="shared" si="32"/>
        <v>-1.063426557539682</v>
      </c>
      <c r="J297" s="3">
        <f t="shared" si="33"/>
        <v>-0.19235741468253281</v>
      </c>
      <c r="K297" s="4">
        <f t="shared" si="30"/>
        <v>-1.010819564115734</v>
      </c>
      <c r="L297" s="4">
        <f t="shared" si="31"/>
        <v>-0.27587983802863358</v>
      </c>
      <c r="M297" s="7">
        <f t="shared" si="34"/>
        <v>-2.8609673835898888</v>
      </c>
    </row>
    <row r="298" spans="4:13" x14ac:dyDescent="0.25">
      <c r="D298" s="1">
        <v>41967</v>
      </c>
      <c r="E298" s="3">
        <v>116.013079</v>
      </c>
      <c r="F298" s="3">
        <v>201.954926</v>
      </c>
      <c r="G298" s="3">
        <f t="shared" si="28"/>
        <v>2.1123480000000114</v>
      </c>
      <c r="H298" s="3">
        <f t="shared" si="29"/>
        <v>0.56515600000000177</v>
      </c>
      <c r="I298" s="3">
        <f t="shared" si="32"/>
        <v>2.0561994424603287</v>
      </c>
      <c r="J298" s="3">
        <f t="shared" si="33"/>
        <v>0.51895358531746216</v>
      </c>
      <c r="K298" s="4">
        <f t="shared" si="30"/>
        <v>2.0587662264905049</v>
      </c>
      <c r="L298" s="4">
        <f t="shared" si="31"/>
        <v>0.52910854758045256</v>
      </c>
      <c r="M298" s="7">
        <f t="shared" si="34"/>
        <v>-3.5929734457085196</v>
      </c>
    </row>
    <row r="299" spans="4:13" x14ac:dyDescent="0.25">
      <c r="D299" s="1">
        <v>41964</v>
      </c>
      <c r="E299" s="3">
        <v>113.90073099999999</v>
      </c>
      <c r="F299" s="3">
        <v>201.38977</v>
      </c>
      <c r="G299" s="3">
        <f t="shared" si="28"/>
        <v>0.15647399999998868</v>
      </c>
      <c r="H299" s="3">
        <f t="shared" si="29"/>
        <v>1.071834999999993</v>
      </c>
      <c r="I299" s="3">
        <f t="shared" si="32"/>
        <v>0.10032544246030614</v>
      </c>
      <c r="J299" s="3">
        <f t="shared" si="33"/>
        <v>1.0256325853174533</v>
      </c>
      <c r="K299" s="4">
        <f t="shared" si="30"/>
        <v>0.13992201316674921</v>
      </c>
      <c r="L299" s="4">
        <f t="shared" si="31"/>
        <v>0.96154261115569384</v>
      </c>
      <c r="M299" s="7">
        <f t="shared" si="34"/>
        <v>-2.8504023527466873</v>
      </c>
    </row>
    <row r="300" spans="4:13" x14ac:dyDescent="0.25">
      <c r="D300" s="1">
        <v>41963</v>
      </c>
      <c r="E300" s="3">
        <v>113.744257</v>
      </c>
      <c r="F300" s="3">
        <v>200.31793500000001</v>
      </c>
      <c r="G300" s="3">
        <f t="shared" si="28"/>
        <v>1.6038220000000081</v>
      </c>
      <c r="H300" s="3">
        <f t="shared" si="29"/>
        <v>0.35078599999999938</v>
      </c>
      <c r="I300" s="3">
        <f t="shared" si="32"/>
        <v>1.5476734424603256</v>
      </c>
      <c r="J300" s="3">
        <f t="shared" si="33"/>
        <v>0.30458358531745972</v>
      </c>
      <c r="K300" s="4">
        <f t="shared" si="30"/>
        <v>1.5262206578551221</v>
      </c>
      <c r="L300" s="4">
        <f t="shared" si="31"/>
        <v>0.33642239347217245</v>
      </c>
      <c r="M300" s="7">
        <f t="shared" si="34"/>
        <v>-3.1810852282085671</v>
      </c>
    </row>
    <row r="301" spans="4:13" x14ac:dyDescent="0.25">
      <c r="D301" s="1">
        <v>41962</v>
      </c>
      <c r="E301" s="3">
        <v>112.140435</v>
      </c>
      <c r="F301" s="3">
        <v>199.96714900000001</v>
      </c>
      <c r="G301" s="3">
        <f t="shared" si="28"/>
        <v>-0.78235600000000716</v>
      </c>
      <c r="H301" s="3">
        <f t="shared" si="29"/>
        <v>-0.32155499999998938</v>
      </c>
      <c r="I301" s="3">
        <f t="shared" si="32"/>
        <v>-0.83850455753968967</v>
      </c>
      <c r="J301" s="3">
        <f t="shared" si="33"/>
        <v>-0.36775741468252904</v>
      </c>
      <c r="K301" s="4">
        <f t="shared" si="30"/>
        <v>-0.80291110329320581</v>
      </c>
      <c r="L301" s="4">
        <f t="shared" si="31"/>
        <v>-0.41356339150069349</v>
      </c>
      <c r="M301" s="7">
        <f t="shared" si="34"/>
        <v>-2.7532801354824796</v>
      </c>
    </row>
    <row r="302" spans="4:13" x14ac:dyDescent="0.25">
      <c r="D302" s="1">
        <v>41961</v>
      </c>
      <c r="E302" s="3">
        <v>112.922791</v>
      </c>
      <c r="F302" s="3">
        <v>200.288704</v>
      </c>
      <c r="G302" s="3">
        <f t="shared" si="28"/>
        <v>1.4473559999999992</v>
      </c>
      <c r="H302" s="3">
        <f t="shared" si="29"/>
        <v>1.1498039999999889</v>
      </c>
      <c r="I302" s="3">
        <f t="shared" si="32"/>
        <v>1.3912074424603167</v>
      </c>
      <c r="J302" s="3">
        <f t="shared" si="33"/>
        <v>1.1036015853174492</v>
      </c>
      <c r="K302" s="4">
        <f t="shared" si="30"/>
        <v>1.3850169838907365</v>
      </c>
      <c r="L302" s="4">
        <f t="shared" si="31"/>
        <v>1.1154433112969349</v>
      </c>
      <c r="M302" s="7">
        <f t="shared" si="34"/>
        <v>-2.9898756428372724</v>
      </c>
    </row>
    <row r="303" spans="4:13" x14ac:dyDescent="0.25">
      <c r="D303" s="1">
        <v>41960</v>
      </c>
      <c r="E303" s="3">
        <v>111.475435</v>
      </c>
      <c r="F303" s="3">
        <v>199.13890000000001</v>
      </c>
      <c r="G303" s="3">
        <f t="shared" si="28"/>
        <v>-0.18581199999999853</v>
      </c>
      <c r="H303" s="3">
        <f t="shared" si="29"/>
        <v>0.12666300000000774</v>
      </c>
      <c r="I303" s="3">
        <f t="shared" si="32"/>
        <v>-0.24196055753968107</v>
      </c>
      <c r="J303" s="3">
        <f t="shared" si="33"/>
        <v>8.0460585317468081E-2</v>
      </c>
      <c r="K303" s="4">
        <f t="shared" si="30"/>
        <v>-0.20936960693791845</v>
      </c>
      <c r="L303" s="4">
        <f t="shared" si="31"/>
        <v>2.4179261619504469E-2</v>
      </c>
      <c r="M303" s="7">
        <f t="shared" si="34"/>
        <v>-2.6486560469537919</v>
      </c>
    </row>
    <row r="304" spans="4:13" x14ac:dyDescent="0.25">
      <c r="D304" s="1">
        <v>41957</v>
      </c>
      <c r="E304" s="3">
        <v>111.661247</v>
      </c>
      <c r="F304" s="3">
        <v>199.012237</v>
      </c>
      <c r="G304" s="3">
        <f t="shared" si="28"/>
        <v>1.3299999999999983</v>
      </c>
      <c r="H304" s="3">
        <f t="shared" si="29"/>
        <v>4.8722999999995409E-2</v>
      </c>
      <c r="I304" s="3">
        <f t="shared" si="32"/>
        <v>1.2738514424603158</v>
      </c>
      <c r="J304" s="3">
        <f t="shared" si="33"/>
        <v>2.5205853174557549E-3</v>
      </c>
      <c r="K304" s="4">
        <f t="shared" si="30"/>
        <v>1.3116965953483002</v>
      </c>
      <c r="L304" s="4">
        <f t="shared" si="31"/>
        <v>-6.0345009966078715E-2</v>
      </c>
      <c r="M304" s="7">
        <f t="shared" si="34"/>
        <v>-3.1869379149103851</v>
      </c>
    </row>
    <row r="305" spans="4:13" x14ac:dyDescent="0.25">
      <c r="D305" s="1">
        <v>41956</v>
      </c>
      <c r="E305" s="3">
        <v>110.331247</v>
      </c>
      <c r="F305" s="3">
        <v>198.963514</v>
      </c>
      <c r="G305" s="3">
        <f t="shared" si="28"/>
        <v>1.5353660000000104</v>
      </c>
      <c r="H305" s="3">
        <f t="shared" si="29"/>
        <v>0.22410899999999856</v>
      </c>
      <c r="I305" s="3">
        <f t="shared" si="32"/>
        <v>1.4792174424603279</v>
      </c>
      <c r="J305" s="3">
        <f t="shared" si="33"/>
        <v>0.1779065853174589</v>
      </c>
      <c r="K305" s="4">
        <f t="shared" si="30"/>
        <v>1.5165622889406931</v>
      </c>
      <c r="L305" s="4">
        <f t="shared" si="31"/>
        <v>0.10966805175954865</v>
      </c>
      <c r="M305" s="7">
        <f t="shared" si="34"/>
        <v>-3.2735194616146326</v>
      </c>
    </row>
    <row r="306" spans="4:13" x14ac:dyDescent="0.25">
      <c r="D306" s="1">
        <v>41955</v>
      </c>
      <c r="E306" s="3">
        <v>108.79588099999999</v>
      </c>
      <c r="F306" s="3">
        <v>198.739405</v>
      </c>
      <c r="G306" s="3">
        <f t="shared" si="28"/>
        <v>1.5158109999999994</v>
      </c>
      <c r="H306" s="3">
        <f t="shared" si="29"/>
        <v>-0.21435499999998342</v>
      </c>
      <c r="I306" s="3">
        <f t="shared" si="32"/>
        <v>1.4596624424603168</v>
      </c>
      <c r="J306" s="3">
        <f t="shared" si="33"/>
        <v>-0.26055741468252308</v>
      </c>
      <c r="K306" s="4">
        <f t="shared" si="30"/>
        <v>1.4799933659945599</v>
      </c>
      <c r="L306" s="4">
        <f t="shared" si="31"/>
        <v>-0.29357425823257866</v>
      </c>
      <c r="M306" s="7">
        <f t="shared" si="34"/>
        <v>-3.4861586571685503</v>
      </c>
    </row>
    <row r="307" spans="4:13" x14ac:dyDescent="0.25">
      <c r="D307" s="1">
        <v>41954</v>
      </c>
      <c r="E307" s="3">
        <v>107.28006999999999</v>
      </c>
      <c r="F307" s="3">
        <v>198.95375999999999</v>
      </c>
      <c r="G307" s="3">
        <f t="shared" si="28"/>
        <v>0.85080399999999656</v>
      </c>
      <c r="H307" s="3">
        <f t="shared" si="29"/>
        <v>0.19487699999999109</v>
      </c>
      <c r="I307" s="3">
        <f t="shared" si="32"/>
        <v>0.79465544246031405</v>
      </c>
      <c r="J307" s="3">
        <f t="shared" si="33"/>
        <v>0.14867458531745142</v>
      </c>
      <c r="K307" s="4">
        <f t="shared" si="30"/>
        <v>0.78871525222514072</v>
      </c>
      <c r="L307" s="4">
        <f t="shared" si="31"/>
        <v>0.16715339234780846</v>
      </c>
      <c r="M307" s="7">
        <f t="shared" si="34"/>
        <v>-2.7809014302049775</v>
      </c>
    </row>
    <row r="308" spans="4:13" x14ac:dyDescent="0.25">
      <c r="D308" s="1">
        <v>41953</v>
      </c>
      <c r="E308" s="3">
        <v>106.429266</v>
      </c>
      <c r="F308" s="3">
        <v>198.758883</v>
      </c>
      <c r="G308" s="3">
        <f t="shared" si="28"/>
        <v>-0.17602999999999724</v>
      </c>
      <c r="H308" s="3">
        <f t="shared" si="29"/>
        <v>0.62361799999999334</v>
      </c>
      <c r="I308" s="3">
        <f t="shared" si="32"/>
        <v>-0.23217855753967978</v>
      </c>
      <c r="J308" s="3">
        <f t="shared" si="33"/>
        <v>0.57741558531745374</v>
      </c>
      <c r="K308" s="4">
        <f t="shared" si="30"/>
        <v>-0.22585869512275639</v>
      </c>
      <c r="L308" s="4">
        <f t="shared" si="31"/>
        <v>0.56847133310253128</v>
      </c>
      <c r="M308" s="7">
        <f t="shared" si="34"/>
        <v>-2.7882749773725761</v>
      </c>
    </row>
    <row r="309" spans="4:13" x14ac:dyDescent="0.25">
      <c r="D309" s="1">
        <v>41950</v>
      </c>
      <c r="E309" s="3">
        <v>106.605296</v>
      </c>
      <c r="F309" s="3">
        <v>198.135265</v>
      </c>
      <c r="G309" s="3">
        <f t="shared" si="28"/>
        <v>0.30316700000000196</v>
      </c>
      <c r="H309" s="3">
        <f t="shared" si="29"/>
        <v>0.18513899999999239</v>
      </c>
      <c r="I309" s="3">
        <f t="shared" si="32"/>
        <v>0.24701844246031943</v>
      </c>
      <c r="J309" s="3">
        <f t="shared" si="33"/>
        <v>0.13893658531745273</v>
      </c>
      <c r="K309" s="4">
        <f t="shared" si="30"/>
        <v>0.25333802344689299</v>
      </c>
      <c r="L309" s="4">
        <f t="shared" si="31"/>
        <v>0.13858694939729388</v>
      </c>
      <c r="M309" s="7">
        <f t="shared" si="34"/>
        <v>-2.6450661661649906</v>
      </c>
    </row>
    <row r="310" spans="4:13" x14ac:dyDescent="0.25">
      <c r="D310" s="1">
        <v>41949</v>
      </c>
      <c r="E310" s="3">
        <v>106.30212899999999</v>
      </c>
      <c r="F310" s="3">
        <v>197.95012600000001</v>
      </c>
      <c r="G310" s="3">
        <f t="shared" si="28"/>
        <v>0.3031559999999871</v>
      </c>
      <c r="H310" s="3">
        <f t="shared" si="29"/>
        <v>0.78926500000000033</v>
      </c>
      <c r="I310" s="3">
        <f t="shared" si="32"/>
        <v>0.24700744246030457</v>
      </c>
      <c r="J310" s="3">
        <f t="shared" si="33"/>
        <v>0.74306258531746072</v>
      </c>
      <c r="K310" s="4">
        <f t="shared" si="30"/>
        <v>0.25204812718517322</v>
      </c>
      <c r="L310" s="4">
        <f t="shared" si="31"/>
        <v>0.75129909436853826</v>
      </c>
      <c r="M310" s="7">
        <f t="shared" si="34"/>
        <v>-2.7413577159728009</v>
      </c>
    </row>
    <row r="311" spans="4:13" x14ac:dyDescent="0.25">
      <c r="D311" s="1">
        <v>41948</v>
      </c>
      <c r="E311" s="3">
        <v>105.99897300000001</v>
      </c>
      <c r="F311" s="3">
        <v>197.16086100000001</v>
      </c>
      <c r="G311" s="3">
        <f t="shared" si="28"/>
        <v>0.25316899999999976</v>
      </c>
      <c r="H311" s="3">
        <f t="shared" si="29"/>
        <v>1.237482</v>
      </c>
      <c r="I311" s="3">
        <f t="shared" si="32"/>
        <v>0.19702044246031722</v>
      </c>
      <c r="J311" s="3">
        <f t="shared" si="33"/>
        <v>1.1912795853174603</v>
      </c>
      <c r="K311" s="4">
        <f t="shared" si="30"/>
        <v>0.17565408255697737</v>
      </c>
      <c r="L311" s="4">
        <f t="shared" si="31"/>
        <v>1.2178403222473138</v>
      </c>
      <c r="M311" s="7">
        <f t="shared" si="34"/>
        <v>-2.9821270532339059</v>
      </c>
    </row>
    <row r="312" spans="4:13" x14ac:dyDescent="0.25">
      <c r="D312" s="1">
        <v>41947</v>
      </c>
      <c r="E312" s="3">
        <v>105.74580400000001</v>
      </c>
      <c r="F312" s="3">
        <v>195.92337900000001</v>
      </c>
      <c r="G312" s="3">
        <f t="shared" si="28"/>
        <v>-0.77897799999999506</v>
      </c>
      <c r="H312" s="3">
        <f t="shared" si="29"/>
        <v>-0.68207999999998492</v>
      </c>
      <c r="I312" s="3">
        <f t="shared" si="32"/>
        <v>-0.83512655753967757</v>
      </c>
      <c r="J312" s="3">
        <f t="shared" si="33"/>
        <v>-0.72828241468252453</v>
      </c>
      <c r="K312" s="4">
        <f t="shared" si="30"/>
        <v>-0.80168601988203136</v>
      </c>
      <c r="L312" s="4">
        <f t="shared" si="31"/>
        <v>-0.78520016098749335</v>
      </c>
      <c r="M312" s="7">
        <f t="shared" si="34"/>
        <v>-2.7673447614931557</v>
      </c>
    </row>
    <row r="313" spans="4:13" x14ac:dyDescent="0.25">
      <c r="D313" s="1">
        <v>41946</v>
      </c>
      <c r="E313" s="3">
        <v>106.524782</v>
      </c>
      <c r="F313" s="3">
        <v>196.605459</v>
      </c>
      <c r="G313" s="3">
        <f t="shared" si="28"/>
        <v>1.3632070000000027</v>
      </c>
      <c r="H313" s="3">
        <f t="shared" si="29"/>
        <v>0.10718499999998699</v>
      </c>
      <c r="I313" s="3">
        <f t="shared" si="32"/>
        <v>1.3070584424603202</v>
      </c>
      <c r="J313" s="3">
        <f t="shared" si="33"/>
        <v>6.0982585317447331E-2</v>
      </c>
      <c r="K313" s="4">
        <f t="shared" si="30"/>
        <v>1.3310322516072057</v>
      </c>
      <c r="L313" s="4">
        <f t="shared" si="31"/>
        <v>5.0503005269113541E-2</v>
      </c>
      <c r="M313" s="7">
        <f t="shared" si="34"/>
        <v>-3.1473522934321929</v>
      </c>
    </row>
    <row r="314" spans="4:13" x14ac:dyDescent="0.25">
      <c r="D314" s="1">
        <v>41943</v>
      </c>
      <c r="E314" s="3">
        <v>105.161575</v>
      </c>
      <c r="F314" s="3">
        <v>196.49827400000001</v>
      </c>
      <c r="G314" s="3">
        <f t="shared" si="28"/>
        <v>0.99318999999999846</v>
      </c>
      <c r="H314" s="3">
        <f t="shared" si="29"/>
        <v>2.2216400000000078</v>
      </c>
      <c r="I314" s="3">
        <f t="shared" si="32"/>
        <v>0.93704144246031595</v>
      </c>
      <c r="J314" s="3">
        <f t="shared" si="33"/>
        <v>2.1754375853174683</v>
      </c>
      <c r="K314" s="4">
        <f t="shared" si="30"/>
        <v>0.92663669233036816</v>
      </c>
      <c r="L314" s="4">
        <f t="shared" si="31"/>
        <v>2.2103640278136685</v>
      </c>
      <c r="M314" s="7">
        <f t="shared" si="34"/>
        <v>-3.5095035268363102</v>
      </c>
    </row>
    <row r="315" spans="4:13" x14ac:dyDescent="0.25">
      <c r="D315" s="1">
        <v>41942</v>
      </c>
      <c r="E315" s="3">
        <v>104.168385</v>
      </c>
      <c r="F315" s="3">
        <v>194.276634</v>
      </c>
      <c r="G315" s="3">
        <f t="shared" si="28"/>
        <v>-0.35053200000000118</v>
      </c>
      <c r="H315" s="3">
        <f t="shared" si="29"/>
        <v>1.2374969999999905</v>
      </c>
      <c r="I315" s="3">
        <f t="shared" si="32"/>
        <v>-0.40668055753968374</v>
      </c>
      <c r="J315" s="3">
        <f t="shared" si="33"/>
        <v>1.1912945853174508</v>
      </c>
      <c r="K315" s="4">
        <f t="shared" si="30"/>
        <v>-0.39316984267897692</v>
      </c>
      <c r="L315" s="4">
        <f t="shared" si="31"/>
        <v>1.1631322790093559</v>
      </c>
      <c r="M315" s="7">
        <f t="shared" si="34"/>
        <v>-3.2342248087962098</v>
      </c>
    </row>
    <row r="316" spans="4:13" x14ac:dyDescent="0.25">
      <c r="D316" s="1">
        <v>41941</v>
      </c>
      <c r="E316" s="3">
        <v>104.518917</v>
      </c>
      <c r="F316" s="3">
        <v>193.03913700000001</v>
      </c>
      <c r="G316" s="3">
        <f t="shared" si="28"/>
        <v>0.58422900000000766</v>
      </c>
      <c r="H316" s="3">
        <f t="shared" si="29"/>
        <v>-0.29232399999997938</v>
      </c>
      <c r="I316" s="3">
        <f t="shared" si="32"/>
        <v>0.52808044246032515</v>
      </c>
      <c r="J316" s="3">
        <f t="shared" si="33"/>
        <v>-0.33852641468251904</v>
      </c>
      <c r="K316" s="4">
        <f t="shared" si="30"/>
        <v>0.56725067177190391</v>
      </c>
      <c r="L316" s="4">
        <f t="shared" si="31"/>
        <v>-0.37568126364229826</v>
      </c>
      <c r="M316" s="7">
        <f t="shared" si="34"/>
        <v>-2.8508041871004881</v>
      </c>
    </row>
    <row r="317" spans="4:13" x14ac:dyDescent="0.25">
      <c r="D317" s="1">
        <v>41940</v>
      </c>
      <c r="E317" s="3">
        <v>103.93468799999999</v>
      </c>
      <c r="F317" s="3">
        <v>193.33146099999999</v>
      </c>
      <c r="G317" s="3">
        <f t="shared" si="28"/>
        <v>1.5871579999999881</v>
      </c>
      <c r="H317" s="3">
        <f t="shared" si="29"/>
        <v>2.1924080000000004</v>
      </c>
      <c r="I317" s="3">
        <f t="shared" si="32"/>
        <v>1.5310094424603056</v>
      </c>
      <c r="J317" s="3">
        <f t="shared" si="33"/>
        <v>2.1462055853174609</v>
      </c>
      <c r="K317" s="4">
        <f t="shared" si="30"/>
        <v>1.5268325668720002</v>
      </c>
      <c r="L317" s="4">
        <f t="shared" si="31"/>
        <v>2.1490234907241965</v>
      </c>
      <c r="M317" s="7">
        <f t="shared" si="34"/>
        <v>-3.419782612622388</v>
      </c>
    </row>
    <row r="318" spans="4:13" x14ac:dyDescent="0.25">
      <c r="D318" s="1">
        <v>41939</v>
      </c>
      <c r="E318" s="3">
        <v>102.34753000000001</v>
      </c>
      <c r="F318" s="3">
        <v>191.13905299999999</v>
      </c>
      <c r="G318" s="3">
        <f t="shared" si="28"/>
        <v>-0.10710899999999413</v>
      </c>
      <c r="H318" s="3">
        <f t="shared" si="29"/>
        <v>-0.26307800000000725</v>
      </c>
      <c r="I318" s="3">
        <f t="shared" si="32"/>
        <v>-0.16325755753967666</v>
      </c>
      <c r="J318" s="3">
        <f t="shared" si="33"/>
        <v>-0.30928041468254691</v>
      </c>
      <c r="K318" s="4">
        <f t="shared" si="30"/>
        <v>-0.15497837702977085</v>
      </c>
      <c r="L318" s="4">
        <f t="shared" si="31"/>
        <v>-0.30345170190058074</v>
      </c>
      <c r="M318" s="7">
        <f t="shared" si="34"/>
        <v>-2.6490118108531577</v>
      </c>
    </row>
    <row r="319" spans="4:13" x14ac:dyDescent="0.25">
      <c r="D319" s="1">
        <v>41936</v>
      </c>
      <c r="E319" s="3">
        <v>102.454639</v>
      </c>
      <c r="F319" s="3">
        <v>191.402131</v>
      </c>
      <c r="G319" s="3">
        <f t="shared" si="28"/>
        <v>0.37974900000000389</v>
      </c>
      <c r="H319" s="3">
        <f t="shared" si="29"/>
        <v>1.4616059999999891</v>
      </c>
      <c r="I319" s="3">
        <f t="shared" si="32"/>
        <v>0.32360044246032132</v>
      </c>
      <c r="J319" s="3">
        <f t="shared" si="33"/>
        <v>1.4154035853174494</v>
      </c>
      <c r="K319" s="4">
        <f t="shared" si="30"/>
        <v>0.36800241079931911</v>
      </c>
      <c r="L319" s="4">
        <f t="shared" si="31"/>
        <v>1.3690695449049179</v>
      </c>
      <c r="M319" s="7">
        <f t="shared" si="34"/>
        <v>-3.0160363473806355</v>
      </c>
    </row>
    <row r="320" spans="4:13" x14ac:dyDescent="0.25">
      <c r="D320" s="1">
        <v>41935</v>
      </c>
      <c r="E320" s="3">
        <v>102.07489</v>
      </c>
      <c r="F320" s="3">
        <v>189.94052500000001</v>
      </c>
      <c r="G320" s="3">
        <f t="shared" si="28"/>
        <v>1.7916460000000001</v>
      </c>
      <c r="H320" s="3">
        <f t="shared" si="29"/>
        <v>2.1826550000000111</v>
      </c>
      <c r="I320" s="3">
        <f t="shared" si="32"/>
        <v>1.7354974424603176</v>
      </c>
      <c r="J320" s="3">
        <f t="shared" si="33"/>
        <v>2.1364525853174716</v>
      </c>
      <c r="K320" s="4">
        <f t="shared" si="30"/>
        <v>1.7470151443398374</v>
      </c>
      <c r="L320" s="4">
        <f t="shared" si="31"/>
        <v>2.0967636516692081</v>
      </c>
      <c r="M320" s="7">
        <f t="shared" si="34"/>
        <v>-3.4331353405983869</v>
      </c>
    </row>
    <row r="321" spans="4:13" x14ac:dyDescent="0.25">
      <c r="D321" s="1">
        <v>41934</v>
      </c>
      <c r="E321" s="3">
        <v>100.283244</v>
      </c>
      <c r="F321" s="3">
        <v>187.75787</v>
      </c>
      <c r="G321" s="3">
        <f t="shared" si="28"/>
        <v>0.50632999999999129</v>
      </c>
      <c r="H321" s="3">
        <f t="shared" si="29"/>
        <v>-1.3446820000000059</v>
      </c>
      <c r="I321" s="3">
        <f t="shared" si="32"/>
        <v>0.45018144246030872</v>
      </c>
      <c r="J321" s="3">
        <f t="shared" si="33"/>
        <v>-1.3908844146825456</v>
      </c>
      <c r="K321" s="4">
        <f t="shared" si="30"/>
        <v>0.5162568737032287</v>
      </c>
      <c r="L321" s="4">
        <f t="shared" si="31"/>
        <v>-1.4534617756455472</v>
      </c>
      <c r="M321" s="7">
        <f t="shared" si="34"/>
        <v>-3.5928944985036755</v>
      </c>
    </row>
    <row r="322" spans="4:13" x14ac:dyDescent="0.25">
      <c r="D322" s="1">
        <v>41933</v>
      </c>
      <c r="E322" s="3">
        <v>99.776914000000005</v>
      </c>
      <c r="F322" s="3">
        <v>189.102552</v>
      </c>
      <c r="G322" s="3">
        <f t="shared" ref="G322:G385" si="35">E322-E323</f>
        <v>2.6387760000000071</v>
      </c>
      <c r="H322" s="3">
        <f t="shared" ref="H322:H385" si="36">F322-F323</f>
        <v>3.6735060000000033</v>
      </c>
      <c r="I322" s="3">
        <f t="shared" si="32"/>
        <v>2.5826274424603244</v>
      </c>
      <c r="J322" s="3">
        <f t="shared" si="33"/>
        <v>3.6273035853174638</v>
      </c>
      <c r="K322" s="4">
        <f t="shared" ref="K322:K385" si="37">I322-A$11*I323</f>
        <v>2.6332574388484273</v>
      </c>
      <c r="L322" s="4">
        <f t="shared" ref="L322:L385" si="38">J322-A$12*I323-B$12*J323</f>
        <v>3.5645244174100124</v>
      </c>
      <c r="M322" s="7">
        <f t="shared" si="34"/>
        <v>-4.8208447271759409</v>
      </c>
    </row>
    <row r="323" spans="4:13" x14ac:dyDescent="0.25">
      <c r="D323" s="1">
        <v>41932</v>
      </c>
      <c r="E323" s="3">
        <v>97.138137999999998</v>
      </c>
      <c r="F323" s="3">
        <v>185.429046</v>
      </c>
      <c r="G323" s="3">
        <f t="shared" si="35"/>
        <v>2.035074999999992</v>
      </c>
      <c r="H323" s="3">
        <f t="shared" si="36"/>
        <v>1.7831610000000069</v>
      </c>
      <c r="I323" s="3">
        <f t="shared" ref="I323:I386" si="39">G323-AVERAGE(G$2:G$505)</f>
        <v>1.9789264424603095</v>
      </c>
      <c r="J323" s="3">
        <f t="shared" ref="J323:J386" si="40">H323-AVERAGE(H$2:H$505)</f>
        <v>1.7369585853174672</v>
      </c>
      <c r="K323" s="4">
        <f t="shared" si="37"/>
        <v>2.0126159692235013</v>
      </c>
      <c r="L323" s="4">
        <f t="shared" si="38"/>
        <v>1.7085812734533712</v>
      </c>
      <c r="M323" s="7">
        <f t="shared" ref="M323:M386" si="41">-LN(2*PI()*ABS(A$2*B$3))-0.5*SUMPRODUCT(MMULT(K323:L323,A$8:B$9),K323:L323)</f>
        <v>-3.4027898872381659</v>
      </c>
    </row>
    <row r="324" spans="4:13" x14ac:dyDescent="0.25">
      <c r="D324" s="1">
        <v>41929</v>
      </c>
      <c r="E324" s="3">
        <v>95.103063000000006</v>
      </c>
      <c r="F324" s="3">
        <v>183.64588499999999</v>
      </c>
      <c r="G324" s="3">
        <f t="shared" si="35"/>
        <v>1.3729390000000024</v>
      </c>
      <c r="H324" s="3">
        <f t="shared" si="36"/>
        <v>2.1436850000000049</v>
      </c>
      <c r="I324" s="3">
        <f t="shared" si="39"/>
        <v>1.3167904424603198</v>
      </c>
      <c r="J324" s="3">
        <f t="shared" si="40"/>
        <v>2.0974825853174655</v>
      </c>
      <c r="K324" s="4">
        <f t="shared" si="37"/>
        <v>1.2834663628539413</v>
      </c>
      <c r="L324" s="4">
        <f t="shared" si="38"/>
        <v>2.1521916598239659</v>
      </c>
      <c r="M324" s="7">
        <f t="shared" si="41"/>
        <v>-3.4100537823896464</v>
      </c>
    </row>
    <row r="325" spans="4:13" x14ac:dyDescent="0.25">
      <c r="D325" s="1">
        <v>41928</v>
      </c>
      <c r="E325" s="3">
        <v>93.730124000000004</v>
      </c>
      <c r="F325" s="3">
        <v>181.50219999999999</v>
      </c>
      <c r="G325" s="3">
        <f t="shared" si="35"/>
        <v>-1.2463580000000007</v>
      </c>
      <c r="H325" s="3">
        <f t="shared" si="36"/>
        <v>-0.15589300000002027</v>
      </c>
      <c r="I325" s="3">
        <f t="shared" si="39"/>
        <v>-1.3025065575396833</v>
      </c>
      <c r="J325" s="3">
        <f t="shared" si="40"/>
        <v>-0.20209541468255993</v>
      </c>
      <c r="K325" s="4">
        <f t="shared" si="37"/>
        <v>-1.3340868179470384</v>
      </c>
      <c r="L325" s="4">
        <f t="shared" si="38"/>
        <v>-0.16578626114758538</v>
      </c>
      <c r="M325" s="7">
        <f t="shared" si="41"/>
        <v>-3.0992341701140282</v>
      </c>
    </row>
    <row r="326" spans="4:13" x14ac:dyDescent="0.25">
      <c r="D326" s="1">
        <v>41927</v>
      </c>
      <c r="E326" s="3">
        <v>94.976482000000004</v>
      </c>
      <c r="F326" s="3">
        <v>181.65809300000001</v>
      </c>
      <c r="G326" s="3">
        <f t="shared" si="35"/>
        <v>-1.1781989999999922</v>
      </c>
      <c r="H326" s="3">
        <f t="shared" si="36"/>
        <v>-1.2374969999999905</v>
      </c>
      <c r="I326" s="3">
        <f t="shared" si="39"/>
        <v>-1.2343475575396747</v>
      </c>
      <c r="J326" s="3">
        <f t="shared" si="40"/>
        <v>-1.2836994146825302</v>
      </c>
      <c r="K326" s="4">
        <f t="shared" si="37"/>
        <v>-1.2621909345976661</v>
      </c>
      <c r="L326" s="4">
        <f t="shared" si="38"/>
        <v>-1.2322235292156964</v>
      </c>
      <c r="M326" s="7">
        <f t="shared" si="41"/>
        <v>-2.9647086806252361</v>
      </c>
    </row>
    <row r="327" spans="4:13" x14ac:dyDescent="0.25">
      <c r="D327" s="1">
        <v>41926</v>
      </c>
      <c r="E327" s="3">
        <v>96.154680999999997</v>
      </c>
      <c r="F327" s="3">
        <v>182.89559</v>
      </c>
      <c r="G327" s="3">
        <f t="shared" si="35"/>
        <v>-1.0321390000000008</v>
      </c>
      <c r="H327" s="3">
        <f t="shared" si="36"/>
        <v>0.28257099999999014</v>
      </c>
      <c r="I327" s="3">
        <f t="shared" si="39"/>
        <v>-1.0882875575396833</v>
      </c>
      <c r="J327" s="3">
        <f t="shared" si="40"/>
        <v>0.23636858531745047</v>
      </c>
      <c r="K327" s="4">
        <f t="shared" si="37"/>
        <v>-1.1126434241225145</v>
      </c>
      <c r="L327" s="4">
        <f t="shared" si="38"/>
        <v>0.23441160656385823</v>
      </c>
      <c r="M327" s="7">
        <f t="shared" si="41"/>
        <v>-3.1227867380299301</v>
      </c>
    </row>
    <row r="328" spans="4:13" x14ac:dyDescent="0.25">
      <c r="D328" s="1">
        <v>41925</v>
      </c>
      <c r="E328" s="3">
        <v>97.186819999999997</v>
      </c>
      <c r="F328" s="3">
        <v>182.61301900000001</v>
      </c>
      <c r="G328" s="3">
        <f t="shared" si="35"/>
        <v>-0.89582599999999957</v>
      </c>
      <c r="H328" s="3">
        <f t="shared" si="36"/>
        <v>-3.0498739999999884</v>
      </c>
      <c r="I328" s="3">
        <f t="shared" si="39"/>
        <v>-0.95197455753968208</v>
      </c>
      <c r="J328" s="3">
        <f t="shared" si="40"/>
        <v>-3.0960764146825279</v>
      </c>
      <c r="K328" s="4">
        <f t="shared" si="37"/>
        <v>-0.96063546288602975</v>
      </c>
      <c r="L328" s="4">
        <f t="shared" si="38"/>
        <v>-3.1122633136337443</v>
      </c>
      <c r="M328" s="7">
        <f t="shared" si="41"/>
        <v>-4.5345039071591842</v>
      </c>
    </row>
    <row r="329" spans="4:13" x14ac:dyDescent="0.25">
      <c r="D329" s="1">
        <v>41922</v>
      </c>
      <c r="E329" s="3">
        <v>98.082645999999997</v>
      </c>
      <c r="F329" s="3">
        <v>185.662893</v>
      </c>
      <c r="G329" s="3">
        <f t="shared" si="35"/>
        <v>-0.28237200000000939</v>
      </c>
      <c r="H329" s="3">
        <f t="shared" si="36"/>
        <v>-2.1436999999999955</v>
      </c>
      <c r="I329" s="3">
        <f t="shared" si="39"/>
        <v>-0.33852055753969196</v>
      </c>
      <c r="J329" s="3">
        <f t="shared" si="40"/>
        <v>-2.189902414682535</v>
      </c>
      <c r="K329" s="4">
        <f t="shared" si="37"/>
        <v>-0.33447657118974572</v>
      </c>
      <c r="L329" s="4">
        <f t="shared" si="38"/>
        <v>-2.2516078450661539</v>
      </c>
      <c r="M329" s="7">
        <f t="shared" si="41"/>
        <v>-3.8195068249482569</v>
      </c>
    </row>
    <row r="330" spans="4:13" x14ac:dyDescent="0.25">
      <c r="D330" s="1">
        <v>41921</v>
      </c>
      <c r="E330" s="3">
        <v>98.365018000000006</v>
      </c>
      <c r="F330" s="3">
        <v>187.80659299999999</v>
      </c>
      <c r="G330" s="3">
        <f t="shared" si="35"/>
        <v>0.2142120000000034</v>
      </c>
      <c r="H330" s="3">
        <f t="shared" si="36"/>
        <v>-3.800169000000011</v>
      </c>
      <c r="I330" s="3">
        <f t="shared" si="39"/>
        <v>0.15806344246032086</v>
      </c>
      <c r="J330" s="3">
        <f t="shared" si="40"/>
        <v>-3.8463714146825505</v>
      </c>
      <c r="K330" s="4">
        <f t="shared" si="37"/>
        <v>0.20769691956554248</v>
      </c>
      <c r="L330" s="4">
        <f t="shared" si="38"/>
        <v>-3.8859430868205567</v>
      </c>
      <c r="M330" s="7">
        <f t="shared" si="41"/>
        <v>-7.2205426977842686</v>
      </c>
    </row>
    <row r="331" spans="4:13" x14ac:dyDescent="0.25">
      <c r="D331" s="1">
        <v>41920</v>
      </c>
      <c r="E331" s="3">
        <v>98.150806000000003</v>
      </c>
      <c r="F331" s="3">
        <v>191.606762</v>
      </c>
      <c r="G331" s="3">
        <f t="shared" si="35"/>
        <v>1.9961250000000064</v>
      </c>
      <c r="H331" s="3">
        <f t="shared" si="36"/>
        <v>3.2934889999999939</v>
      </c>
      <c r="I331" s="3">
        <f t="shared" si="39"/>
        <v>1.9399764424603239</v>
      </c>
      <c r="J331" s="3">
        <f t="shared" si="40"/>
        <v>3.2472865853174544</v>
      </c>
      <c r="K331" s="4">
        <f t="shared" si="37"/>
        <v>1.9168662633579607</v>
      </c>
      <c r="L331" s="4">
        <f t="shared" si="38"/>
        <v>3.2445630986819856</v>
      </c>
      <c r="M331" s="7">
        <f t="shared" si="41"/>
        <v>-4.3994957113444295</v>
      </c>
    </row>
    <row r="332" spans="4:13" x14ac:dyDescent="0.25">
      <c r="D332" s="1">
        <v>41919</v>
      </c>
      <c r="E332" s="3">
        <v>96.154680999999997</v>
      </c>
      <c r="F332" s="3">
        <v>188.31327300000001</v>
      </c>
      <c r="G332" s="3">
        <f t="shared" si="35"/>
        <v>-0.84713700000000358</v>
      </c>
      <c r="H332" s="3">
        <f t="shared" si="36"/>
        <v>-2.9524419999999907</v>
      </c>
      <c r="I332" s="3">
        <f t="shared" si="39"/>
        <v>-0.90328555753968609</v>
      </c>
      <c r="J332" s="3">
        <f t="shared" si="40"/>
        <v>-2.9986444146825302</v>
      </c>
      <c r="K332" s="4">
        <f t="shared" si="37"/>
        <v>-0.90472209464608655</v>
      </c>
      <c r="L332" s="4">
        <f t="shared" si="38"/>
        <v>-3.0000076668351476</v>
      </c>
      <c r="M332" s="7">
        <f t="shared" si="41"/>
        <v>-4.4118806689782364</v>
      </c>
    </row>
    <row r="333" spans="4:13" x14ac:dyDescent="0.25">
      <c r="D333" s="1">
        <v>41918</v>
      </c>
      <c r="E333" s="3">
        <v>97.001818</v>
      </c>
      <c r="F333" s="3">
        <v>191.265715</v>
      </c>
      <c r="G333" s="3">
        <f t="shared" si="35"/>
        <v>0</v>
      </c>
      <c r="H333" s="3">
        <f t="shared" si="36"/>
        <v>-0.22412399999998911</v>
      </c>
      <c r="I333" s="3">
        <f t="shared" si="39"/>
        <v>-5.6148557539682543E-2</v>
      </c>
      <c r="J333" s="3">
        <f t="shared" si="40"/>
        <v>-0.27032641468252877</v>
      </c>
      <c r="K333" s="4">
        <f t="shared" si="37"/>
        <v>-6.4560473780484115E-2</v>
      </c>
      <c r="L333" s="4">
        <f t="shared" si="38"/>
        <v>-0.22678405958609474</v>
      </c>
      <c r="M333" s="7">
        <f t="shared" si="41"/>
        <v>-2.6436046909376576</v>
      </c>
    </row>
    <row r="334" spans="4:13" x14ac:dyDescent="0.25">
      <c r="D334" s="1">
        <v>41915</v>
      </c>
      <c r="E334" s="3">
        <v>97.001818</v>
      </c>
      <c r="F334" s="3">
        <v>191.48983899999999</v>
      </c>
      <c r="G334" s="3">
        <f t="shared" si="35"/>
        <v>-0.27263999999999555</v>
      </c>
      <c r="H334" s="3">
        <f t="shared" si="36"/>
        <v>2.0852239999999824</v>
      </c>
      <c r="I334" s="3">
        <f t="shared" si="39"/>
        <v>-0.32878855753967812</v>
      </c>
      <c r="J334" s="3">
        <f t="shared" si="40"/>
        <v>2.0390215853174429</v>
      </c>
      <c r="K334" s="4">
        <f t="shared" si="37"/>
        <v>-0.31228831041490307</v>
      </c>
      <c r="L334" s="4">
        <f t="shared" si="38"/>
        <v>2.0102677183982549</v>
      </c>
      <c r="M334" s="7">
        <f t="shared" si="41"/>
        <v>-4.0412337676333987</v>
      </c>
    </row>
    <row r="335" spans="4:13" x14ac:dyDescent="0.25">
      <c r="D335" s="1">
        <v>41914</v>
      </c>
      <c r="E335" s="3">
        <v>97.274457999999996</v>
      </c>
      <c r="F335" s="3">
        <v>189.40461500000001</v>
      </c>
      <c r="G335" s="3">
        <f t="shared" si="35"/>
        <v>0.70107799999999543</v>
      </c>
      <c r="H335" s="3">
        <f t="shared" si="36"/>
        <v>2.9231000000009999E-2</v>
      </c>
      <c r="I335" s="3">
        <f t="shared" si="39"/>
        <v>0.64492944246031292</v>
      </c>
      <c r="J335" s="3">
        <f t="shared" si="40"/>
        <v>-1.6971414682529655E-2</v>
      </c>
      <c r="K335" s="4">
        <f t="shared" si="37"/>
        <v>0.60438081552194667</v>
      </c>
      <c r="L335" s="4">
        <f t="shared" si="38"/>
        <v>1.5428917022371216E-2</v>
      </c>
      <c r="M335" s="7">
        <f t="shared" si="41"/>
        <v>-2.7408796634786903</v>
      </c>
    </row>
    <row r="336" spans="4:13" x14ac:dyDescent="0.25">
      <c r="D336" s="1">
        <v>41913</v>
      </c>
      <c r="E336" s="3">
        <v>96.57338</v>
      </c>
      <c r="F336" s="3">
        <v>189.375384</v>
      </c>
      <c r="G336" s="3">
        <f t="shared" si="35"/>
        <v>-1.5287370000000067</v>
      </c>
      <c r="H336" s="3">
        <f t="shared" si="36"/>
        <v>-2.6016570000000172</v>
      </c>
      <c r="I336" s="3">
        <f t="shared" si="39"/>
        <v>-1.5848855575396892</v>
      </c>
      <c r="J336" s="3">
        <f t="shared" si="40"/>
        <v>-2.6478594146825567</v>
      </c>
      <c r="K336" s="4">
        <f t="shared" si="37"/>
        <v>-1.5703783233961004</v>
      </c>
      <c r="L336" s="4">
        <f t="shared" si="38"/>
        <v>-2.6807930620234885</v>
      </c>
      <c r="M336" s="7">
        <f t="shared" si="41"/>
        <v>-3.8396327301913473</v>
      </c>
    </row>
    <row r="337" spans="4:13" x14ac:dyDescent="0.25">
      <c r="D337" s="1">
        <v>41912</v>
      </c>
      <c r="E337" s="3">
        <v>98.102117000000007</v>
      </c>
      <c r="F337" s="3">
        <v>191.97704100000001</v>
      </c>
      <c r="G337" s="3">
        <f t="shared" si="35"/>
        <v>0.62317900000000748</v>
      </c>
      <c r="H337" s="3">
        <f t="shared" si="36"/>
        <v>-0.50667899999999122</v>
      </c>
      <c r="I337" s="3">
        <f t="shared" si="39"/>
        <v>0.56703044246032497</v>
      </c>
      <c r="J337" s="3">
        <f t="shared" si="40"/>
        <v>-0.55288141468253083</v>
      </c>
      <c r="K337" s="4">
        <f t="shared" si="37"/>
        <v>0.54965013410393526</v>
      </c>
      <c r="L337" s="4">
        <f t="shared" si="38"/>
        <v>-0.52849567991139801</v>
      </c>
      <c r="M337" s="7">
        <f t="shared" si="41"/>
        <v>-2.9128927658111738</v>
      </c>
    </row>
    <row r="338" spans="4:13" x14ac:dyDescent="0.25">
      <c r="D338" s="1">
        <v>41911</v>
      </c>
      <c r="E338" s="3">
        <v>97.478937999999999</v>
      </c>
      <c r="F338" s="3">
        <v>192.48372000000001</v>
      </c>
      <c r="G338" s="3">
        <f t="shared" si="35"/>
        <v>-0.62317900000000748</v>
      </c>
      <c r="H338" s="3">
        <f t="shared" si="36"/>
        <v>-0.35078599999999938</v>
      </c>
      <c r="I338" s="3">
        <f t="shared" si="39"/>
        <v>-0.67932755753968999</v>
      </c>
      <c r="J338" s="3">
        <f t="shared" si="40"/>
        <v>-0.39698841468253904</v>
      </c>
      <c r="K338" s="4">
        <f t="shared" si="37"/>
        <v>-0.60901711122885094</v>
      </c>
      <c r="L338" s="4">
        <f t="shared" si="38"/>
        <v>-0.49751809956427517</v>
      </c>
      <c r="M338" s="7">
        <f t="shared" si="41"/>
        <v>-2.7025827914572713</v>
      </c>
    </row>
    <row r="339" spans="4:13" x14ac:dyDescent="0.25">
      <c r="D339" s="1">
        <v>41908</v>
      </c>
      <c r="E339" s="3">
        <v>98.102117000000007</v>
      </c>
      <c r="F339" s="3">
        <v>192.834506</v>
      </c>
      <c r="G339" s="3">
        <f t="shared" si="35"/>
        <v>2.8043060000000111</v>
      </c>
      <c r="H339" s="3">
        <f t="shared" si="36"/>
        <v>1.5200680000000091</v>
      </c>
      <c r="I339" s="3">
        <f t="shared" si="39"/>
        <v>2.7481574424603283</v>
      </c>
      <c r="J339" s="3">
        <f t="shared" si="40"/>
        <v>1.4738655853174694</v>
      </c>
      <c r="K339" s="4">
        <f t="shared" si="37"/>
        <v>2.6500617329865346</v>
      </c>
      <c r="L339" s="4">
        <f t="shared" si="38"/>
        <v>1.598083386445315</v>
      </c>
      <c r="M339" s="7">
        <f t="shared" si="41"/>
        <v>-3.9047195621692152</v>
      </c>
    </row>
    <row r="340" spans="4:13" x14ac:dyDescent="0.25">
      <c r="D340" s="1">
        <v>41907</v>
      </c>
      <c r="E340" s="3">
        <v>95.297810999999996</v>
      </c>
      <c r="F340" s="3">
        <v>191.314438</v>
      </c>
      <c r="G340" s="3">
        <f t="shared" si="35"/>
        <v>-3.7780249999999995</v>
      </c>
      <c r="H340" s="3">
        <f t="shared" si="36"/>
        <v>-3.137582000000009</v>
      </c>
      <c r="I340" s="3">
        <f t="shared" si="39"/>
        <v>-3.8341735575396823</v>
      </c>
      <c r="J340" s="3">
        <f t="shared" si="40"/>
        <v>-3.1837844146825485</v>
      </c>
      <c r="K340" s="4">
        <f t="shared" si="37"/>
        <v>-3.8577818939451776</v>
      </c>
      <c r="L340" s="4">
        <f t="shared" si="38"/>
        <v>-3.1221609348833543</v>
      </c>
      <c r="M340" s="7">
        <f t="shared" si="41"/>
        <v>-5.404754462322666</v>
      </c>
    </row>
    <row r="341" spans="4:13" x14ac:dyDescent="0.25">
      <c r="D341" s="1">
        <v>41906</v>
      </c>
      <c r="E341" s="3">
        <v>99.075835999999995</v>
      </c>
      <c r="F341" s="3">
        <v>194.45202</v>
      </c>
      <c r="G341" s="3">
        <f t="shared" si="35"/>
        <v>-0.86660799999999938</v>
      </c>
      <c r="H341" s="3">
        <f t="shared" si="36"/>
        <v>1.5103290000000129</v>
      </c>
      <c r="I341" s="3">
        <f t="shared" si="39"/>
        <v>-0.92275655753968189</v>
      </c>
      <c r="J341" s="3">
        <f t="shared" si="40"/>
        <v>1.4641265853174732</v>
      </c>
      <c r="K341" s="4">
        <f t="shared" si="37"/>
        <v>-0.88483183661653075</v>
      </c>
      <c r="L341" s="4">
        <f t="shared" si="38"/>
        <v>1.3821331643681127</v>
      </c>
      <c r="M341" s="7">
        <f t="shared" si="41"/>
        <v>-3.86960981348436</v>
      </c>
    </row>
    <row r="342" spans="4:13" x14ac:dyDescent="0.25">
      <c r="D342" s="1">
        <v>41905</v>
      </c>
      <c r="E342" s="3">
        <v>99.942443999999995</v>
      </c>
      <c r="F342" s="3">
        <v>192.94169099999999</v>
      </c>
      <c r="G342" s="3">
        <f t="shared" si="35"/>
        <v>1.5384759999999886</v>
      </c>
      <c r="H342" s="3">
        <f t="shared" si="36"/>
        <v>-1.1108200000000181</v>
      </c>
      <c r="I342" s="3">
        <f t="shared" si="39"/>
        <v>1.4823274424603061</v>
      </c>
      <c r="J342" s="3">
        <f t="shared" si="40"/>
        <v>-1.1570224146825578</v>
      </c>
      <c r="K342" s="4">
        <f t="shared" si="37"/>
        <v>1.4833821012228019</v>
      </c>
      <c r="L342" s="4">
        <f t="shared" si="38"/>
        <v>-1.180987638323463</v>
      </c>
      <c r="M342" s="7">
        <f t="shared" si="41"/>
        <v>-4.352681104061709</v>
      </c>
    </row>
    <row r="343" spans="4:13" x14ac:dyDescent="0.25">
      <c r="D343" s="1">
        <v>41904</v>
      </c>
      <c r="E343" s="3">
        <v>98.403968000000006</v>
      </c>
      <c r="F343" s="3">
        <v>194.05251100000001</v>
      </c>
      <c r="G343" s="3">
        <f t="shared" si="35"/>
        <v>9.7371000000009644E-2</v>
      </c>
      <c r="H343" s="3">
        <f t="shared" si="36"/>
        <v>-1.510327999999987</v>
      </c>
      <c r="I343" s="3">
        <f t="shared" si="39"/>
        <v>4.1222442460327101E-2</v>
      </c>
      <c r="J343" s="3">
        <f t="shared" si="40"/>
        <v>-1.5565304146825267</v>
      </c>
      <c r="K343" s="4">
        <f t="shared" si="37"/>
        <v>1.9108757056268726E-2</v>
      </c>
      <c r="L343" s="4">
        <f t="shared" si="38"/>
        <v>-1.5214842646830162</v>
      </c>
      <c r="M343" s="7">
        <f t="shared" si="41"/>
        <v>-3.2991568357362988</v>
      </c>
    </row>
    <row r="344" spans="4:13" x14ac:dyDescent="0.25">
      <c r="D344" s="1">
        <v>41901</v>
      </c>
      <c r="E344" s="3">
        <v>98.306596999999996</v>
      </c>
      <c r="F344" s="3">
        <v>195.562839</v>
      </c>
      <c r="G344" s="3">
        <f t="shared" si="35"/>
        <v>-0.80818800000000124</v>
      </c>
      <c r="H344" s="3">
        <f t="shared" si="36"/>
        <v>-0.1763740000000098</v>
      </c>
      <c r="I344" s="3">
        <f t="shared" si="39"/>
        <v>-0.86433655753968375</v>
      </c>
      <c r="J344" s="3">
        <f t="shared" si="40"/>
        <v>-0.22257641468254946</v>
      </c>
      <c r="K344" s="4">
        <f t="shared" si="37"/>
        <v>-0.86054156029528328</v>
      </c>
      <c r="L344" s="4">
        <f t="shared" si="38"/>
        <v>-0.21502843329336813</v>
      </c>
      <c r="M344" s="7">
        <f t="shared" si="41"/>
        <v>-2.8021640088486435</v>
      </c>
    </row>
    <row r="345" spans="4:13" x14ac:dyDescent="0.25">
      <c r="D345" s="1">
        <v>41900</v>
      </c>
      <c r="E345" s="3">
        <v>99.114784999999998</v>
      </c>
      <c r="F345" s="3">
        <v>195.73921300000001</v>
      </c>
      <c r="G345" s="3">
        <f t="shared" si="35"/>
        <v>0.20448000000000377</v>
      </c>
      <c r="H345" s="3">
        <f t="shared" si="36"/>
        <v>1.0377679999999998</v>
      </c>
      <c r="I345" s="3">
        <f t="shared" si="39"/>
        <v>0.14833144246032123</v>
      </c>
      <c r="J345" s="3">
        <f t="shared" si="40"/>
        <v>0.9915655853174602</v>
      </c>
      <c r="K345" s="4">
        <f t="shared" si="37"/>
        <v>0.16483168958509628</v>
      </c>
      <c r="L345" s="4">
        <f t="shared" si="38"/>
        <v>0.96612117669853792</v>
      </c>
      <c r="M345" s="7">
        <f t="shared" si="41"/>
        <v>-2.8459555559763698</v>
      </c>
    </row>
    <row r="346" spans="4:13" x14ac:dyDescent="0.25">
      <c r="D346" s="1">
        <v>41899</v>
      </c>
      <c r="E346" s="3">
        <v>98.910304999999994</v>
      </c>
      <c r="F346" s="3">
        <v>194.70144500000001</v>
      </c>
      <c r="G346" s="3">
        <f t="shared" si="35"/>
        <v>0.70107799999999543</v>
      </c>
      <c r="H346" s="3">
        <f t="shared" si="36"/>
        <v>0.26187000000001603</v>
      </c>
      <c r="I346" s="3">
        <f t="shared" si="39"/>
        <v>0.64492944246031292</v>
      </c>
      <c r="J346" s="3">
        <f t="shared" si="40"/>
        <v>0.21566758531747637</v>
      </c>
      <c r="K346" s="4">
        <f t="shared" si="37"/>
        <v>0.62431061273430921</v>
      </c>
      <c r="L346" s="4">
        <f t="shared" si="38"/>
        <v>0.27133532678216171</v>
      </c>
      <c r="M346" s="7">
        <f t="shared" si="41"/>
        <v>-2.7091453134982291</v>
      </c>
    </row>
    <row r="347" spans="4:13" x14ac:dyDescent="0.25">
      <c r="D347" s="1">
        <v>41898</v>
      </c>
      <c r="E347" s="3">
        <v>98.209226999999998</v>
      </c>
      <c r="F347" s="3">
        <v>194.43957499999999</v>
      </c>
      <c r="G347" s="3">
        <f t="shared" si="35"/>
        <v>-0.74975999999999487</v>
      </c>
      <c r="H347" s="3">
        <f t="shared" si="36"/>
        <v>1.4548049999999932</v>
      </c>
      <c r="I347" s="3">
        <f t="shared" si="39"/>
        <v>-0.80590855753967738</v>
      </c>
      <c r="J347" s="3">
        <f t="shared" si="40"/>
        <v>1.4086025853174535</v>
      </c>
      <c r="K347" s="4">
        <f t="shared" si="37"/>
        <v>-0.80809259923883692</v>
      </c>
      <c r="L347" s="4">
        <f t="shared" si="38"/>
        <v>1.4096496471317927</v>
      </c>
      <c r="M347" s="7">
        <f t="shared" si="41"/>
        <v>-3.8204630525279439</v>
      </c>
    </row>
    <row r="348" spans="4:13" x14ac:dyDescent="0.25">
      <c r="D348" s="1">
        <v>41897</v>
      </c>
      <c r="E348" s="3">
        <v>98.958986999999993</v>
      </c>
      <c r="F348" s="3">
        <v>192.98477</v>
      </c>
      <c r="G348" s="3">
        <f t="shared" si="35"/>
        <v>-2.9217000000002713E-2</v>
      </c>
      <c r="H348" s="3">
        <f t="shared" si="36"/>
        <v>-0.14548999999999523</v>
      </c>
      <c r="I348" s="3">
        <f t="shared" si="39"/>
        <v>-8.536555753968525E-2</v>
      </c>
      <c r="J348" s="3">
        <f t="shared" si="40"/>
        <v>-0.1916924146825349</v>
      </c>
      <c r="K348" s="4">
        <f t="shared" si="37"/>
        <v>-8.1072223900112289E-2</v>
      </c>
      <c r="L348" s="4">
        <f t="shared" si="38"/>
        <v>-0.21591114429649705</v>
      </c>
      <c r="M348" s="7">
        <f t="shared" si="41"/>
        <v>-2.6419018521322752</v>
      </c>
    </row>
    <row r="349" spans="4:13" x14ac:dyDescent="0.25">
      <c r="D349" s="1">
        <v>41894</v>
      </c>
      <c r="E349" s="3">
        <v>98.988203999999996</v>
      </c>
      <c r="F349" s="3">
        <v>193.13025999999999</v>
      </c>
      <c r="G349" s="3">
        <f t="shared" si="35"/>
        <v>0.2239579999999961</v>
      </c>
      <c r="H349" s="3">
        <f t="shared" si="36"/>
        <v>-1.1347460000000069</v>
      </c>
      <c r="I349" s="3">
        <f t="shared" si="39"/>
        <v>0.16780944246031357</v>
      </c>
      <c r="J349" s="3">
        <f t="shared" si="40"/>
        <v>-1.1809484146825466</v>
      </c>
      <c r="K349" s="4">
        <f t="shared" si="37"/>
        <v>0.17708514225310129</v>
      </c>
      <c r="L349" s="4">
        <f t="shared" si="38"/>
        <v>-1.1944608164849608</v>
      </c>
      <c r="M349" s="7">
        <f t="shared" si="41"/>
        <v>-3.1256294026805018</v>
      </c>
    </row>
    <row r="350" spans="4:13" x14ac:dyDescent="0.25">
      <c r="D350" s="1">
        <v>41893</v>
      </c>
      <c r="E350" s="3">
        <v>98.764246</v>
      </c>
      <c r="F350" s="3">
        <v>194.265006</v>
      </c>
      <c r="G350" s="3">
        <f t="shared" si="35"/>
        <v>0.41869900000000371</v>
      </c>
      <c r="H350" s="3">
        <f t="shared" si="36"/>
        <v>0.22306599999998866</v>
      </c>
      <c r="I350" s="3">
        <f t="shared" si="39"/>
        <v>0.36255044246032114</v>
      </c>
      <c r="J350" s="3">
        <f t="shared" si="40"/>
        <v>0.176863585317449</v>
      </c>
      <c r="K350" s="4">
        <f t="shared" si="37"/>
        <v>0.43609958923281461</v>
      </c>
      <c r="L350" s="4">
        <f t="shared" si="38"/>
        <v>5.9461190391461818E-2</v>
      </c>
      <c r="M350" s="7">
        <f t="shared" si="41"/>
        <v>-2.6823710109107282</v>
      </c>
    </row>
    <row r="351" spans="4:13" x14ac:dyDescent="0.25">
      <c r="D351" s="1">
        <v>41892</v>
      </c>
      <c r="E351" s="3">
        <v>98.345546999999996</v>
      </c>
      <c r="F351" s="3">
        <v>194.04194000000001</v>
      </c>
      <c r="G351" s="3">
        <f t="shared" si="35"/>
        <v>2.930893999999995</v>
      </c>
      <c r="H351" s="3">
        <f t="shared" si="36"/>
        <v>0.72740300000000957</v>
      </c>
      <c r="I351" s="3">
        <f t="shared" si="39"/>
        <v>2.8747454424603123</v>
      </c>
      <c r="J351" s="3">
        <f t="shared" si="40"/>
        <v>0.68120058531746996</v>
      </c>
      <c r="K351" s="4">
        <f t="shared" si="37"/>
        <v>2.8640913450407379</v>
      </c>
      <c r="L351" s="4">
        <f t="shared" si="38"/>
        <v>0.68143142839834514</v>
      </c>
      <c r="M351" s="7">
        <f t="shared" si="41"/>
        <v>-4.5273247799111136</v>
      </c>
    </row>
    <row r="352" spans="4:13" x14ac:dyDescent="0.25">
      <c r="D352" s="1">
        <v>41891</v>
      </c>
      <c r="E352" s="3">
        <v>95.414653000000001</v>
      </c>
      <c r="F352" s="3">
        <v>193.314537</v>
      </c>
      <c r="G352" s="3">
        <f t="shared" si="35"/>
        <v>-0.36027799999999388</v>
      </c>
      <c r="H352" s="3">
        <f t="shared" si="36"/>
        <v>-1.2317250000000115</v>
      </c>
      <c r="I352" s="3">
        <f t="shared" si="39"/>
        <v>-0.41642655753967645</v>
      </c>
      <c r="J352" s="3">
        <f t="shared" si="40"/>
        <v>-1.2779274146825512</v>
      </c>
      <c r="K352" s="4">
        <f t="shared" si="37"/>
        <v>-0.43305954039534761</v>
      </c>
      <c r="L352" s="4">
        <f t="shared" si="38"/>
        <v>-1.2570174187768868</v>
      </c>
      <c r="M352" s="7">
        <f t="shared" si="41"/>
        <v>-2.9334510955413213</v>
      </c>
    </row>
    <row r="353" spans="4:13" x14ac:dyDescent="0.25">
      <c r="D353" s="1">
        <v>41890</v>
      </c>
      <c r="E353" s="3">
        <v>95.774930999999995</v>
      </c>
      <c r="F353" s="3">
        <v>194.54626200000001</v>
      </c>
      <c r="G353" s="3">
        <f t="shared" si="35"/>
        <v>-0.5939690000000013</v>
      </c>
      <c r="H353" s="3">
        <f t="shared" si="36"/>
        <v>-0.50433599999999501</v>
      </c>
      <c r="I353" s="3">
        <f t="shared" si="39"/>
        <v>-0.65011755753968381</v>
      </c>
      <c r="J353" s="3">
        <f t="shared" si="40"/>
        <v>-0.55053841468253462</v>
      </c>
      <c r="K353" s="4">
        <f t="shared" si="37"/>
        <v>-0.63037878904529443</v>
      </c>
      <c r="L353" s="4">
        <f t="shared" si="38"/>
        <v>-0.57288697284506906</v>
      </c>
      <c r="M353" s="7">
        <f t="shared" si="41"/>
        <v>-2.7116838491589115</v>
      </c>
    </row>
    <row r="354" spans="4:13" x14ac:dyDescent="0.25">
      <c r="D354" s="1">
        <v>41887</v>
      </c>
      <c r="E354" s="3">
        <v>96.368899999999996</v>
      </c>
      <c r="F354" s="3">
        <v>195.05059800000001</v>
      </c>
      <c r="G354" s="3">
        <f t="shared" si="35"/>
        <v>0.82765899999999704</v>
      </c>
      <c r="H354" s="3">
        <f t="shared" si="36"/>
        <v>0.87287700000001678</v>
      </c>
      <c r="I354" s="3">
        <f t="shared" si="39"/>
        <v>0.77151044246031453</v>
      </c>
      <c r="J354" s="3">
        <f t="shared" si="40"/>
        <v>0.82667458531747717</v>
      </c>
      <c r="K354" s="4">
        <f t="shared" si="37"/>
        <v>0.74964592525384233</v>
      </c>
      <c r="L354" s="4">
        <f t="shared" si="38"/>
        <v>0.85979815010510563</v>
      </c>
      <c r="M354" s="7">
        <f t="shared" si="41"/>
        <v>-2.7718810931075435</v>
      </c>
    </row>
    <row r="355" spans="4:13" x14ac:dyDescent="0.25">
      <c r="D355" s="1">
        <v>41886</v>
      </c>
      <c r="E355" s="3">
        <v>95.541240999999999</v>
      </c>
      <c r="F355" s="3">
        <v>194.17772099999999</v>
      </c>
      <c r="G355" s="3">
        <f t="shared" si="35"/>
        <v>-0.79844900000000507</v>
      </c>
      <c r="H355" s="3">
        <f t="shared" si="36"/>
        <v>-0.28125600000001327</v>
      </c>
      <c r="I355" s="3">
        <f t="shared" si="39"/>
        <v>-0.85459755753968758</v>
      </c>
      <c r="J355" s="3">
        <f t="shared" si="40"/>
        <v>-0.32745841468255293</v>
      </c>
      <c r="K355" s="4">
        <f t="shared" si="37"/>
        <v>-0.96465116580856058</v>
      </c>
      <c r="L355" s="4">
        <f t="shared" si="38"/>
        <v>-0.13946066655376813</v>
      </c>
      <c r="M355" s="7">
        <f t="shared" si="41"/>
        <v>-2.8712597393222445</v>
      </c>
    </row>
    <row r="356" spans="4:13" x14ac:dyDescent="0.25">
      <c r="D356" s="1">
        <v>41885</v>
      </c>
      <c r="E356" s="3">
        <v>96.339690000000004</v>
      </c>
      <c r="F356" s="3">
        <v>194.458977</v>
      </c>
      <c r="G356" s="3">
        <f t="shared" si="35"/>
        <v>-4.2454120000000017</v>
      </c>
      <c r="H356" s="3">
        <f t="shared" si="36"/>
        <v>-0.10668599999999628</v>
      </c>
      <c r="I356" s="3">
        <f t="shared" si="39"/>
        <v>-4.301560557539684</v>
      </c>
      <c r="J356" s="3">
        <f t="shared" si="40"/>
        <v>-0.15288841468253594</v>
      </c>
      <c r="K356" s="4">
        <f t="shared" si="37"/>
        <v>-4.2830672718491449</v>
      </c>
      <c r="L356" s="4">
        <f t="shared" si="38"/>
        <v>-0.18688188119449403</v>
      </c>
      <c r="M356" s="7">
        <f t="shared" si="41"/>
        <v>-7.9196995873086298</v>
      </c>
    </row>
    <row r="357" spans="4:13" x14ac:dyDescent="0.25">
      <c r="D357" s="1">
        <v>41884</v>
      </c>
      <c r="E357" s="3">
        <v>100.58510200000001</v>
      </c>
      <c r="F357" s="3">
        <v>194.565663</v>
      </c>
      <c r="G357" s="3">
        <f t="shared" si="35"/>
        <v>0.77897800000000927</v>
      </c>
      <c r="H357" s="3">
        <f t="shared" si="36"/>
        <v>-9.6992999999997664E-2</v>
      </c>
      <c r="I357" s="3">
        <f t="shared" si="39"/>
        <v>0.72282944246032677</v>
      </c>
      <c r="J357" s="3">
        <f t="shared" si="40"/>
        <v>-0.14319541468253733</v>
      </c>
      <c r="K357" s="4">
        <f t="shared" si="37"/>
        <v>0.72762093340303169</v>
      </c>
      <c r="L357" s="4">
        <f t="shared" si="38"/>
        <v>-0.14426792662601165</v>
      </c>
      <c r="M357" s="7">
        <f t="shared" si="41"/>
        <v>-2.8393973343838348</v>
      </c>
    </row>
    <row r="358" spans="4:13" x14ac:dyDescent="0.25">
      <c r="D358" s="1">
        <v>41880</v>
      </c>
      <c r="E358" s="3">
        <v>99.806123999999997</v>
      </c>
      <c r="F358" s="3">
        <v>194.662656</v>
      </c>
      <c r="G358" s="3">
        <f t="shared" si="35"/>
        <v>0.2434289999999919</v>
      </c>
      <c r="H358" s="3">
        <f t="shared" si="36"/>
        <v>0.55283299999999258</v>
      </c>
      <c r="I358" s="3">
        <f t="shared" si="39"/>
        <v>0.18728044246030937</v>
      </c>
      <c r="J358" s="3">
        <f t="shared" si="40"/>
        <v>0.50663058531745297</v>
      </c>
      <c r="K358" s="4">
        <f t="shared" si="37"/>
        <v>0.18883343761797747</v>
      </c>
      <c r="L358" s="4">
        <f t="shared" si="38"/>
        <v>0.50177206036500566</v>
      </c>
      <c r="M358" s="7">
        <f t="shared" si="41"/>
        <v>-2.6798572870920929</v>
      </c>
    </row>
    <row r="359" spans="4:13" x14ac:dyDescent="0.25">
      <c r="D359" s="1">
        <v>41879</v>
      </c>
      <c r="E359" s="3">
        <v>99.562695000000005</v>
      </c>
      <c r="F359" s="3">
        <v>194.10982300000001</v>
      </c>
      <c r="G359" s="3">
        <f t="shared" si="35"/>
        <v>0.11684900000000198</v>
      </c>
      <c r="H359" s="3">
        <f t="shared" si="36"/>
        <v>-0.10668599999999628</v>
      </c>
      <c r="I359" s="3">
        <f t="shared" si="39"/>
        <v>6.0700442460319436E-2</v>
      </c>
      <c r="J359" s="3">
        <f t="shared" si="40"/>
        <v>-0.15288841468253594</v>
      </c>
      <c r="K359" s="4">
        <f t="shared" si="37"/>
        <v>9.0154954155592271E-2</v>
      </c>
      <c r="L359" s="4">
        <f t="shared" si="38"/>
        <v>-0.2055468925760412</v>
      </c>
      <c r="M359" s="7">
        <f t="shared" si="41"/>
        <v>-2.6546321734945493</v>
      </c>
    </row>
    <row r="360" spans="4:13" x14ac:dyDescent="0.25">
      <c r="D360" s="1">
        <v>41878</v>
      </c>
      <c r="E360" s="3">
        <v>99.445846000000003</v>
      </c>
      <c r="F360" s="3">
        <v>194.216509</v>
      </c>
      <c r="G360" s="3">
        <f t="shared" si="35"/>
        <v>1.2074089999999984</v>
      </c>
      <c r="H360" s="3">
        <f t="shared" si="36"/>
        <v>-7.7592000000009875E-2</v>
      </c>
      <c r="I360" s="3">
        <f t="shared" si="39"/>
        <v>1.1512604424603159</v>
      </c>
      <c r="J360" s="3">
        <f t="shared" si="40"/>
        <v>-0.12379441468254954</v>
      </c>
      <c r="K360" s="4">
        <f t="shared" si="37"/>
        <v>1.1336309403217628</v>
      </c>
      <c r="L360" s="4">
        <f t="shared" si="38"/>
        <v>-9.2194194815849256E-2</v>
      </c>
      <c r="M360" s="7">
        <f t="shared" si="41"/>
        <v>-3.065449990297374</v>
      </c>
    </row>
    <row r="361" spans="4:13" x14ac:dyDescent="0.25">
      <c r="D361" s="1">
        <v>41877</v>
      </c>
      <c r="E361" s="3">
        <v>98.238437000000005</v>
      </c>
      <c r="F361" s="3">
        <v>194.29410100000001</v>
      </c>
      <c r="G361" s="3">
        <f t="shared" si="35"/>
        <v>-0.63291900000000112</v>
      </c>
      <c r="H361" s="3">
        <f t="shared" si="36"/>
        <v>0.12608800000000997</v>
      </c>
      <c r="I361" s="3">
        <f t="shared" si="39"/>
        <v>-0.68906755753968363</v>
      </c>
      <c r="J361" s="3">
        <f t="shared" si="40"/>
        <v>7.9885585317470309E-2</v>
      </c>
      <c r="K361" s="4">
        <f t="shared" si="37"/>
        <v>-0.68502336651311935</v>
      </c>
      <c r="L361" s="4">
        <f t="shared" si="38"/>
        <v>8.6174965648464483E-2</v>
      </c>
      <c r="M361" s="7">
        <f t="shared" si="41"/>
        <v>-2.8001163312843187</v>
      </c>
    </row>
    <row r="362" spans="4:13" x14ac:dyDescent="0.25">
      <c r="D362" s="1">
        <v>41876</v>
      </c>
      <c r="E362" s="3">
        <v>98.871356000000006</v>
      </c>
      <c r="F362" s="3">
        <v>194.168013</v>
      </c>
      <c r="G362" s="3">
        <f t="shared" si="35"/>
        <v>0.21422000000001162</v>
      </c>
      <c r="H362" s="3">
        <f t="shared" si="36"/>
        <v>0.97956400000001054</v>
      </c>
      <c r="I362" s="3">
        <f t="shared" si="39"/>
        <v>0.15807144246032909</v>
      </c>
      <c r="J362" s="3">
        <f t="shared" si="40"/>
        <v>0.93336158531747093</v>
      </c>
      <c r="K362" s="4">
        <f t="shared" si="37"/>
        <v>0.1750698468882361</v>
      </c>
      <c r="L362" s="4">
        <f t="shared" si="38"/>
        <v>0.89905399230130201</v>
      </c>
      <c r="M362" s="7">
        <f t="shared" si="41"/>
        <v>-2.8123176151577325</v>
      </c>
    </row>
    <row r="363" spans="4:13" x14ac:dyDescent="0.25">
      <c r="D363" s="1">
        <v>41873</v>
      </c>
      <c r="E363" s="3">
        <v>98.657135999999994</v>
      </c>
      <c r="F363" s="3">
        <v>193.18844899999999</v>
      </c>
      <c r="G363" s="3">
        <f t="shared" si="35"/>
        <v>0.72054899999999122</v>
      </c>
      <c r="H363" s="3">
        <f t="shared" si="36"/>
        <v>-0.30065799999999854</v>
      </c>
      <c r="I363" s="3">
        <f t="shared" si="39"/>
        <v>0.66440044246030872</v>
      </c>
      <c r="J363" s="3">
        <f t="shared" si="40"/>
        <v>-0.3468604146825382</v>
      </c>
      <c r="K363" s="4">
        <f t="shared" si="37"/>
        <v>0.6632130735514945</v>
      </c>
      <c r="L363" s="4">
        <f t="shared" si="38"/>
        <v>-0.3374635492895014</v>
      </c>
      <c r="M363" s="7">
        <f t="shared" si="41"/>
        <v>-2.8829946653138672</v>
      </c>
    </row>
    <row r="364" spans="4:13" x14ac:dyDescent="0.25">
      <c r="D364" s="1">
        <v>41872</v>
      </c>
      <c r="E364" s="3">
        <v>97.936587000000003</v>
      </c>
      <c r="F364" s="3">
        <v>193.48910699999999</v>
      </c>
      <c r="G364" s="3">
        <f t="shared" si="35"/>
        <v>9.7389999999961674E-3</v>
      </c>
      <c r="H364" s="3">
        <f t="shared" si="36"/>
        <v>0.56252699999998867</v>
      </c>
      <c r="I364" s="3">
        <f t="shared" si="39"/>
        <v>-4.6409557539686376E-2</v>
      </c>
      <c r="J364" s="3">
        <f t="shared" si="40"/>
        <v>0.51632458531744907</v>
      </c>
      <c r="K364" s="4">
        <f t="shared" si="37"/>
        <v>-4.6849575363204943E-2</v>
      </c>
      <c r="L364" s="4">
        <f t="shared" si="38"/>
        <v>0.52374012266095771</v>
      </c>
      <c r="M364" s="7">
        <f t="shared" si="41"/>
        <v>-2.7207257025083491</v>
      </c>
    </row>
    <row r="365" spans="4:13" x14ac:dyDescent="0.25">
      <c r="D365" s="1">
        <v>41871</v>
      </c>
      <c r="E365" s="3">
        <v>97.926848000000007</v>
      </c>
      <c r="F365" s="3">
        <v>192.92658</v>
      </c>
      <c r="G365" s="3">
        <f t="shared" si="35"/>
        <v>3.8949999999999818E-2</v>
      </c>
      <c r="H365" s="3">
        <f t="shared" si="36"/>
        <v>0.51402999999999111</v>
      </c>
      <c r="I365" s="3">
        <f t="shared" si="39"/>
        <v>-1.7198557539682725E-2</v>
      </c>
      <c r="J365" s="3">
        <f t="shared" si="40"/>
        <v>0.46782758531745144</v>
      </c>
      <c r="K365" s="4">
        <f t="shared" si="37"/>
        <v>1.5494449940627271E-2</v>
      </c>
      <c r="L365" s="4">
        <f t="shared" si="38"/>
        <v>0.42488778808806754</v>
      </c>
      <c r="M365" s="7">
        <f t="shared" si="41"/>
        <v>-2.6819499231945096</v>
      </c>
    </row>
    <row r="366" spans="4:13" x14ac:dyDescent="0.25">
      <c r="D366" s="1">
        <v>41870</v>
      </c>
      <c r="E366" s="3">
        <v>97.887898000000007</v>
      </c>
      <c r="F366" s="3">
        <v>192.41255000000001</v>
      </c>
      <c r="G366" s="3">
        <f t="shared" si="35"/>
        <v>1.3339890000000025</v>
      </c>
      <c r="H366" s="3">
        <f t="shared" si="36"/>
        <v>0.99896499999999833</v>
      </c>
      <c r="I366" s="3">
        <f t="shared" si="39"/>
        <v>1.27784044246032</v>
      </c>
      <c r="J366" s="3">
        <f t="shared" si="40"/>
        <v>0.95276258531745872</v>
      </c>
      <c r="K366" s="4">
        <f t="shared" si="37"/>
        <v>1.3058002775695789</v>
      </c>
      <c r="L366" s="4">
        <f t="shared" si="38"/>
        <v>0.92641794988916537</v>
      </c>
      <c r="M366" s="7">
        <f t="shared" si="41"/>
        <v>-2.9414033779622191</v>
      </c>
    </row>
    <row r="367" spans="4:13" x14ac:dyDescent="0.25">
      <c r="D367" s="1">
        <v>41869</v>
      </c>
      <c r="E367" s="3">
        <v>96.553909000000004</v>
      </c>
      <c r="F367" s="3">
        <v>191.41358500000001</v>
      </c>
      <c r="G367" s="3">
        <f t="shared" si="35"/>
        <v>1.1489880000000028</v>
      </c>
      <c r="H367" s="3">
        <f t="shared" si="36"/>
        <v>1.5905860000000018</v>
      </c>
      <c r="I367" s="3">
        <f t="shared" si="39"/>
        <v>1.0928394424603203</v>
      </c>
      <c r="J367" s="3">
        <f t="shared" si="40"/>
        <v>1.5443835853174621</v>
      </c>
      <c r="K367" s="4">
        <f t="shared" si="37"/>
        <v>1.1033608297335762</v>
      </c>
      <c r="L367" s="4">
        <f t="shared" si="38"/>
        <v>1.5249935720139625</v>
      </c>
      <c r="M367" s="7">
        <f t="shared" si="41"/>
        <v>-3.0311923161348986</v>
      </c>
    </row>
    <row r="368" spans="4:13" x14ac:dyDescent="0.25">
      <c r="D368" s="1">
        <v>41866</v>
      </c>
      <c r="E368" s="3">
        <v>95.404921000000002</v>
      </c>
      <c r="F368" s="3">
        <v>189.82299900000001</v>
      </c>
      <c r="G368" s="3">
        <f t="shared" si="35"/>
        <v>0.46738799999999969</v>
      </c>
      <c r="H368" s="3">
        <f t="shared" si="36"/>
        <v>-3.8787999999982503E-2</v>
      </c>
      <c r="I368" s="3">
        <f t="shared" si="39"/>
        <v>0.41123944246031713</v>
      </c>
      <c r="J368" s="3">
        <f t="shared" si="40"/>
        <v>-8.4990414682522164E-2</v>
      </c>
      <c r="K368" s="4">
        <f t="shared" si="37"/>
        <v>0.41628012718518576</v>
      </c>
      <c r="L368" s="4">
        <f t="shared" si="38"/>
        <v>-8.1664668373833321E-2</v>
      </c>
      <c r="M368" s="7">
        <f t="shared" si="41"/>
        <v>-2.7005614160868139</v>
      </c>
    </row>
    <row r="369" spans="4:13" x14ac:dyDescent="0.25">
      <c r="D369" s="1">
        <v>41865</v>
      </c>
      <c r="E369" s="3">
        <v>94.937533000000002</v>
      </c>
      <c r="F369" s="3">
        <v>189.86178699999999</v>
      </c>
      <c r="G369" s="3">
        <f t="shared" si="35"/>
        <v>0.25316899999999976</v>
      </c>
      <c r="H369" s="3">
        <f t="shared" si="36"/>
        <v>0.89227900000000204</v>
      </c>
      <c r="I369" s="3">
        <f t="shared" si="39"/>
        <v>0.19702044246031722</v>
      </c>
      <c r="J369" s="3">
        <f t="shared" si="40"/>
        <v>0.84607658531746244</v>
      </c>
      <c r="K369" s="4">
        <f t="shared" si="37"/>
        <v>0.22722227965630859</v>
      </c>
      <c r="L369" s="4">
        <f t="shared" si="38"/>
        <v>0.81130471212839639</v>
      </c>
      <c r="M369" s="7">
        <f t="shared" si="41"/>
        <v>-2.7661456812666478</v>
      </c>
    </row>
    <row r="370" spans="4:13" x14ac:dyDescent="0.25">
      <c r="D370" s="1">
        <v>41864</v>
      </c>
      <c r="E370" s="3">
        <v>94.684364000000002</v>
      </c>
      <c r="F370" s="3">
        <v>188.96950799999999</v>
      </c>
      <c r="G370" s="3">
        <f t="shared" si="35"/>
        <v>1.2366190000000046</v>
      </c>
      <c r="H370" s="3">
        <f t="shared" si="36"/>
        <v>1.2705279999999846</v>
      </c>
      <c r="I370" s="3">
        <f t="shared" si="39"/>
        <v>1.1804704424603221</v>
      </c>
      <c r="J370" s="3">
        <f t="shared" si="40"/>
        <v>1.2243255853174448</v>
      </c>
      <c r="K370" s="4">
        <f t="shared" si="37"/>
        <v>1.1785357480507896</v>
      </c>
      <c r="L370" s="4">
        <f t="shared" si="38"/>
        <v>1.2232861850695267</v>
      </c>
      <c r="M370" s="7">
        <f t="shared" si="41"/>
        <v>-2.9389779542745753</v>
      </c>
    </row>
    <row r="371" spans="4:13" x14ac:dyDescent="0.25">
      <c r="D371" s="1">
        <v>41863</v>
      </c>
      <c r="E371" s="3">
        <v>93.447744999999998</v>
      </c>
      <c r="F371" s="3">
        <v>187.69898000000001</v>
      </c>
      <c r="G371" s="3">
        <f t="shared" si="35"/>
        <v>-1.9470999999995797E-2</v>
      </c>
      <c r="H371" s="3">
        <f t="shared" si="36"/>
        <v>-0.26186999999998761</v>
      </c>
      <c r="I371" s="3">
        <f t="shared" si="39"/>
        <v>-7.5619557539678334E-2</v>
      </c>
      <c r="J371" s="3">
        <f t="shared" si="40"/>
        <v>-0.30807241468252727</v>
      </c>
      <c r="K371" s="4">
        <f t="shared" si="37"/>
        <v>-4.5915877646819286E-2</v>
      </c>
      <c r="L371" s="4">
        <f t="shared" si="38"/>
        <v>-0.35233130638408966</v>
      </c>
      <c r="M371" s="7">
        <f t="shared" si="41"/>
        <v>-2.6629719248313011</v>
      </c>
    </row>
    <row r="372" spans="4:13" x14ac:dyDescent="0.25">
      <c r="D372" s="1">
        <v>41862</v>
      </c>
      <c r="E372" s="3">
        <v>93.467215999999993</v>
      </c>
      <c r="F372" s="3">
        <v>187.96084999999999</v>
      </c>
      <c r="G372" s="3">
        <f t="shared" si="35"/>
        <v>1.2171479999999946</v>
      </c>
      <c r="H372" s="3">
        <f t="shared" si="36"/>
        <v>0.54312500000000341</v>
      </c>
      <c r="I372" s="3">
        <f t="shared" si="39"/>
        <v>1.1609994424603121</v>
      </c>
      <c r="J372" s="3">
        <f t="shared" si="40"/>
        <v>0.49692258531746375</v>
      </c>
      <c r="K372" s="4">
        <f t="shared" si="37"/>
        <v>1.1660399225085631</v>
      </c>
      <c r="L372" s="4">
        <f t="shared" si="38"/>
        <v>0.51804707236746728</v>
      </c>
      <c r="M372" s="7">
        <f t="shared" si="41"/>
        <v>-2.8962993873956955</v>
      </c>
    </row>
    <row r="373" spans="4:13" x14ac:dyDescent="0.25">
      <c r="D373" s="1">
        <v>41859</v>
      </c>
      <c r="E373" s="3">
        <v>92.250067999999999</v>
      </c>
      <c r="F373" s="3">
        <v>187.41772499999999</v>
      </c>
      <c r="G373" s="3">
        <f t="shared" si="35"/>
        <v>0.25316100000000574</v>
      </c>
      <c r="H373" s="3">
        <f t="shared" si="36"/>
        <v>2.1434199999999919</v>
      </c>
      <c r="I373" s="3">
        <f t="shared" si="39"/>
        <v>0.19701244246032321</v>
      </c>
      <c r="J373" s="3">
        <f t="shared" si="40"/>
        <v>2.0972175853174524</v>
      </c>
      <c r="K373" s="4">
        <f t="shared" si="37"/>
        <v>0.19532694183295415</v>
      </c>
      <c r="L373" s="4">
        <f t="shared" si="38"/>
        <v>2.0851237644105729</v>
      </c>
      <c r="M373" s="7">
        <f t="shared" si="41"/>
        <v>-3.7223387443386304</v>
      </c>
    </row>
    <row r="374" spans="4:13" x14ac:dyDescent="0.25">
      <c r="D374" s="1">
        <v>41858</v>
      </c>
      <c r="E374" s="3">
        <v>91.996906999999993</v>
      </c>
      <c r="F374" s="3">
        <v>185.274305</v>
      </c>
      <c r="G374" s="3">
        <f t="shared" si="35"/>
        <v>-9.7310000000021546E-3</v>
      </c>
      <c r="H374" s="3">
        <f t="shared" si="36"/>
        <v>-1.0086730000000159</v>
      </c>
      <c r="I374" s="3">
        <f t="shared" si="39"/>
        <v>-6.5879557539684691E-2</v>
      </c>
      <c r="J374" s="3">
        <f t="shared" si="40"/>
        <v>-1.0548754146825556</v>
      </c>
      <c r="K374" s="4">
        <f t="shared" si="37"/>
        <v>-7.1282394899418663E-2</v>
      </c>
      <c r="L374" s="4">
        <f t="shared" si="38"/>
        <v>-1.0453685774609303</v>
      </c>
      <c r="M374" s="7">
        <f t="shared" si="41"/>
        <v>-2.9160642220247501</v>
      </c>
    </row>
    <row r="375" spans="4:13" x14ac:dyDescent="0.25">
      <c r="D375" s="1">
        <v>41857</v>
      </c>
      <c r="E375" s="3">
        <v>92.006637999999995</v>
      </c>
      <c r="F375" s="3">
        <v>186.28297800000001</v>
      </c>
      <c r="G375" s="3">
        <f t="shared" si="35"/>
        <v>-0.15502700000000402</v>
      </c>
      <c r="H375" s="3">
        <f t="shared" si="36"/>
        <v>5.8204000000017686E-2</v>
      </c>
      <c r="I375" s="3">
        <f t="shared" si="39"/>
        <v>-0.21117555753968656</v>
      </c>
      <c r="J375" s="3">
        <f t="shared" si="40"/>
        <v>1.2001585317478032E-2</v>
      </c>
      <c r="K375" s="4">
        <f t="shared" si="37"/>
        <v>-0.2242627226687037</v>
      </c>
      <c r="L375" s="4">
        <f t="shared" si="38"/>
        <v>8.0203343003495547E-3</v>
      </c>
      <c r="M375" s="7">
        <f t="shared" si="41"/>
        <v>-2.6492498513981948</v>
      </c>
    </row>
    <row r="376" spans="4:13" x14ac:dyDescent="0.25">
      <c r="D376" s="1">
        <v>41856</v>
      </c>
      <c r="E376" s="3">
        <v>92.161664999999999</v>
      </c>
      <c r="F376" s="3">
        <v>186.224774</v>
      </c>
      <c r="G376" s="3">
        <f t="shared" si="35"/>
        <v>-0.45537699999999859</v>
      </c>
      <c r="H376" s="3">
        <f t="shared" si="36"/>
        <v>-1.8233600000000081</v>
      </c>
      <c r="I376" s="3">
        <f t="shared" si="39"/>
        <v>-0.5115255575396811</v>
      </c>
      <c r="J376" s="3">
        <f t="shared" si="40"/>
        <v>-1.8695624146825478</v>
      </c>
      <c r="K376" s="4">
        <f t="shared" si="37"/>
        <v>-0.52634809895723744</v>
      </c>
      <c r="L376" s="4">
        <f t="shared" si="38"/>
        <v>-1.8254283482875946</v>
      </c>
      <c r="M376" s="7">
        <f t="shared" si="41"/>
        <v>-3.3003881053215252</v>
      </c>
    </row>
    <row r="377" spans="4:13" x14ac:dyDescent="0.25">
      <c r="D377" s="1">
        <v>41855</v>
      </c>
      <c r="E377" s="3">
        <v>92.617041999999998</v>
      </c>
      <c r="F377" s="3">
        <v>188.048134</v>
      </c>
      <c r="G377" s="3">
        <f t="shared" si="35"/>
        <v>-0.52320600000000184</v>
      </c>
      <c r="H377" s="3">
        <f t="shared" si="36"/>
        <v>1.348118999999997</v>
      </c>
      <c r="I377" s="3">
        <f t="shared" si="39"/>
        <v>-0.57935455753968435</v>
      </c>
      <c r="J377" s="3">
        <f t="shared" si="40"/>
        <v>1.3019165853174572</v>
      </c>
      <c r="K377" s="4">
        <f t="shared" si="37"/>
        <v>-0.56765303047280868</v>
      </c>
      <c r="L377" s="4">
        <f t="shared" si="38"/>
        <v>1.2728988331694298</v>
      </c>
      <c r="M377" s="7">
        <f t="shared" si="41"/>
        <v>-3.4601549153102242</v>
      </c>
    </row>
    <row r="378" spans="4:13" x14ac:dyDescent="0.25">
      <c r="D378" s="1">
        <v>41852</v>
      </c>
      <c r="E378" s="3">
        <v>93.140248</v>
      </c>
      <c r="F378" s="3">
        <v>186.70001500000001</v>
      </c>
      <c r="G378" s="3">
        <f t="shared" si="35"/>
        <v>0.51351499999999817</v>
      </c>
      <c r="H378" s="3">
        <f t="shared" si="36"/>
        <v>-0.57221999999998729</v>
      </c>
      <c r="I378" s="3">
        <f t="shared" si="39"/>
        <v>0.4573664424603156</v>
      </c>
      <c r="J378" s="3">
        <f t="shared" si="40"/>
        <v>-0.6184224146825269</v>
      </c>
      <c r="K378" s="4">
        <f t="shared" si="37"/>
        <v>0.39271821832901294</v>
      </c>
      <c r="L378" s="4">
        <f t="shared" si="38"/>
        <v>-0.56103825199287682</v>
      </c>
      <c r="M378" s="7">
        <f t="shared" si="41"/>
        <v>-2.8516993552433076</v>
      </c>
    </row>
    <row r="379" spans="4:13" x14ac:dyDescent="0.25">
      <c r="D379" s="1">
        <v>41851</v>
      </c>
      <c r="E379" s="3">
        <v>92.626733000000002</v>
      </c>
      <c r="F379" s="3">
        <v>187.27223499999999</v>
      </c>
      <c r="G379" s="3">
        <f t="shared" si="35"/>
        <v>-2.4706949999999921</v>
      </c>
      <c r="H379" s="3">
        <f t="shared" si="36"/>
        <v>-3.7727950000000021</v>
      </c>
      <c r="I379" s="3">
        <f t="shared" si="39"/>
        <v>-2.5268435575396748</v>
      </c>
      <c r="J379" s="3">
        <f t="shared" si="40"/>
        <v>-3.8189974146825416</v>
      </c>
      <c r="K379" s="4">
        <f t="shared" si="37"/>
        <v>-2.5339814130038665</v>
      </c>
      <c r="L379" s="4">
        <f t="shared" si="38"/>
        <v>-3.806906561818729</v>
      </c>
      <c r="M379" s="7">
        <f t="shared" si="41"/>
        <v>-5.072894813498622</v>
      </c>
    </row>
    <row r="380" spans="4:13" x14ac:dyDescent="0.25">
      <c r="D380" s="1">
        <v>41850</v>
      </c>
      <c r="E380" s="3">
        <v>95.097427999999994</v>
      </c>
      <c r="F380" s="3">
        <v>191.04503</v>
      </c>
      <c r="G380" s="3">
        <f t="shared" si="35"/>
        <v>-0.22284199999999998</v>
      </c>
      <c r="H380" s="3">
        <f t="shared" si="36"/>
        <v>2.9094999999983884E-2</v>
      </c>
      <c r="I380" s="3">
        <f t="shared" si="39"/>
        <v>-0.27899055753968255</v>
      </c>
      <c r="J380" s="3">
        <f t="shared" si="40"/>
        <v>-1.710741468255577E-2</v>
      </c>
      <c r="K380" s="4">
        <f t="shared" si="37"/>
        <v>-0.29629196305991284</v>
      </c>
      <c r="L380" s="4">
        <f t="shared" si="38"/>
        <v>4.0454483304312033E-4</v>
      </c>
      <c r="M380" s="7">
        <f t="shared" si="41"/>
        <v>-2.660000561857494</v>
      </c>
    </row>
    <row r="381" spans="4:13" x14ac:dyDescent="0.25">
      <c r="D381" s="1">
        <v>41849</v>
      </c>
      <c r="E381" s="3">
        <v>95.320269999999994</v>
      </c>
      <c r="F381" s="3">
        <v>191.01593500000001</v>
      </c>
      <c r="G381" s="3">
        <f t="shared" si="35"/>
        <v>-0.62009500000000628</v>
      </c>
      <c r="H381" s="3">
        <f t="shared" si="36"/>
        <v>-0.82439499999998134</v>
      </c>
      <c r="I381" s="3">
        <f t="shared" si="39"/>
        <v>-0.67624355753968879</v>
      </c>
      <c r="J381" s="3">
        <f t="shared" si="40"/>
        <v>-0.87059741468252094</v>
      </c>
      <c r="K381" s="4">
        <f t="shared" si="37"/>
        <v>-0.64421516062193129</v>
      </c>
      <c r="L381" s="4">
        <f t="shared" si="38"/>
        <v>-0.92549597708802256</v>
      </c>
      <c r="M381" s="7">
        <f t="shared" si="41"/>
        <v>-2.7784872544821035</v>
      </c>
    </row>
    <row r="382" spans="4:13" x14ac:dyDescent="0.25">
      <c r="D382" s="1">
        <v>41848</v>
      </c>
      <c r="E382" s="3">
        <v>95.940365</v>
      </c>
      <c r="F382" s="3">
        <v>191.84032999999999</v>
      </c>
      <c r="G382" s="3">
        <f t="shared" si="35"/>
        <v>1.3080120000000051</v>
      </c>
      <c r="H382" s="3">
        <f t="shared" si="36"/>
        <v>7.7590999999983978E-2</v>
      </c>
      <c r="I382" s="3">
        <f t="shared" si="39"/>
        <v>1.2518634424603226</v>
      </c>
      <c r="J382" s="3">
        <f t="shared" si="40"/>
        <v>3.1388585317444324E-2</v>
      </c>
      <c r="K382" s="4">
        <f t="shared" si="37"/>
        <v>1.2662917737677515</v>
      </c>
      <c r="L382" s="4">
        <f t="shared" si="38"/>
        <v>-7.0320471564405216E-3</v>
      </c>
      <c r="M382" s="7">
        <f t="shared" si="41"/>
        <v>-3.1240361614277385</v>
      </c>
    </row>
    <row r="383" spans="4:13" x14ac:dyDescent="0.25">
      <c r="D383" s="1">
        <v>41845</v>
      </c>
      <c r="E383" s="3">
        <v>94.632352999999995</v>
      </c>
      <c r="F383" s="3">
        <v>191.76273900000001</v>
      </c>
      <c r="G383" s="3">
        <f t="shared" si="35"/>
        <v>0.62009499999999207</v>
      </c>
      <c r="H383" s="3">
        <f t="shared" si="36"/>
        <v>-0.90197200000000066</v>
      </c>
      <c r="I383" s="3">
        <f t="shared" si="39"/>
        <v>0.56394644246030956</v>
      </c>
      <c r="J383" s="3">
        <f t="shared" si="40"/>
        <v>-0.94817441468254027</v>
      </c>
      <c r="K383" s="4">
        <f t="shared" si="37"/>
        <v>0.55854357951599842</v>
      </c>
      <c r="L383" s="4">
        <f t="shared" si="38"/>
        <v>-0.93935763736744815</v>
      </c>
      <c r="M383" s="7">
        <f t="shared" si="41"/>
        <v>-3.1741906270994535</v>
      </c>
    </row>
    <row r="384" spans="4:13" x14ac:dyDescent="0.25">
      <c r="D384" s="1">
        <v>41844</v>
      </c>
      <c r="E384" s="3">
        <v>94.012258000000003</v>
      </c>
      <c r="F384" s="3">
        <v>192.66471100000001</v>
      </c>
      <c r="G384" s="3">
        <f t="shared" si="35"/>
        <v>-0.1550280000000015</v>
      </c>
      <c r="H384" s="3">
        <f t="shared" si="36"/>
        <v>9.6929999999986194E-3</v>
      </c>
      <c r="I384" s="3">
        <f t="shared" si="39"/>
        <v>-0.21117655753968403</v>
      </c>
      <c r="J384" s="3">
        <f t="shared" si="40"/>
        <v>-3.6509414682541035E-2</v>
      </c>
      <c r="K384" s="4">
        <f t="shared" si="37"/>
        <v>-0.15138454495555997</v>
      </c>
      <c r="L384" s="4">
        <f t="shared" si="38"/>
        <v>-0.13441655189291901</v>
      </c>
      <c r="M384" s="7">
        <f t="shared" si="41"/>
        <v>-2.6377284118310311</v>
      </c>
    </row>
    <row r="385" spans="4:13" x14ac:dyDescent="0.25">
      <c r="D385" s="1">
        <v>41843</v>
      </c>
      <c r="E385" s="3">
        <v>94.167286000000004</v>
      </c>
      <c r="F385" s="3">
        <v>192.65501800000001</v>
      </c>
      <c r="G385" s="3">
        <f t="shared" si="35"/>
        <v>2.3931820000000101</v>
      </c>
      <c r="H385" s="3">
        <f t="shared" si="36"/>
        <v>0.42674500000001103</v>
      </c>
      <c r="I385" s="3">
        <f t="shared" si="39"/>
        <v>2.3370334424603274</v>
      </c>
      <c r="J385" s="3">
        <f t="shared" si="40"/>
        <v>0.38054258531747137</v>
      </c>
      <c r="K385" s="4">
        <f t="shared" si="37"/>
        <v>2.3549321937453307</v>
      </c>
      <c r="L385" s="4">
        <f t="shared" si="38"/>
        <v>0.36082179052257585</v>
      </c>
      <c r="M385" s="7">
        <f t="shared" si="41"/>
        <v>-4.0376708661070877</v>
      </c>
    </row>
    <row r="386" spans="4:13" x14ac:dyDescent="0.25">
      <c r="D386" s="1">
        <v>41842</v>
      </c>
      <c r="E386" s="3">
        <v>91.774103999999994</v>
      </c>
      <c r="F386" s="3">
        <v>192.228273</v>
      </c>
      <c r="G386" s="3">
        <f t="shared" ref="G386:G449" si="42">E386-E387</f>
        <v>0.75573999999998875</v>
      </c>
      <c r="H386" s="3">
        <f t="shared" ref="H386:H449" si="43">F386-F387</f>
        <v>0.83408900000000585</v>
      </c>
      <c r="I386" s="3">
        <f t="shared" si="39"/>
        <v>0.69959144246030625</v>
      </c>
      <c r="J386" s="3">
        <f t="shared" si="40"/>
        <v>0.78788658531746625</v>
      </c>
      <c r="K386" s="4">
        <f t="shared" ref="K386:K449" si="44">I386-A$11*I387</f>
        <v>0.68600839705553018</v>
      </c>
      <c r="L386" s="4">
        <f t="shared" ref="L386:L449" si="45">J386-A$12*I387-B$12*J387</f>
        <v>0.80559576063618155</v>
      </c>
      <c r="M386" s="7">
        <f t="shared" si="41"/>
        <v>-2.7529839045488642</v>
      </c>
    </row>
    <row r="387" spans="4:13" x14ac:dyDescent="0.25">
      <c r="D387" s="1">
        <v>41841</v>
      </c>
      <c r="E387" s="3">
        <v>91.018364000000005</v>
      </c>
      <c r="F387" s="3">
        <v>191.394184</v>
      </c>
      <c r="G387" s="3">
        <f t="shared" si="42"/>
        <v>-0.47475899999999172</v>
      </c>
      <c r="H387" s="3">
        <f t="shared" si="43"/>
        <v>-0.35886200000001622</v>
      </c>
      <c r="I387" s="3">
        <f t="shared" ref="I387:I450" si="46">G387-AVERAGE(G$2:G$505)</f>
        <v>-0.53090755753967422</v>
      </c>
      <c r="J387" s="3">
        <f t="shared" ref="J387:J450" si="47">H387-AVERAGE(H$2:H$505)</f>
        <v>-0.40506441468255588</v>
      </c>
      <c r="K387" s="4">
        <f t="shared" si="44"/>
        <v>-0.49912689608317878</v>
      </c>
      <c r="L387" s="4">
        <f t="shared" si="45"/>
        <v>-0.43304445736851577</v>
      </c>
      <c r="M387" s="7">
        <f t="shared" ref="M387:M450" si="48">-LN(2*PI()*ABS(A$2*B$3))-0.5*SUMPRODUCT(MMULT(K387:L387,A$8:B$9),K387:L387)</f>
        <v>-2.6811154346298145</v>
      </c>
    </row>
    <row r="388" spans="4:13" x14ac:dyDescent="0.25">
      <c r="D388" s="1">
        <v>41838</v>
      </c>
      <c r="E388" s="3">
        <v>91.493122999999997</v>
      </c>
      <c r="F388" s="3">
        <v>191.75304600000001</v>
      </c>
      <c r="G388" s="3">
        <f t="shared" si="42"/>
        <v>1.2983289999999954</v>
      </c>
      <c r="H388" s="3">
        <f t="shared" si="43"/>
        <v>1.9397409999999979</v>
      </c>
      <c r="I388" s="3">
        <f t="shared" si="46"/>
        <v>1.2421804424603129</v>
      </c>
      <c r="J388" s="3">
        <f t="shared" si="47"/>
        <v>1.8935385853174582</v>
      </c>
      <c r="K388" s="4">
        <f t="shared" si="44"/>
        <v>1.1988506440547921</v>
      </c>
      <c r="L388" s="4">
        <f t="shared" si="45"/>
        <v>1.936711748748275</v>
      </c>
      <c r="M388" s="7">
        <f t="shared" si="48"/>
        <v>-3.2618698763505956</v>
      </c>
    </row>
    <row r="389" spans="4:13" x14ac:dyDescent="0.25">
      <c r="D389" s="1">
        <v>41837</v>
      </c>
      <c r="E389" s="3">
        <v>90.194794000000002</v>
      </c>
      <c r="F389" s="3">
        <v>189.81330500000001</v>
      </c>
      <c r="G389" s="3">
        <f t="shared" si="42"/>
        <v>-1.637441999999993</v>
      </c>
      <c r="H389" s="3">
        <f t="shared" si="43"/>
        <v>-2.1822079999999744</v>
      </c>
      <c r="I389" s="3">
        <f t="shared" si="46"/>
        <v>-1.6935905575396755</v>
      </c>
      <c r="J389" s="3">
        <f t="shared" si="47"/>
        <v>-2.2284104146825139</v>
      </c>
      <c r="K389" s="4">
        <f t="shared" si="44"/>
        <v>-1.7084130989572317</v>
      </c>
      <c r="L389" s="4">
        <f t="shared" si="45"/>
        <v>-2.1933822771575047</v>
      </c>
      <c r="M389" s="7">
        <f t="shared" si="48"/>
        <v>-3.478353543021854</v>
      </c>
    </row>
    <row r="390" spans="4:13" x14ac:dyDescent="0.25">
      <c r="D390" s="1">
        <v>41836</v>
      </c>
      <c r="E390" s="3">
        <v>91.832235999999995</v>
      </c>
      <c r="F390" s="3">
        <v>191.99551299999999</v>
      </c>
      <c r="G390" s="3">
        <f t="shared" si="42"/>
        <v>-0.52320600000000184</v>
      </c>
      <c r="H390" s="3">
        <f t="shared" si="43"/>
        <v>0.70801599999998643</v>
      </c>
      <c r="I390" s="3">
        <f t="shared" si="46"/>
        <v>-0.57935455753968435</v>
      </c>
      <c r="J390" s="3">
        <f t="shared" si="47"/>
        <v>0.66181358531744683</v>
      </c>
      <c r="K390" s="4">
        <f t="shared" si="44"/>
        <v>-0.60880244577371312</v>
      </c>
      <c r="L390" s="4">
        <f t="shared" si="45"/>
        <v>0.70693721790958919</v>
      </c>
      <c r="M390" s="7">
        <f t="shared" si="48"/>
        <v>-3.0484724368450533</v>
      </c>
    </row>
    <row r="391" spans="4:13" x14ac:dyDescent="0.25">
      <c r="D391" s="1">
        <v>41835</v>
      </c>
      <c r="E391" s="3">
        <v>92.355441999999996</v>
      </c>
      <c r="F391" s="3">
        <v>191.287497</v>
      </c>
      <c r="G391" s="3">
        <f t="shared" si="42"/>
        <v>-1.0948530000000005</v>
      </c>
      <c r="H391" s="3">
        <f t="shared" si="43"/>
        <v>-0.3588619999999878</v>
      </c>
      <c r="I391" s="3">
        <f t="shared" si="46"/>
        <v>-1.151001557539683</v>
      </c>
      <c r="J391" s="3">
        <f t="shared" si="47"/>
        <v>-0.40506441468252746</v>
      </c>
      <c r="K391" s="4">
        <f t="shared" si="44"/>
        <v>-1.1219479050003589</v>
      </c>
      <c r="L391" s="4">
        <f t="shared" si="45"/>
        <v>-0.44226720616441317</v>
      </c>
      <c r="M391" s="7">
        <f t="shared" si="48"/>
        <v>-2.8854354792293213</v>
      </c>
    </row>
    <row r="392" spans="4:13" x14ac:dyDescent="0.25">
      <c r="D392" s="1">
        <v>41834</v>
      </c>
      <c r="E392" s="3">
        <v>93.450294999999997</v>
      </c>
      <c r="F392" s="3">
        <v>191.64635899999999</v>
      </c>
      <c r="G392" s="3">
        <f t="shared" si="42"/>
        <v>1.1917409999999933</v>
      </c>
      <c r="H392" s="3">
        <f t="shared" si="43"/>
        <v>0.96017599999998993</v>
      </c>
      <c r="I392" s="3">
        <f t="shared" si="46"/>
        <v>1.1355924424603108</v>
      </c>
      <c r="J392" s="3">
        <f t="shared" si="47"/>
        <v>0.91397358531745032</v>
      </c>
      <c r="K392" s="4">
        <f t="shared" si="44"/>
        <v>1.1386179067909623</v>
      </c>
      <c r="L392" s="4">
        <f t="shared" si="45"/>
        <v>0.91181360889580554</v>
      </c>
      <c r="M392" s="7">
        <f t="shared" si="48"/>
        <v>-2.8738072290611703</v>
      </c>
    </row>
    <row r="393" spans="4:13" x14ac:dyDescent="0.25">
      <c r="D393" s="1">
        <v>41831</v>
      </c>
      <c r="E393" s="3">
        <v>92.258554000000004</v>
      </c>
      <c r="F393" s="3">
        <v>190.686183</v>
      </c>
      <c r="G393" s="3">
        <f t="shared" si="42"/>
        <v>0.17440200000000061</v>
      </c>
      <c r="H393" s="3">
        <f t="shared" si="43"/>
        <v>0.26186999999998761</v>
      </c>
      <c r="I393" s="3">
        <f t="shared" si="46"/>
        <v>0.11825344246031808</v>
      </c>
      <c r="J393" s="3">
        <f t="shared" si="47"/>
        <v>0.21566758531744795</v>
      </c>
      <c r="K393" s="4">
        <f t="shared" si="44"/>
        <v>0.10814084261769336</v>
      </c>
      <c r="L393" s="4">
        <f t="shared" si="45"/>
        <v>0.22172316861544658</v>
      </c>
      <c r="M393" s="7">
        <f t="shared" si="48"/>
        <v>-2.6417545241885021</v>
      </c>
    </row>
    <row r="394" spans="4:13" x14ac:dyDescent="0.25">
      <c r="D394" s="1">
        <v>41830</v>
      </c>
      <c r="E394" s="3">
        <v>92.084152000000003</v>
      </c>
      <c r="F394" s="3">
        <v>190.42431300000001</v>
      </c>
      <c r="G394" s="3">
        <f t="shared" si="42"/>
        <v>-0.33911299999999756</v>
      </c>
      <c r="H394" s="3">
        <f t="shared" si="43"/>
        <v>-0.75649799999999345</v>
      </c>
      <c r="I394" s="3">
        <f t="shared" si="46"/>
        <v>-0.39526155753968012</v>
      </c>
      <c r="J394" s="3">
        <f t="shared" si="47"/>
        <v>-0.80270041468253306</v>
      </c>
      <c r="K394" s="4">
        <f t="shared" si="44"/>
        <v>-0.39570651318660283</v>
      </c>
      <c r="L394" s="4">
        <f t="shared" si="45"/>
        <v>-0.79044747953044381</v>
      </c>
      <c r="M394" s="7">
        <f t="shared" si="48"/>
        <v>-2.7405042280563769</v>
      </c>
    </row>
    <row r="395" spans="4:13" x14ac:dyDescent="0.25">
      <c r="D395" s="1">
        <v>41829</v>
      </c>
      <c r="E395" s="3">
        <v>92.423265000000001</v>
      </c>
      <c r="F395" s="3">
        <v>191.18081100000001</v>
      </c>
      <c r="G395" s="3">
        <f t="shared" si="42"/>
        <v>3.8757000000003927E-2</v>
      </c>
      <c r="H395" s="3">
        <f t="shared" si="43"/>
        <v>0.85347600000000057</v>
      </c>
      <c r="I395" s="3">
        <f t="shared" si="46"/>
        <v>-1.7391557539678616E-2</v>
      </c>
      <c r="J395" s="3">
        <f t="shared" si="47"/>
        <v>0.80727358531746096</v>
      </c>
      <c r="K395" s="4">
        <f t="shared" si="44"/>
        <v>-3.4197261876190446E-2</v>
      </c>
      <c r="L395" s="4">
        <f t="shared" si="45"/>
        <v>0.81813440858801356</v>
      </c>
      <c r="M395" s="7">
        <f t="shared" si="48"/>
        <v>-2.8334592887615559</v>
      </c>
    </row>
    <row r="396" spans="4:13" x14ac:dyDescent="0.25">
      <c r="D396" s="1">
        <v>41828</v>
      </c>
      <c r="E396" s="3">
        <v>92.384507999999997</v>
      </c>
      <c r="F396" s="3">
        <v>190.32733500000001</v>
      </c>
      <c r="G396" s="3">
        <f t="shared" si="42"/>
        <v>-0.60072000000000969</v>
      </c>
      <c r="H396" s="3">
        <f t="shared" si="43"/>
        <v>-1.2317249999999831</v>
      </c>
      <c r="I396" s="3">
        <f t="shared" si="46"/>
        <v>-0.6568685575396922</v>
      </c>
      <c r="J396" s="3">
        <f t="shared" si="47"/>
        <v>-1.2779274146825228</v>
      </c>
      <c r="K396" s="4">
        <f t="shared" si="44"/>
        <v>-0.61021463471342186</v>
      </c>
      <c r="L396" s="4">
        <f t="shared" si="45"/>
        <v>-1.3687227219198148</v>
      </c>
      <c r="M396" s="7">
        <f t="shared" si="48"/>
        <v>-2.9637008213573424</v>
      </c>
    </row>
    <row r="397" spans="4:13" x14ac:dyDescent="0.25">
      <c r="D397" s="1">
        <v>41827</v>
      </c>
      <c r="E397" s="3">
        <v>92.985228000000006</v>
      </c>
      <c r="F397" s="3">
        <v>191.55905999999999</v>
      </c>
      <c r="G397" s="3">
        <f t="shared" si="42"/>
        <v>1.8796660000000003</v>
      </c>
      <c r="H397" s="3">
        <f t="shared" si="43"/>
        <v>-0.66921300000001338</v>
      </c>
      <c r="I397" s="3">
        <f t="shared" si="46"/>
        <v>1.8235174424603178</v>
      </c>
      <c r="J397" s="3">
        <f t="shared" si="47"/>
        <v>-0.71541541468255299</v>
      </c>
      <c r="K397" s="4">
        <f t="shared" si="44"/>
        <v>1.8357146707109122</v>
      </c>
      <c r="L397" s="4">
        <f t="shared" si="45"/>
        <v>-0.72376627462848098</v>
      </c>
      <c r="M397" s="7">
        <f t="shared" si="48"/>
        <v>-4.3033023867209348</v>
      </c>
    </row>
    <row r="398" spans="4:13" x14ac:dyDescent="0.25">
      <c r="D398" s="1">
        <v>41823</v>
      </c>
      <c r="E398" s="3">
        <v>91.105562000000006</v>
      </c>
      <c r="F398" s="3">
        <v>192.228273</v>
      </c>
      <c r="G398" s="3">
        <f t="shared" si="42"/>
        <v>0.53289000000000897</v>
      </c>
      <c r="H398" s="3">
        <f t="shared" si="43"/>
        <v>0.94077599999999961</v>
      </c>
      <c r="I398" s="3">
        <f t="shared" si="46"/>
        <v>0.4767414424603264</v>
      </c>
      <c r="J398" s="3">
        <f t="shared" si="47"/>
        <v>0.89457358531746001</v>
      </c>
      <c r="K398" s="4">
        <f t="shared" si="44"/>
        <v>0.47431352857106579</v>
      </c>
      <c r="L398" s="4">
        <f t="shared" si="45"/>
        <v>0.90087113704540267</v>
      </c>
      <c r="M398" s="7">
        <f t="shared" si="48"/>
        <v>-2.7712498166150596</v>
      </c>
    </row>
    <row r="399" spans="4:13" x14ac:dyDescent="0.25">
      <c r="D399" s="1">
        <v>41822</v>
      </c>
      <c r="E399" s="3">
        <v>90.572671999999997</v>
      </c>
      <c r="F399" s="3">
        <v>191.287497</v>
      </c>
      <c r="G399" s="3">
        <f t="shared" si="42"/>
        <v>-3.8749000000009914E-2</v>
      </c>
      <c r="H399" s="3">
        <f t="shared" si="43"/>
        <v>0.19397100000000478</v>
      </c>
      <c r="I399" s="3">
        <f t="shared" si="46"/>
        <v>-9.4897557539692451E-2</v>
      </c>
      <c r="J399" s="3">
        <f t="shared" si="47"/>
        <v>0.14776858531746512</v>
      </c>
      <c r="K399" s="4">
        <f t="shared" si="44"/>
        <v>-8.1708747829620162E-2</v>
      </c>
      <c r="L399" s="4">
        <f t="shared" si="45"/>
        <v>0.14239521890436882</v>
      </c>
      <c r="M399" s="7">
        <f t="shared" si="48"/>
        <v>-2.6453925067235913</v>
      </c>
    </row>
    <row r="400" spans="4:13" x14ac:dyDescent="0.25">
      <c r="D400" s="1">
        <v>41821</v>
      </c>
      <c r="E400" s="3">
        <v>90.611421000000007</v>
      </c>
      <c r="F400" s="3">
        <v>191.093526</v>
      </c>
      <c r="G400" s="3">
        <f t="shared" si="42"/>
        <v>0.57164700000001289</v>
      </c>
      <c r="H400" s="3">
        <f t="shared" si="43"/>
        <v>1.2705269999999871</v>
      </c>
      <c r="I400" s="3">
        <f t="shared" si="46"/>
        <v>0.51549844246033039</v>
      </c>
      <c r="J400" s="3">
        <f t="shared" si="47"/>
        <v>1.2243245853174474</v>
      </c>
      <c r="K400" s="4">
        <f t="shared" si="44"/>
        <v>0.53761125504450624</v>
      </c>
      <c r="L400" s="4">
        <f t="shared" si="45"/>
        <v>1.1840765743108754</v>
      </c>
      <c r="M400" s="7">
        <f t="shared" si="48"/>
        <v>-2.8794004883922537</v>
      </c>
    </row>
    <row r="401" spans="4:13" x14ac:dyDescent="0.25">
      <c r="D401" s="1">
        <v>41820</v>
      </c>
      <c r="E401" s="3">
        <v>90.039773999999994</v>
      </c>
      <c r="F401" s="3">
        <v>189.82299900000001</v>
      </c>
      <c r="G401" s="3">
        <f t="shared" si="42"/>
        <v>0.92045099999999991</v>
      </c>
      <c r="H401" s="3">
        <f t="shared" si="43"/>
        <v>-9.6992999999997664E-2</v>
      </c>
      <c r="I401" s="3">
        <f t="shared" si="46"/>
        <v>0.8643024424603174</v>
      </c>
      <c r="J401" s="3">
        <f t="shared" si="47"/>
        <v>-0.14319541468253733</v>
      </c>
      <c r="K401" s="4">
        <f t="shared" si="44"/>
        <v>0.88963791397622827</v>
      </c>
      <c r="L401" s="4">
        <f t="shared" si="45"/>
        <v>-0.18238941035196216</v>
      </c>
      <c r="M401" s="7">
        <f t="shared" si="48"/>
        <v>-2.9440192736094168</v>
      </c>
    </row>
    <row r="402" spans="4:13" x14ac:dyDescent="0.25">
      <c r="D402" s="1">
        <v>41817</v>
      </c>
      <c r="E402" s="3">
        <v>89.119322999999994</v>
      </c>
      <c r="F402" s="3">
        <v>189.91999200000001</v>
      </c>
      <c r="G402" s="3">
        <f t="shared" si="42"/>
        <v>1.0464119999999895</v>
      </c>
      <c r="H402" s="3">
        <f t="shared" si="43"/>
        <v>0.36855600000001232</v>
      </c>
      <c r="I402" s="3">
        <f t="shared" si="46"/>
        <v>0.99026344246030695</v>
      </c>
      <c r="J402" s="3">
        <f t="shared" si="47"/>
        <v>0.32235358531747266</v>
      </c>
      <c r="K402" s="4">
        <f t="shared" si="44"/>
        <v>1.0022129096650623</v>
      </c>
      <c r="L402" s="4">
        <f t="shared" si="45"/>
        <v>0.29911605340701669</v>
      </c>
      <c r="M402" s="7">
        <f t="shared" si="48"/>
        <v>-2.8516498084793152</v>
      </c>
    </row>
    <row r="403" spans="4:13" x14ac:dyDescent="0.25">
      <c r="D403" s="1">
        <v>41816</v>
      </c>
      <c r="E403" s="3">
        <v>88.072911000000005</v>
      </c>
      <c r="F403" s="3">
        <v>189.551436</v>
      </c>
      <c r="G403" s="3">
        <f t="shared" si="42"/>
        <v>0.52320600000000184</v>
      </c>
      <c r="H403" s="3">
        <f t="shared" si="43"/>
        <v>-0.13578100000000859</v>
      </c>
      <c r="I403" s="3">
        <f t="shared" si="46"/>
        <v>0.46705744246031927</v>
      </c>
      <c r="J403" s="3">
        <f t="shared" si="47"/>
        <v>-0.18198341468254825</v>
      </c>
      <c r="K403" s="4">
        <f t="shared" si="44"/>
        <v>0.46760406827287432</v>
      </c>
      <c r="L403" s="4">
        <f t="shared" si="45"/>
        <v>-0.17144373368634103</v>
      </c>
      <c r="M403" s="7">
        <f t="shared" si="48"/>
        <v>-2.738068549812644</v>
      </c>
    </row>
    <row r="404" spans="4:13" x14ac:dyDescent="0.25">
      <c r="D404" s="1">
        <v>41815</v>
      </c>
      <c r="E404" s="3">
        <v>87.549705000000003</v>
      </c>
      <c r="F404" s="3">
        <v>189.687217</v>
      </c>
      <c r="G404" s="3">
        <f t="shared" si="42"/>
        <v>7.7514000000007854E-2</v>
      </c>
      <c r="H404" s="3">
        <f t="shared" si="43"/>
        <v>0.85348999999999364</v>
      </c>
      <c r="I404" s="3">
        <f t="shared" si="46"/>
        <v>2.1365442460325311E-2</v>
      </c>
      <c r="J404" s="3">
        <f t="shared" si="47"/>
        <v>0.80728758531745404</v>
      </c>
      <c r="K404" s="4">
        <f t="shared" si="44"/>
        <v>6.2949609048893393E-3</v>
      </c>
      <c r="L404" s="4">
        <f t="shared" si="45"/>
        <v>0.81639143584745488</v>
      </c>
      <c r="M404" s="7">
        <f t="shared" si="48"/>
        <v>-2.8199093406863023</v>
      </c>
    </row>
    <row r="405" spans="4:13" x14ac:dyDescent="0.25">
      <c r="D405" s="1">
        <v>41814</v>
      </c>
      <c r="E405" s="3">
        <v>87.472190999999995</v>
      </c>
      <c r="F405" s="3">
        <v>188.83372700000001</v>
      </c>
      <c r="G405" s="3">
        <f t="shared" si="42"/>
        <v>-0.53289700000000551</v>
      </c>
      <c r="H405" s="3">
        <f t="shared" si="43"/>
        <v>-1.1444539999999961</v>
      </c>
      <c r="I405" s="3">
        <f t="shared" si="46"/>
        <v>-0.58904555753968801</v>
      </c>
      <c r="J405" s="3">
        <f t="shared" si="47"/>
        <v>-1.1906564146825358</v>
      </c>
      <c r="K405" s="4">
        <f t="shared" si="44"/>
        <v>-0.59246525756504365</v>
      </c>
      <c r="L405" s="4">
        <f t="shared" si="45"/>
        <v>-1.1862322288493949</v>
      </c>
      <c r="M405" s="7">
        <f t="shared" si="48"/>
        <v>-2.8748900210556321</v>
      </c>
    </row>
    <row r="406" spans="4:13" x14ac:dyDescent="0.25">
      <c r="D406" s="1">
        <v>41813</v>
      </c>
      <c r="E406" s="3">
        <v>88.005088000000001</v>
      </c>
      <c r="F406" s="3">
        <v>189.97818100000001</v>
      </c>
      <c r="G406" s="3">
        <f t="shared" si="42"/>
        <v>-7.7513999999993644E-2</v>
      </c>
      <c r="H406" s="3">
        <f t="shared" si="43"/>
        <v>-5.8189999999996189E-2</v>
      </c>
      <c r="I406" s="3">
        <f t="shared" si="46"/>
        <v>-0.13366255753967618</v>
      </c>
      <c r="J406" s="3">
        <f t="shared" si="47"/>
        <v>-0.10439241468253585</v>
      </c>
      <c r="K406" s="4">
        <f t="shared" si="44"/>
        <v>-0.15864844433665296</v>
      </c>
      <c r="L406" s="4">
        <f t="shared" si="45"/>
        <v>-5.6396464423324771E-2</v>
      </c>
      <c r="M406" s="7">
        <f t="shared" si="48"/>
        <v>-2.6384705636407393</v>
      </c>
    </row>
    <row r="407" spans="4:13" x14ac:dyDescent="0.25">
      <c r="D407" s="1">
        <v>41810</v>
      </c>
      <c r="E407" s="3">
        <v>88.082601999999994</v>
      </c>
      <c r="F407" s="3">
        <v>190.036371</v>
      </c>
      <c r="G407" s="3">
        <f t="shared" si="42"/>
        <v>-0.92045099999999991</v>
      </c>
      <c r="H407" s="3">
        <f t="shared" si="43"/>
        <v>0.38504800000001183</v>
      </c>
      <c r="I407" s="3">
        <f t="shared" si="46"/>
        <v>-0.97659955753968242</v>
      </c>
      <c r="J407" s="3">
        <f t="shared" si="47"/>
        <v>0.33884558531747216</v>
      </c>
      <c r="K407" s="4">
        <f t="shared" si="44"/>
        <v>-0.98596851606070945</v>
      </c>
      <c r="L407" s="4">
        <f t="shared" si="45"/>
        <v>0.35739879176490852</v>
      </c>
      <c r="M407" s="7">
        <f t="shared" si="48"/>
        <v>-3.0968562579016181</v>
      </c>
    </row>
    <row r="408" spans="4:13" x14ac:dyDescent="0.25">
      <c r="D408" s="1">
        <v>41809</v>
      </c>
      <c r="E408" s="3">
        <v>89.003052999999994</v>
      </c>
      <c r="F408" s="3">
        <v>189.65132299999999</v>
      </c>
      <c r="G408" s="3">
        <f t="shared" si="42"/>
        <v>-0.31004700000001151</v>
      </c>
      <c r="H408" s="3">
        <f t="shared" si="43"/>
        <v>0.21235500000000229</v>
      </c>
      <c r="I408" s="3">
        <f t="shared" si="46"/>
        <v>-0.36619555753969407</v>
      </c>
      <c r="J408" s="3">
        <f t="shared" si="47"/>
        <v>0.16615258531746263</v>
      </c>
      <c r="K408" s="4">
        <f t="shared" si="44"/>
        <v>-0.36515325612799776</v>
      </c>
      <c r="L408" s="4">
        <f t="shared" si="45"/>
        <v>0.18332989289605245</v>
      </c>
      <c r="M408" s="7">
        <f t="shared" si="48"/>
        <v>-2.7083758567716774</v>
      </c>
    </row>
    <row r="409" spans="4:13" x14ac:dyDescent="0.25">
      <c r="D409" s="1">
        <v>41808</v>
      </c>
      <c r="E409" s="3">
        <v>89.313100000000006</v>
      </c>
      <c r="F409" s="3">
        <v>189.43896799999999</v>
      </c>
      <c r="G409" s="3">
        <f t="shared" si="42"/>
        <v>9.6888000000006969E-2</v>
      </c>
      <c r="H409" s="3">
        <f t="shared" si="43"/>
        <v>1.3802929999999947</v>
      </c>
      <c r="I409" s="3">
        <f t="shared" si="46"/>
        <v>4.0739442460324425E-2</v>
      </c>
      <c r="J409" s="3">
        <f t="shared" si="47"/>
        <v>1.3340905853174549</v>
      </c>
      <c r="K409" s="4">
        <f t="shared" si="44"/>
        <v>3.6328365652108688E-2</v>
      </c>
      <c r="L409" s="4">
        <f t="shared" si="45"/>
        <v>1.3484706822783219</v>
      </c>
      <c r="M409" s="7">
        <f t="shared" si="48"/>
        <v>-3.1297458117455688</v>
      </c>
    </row>
    <row r="410" spans="4:13" x14ac:dyDescent="0.25">
      <c r="D410" s="1">
        <v>41807</v>
      </c>
      <c r="E410" s="3">
        <v>89.216211999999999</v>
      </c>
      <c r="F410" s="3">
        <v>188.05867499999999</v>
      </c>
      <c r="G410" s="3">
        <f t="shared" si="42"/>
        <v>-0.11626300000000356</v>
      </c>
      <c r="H410" s="3">
        <f t="shared" si="43"/>
        <v>0.52124000000000592</v>
      </c>
      <c r="I410" s="3">
        <f t="shared" si="46"/>
        <v>-0.17241155753968609</v>
      </c>
      <c r="J410" s="3">
        <f t="shared" si="47"/>
        <v>0.47503758531746626</v>
      </c>
      <c r="K410" s="4">
        <f t="shared" si="44"/>
        <v>-0.15104238627710839</v>
      </c>
      <c r="L410" s="4">
        <f t="shared" si="45"/>
        <v>0.4396512327861985</v>
      </c>
      <c r="M410" s="7">
        <f t="shared" si="48"/>
        <v>-2.7197530544724824</v>
      </c>
    </row>
    <row r="411" spans="4:13" x14ac:dyDescent="0.25">
      <c r="D411" s="1">
        <v>41806</v>
      </c>
      <c r="E411" s="3">
        <v>89.332475000000002</v>
      </c>
      <c r="F411" s="3">
        <v>187.53743499999999</v>
      </c>
      <c r="G411" s="3">
        <f t="shared" si="42"/>
        <v>0.89138499999999965</v>
      </c>
      <c r="H411" s="3">
        <f t="shared" si="43"/>
        <v>0.15442799999999579</v>
      </c>
      <c r="I411" s="3">
        <f t="shared" si="46"/>
        <v>0.83523644246031714</v>
      </c>
      <c r="J411" s="3">
        <f t="shared" si="47"/>
        <v>0.10822558531745613</v>
      </c>
      <c r="K411" s="4">
        <f t="shared" si="44"/>
        <v>0.80876309392810364</v>
      </c>
      <c r="L411" s="4">
        <f t="shared" si="45"/>
        <v>0.16141591895889804</v>
      </c>
      <c r="M411" s="7">
        <f t="shared" si="48"/>
        <v>-2.7905858581220131</v>
      </c>
    </row>
    <row r="412" spans="4:13" x14ac:dyDescent="0.25">
      <c r="D412" s="1">
        <v>41803</v>
      </c>
      <c r="E412" s="3">
        <v>88.441090000000003</v>
      </c>
      <c r="F412" s="3">
        <v>187.38300699999999</v>
      </c>
      <c r="G412" s="3">
        <f t="shared" si="42"/>
        <v>-0.97858999999999696</v>
      </c>
      <c r="H412" s="3">
        <f t="shared" si="43"/>
        <v>0.56950599999998985</v>
      </c>
      <c r="I412" s="3">
        <f t="shared" si="46"/>
        <v>-1.0347385575396795</v>
      </c>
      <c r="J412" s="3">
        <f t="shared" si="47"/>
        <v>0.52330358531745025</v>
      </c>
      <c r="K412" s="4">
        <f t="shared" si="44"/>
        <v>-1.0750936115667673</v>
      </c>
      <c r="L412" s="4">
        <f t="shared" si="45"/>
        <v>0.57343060179047467</v>
      </c>
      <c r="M412" s="7">
        <f t="shared" si="48"/>
        <v>-3.308475480381075</v>
      </c>
    </row>
    <row r="413" spans="4:13" x14ac:dyDescent="0.25">
      <c r="D413" s="1">
        <v>41802</v>
      </c>
      <c r="E413" s="3">
        <v>89.41968</v>
      </c>
      <c r="F413" s="3">
        <v>186.813501</v>
      </c>
      <c r="G413" s="3">
        <f t="shared" si="42"/>
        <v>-1.5211709999999954</v>
      </c>
      <c r="H413" s="3">
        <f t="shared" si="43"/>
        <v>-1.3320429999999988</v>
      </c>
      <c r="I413" s="3">
        <f t="shared" si="46"/>
        <v>-1.5773195575396779</v>
      </c>
      <c r="J413" s="3">
        <f t="shared" si="47"/>
        <v>-1.3782454146825385</v>
      </c>
      <c r="K413" s="4">
        <f t="shared" si="44"/>
        <v>-1.5884237388417803</v>
      </c>
      <c r="L413" s="4">
        <f t="shared" si="45"/>
        <v>-1.3690520416380134</v>
      </c>
      <c r="M413" s="7">
        <f t="shared" si="48"/>
        <v>-3.1161773984141763</v>
      </c>
    </row>
    <row r="414" spans="4:13" x14ac:dyDescent="0.25">
      <c r="D414" s="1">
        <v>41801</v>
      </c>
      <c r="E414" s="3">
        <v>90.940850999999995</v>
      </c>
      <c r="F414" s="3">
        <v>188.145544</v>
      </c>
      <c r="G414" s="3">
        <f t="shared" si="42"/>
        <v>-0.37787000000000148</v>
      </c>
      <c r="H414" s="3">
        <f t="shared" si="43"/>
        <v>-0.65637399999999957</v>
      </c>
      <c r="I414" s="3">
        <f t="shared" si="46"/>
        <v>-0.43401855753968405</v>
      </c>
      <c r="J414" s="3">
        <f t="shared" si="47"/>
        <v>-0.70257641468253917</v>
      </c>
      <c r="K414" s="4">
        <f t="shared" si="44"/>
        <v>-0.4218211246124719</v>
      </c>
      <c r="L414" s="4">
        <f t="shared" si="45"/>
        <v>-0.724036163901706</v>
      </c>
      <c r="M414" s="7">
        <f t="shared" si="48"/>
        <v>-2.7213003172252916</v>
      </c>
    </row>
    <row r="415" spans="4:13" x14ac:dyDescent="0.25">
      <c r="D415" s="1">
        <v>41800</v>
      </c>
      <c r="E415" s="3">
        <v>91.318720999999996</v>
      </c>
      <c r="F415" s="3">
        <v>188.801918</v>
      </c>
      <c r="G415" s="3">
        <f t="shared" si="42"/>
        <v>0.53289800000000298</v>
      </c>
      <c r="H415" s="3">
        <f t="shared" si="43"/>
        <v>1.9308999999992693E-2</v>
      </c>
      <c r="I415" s="3">
        <f t="shared" si="46"/>
        <v>0.47674944246032042</v>
      </c>
      <c r="J415" s="3">
        <f t="shared" si="47"/>
        <v>-2.6893414682546961E-2</v>
      </c>
      <c r="K415" s="4">
        <f t="shared" si="44"/>
        <v>0.51189404088398316</v>
      </c>
      <c r="L415" s="4">
        <f t="shared" si="45"/>
        <v>-8.5534344020046421E-2</v>
      </c>
      <c r="M415" s="7">
        <f t="shared" si="48"/>
        <v>-2.7313863681886743</v>
      </c>
    </row>
    <row r="416" spans="4:13" x14ac:dyDescent="0.25">
      <c r="D416" s="1">
        <v>41799</v>
      </c>
      <c r="E416" s="3">
        <v>90.785822999999993</v>
      </c>
      <c r="F416" s="3">
        <v>188.78260900000001</v>
      </c>
      <c r="G416" s="3">
        <f t="shared" si="42"/>
        <v>1.4298119999999983</v>
      </c>
      <c r="H416" s="3">
        <f t="shared" si="43"/>
        <v>0.1930460000000096</v>
      </c>
      <c r="I416" s="3">
        <f t="shared" si="46"/>
        <v>1.3736634424603158</v>
      </c>
      <c r="J416" s="3">
        <f t="shared" si="47"/>
        <v>0.14684358531746994</v>
      </c>
      <c r="K416" s="4">
        <f t="shared" si="44"/>
        <v>1.3659235818940387</v>
      </c>
      <c r="L416" s="4">
        <f t="shared" si="45"/>
        <v>0.17233103952225318</v>
      </c>
      <c r="M416" s="7">
        <f t="shared" si="48"/>
        <v>-3.120665737476382</v>
      </c>
    </row>
    <row r="417" spans="4:13" x14ac:dyDescent="0.25">
      <c r="D417" s="1">
        <v>41796</v>
      </c>
      <c r="E417" s="3">
        <v>89.356010999999995</v>
      </c>
      <c r="F417" s="3">
        <v>188.589563</v>
      </c>
      <c r="G417" s="3">
        <f t="shared" si="42"/>
        <v>-0.24637200000000803</v>
      </c>
      <c r="H417" s="3">
        <f t="shared" si="43"/>
        <v>0.8976859999999931</v>
      </c>
      <c r="I417" s="3">
        <f t="shared" si="46"/>
        <v>-0.30252055753969059</v>
      </c>
      <c r="J417" s="3">
        <f t="shared" si="47"/>
        <v>0.8514835853174535</v>
      </c>
      <c r="K417" s="4">
        <f t="shared" si="44"/>
        <v>-0.29499773388626321</v>
      </c>
      <c r="L417" s="4">
        <f t="shared" si="45"/>
        <v>0.85512824772343543</v>
      </c>
      <c r="M417" s="7">
        <f t="shared" si="48"/>
        <v>-2.9610499065046416</v>
      </c>
    </row>
    <row r="418" spans="4:13" x14ac:dyDescent="0.25">
      <c r="D418" s="1">
        <v>41795</v>
      </c>
      <c r="E418" s="3">
        <v>89.602383000000003</v>
      </c>
      <c r="F418" s="3">
        <v>187.69187700000001</v>
      </c>
      <c r="G418" s="3">
        <f t="shared" si="42"/>
        <v>0.35018600000000788</v>
      </c>
      <c r="H418" s="3">
        <f t="shared" si="43"/>
        <v>1.2162030000000073</v>
      </c>
      <c r="I418" s="3">
        <f t="shared" si="46"/>
        <v>0.29403744246032532</v>
      </c>
      <c r="J418" s="3">
        <f t="shared" si="47"/>
        <v>1.1700005853174675</v>
      </c>
      <c r="K418" s="4">
        <f t="shared" si="44"/>
        <v>0.31838135810133594</v>
      </c>
      <c r="L418" s="4">
        <f t="shared" si="45"/>
        <v>1.1326322254937466</v>
      </c>
      <c r="M418" s="7">
        <f t="shared" si="48"/>
        <v>-2.8919743040226886</v>
      </c>
    </row>
    <row r="419" spans="4:13" x14ac:dyDescent="0.25">
      <c r="D419" s="1">
        <v>41794</v>
      </c>
      <c r="E419" s="3">
        <v>89.252196999999995</v>
      </c>
      <c r="F419" s="3">
        <v>186.475674</v>
      </c>
      <c r="G419" s="3">
        <f t="shared" si="42"/>
        <v>1.0076559999999972</v>
      </c>
      <c r="H419" s="3">
        <f t="shared" si="43"/>
        <v>0.3764449999999897</v>
      </c>
      <c r="I419" s="3">
        <f t="shared" si="46"/>
        <v>0.95150744246031471</v>
      </c>
      <c r="J419" s="3">
        <f t="shared" si="47"/>
        <v>0.33024258531745004</v>
      </c>
      <c r="K419" s="4">
        <f t="shared" si="44"/>
        <v>0.9815526764591167</v>
      </c>
      <c r="L419" s="4">
        <f t="shared" si="45"/>
        <v>0.27629413134470726</v>
      </c>
      <c r="M419" s="7">
        <f t="shared" si="48"/>
        <v>-2.8461783851551696</v>
      </c>
    </row>
    <row r="420" spans="4:13" x14ac:dyDescent="0.25">
      <c r="D420" s="1">
        <v>41793</v>
      </c>
      <c r="E420" s="3">
        <v>88.244540999999998</v>
      </c>
      <c r="F420" s="3">
        <v>186.09922900000001</v>
      </c>
      <c r="G420" s="3">
        <f t="shared" si="42"/>
        <v>1.2304979999999972</v>
      </c>
      <c r="H420" s="3">
        <f t="shared" si="43"/>
        <v>-9.651599999997984E-2</v>
      </c>
      <c r="I420" s="3">
        <f t="shared" si="46"/>
        <v>1.1743494424603147</v>
      </c>
      <c r="J420" s="3">
        <f t="shared" si="47"/>
        <v>-0.1427184146825195</v>
      </c>
      <c r="K420" s="4">
        <f t="shared" si="44"/>
        <v>1.1575083802380792</v>
      </c>
      <c r="L420" s="4">
        <f t="shared" si="45"/>
        <v>-0.11125340886435878</v>
      </c>
      <c r="M420" s="7">
        <f t="shared" si="48"/>
        <v>-3.0922612136836563</v>
      </c>
    </row>
    <row r="421" spans="4:13" x14ac:dyDescent="0.25">
      <c r="D421" s="1">
        <v>41792</v>
      </c>
      <c r="E421" s="3">
        <v>87.014043000000001</v>
      </c>
      <c r="F421" s="3">
        <v>186.19574499999999</v>
      </c>
      <c r="G421" s="3">
        <f t="shared" si="42"/>
        <v>-0.60210200000000214</v>
      </c>
      <c r="H421" s="3">
        <f t="shared" si="43"/>
        <v>0.21235499999997387</v>
      </c>
      <c r="I421" s="3">
        <f t="shared" si="46"/>
        <v>-0.65825055753968464</v>
      </c>
      <c r="J421" s="3">
        <f t="shared" si="47"/>
        <v>0.16615258531743421</v>
      </c>
      <c r="K421" s="4">
        <f t="shared" si="44"/>
        <v>-0.66811521724442968</v>
      </c>
      <c r="L421" s="4">
        <f t="shared" si="45"/>
        <v>0.18679813814079976</v>
      </c>
      <c r="M421" s="7">
        <f t="shared" si="48"/>
        <v>-2.8255598435352982</v>
      </c>
    </row>
    <row r="422" spans="4:13" x14ac:dyDescent="0.25">
      <c r="D422" s="1">
        <v>41789</v>
      </c>
      <c r="E422" s="3">
        <v>87.616145000000003</v>
      </c>
      <c r="F422" s="3">
        <v>185.98339000000001</v>
      </c>
      <c r="G422" s="3">
        <f t="shared" si="42"/>
        <v>-0.32942199999999389</v>
      </c>
      <c r="H422" s="3">
        <f t="shared" si="43"/>
        <v>0.29922400000000948</v>
      </c>
      <c r="I422" s="3">
        <f t="shared" si="46"/>
        <v>-0.38557055753967645</v>
      </c>
      <c r="J422" s="3">
        <f t="shared" si="47"/>
        <v>0.25302158531746982</v>
      </c>
      <c r="K422" s="4">
        <f t="shared" si="44"/>
        <v>-0.34674295688628382</v>
      </c>
      <c r="L422" s="4">
        <f t="shared" si="45"/>
        <v>0.19886406728108233</v>
      </c>
      <c r="M422" s="7">
        <f t="shared" si="48"/>
        <v>-2.7068246147751007</v>
      </c>
    </row>
    <row r="423" spans="4:13" x14ac:dyDescent="0.25">
      <c r="D423" s="1">
        <v>41788</v>
      </c>
      <c r="E423" s="3">
        <v>87.945566999999997</v>
      </c>
      <c r="F423" s="3">
        <v>185.684166</v>
      </c>
      <c r="G423" s="3">
        <f t="shared" si="42"/>
        <v>1.573765999999992</v>
      </c>
      <c r="H423" s="3">
        <f t="shared" si="43"/>
        <v>0.9555830000000185</v>
      </c>
      <c r="I423" s="3">
        <f t="shared" si="46"/>
        <v>1.5176174424603095</v>
      </c>
      <c r="J423" s="3">
        <f t="shared" si="47"/>
        <v>0.9093805853174789</v>
      </c>
      <c r="K423" s="4">
        <f t="shared" si="44"/>
        <v>1.510444024433776</v>
      </c>
      <c r="L423" s="4">
        <f t="shared" si="45"/>
        <v>0.91919661381528961</v>
      </c>
      <c r="M423" s="7">
        <f t="shared" si="48"/>
        <v>-3.04591494254091</v>
      </c>
    </row>
    <row r="424" spans="4:13" x14ac:dyDescent="0.25">
      <c r="D424" s="1">
        <v>41787</v>
      </c>
      <c r="E424" s="3">
        <v>86.371801000000005</v>
      </c>
      <c r="F424" s="3">
        <v>184.72858299999999</v>
      </c>
      <c r="G424" s="3">
        <f t="shared" si="42"/>
        <v>-0.22423200000000065</v>
      </c>
      <c r="H424" s="3">
        <f t="shared" si="43"/>
        <v>-0.13513400000002207</v>
      </c>
      <c r="I424" s="3">
        <f t="shared" si="46"/>
        <v>-0.28038055753968322</v>
      </c>
      <c r="J424" s="3">
        <f t="shared" si="47"/>
        <v>-0.18133641468256173</v>
      </c>
      <c r="K424" s="4">
        <f t="shared" si="44"/>
        <v>-0.2410924600808321</v>
      </c>
      <c r="L424" s="4">
        <f t="shared" si="45"/>
        <v>-0.23381792338896001</v>
      </c>
      <c r="M424" s="7">
        <f t="shared" si="48"/>
        <v>-2.6452970352721334</v>
      </c>
    </row>
    <row r="425" spans="4:13" x14ac:dyDescent="0.25">
      <c r="D425" s="1">
        <v>41786</v>
      </c>
      <c r="E425" s="3">
        <v>86.596033000000006</v>
      </c>
      <c r="F425" s="3">
        <v>184.86371700000001</v>
      </c>
      <c r="G425" s="3">
        <f t="shared" si="42"/>
        <v>1.5917650000000094</v>
      </c>
      <c r="H425" s="3">
        <f t="shared" si="43"/>
        <v>1.1293349999999975</v>
      </c>
      <c r="I425" s="3">
        <f t="shared" si="46"/>
        <v>1.5356164424603269</v>
      </c>
      <c r="J425" s="3">
        <f t="shared" si="47"/>
        <v>1.0831325853174578</v>
      </c>
      <c r="K425" s="4">
        <f t="shared" si="44"/>
        <v>1.5584730754581413</v>
      </c>
      <c r="L425" s="4">
        <f t="shared" si="45"/>
        <v>1.0534149824297998</v>
      </c>
      <c r="M425" s="7">
        <f t="shared" si="48"/>
        <v>-3.0707643941252289</v>
      </c>
    </row>
    <row r="426" spans="4:13" x14ac:dyDescent="0.25">
      <c r="D426" s="1">
        <v>41782</v>
      </c>
      <c r="E426" s="3">
        <v>85.004267999999996</v>
      </c>
      <c r="F426" s="3">
        <v>183.73438200000001</v>
      </c>
      <c r="G426" s="3">
        <f t="shared" si="42"/>
        <v>0.9495239999999967</v>
      </c>
      <c r="H426" s="3">
        <f t="shared" si="43"/>
        <v>0.73359600000000569</v>
      </c>
      <c r="I426" s="3">
        <f t="shared" si="46"/>
        <v>0.8933754424603142</v>
      </c>
      <c r="J426" s="3">
        <f t="shared" si="47"/>
        <v>0.68739358531746608</v>
      </c>
      <c r="K426" s="4">
        <f t="shared" si="44"/>
        <v>0.89533843046799977</v>
      </c>
      <c r="L426" s="4">
        <f t="shared" si="45"/>
        <v>0.68966055666466697</v>
      </c>
      <c r="M426" s="7">
        <f t="shared" si="48"/>
        <v>-2.780287408885767</v>
      </c>
    </row>
    <row r="427" spans="4:13" x14ac:dyDescent="0.25">
      <c r="D427" s="1">
        <v>41781</v>
      </c>
      <c r="E427" s="3">
        <v>84.054743999999999</v>
      </c>
      <c r="F427" s="3">
        <v>183.00078600000001</v>
      </c>
      <c r="G427" s="3">
        <f t="shared" si="42"/>
        <v>0.13287400000000105</v>
      </c>
      <c r="H427" s="3">
        <f t="shared" si="43"/>
        <v>0.44400400000000673</v>
      </c>
      <c r="I427" s="3">
        <f t="shared" si="46"/>
        <v>7.672544246031851E-2</v>
      </c>
      <c r="J427" s="3">
        <f t="shared" si="47"/>
        <v>0.39780158531746707</v>
      </c>
      <c r="K427" s="4">
        <f t="shared" si="44"/>
        <v>8.0954865825985392E-2</v>
      </c>
      <c r="L427" s="4">
        <f t="shared" si="45"/>
        <v>0.41153137236999421</v>
      </c>
      <c r="M427" s="7">
        <f t="shared" si="48"/>
        <v>-2.6706989521382063</v>
      </c>
    </row>
    <row r="428" spans="4:13" x14ac:dyDescent="0.25">
      <c r="D428" s="1">
        <v>41780</v>
      </c>
      <c r="E428" s="3">
        <v>83.921869999999998</v>
      </c>
      <c r="F428" s="3">
        <v>182.556782</v>
      </c>
      <c r="G428" s="3">
        <f t="shared" si="42"/>
        <v>0.22145999999999333</v>
      </c>
      <c r="H428" s="3">
        <f t="shared" si="43"/>
        <v>1.5250890000000084</v>
      </c>
      <c r="I428" s="3">
        <f t="shared" si="46"/>
        <v>0.16531144246031079</v>
      </c>
      <c r="J428" s="3">
        <f t="shared" si="47"/>
        <v>1.4788865853174686</v>
      </c>
      <c r="K428" s="4">
        <f t="shared" si="44"/>
        <v>0.164299865181604</v>
      </c>
      <c r="L428" s="4">
        <f t="shared" si="45"/>
        <v>1.4636370356166064</v>
      </c>
      <c r="M428" s="7">
        <f t="shared" si="48"/>
        <v>-3.1574685590691747</v>
      </c>
    </row>
    <row r="429" spans="4:13" x14ac:dyDescent="0.25">
      <c r="D429" s="1">
        <v>41779</v>
      </c>
      <c r="E429" s="3">
        <v>83.700410000000005</v>
      </c>
      <c r="F429" s="3">
        <v>181.03169299999999</v>
      </c>
      <c r="G429" s="3">
        <f t="shared" si="42"/>
        <v>1.6610000000000014E-2</v>
      </c>
      <c r="H429" s="3">
        <f t="shared" si="43"/>
        <v>-1.1486440000000187</v>
      </c>
      <c r="I429" s="3">
        <f t="shared" si="46"/>
        <v>-3.953855753968253E-2</v>
      </c>
      <c r="J429" s="3">
        <f t="shared" si="47"/>
        <v>-1.1948464146825584</v>
      </c>
      <c r="K429" s="4">
        <f t="shared" si="44"/>
        <v>-1.5902925334546032E-2</v>
      </c>
      <c r="L429" s="4">
        <f t="shared" si="45"/>
        <v>-1.2268714319625218</v>
      </c>
      <c r="M429" s="7">
        <f t="shared" si="48"/>
        <v>-3.0518661613704867</v>
      </c>
    </row>
    <row r="430" spans="4:13" x14ac:dyDescent="0.25">
      <c r="D430" s="1">
        <v>41778</v>
      </c>
      <c r="E430" s="3">
        <v>83.683800000000005</v>
      </c>
      <c r="F430" s="3">
        <v>182.18033700000001</v>
      </c>
      <c r="G430" s="3">
        <f t="shared" si="42"/>
        <v>0.97997200000000362</v>
      </c>
      <c r="H430" s="3">
        <f t="shared" si="43"/>
        <v>0.66602100000000064</v>
      </c>
      <c r="I430" s="3">
        <f t="shared" si="46"/>
        <v>0.92382344246032111</v>
      </c>
      <c r="J430" s="3">
        <f t="shared" si="47"/>
        <v>0.61981858531746103</v>
      </c>
      <c r="K430" s="4">
        <f t="shared" si="44"/>
        <v>0.95316062328444373</v>
      </c>
      <c r="L430" s="4">
        <f t="shared" si="45"/>
        <v>0.57739213319887595</v>
      </c>
      <c r="M430" s="7">
        <f t="shared" si="48"/>
        <v>-2.7976720509277149</v>
      </c>
    </row>
    <row r="431" spans="4:13" x14ac:dyDescent="0.25">
      <c r="D431" s="1">
        <v>41775</v>
      </c>
      <c r="E431" s="3">
        <v>82.703828000000001</v>
      </c>
      <c r="F431" s="3">
        <v>181.51431600000001</v>
      </c>
      <c r="G431" s="3">
        <f t="shared" si="42"/>
        <v>1.2028229999999951</v>
      </c>
      <c r="H431" s="3">
        <f t="shared" si="43"/>
        <v>0.6274180000000058</v>
      </c>
      <c r="I431" s="3">
        <f t="shared" si="46"/>
        <v>1.1466744424603126</v>
      </c>
      <c r="J431" s="3">
        <f t="shared" si="47"/>
        <v>0.5812155853174662</v>
      </c>
      <c r="K431" s="4">
        <f t="shared" si="44"/>
        <v>1.1273545161354035</v>
      </c>
      <c r="L431" s="4">
        <f t="shared" si="45"/>
        <v>0.59114914550950892</v>
      </c>
      <c r="M431" s="7">
        <f t="shared" si="48"/>
        <v>-2.8689149566293222</v>
      </c>
    </row>
    <row r="432" spans="4:13" x14ac:dyDescent="0.25">
      <c r="D432" s="1">
        <v>41774</v>
      </c>
      <c r="E432" s="3">
        <v>81.501005000000006</v>
      </c>
      <c r="F432" s="3">
        <v>180.886898</v>
      </c>
      <c r="G432" s="3">
        <f t="shared" si="42"/>
        <v>-0.69899099999999237</v>
      </c>
      <c r="H432" s="3">
        <f t="shared" si="43"/>
        <v>-1.6023099999999886</v>
      </c>
      <c r="I432" s="3">
        <f t="shared" si="46"/>
        <v>-0.75513955753967488</v>
      </c>
      <c r="J432" s="3">
        <f t="shared" si="47"/>
        <v>-1.6485124146825283</v>
      </c>
      <c r="K432" s="4">
        <f t="shared" si="44"/>
        <v>-0.7561866973807233</v>
      </c>
      <c r="L432" s="4">
        <f t="shared" si="45"/>
        <v>-1.6597185186084735</v>
      </c>
      <c r="M432" s="7">
        <f t="shared" si="48"/>
        <v>-3.1164313504251044</v>
      </c>
    </row>
    <row r="433" spans="4:13" x14ac:dyDescent="0.25">
      <c r="D433" s="1">
        <v>41773</v>
      </c>
      <c r="E433" s="3">
        <v>82.199995999999999</v>
      </c>
      <c r="F433" s="3">
        <v>182.48920799999999</v>
      </c>
      <c r="G433" s="3">
        <f t="shared" si="42"/>
        <v>1.5219999999999345E-2</v>
      </c>
      <c r="H433" s="3">
        <f t="shared" si="43"/>
        <v>-0.86872900000000186</v>
      </c>
      <c r="I433" s="3">
        <f t="shared" si="46"/>
        <v>-4.0928557539683198E-2</v>
      </c>
      <c r="J433" s="3">
        <f t="shared" si="47"/>
        <v>-0.91493141468254147</v>
      </c>
      <c r="K433" s="4">
        <f t="shared" si="44"/>
        <v>-3.9071694358323514E-2</v>
      </c>
      <c r="L433" s="4">
        <f t="shared" si="45"/>
        <v>-0.91646282561188153</v>
      </c>
      <c r="M433" s="7">
        <f t="shared" si="48"/>
        <v>-2.8579350505311627</v>
      </c>
    </row>
    <row r="434" spans="4:13" x14ac:dyDescent="0.25">
      <c r="D434" s="1">
        <v>41772</v>
      </c>
      <c r="E434" s="3">
        <v>82.184775999999999</v>
      </c>
      <c r="F434" s="3">
        <v>183.35793699999999</v>
      </c>
      <c r="G434" s="3">
        <f t="shared" si="42"/>
        <v>0.12872600000000034</v>
      </c>
      <c r="H434" s="3">
        <f t="shared" si="43"/>
        <v>0.16410500000000638</v>
      </c>
      <c r="I434" s="3">
        <f t="shared" si="46"/>
        <v>7.2577442460317804E-2</v>
      </c>
      <c r="J434" s="3">
        <f t="shared" si="47"/>
        <v>0.11790258531746672</v>
      </c>
      <c r="K434" s="4">
        <f t="shared" si="44"/>
        <v>9.6956715987052411E-2</v>
      </c>
      <c r="L434" s="4">
        <f t="shared" si="45"/>
        <v>0.10024603042939831</v>
      </c>
      <c r="M434" s="7">
        <f t="shared" si="48"/>
        <v>-2.6353312787571812</v>
      </c>
    </row>
    <row r="435" spans="4:13" x14ac:dyDescent="0.25">
      <c r="D435" s="1">
        <v>41771</v>
      </c>
      <c r="E435" s="3">
        <v>82.056049999999999</v>
      </c>
      <c r="F435" s="3">
        <v>183.19383199999999</v>
      </c>
      <c r="G435" s="3">
        <f t="shared" si="42"/>
        <v>1.0090380000000039</v>
      </c>
      <c r="H435" s="3">
        <f t="shared" si="43"/>
        <v>1.7663849999999854</v>
      </c>
      <c r="I435" s="3">
        <f t="shared" si="46"/>
        <v>0.95288944246032137</v>
      </c>
      <c r="J435" s="3">
        <f t="shared" si="47"/>
        <v>1.7201825853174457</v>
      </c>
      <c r="K435" s="4">
        <f t="shared" si="44"/>
        <v>0.94277684261769623</v>
      </c>
      <c r="L435" s="4">
        <f t="shared" si="45"/>
        <v>1.7408448579218239</v>
      </c>
      <c r="M435" s="7">
        <f t="shared" si="48"/>
        <v>-3.1462385597543689</v>
      </c>
    </row>
    <row r="436" spans="4:13" x14ac:dyDescent="0.25">
      <c r="D436" s="1">
        <v>41768</v>
      </c>
      <c r="E436" s="3">
        <v>81.047011999999995</v>
      </c>
      <c r="F436" s="3">
        <v>181.427447</v>
      </c>
      <c r="G436" s="3">
        <f t="shared" si="42"/>
        <v>-0.33911300000001177</v>
      </c>
      <c r="H436" s="3">
        <f t="shared" si="43"/>
        <v>0.27028200000000879</v>
      </c>
      <c r="I436" s="3">
        <f t="shared" si="46"/>
        <v>-0.39526155753969433</v>
      </c>
      <c r="J436" s="3">
        <f t="shared" si="47"/>
        <v>0.22407958531746913</v>
      </c>
      <c r="K436" s="4">
        <f t="shared" si="44"/>
        <v>-0.40041630125408495</v>
      </c>
      <c r="L436" s="4">
        <f t="shared" si="45"/>
        <v>0.22958328993825275</v>
      </c>
      <c r="M436" s="7">
        <f t="shared" si="48"/>
        <v>-2.7313406471462245</v>
      </c>
    </row>
    <row r="437" spans="4:13" x14ac:dyDescent="0.25">
      <c r="D437" s="1">
        <v>41767</v>
      </c>
      <c r="E437" s="3">
        <v>81.386125000000007</v>
      </c>
      <c r="F437" s="3">
        <v>181.15716499999999</v>
      </c>
      <c r="G437" s="3">
        <f t="shared" si="42"/>
        <v>-0.14532999999998708</v>
      </c>
      <c r="H437" s="3">
        <f t="shared" si="43"/>
        <v>-0.19306100000000015</v>
      </c>
      <c r="I437" s="3">
        <f t="shared" si="46"/>
        <v>-0.20147855753966962</v>
      </c>
      <c r="J437" s="3">
        <f t="shared" si="47"/>
        <v>-0.23926341468253981</v>
      </c>
      <c r="K437" s="4">
        <f t="shared" si="44"/>
        <v>-0.21024018936654873</v>
      </c>
      <c r="L437" s="4">
        <f t="shared" si="45"/>
        <v>-0.20967604005061574</v>
      </c>
      <c r="M437" s="7">
        <f t="shared" si="48"/>
        <v>-2.6426371000751558</v>
      </c>
    </row>
    <row r="438" spans="4:13" x14ac:dyDescent="0.25">
      <c r="D438" s="1">
        <v>41766</v>
      </c>
      <c r="E438" s="3">
        <v>81.531454999999994</v>
      </c>
      <c r="F438" s="3">
        <v>181.35022599999999</v>
      </c>
      <c r="G438" s="3">
        <f t="shared" si="42"/>
        <v>-0.28630900000000281</v>
      </c>
      <c r="H438" s="3">
        <f t="shared" si="43"/>
        <v>1.0617759999999805</v>
      </c>
      <c r="I438" s="3">
        <f t="shared" si="46"/>
        <v>-0.34245755753968538</v>
      </c>
      <c r="J438" s="3">
        <f t="shared" si="47"/>
        <v>1.0155735853174408</v>
      </c>
      <c r="K438" s="4">
        <f t="shared" si="44"/>
        <v>-0.36696038193409253</v>
      </c>
      <c r="L438" s="4">
        <f t="shared" si="45"/>
        <v>1.0347378807820897</v>
      </c>
      <c r="M438" s="7">
        <f t="shared" si="48"/>
        <v>-3.1192789373969658</v>
      </c>
    </row>
    <row r="439" spans="4:13" x14ac:dyDescent="0.25">
      <c r="D439" s="1">
        <v>41765</v>
      </c>
      <c r="E439" s="3">
        <v>81.817763999999997</v>
      </c>
      <c r="F439" s="3">
        <v>180.28845000000001</v>
      </c>
      <c r="G439" s="3">
        <f t="shared" si="42"/>
        <v>-0.90157000000000664</v>
      </c>
      <c r="H439" s="3">
        <f t="shared" si="43"/>
        <v>-1.5830009999999959</v>
      </c>
      <c r="I439" s="3">
        <f t="shared" si="46"/>
        <v>-0.95771855753968915</v>
      </c>
      <c r="J439" s="3">
        <f t="shared" si="47"/>
        <v>-1.6292034146825356</v>
      </c>
      <c r="K439" s="4">
        <f t="shared" si="44"/>
        <v>-0.92964428261650633</v>
      </c>
      <c r="L439" s="4">
        <f t="shared" si="45"/>
        <v>-1.6734297717318343</v>
      </c>
      <c r="M439" s="7">
        <f t="shared" si="48"/>
        <v>-3.1056756237199155</v>
      </c>
    </row>
    <row r="440" spans="4:13" x14ac:dyDescent="0.25">
      <c r="D440" s="1">
        <v>41764</v>
      </c>
      <c r="E440" s="3">
        <v>82.719334000000003</v>
      </c>
      <c r="F440" s="3">
        <v>181.87145100000001</v>
      </c>
      <c r="G440" s="3">
        <f t="shared" si="42"/>
        <v>1.1534610000000072</v>
      </c>
      <c r="H440" s="3">
        <f t="shared" si="43"/>
        <v>0.34748799999999846</v>
      </c>
      <c r="I440" s="3">
        <f t="shared" si="46"/>
        <v>1.0973124424603247</v>
      </c>
      <c r="J440" s="3">
        <f t="shared" si="47"/>
        <v>0.3012855853174588</v>
      </c>
      <c r="K440" s="4">
        <f t="shared" si="44"/>
        <v>1.0997496661914377</v>
      </c>
      <c r="L440" s="4">
        <f t="shared" si="45"/>
        <v>0.2927092902352052</v>
      </c>
      <c r="M440" s="7">
        <f t="shared" si="48"/>
        <v>-2.9046109769227444</v>
      </c>
    </row>
    <row r="441" spans="4:13" x14ac:dyDescent="0.25">
      <c r="D441" s="1">
        <v>41761</v>
      </c>
      <c r="E441" s="3">
        <v>81.565872999999996</v>
      </c>
      <c r="F441" s="3">
        <v>181.52396300000001</v>
      </c>
      <c r="G441" s="3">
        <f t="shared" si="42"/>
        <v>0.15140999999999849</v>
      </c>
      <c r="H441" s="3">
        <f t="shared" si="43"/>
        <v>-0.26061999999998875</v>
      </c>
      <c r="I441" s="3">
        <f t="shared" si="46"/>
        <v>9.5261442460315954E-2</v>
      </c>
      <c r="J441" s="3">
        <f t="shared" si="47"/>
        <v>-0.30682241468252841</v>
      </c>
      <c r="K441" s="4">
        <f t="shared" si="44"/>
        <v>9.8720079267950053E-2</v>
      </c>
      <c r="L441" s="4">
        <f t="shared" si="45"/>
        <v>-0.31318151932426358</v>
      </c>
      <c r="M441" s="7">
        <f t="shared" si="48"/>
        <v>-2.6755570795325361</v>
      </c>
    </row>
    <row r="442" spans="4:13" x14ac:dyDescent="0.25">
      <c r="D442" s="1">
        <v>41760</v>
      </c>
      <c r="E442" s="3">
        <v>81.414462999999998</v>
      </c>
      <c r="F442" s="3">
        <v>181.784583</v>
      </c>
      <c r="G442" s="3">
        <f t="shared" si="42"/>
        <v>0.1913330000000002</v>
      </c>
      <c r="H442" s="3">
        <f t="shared" si="43"/>
        <v>1.9308999999992693E-2</v>
      </c>
      <c r="I442" s="3">
        <f t="shared" si="46"/>
        <v>0.13518444246031766</v>
      </c>
      <c r="J442" s="3">
        <f t="shared" si="47"/>
        <v>-2.6893414682546961E-2</v>
      </c>
      <c r="K442" s="4">
        <f t="shared" si="44"/>
        <v>0.12585954058127111</v>
      </c>
      <c r="L442" s="4">
        <f t="shared" si="45"/>
        <v>-3.7477399012570724E-3</v>
      </c>
      <c r="M442" s="7">
        <f t="shared" si="48"/>
        <v>-2.6382659549404415</v>
      </c>
    </row>
    <row r="443" spans="4:13" x14ac:dyDescent="0.25">
      <c r="D443" s="1">
        <v>41759</v>
      </c>
      <c r="E443" s="3">
        <v>81.223129999999998</v>
      </c>
      <c r="F443" s="3">
        <v>181.76527400000001</v>
      </c>
      <c r="G443" s="3">
        <f t="shared" si="42"/>
        <v>-0.30832499999999641</v>
      </c>
      <c r="H443" s="3">
        <f t="shared" si="43"/>
        <v>0.54053500000000554</v>
      </c>
      <c r="I443" s="3">
        <f t="shared" si="46"/>
        <v>-0.36447355753967897</v>
      </c>
      <c r="J443" s="3">
        <f t="shared" si="47"/>
        <v>0.49433258531746588</v>
      </c>
      <c r="K443" s="4">
        <f t="shared" si="44"/>
        <v>-0.37210826549356468</v>
      </c>
      <c r="L443" s="4">
        <f t="shared" si="45"/>
        <v>0.51881426798584773</v>
      </c>
      <c r="M443" s="7">
        <f t="shared" si="48"/>
        <v>-2.8237958713241817</v>
      </c>
    </row>
    <row r="444" spans="4:13" x14ac:dyDescent="0.25">
      <c r="D444" s="1">
        <v>41758</v>
      </c>
      <c r="E444" s="3">
        <v>81.531454999999994</v>
      </c>
      <c r="F444" s="3">
        <v>181.224739</v>
      </c>
      <c r="G444" s="3">
        <f t="shared" si="42"/>
        <v>-0.24226200000001086</v>
      </c>
      <c r="H444" s="3">
        <f t="shared" si="43"/>
        <v>0.83975799999998912</v>
      </c>
      <c r="I444" s="3">
        <f t="shared" si="46"/>
        <v>-0.29841055753969342</v>
      </c>
      <c r="J444" s="3">
        <f t="shared" si="47"/>
        <v>0.79355558531744952</v>
      </c>
      <c r="K444" s="4">
        <f t="shared" si="44"/>
        <v>-0.22184355637614409</v>
      </c>
      <c r="L444" s="4">
        <f t="shared" si="45"/>
        <v>0.66869213711083719</v>
      </c>
      <c r="M444" s="7">
        <f t="shared" si="48"/>
        <v>-2.8302756892280372</v>
      </c>
    </row>
    <row r="445" spans="4:13" x14ac:dyDescent="0.25">
      <c r="D445" s="1">
        <v>41757</v>
      </c>
      <c r="E445" s="3">
        <v>81.773717000000005</v>
      </c>
      <c r="F445" s="3">
        <v>180.38498100000001</v>
      </c>
      <c r="G445" s="3">
        <f t="shared" si="42"/>
        <v>3.0488500000000016</v>
      </c>
      <c r="H445" s="3">
        <f t="shared" si="43"/>
        <v>0.56950600000001828</v>
      </c>
      <c r="I445" s="3">
        <f t="shared" si="46"/>
        <v>2.9927014424603189</v>
      </c>
      <c r="J445" s="3">
        <f t="shared" si="47"/>
        <v>0.52330358531747867</v>
      </c>
      <c r="K445" s="4">
        <f t="shared" si="44"/>
        <v>3.0059498898199002</v>
      </c>
      <c r="L445" s="4">
        <f t="shared" si="45"/>
        <v>0.47860665788883783</v>
      </c>
      <c r="M445" s="7">
        <f t="shared" si="48"/>
        <v>-4.9059808891805323</v>
      </c>
    </row>
    <row r="446" spans="4:13" x14ac:dyDescent="0.25">
      <c r="D446" s="1">
        <v>41754</v>
      </c>
      <c r="E446" s="3">
        <v>78.724867000000003</v>
      </c>
      <c r="F446" s="3">
        <v>179.81547499999999</v>
      </c>
      <c r="G446" s="3">
        <f t="shared" si="42"/>
        <v>0.57397799999999677</v>
      </c>
      <c r="H446" s="3">
        <f t="shared" si="43"/>
        <v>-1.4864860000000135</v>
      </c>
      <c r="I446" s="3">
        <f t="shared" si="46"/>
        <v>0.51782944246031426</v>
      </c>
      <c r="J446" s="3">
        <f t="shared" si="47"/>
        <v>-1.5326884146825532</v>
      </c>
      <c r="K446" s="4">
        <f t="shared" si="44"/>
        <v>0.66789200497148971</v>
      </c>
      <c r="L446" s="4">
        <f t="shared" si="45"/>
        <v>-1.7874359021065414</v>
      </c>
      <c r="M446" s="7">
        <f t="shared" si="48"/>
        <v>-4.119728866777276</v>
      </c>
    </row>
    <row r="447" spans="4:13" x14ac:dyDescent="0.25">
      <c r="D447" s="1">
        <v>41753</v>
      </c>
      <c r="E447" s="3">
        <v>78.150889000000006</v>
      </c>
      <c r="F447" s="3">
        <v>181.30196100000001</v>
      </c>
      <c r="G447" s="3">
        <f t="shared" si="42"/>
        <v>5.9215010000000063</v>
      </c>
      <c r="H447" s="3">
        <f t="shared" si="43"/>
        <v>0.36679800000001705</v>
      </c>
      <c r="I447" s="3">
        <f t="shared" si="46"/>
        <v>5.8653524424603241</v>
      </c>
      <c r="J447" s="3">
        <f t="shared" si="47"/>
        <v>0.32059558531747739</v>
      </c>
      <c r="K447" s="4">
        <f t="shared" si="44"/>
        <v>5.8394407521519129</v>
      </c>
      <c r="L447" s="4">
        <f t="shared" si="45"/>
        <v>0.35867193041756551</v>
      </c>
      <c r="M447" s="7">
        <f t="shared" si="48"/>
        <v>-12.250573132119928</v>
      </c>
    </row>
    <row r="448" spans="4:13" x14ac:dyDescent="0.25">
      <c r="D448" s="1">
        <v>41752</v>
      </c>
      <c r="E448" s="3">
        <v>72.229388</v>
      </c>
      <c r="F448" s="3">
        <v>180.93516299999999</v>
      </c>
      <c r="G448" s="3">
        <f t="shared" si="42"/>
        <v>-0.95663700000000063</v>
      </c>
      <c r="H448" s="3">
        <f t="shared" si="43"/>
        <v>-0.42471000000000458</v>
      </c>
      <c r="I448" s="3">
        <f t="shared" si="46"/>
        <v>-1.0127855575396831</v>
      </c>
      <c r="J448" s="3">
        <f t="shared" si="47"/>
        <v>-0.47091241468254424</v>
      </c>
      <c r="K448" s="4">
        <f t="shared" si="44"/>
        <v>-1.0123556485684251</v>
      </c>
      <c r="L448" s="4">
        <f t="shared" si="45"/>
        <v>-0.4606408656936184</v>
      </c>
      <c r="M448" s="7">
        <f t="shared" si="48"/>
        <v>-2.8302127716222012</v>
      </c>
    </row>
    <row r="449" spans="4:13" x14ac:dyDescent="0.25">
      <c r="D449" s="1">
        <v>41751</v>
      </c>
      <c r="E449" s="3">
        <v>73.186025000000001</v>
      </c>
      <c r="F449" s="3">
        <v>181.35987299999999</v>
      </c>
      <c r="G449" s="3">
        <f t="shared" si="42"/>
        <v>7.2952000000000794E-2</v>
      </c>
      <c r="H449" s="3">
        <f t="shared" si="43"/>
        <v>0.82046399999998698</v>
      </c>
      <c r="I449" s="3">
        <f t="shared" si="46"/>
        <v>1.6803442460318251E-2</v>
      </c>
      <c r="J449" s="3">
        <f t="shared" si="47"/>
        <v>0.77426158531744738</v>
      </c>
      <c r="K449" s="4">
        <f t="shared" si="44"/>
        <v>3.730644786097119E-2</v>
      </c>
      <c r="L449" s="4">
        <f t="shared" si="45"/>
        <v>0.74710039410657025</v>
      </c>
      <c r="M449" s="7">
        <f t="shared" si="48"/>
        <v>-2.7811600317219867</v>
      </c>
    </row>
    <row r="450" spans="4:13" x14ac:dyDescent="0.25">
      <c r="D450" s="1">
        <v>41750</v>
      </c>
      <c r="E450" s="3">
        <v>73.113073</v>
      </c>
      <c r="F450" s="3">
        <v>180.53940900000001</v>
      </c>
      <c r="G450" s="3">
        <f t="shared" ref="G450:G504" si="49">E450-E451</f>
        <v>0.85752999999999702</v>
      </c>
      <c r="H450" s="3">
        <f t="shared" ref="H450:H504" si="50">F450-F451</f>
        <v>0.62740400000001273</v>
      </c>
      <c r="I450" s="3">
        <f t="shared" si="46"/>
        <v>0.80138144246031451</v>
      </c>
      <c r="J450" s="3">
        <f t="shared" si="47"/>
        <v>0.58120158531747312</v>
      </c>
      <c r="K450" s="4">
        <f t="shared" ref="K450:K503" si="51">I450-A$11*I451</f>
        <v>0.82082803508280366</v>
      </c>
      <c r="L450" s="4">
        <f t="shared" ref="L450:L503" si="52">J450-A$12*I451-B$12*J451</f>
        <v>0.55051065892750384</v>
      </c>
      <c r="M450" s="7">
        <f t="shared" si="48"/>
        <v>-2.7546079059147108</v>
      </c>
    </row>
    <row r="451" spans="4:13" x14ac:dyDescent="0.25">
      <c r="D451" s="1">
        <v>41746</v>
      </c>
      <c r="E451" s="3">
        <v>72.255543000000003</v>
      </c>
      <c r="F451" s="3">
        <v>179.91200499999999</v>
      </c>
      <c r="G451" s="3">
        <f t="shared" si="49"/>
        <v>0.81623899999999594</v>
      </c>
      <c r="H451" s="3">
        <f t="shared" si="50"/>
        <v>0.25095799999999713</v>
      </c>
      <c r="I451" s="3">
        <f t="shared" ref="I451:I505" si="53">G451-AVERAGE(G$2:G$505)</f>
        <v>0.76009044246031343</v>
      </c>
      <c r="J451" s="3">
        <f t="shared" ref="J451:J505" si="54">H451-AVERAGE(H$2:H$505)</f>
        <v>0.20475558531745747</v>
      </c>
      <c r="K451" s="4">
        <f t="shared" si="51"/>
        <v>0.76235161871554702</v>
      </c>
      <c r="L451" s="4">
        <f t="shared" si="52"/>
        <v>0.22669253743587708</v>
      </c>
      <c r="M451" s="7">
        <f t="shared" ref="M451:M504" si="55">-LN(2*PI()*ABS(A$2*B$3))-0.5*SUMPRODUCT(MMULT(K451:L451,A$8:B$9),K451:L451)</f>
        <v>-2.7597593758384114</v>
      </c>
    </row>
    <row r="452" spans="4:13" x14ac:dyDescent="0.25">
      <c r="D452" s="1">
        <v>41745</v>
      </c>
      <c r="E452" s="3">
        <v>71.439304000000007</v>
      </c>
      <c r="F452" s="3">
        <v>179.661047</v>
      </c>
      <c r="G452" s="3">
        <f t="shared" si="49"/>
        <v>0.14452900000000568</v>
      </c>
      <c r="H452" s="3">
        <f t="shared" si="50"/>
        <v>1.8629300000000057</v>
      </c>
      <c r="I452" s="3">
        <f t="shared" si="53"/>
        <v>8.8380442460323144E-2</v>
      </c>
      <c r="J452" s="3">
        <f t="shared" si="54"/>
        <v>1.816727585317466</v>
      </c>
      <c r="K452" s="4">
        <f t="shared" si="51"/>
        <v>7.384362960120644E-2</v>
      </c>
      <c r="L452" s="4">
        <f t="shared" si="52"/>
        <v>1.8584913261686662</v>
      </c>
      <c r="M452" s="7">
        <f t="shared" si="55"/>
        <v>-3.560673224987593</v>
      </c>
    </row>
    <row r="453" spans="4:13" x14ac:dyDescent="0.25">
      <c r="D453" s="1">
        <v>41744</v>
      </c>
      <c r="E453" s="3">
        <v>71.294775000000001</v>
      </c>
      <c r="F453" s="3">
        <v>177.79811699999999</v>
      </c>
      <c r="G453" s="3">
        <f t="shared" si="49"/>
        <v>-0.51203800000000399</v>
      </c>
      <c r="H453" s="3">
        <f t="shared" si="50"/>
        <v>1.2162040000000047</v>
      </c>
      <c r="I453" s="3">
        <f t="shared" si="53"/>
        <v>-0.5681865575396865</v>
      </c>
      <c r="J453" s="3">
        <f t="shared" si="54"/>
        <v>1.170001585317465</v>
      </c>
      <c r="K453" s="4">
        <f t="shared" si="51"/>
        <v>-0.56233353690337284</v>
      </c>
      <c r="L453" s="4">
        <f t="shared" si="52"/>
        <v>1.1788661807737937</v>
      </c>
      <c r="M453" s="7">
        <f t="shared" si="55"/>
        <v>-3.3707710638798734</v>
      </c>
    </row>
    <row r="454" spans="4:13" x14ac:dyDescent="0.25">
      <c r="D454" s="1">
        <v>41743</v>
      </c>
      <c r="E454" s="3">
        <v>71.806813000000005</v>
      </c>
      <c r="F454" s="3">
        <v>176.58191299999999</v>
      </c>
      <c r="G454" s="3">
        <f t="shared" si="49"/>
        <v>0.28491999999999962</v>
      </c>
      <c r="H454" s="3">
        <f t="shared" si="50"/>
        <v>1.3803079999999852</v>
      </c>
      <c r="I454" s="3">
        <f t="shared" si="53"/>
        <v>0.22877144246031708</v>
      </c>
      <c r="J454" s="3">
        <f t="shared" si="54"/>
        <v>1.3341055853174455</v>
      </c>
      <c r="K454" s="4">
        <f t="shared" si="51"/>
        <v>0.21370633366609842</v>
      </c>
      <c r="L454" s="4">
        <f t="shared" si="52"/>
        <v>1.3368240540024288</v>
      </c>
      <c r="M454" s="7">
        <f t="shared" si="55"/>
        <v>-3.0457483391115003</v>
      </c>
    </row>
    <row r="455" spans="4:13" x14ac:dyDescent="0.25">
      <c r="D455" s="1">
        <v>41740</v>
      </c>
      <c r="E455" s="3">
        <v>71.521893000000006</v>
      </c>
      <c r="F455" s="3">
        <v>175.201605</v>
      </c>
      <c r="G455" s="3">
        <f t="shared" si="49"/>
        <v>-0.53268699999999569</v>
      </c>
      <c r="H455" s="3">
        <f t="shared" si="50"/>
        <v>-1.5926629999999875</v>
      </c>
      <c r="I455" s="3">
        <f t="shared" si="53"/>
        <v>-0.5888355575396782</v>
      </c>
      <c r="J455" s="3">
        <f t="shared" si="54"/>
        <v>-1.6388654146825272</v>
      </c>
      <c r="K455" s="4">
        <f t="shared" si="51"/>
        <v>-0.61435979501060611</v>
      </c>
      <c r="L455" s="4">
        <f t="shared" si="52"/>
        <v>-1.6493807292082732</v>
      </c>
      <c r="M455" s="7">
        <f t="shared" si="55"/>
        <v>-3.1381873712073176</v>
      </c>
    </row>
    <row r="456" spans="4:13" x14ac:dyDescent="0.25">
      <c r="D456" s="1">
        <v>41739</v>
      </c>
      <c r="E456" s="3">
        <v>72.054580000000001</v>
      </c>
      <c r="F456" s="3">
        <v>176.79426799999999</v>
      </c>
      <c r="G456" s="3">
        <f t="shared" si="49"/>
        <v>-0.94149299999999414</v>
      </c>
      <c r="H456" s="3">
        <f t="shared" si="50"/>
        <v>-3.7934060000000045</v>
      </c>
      <c r="I456" s="3">
        <f t="shared" si="53"/>
        <v>-0.99764155753967665</v>
      </c>
      <c r="J456" s="3">
        <f t="shared" si="54"/>
        <v>-3.839608414682544</v>
      </c>
      <c r="K456" s="4">
        <f t="shared" si="51"/>
        <v>-0.97484952559935345</v>
      </c>
      <c r="L456" s="4">
        <f t="shared" si="52"/>
        <v>-3.852325151667868</v>
      </c>
      <c r="M456" s="7">
        <f t="shared" si="55"/>
        <v>-5.7142887492239227</v>
      </c>
    </row>
    <row r="457" spans="4:13" x14ac:dyDescent="0.25">
      <c r="D457" s="1">
        <v>41738</v>
      </c>
      <c r="E457" s="3">
        <v>72.996072999999996</v>
      </c>
      <c r="F457" s="3">
        <v>180.58767399999999</v>
      </c>
      <c r="G457" s="3">
        <f t="shared" si="49"/>
        <v>0.94699899999999104</v>
      </c>
      <c r="H457" s="3">
        <f t="shared" si="50"/>
        <v>1.9208280000000002</v>
      </c>
      <c r="I457" s="3">
        <f t="shared" si="53"/>
        <v>0.89085044246030853</v>
      </c>
      <c r="J457" s="3">
        <f t="shared" si="54"/>
        <v>1.8746255853174605</v>
      </c>
      <c r="K457" s="4">
        <f t="shared" si="51"/>
        <v>0.88930839455743582</v>
      </c>
      <c r="L457" s="4">
        <f t="shared" si="52"/>
        <v>1.8870689166589483</v>
      </c>
      <c r="M457" s="7">
        <f t="shared" si="55"/>
        <v>-3.25269816918289</v>
      </c>
    </row>
    <row r="458" spans="4:13" x14ac:dyDescent="0.25">
      <c r="D458" s="1">
        <v>41737</v>
      </c>
      <c r="E458" s="3">
        <v>72.049074000000005</v>
      </c>
      <c r="F458" s="3">
        <v>178.66684599999999</v>
      </c>
      <c r="G458" s="3">
        <f t="shared" si="49"/>
        <v>-4.1239999999902466E-3</v>
      </c>
      <c r="H458" s="3">
        <f t="shared" si="50"/>
        <v>0.73359600000000569</v>
      </c>
      <c r="I458" s="3">
        <f t="shared" si="53"/>
        <v>-6.027255753967279E-2</v>
      </c>
      <c r="J458" s="3">
        <f t="shared" si="54"/>
        <v>0.68739358531746608</v>
      </c>
      <c r="K458" s="4">
        <f t="shared" si="51"/>
        <v>-9.1114574971224424E-2</v>
      </c>
      <c r="L458" s="4">
        <f t="shared" si="52"/>
        <v>0.71174487276637188</v>
      </c>
      <c r="M458" s="7">
        <f t="shared" si="55"/>
        <v>-2.8033883535630379</v>
      </c>
    </row>
    <row r="459" spans="4:13" x14ac:dyDescent="0.25">
      <c r="D459" s="1">
        <v>41736</v>
      </c>
      <c r="E459" s="3">
        <v>72.053197999999995</v>
      </c>
      <c r="F459" s="3">
        <v>177.93324999999999</v>
      </c>
      <c r="G459" s="3">
        <f t="shared" si="49"/>
        <v>-1.1493439999999993</v>
      </c>
      <c r="H459" s="3">
        <f t="shared" si="50"/>
        <v>-1.9884030000000052</v>
      </c>
      <c r="I459" s="3">
        <f t="shared" si="53"/>
        <v>-1.2054925575396818</v>
      </c>
      <c r="J459" s="3">
        <f t="shared" si="54"/>
        <v>-2.0346054146825447</v>
      </c>
      <c r="K459" s="4">
        <f t="shared" si="51"/>
        <v>-1.2314745798508824</v>
      </c>
      <c r="L459" s="4">
        <f t="shared" si="52"/>
        <v>-2.0209866855694507</v>
      </c>
      <c r="M459" s="7">
        <f t="shared" si="55"/>
        <v>-3.3178083005546157</v>
      </c>
    </row>
    <row r="460" spans="4:13" x14ac:dyDescent="0.25">
      <c r="D460" s="1">
        <v>41733</v>
      </c>
      <c r="E460" s="3">
        <v>73.202541999999994</v>
      </c>
      <c r="F460" s="3">
        <v>179.92165299999999</v>
      </c>
      <c r="G460" s="3">
        <f t="shared" si="49"/>
        <v>-0.95938600000000918</v>
      </c>
      <c r="H460" s="3">
        <f t="shared" si="50"/>
        <v>-2.1525060000000167</v>
      </c>
      <c r="I460" s="3">
        <f t="shared" si="53"/>
        <v>-1.0155345575396917</v>
      </c>
      <c r="J460" s="3">
        <f t="shared" si="54"/>
        <v>-2.1987084146825562</v>
      </c>
      <c r="K460" s="4">
        <f t="shared" si="51"/>
        <v>-1.0302122390810047</v>
      </c>
      <c r="L460" s="4">
        <f t="shared" si="52"/>
        <v>-2.1774354736042616</v>
      </c>
      <c r="M460" s="7">
        <f t="shared" si="55"/>
        <v>-3.4572156728775583</v>
      </c>
    </row>
    <row r="461" spans="4:13" x14ac:dyDescent="0.25">
      <c r="D461" s="1">
        <v>41732</v>
      </c>
      <c r="E461" s="3">
        <v>74.161928000000003</v>
      </c>
      <c r="F461" s="3">
        <v>182.07415900000001</v>
      </c>
      <c r="G461" s="3">
        <f t="shared" si="49"/>
        <v>-0.51754400000000089</v>
      </c>
      <c r="H461" s="3">
        <f t="shared" si="50"/>
        <v>-0.24131199999999353</v>
      </c>
      <c r="I461" s="3">
        <f t="shared" si="53"/>
        <v>-0.5736925575396834</v>
      </c>
      <c r="J461" s="3">
        <f t="shared" si="54"/>
        <v>-0.28751441468253319</v>
      </c>
      <c r="K461" s="4">
        <f t="shared" si="51"/>
        <v>-0.5719596772195521</v>
      </c>
      <c r="L461" s="4">
        <f t="shared" si="52"/>
        <v>-0.28251530461889351</v>
      </c>
      <c r="M461" s="7">
        <f t="shared" si="55"/>
        <v>-2.6947850057211293</v>
      </c>
    </row>
    <row r="462" spans="4:13" x14ac:dyDescent="0.25">
      <c r="D462" s="1">
        <v>41731</v>
      </c>
      <c r="E462" s="3">
        <v>74.679472000000004</v>
      </c>
      <c r="F462" s="3">
        <v>182.315471</v>
      </c>
      <c r="G462" s="3">
        <f t="shared" si="49"/>
        <v>0.12387999999999977</v>
      </c>
      <c r="H462" s="3">
        <f t="shared" si="50"/>
        <v>0.60810900000001311</v>
      </c>
      <c r="I462" s="3">
        <f t="shared" si="53"/>
        <v>6.7731442460317232E-2</v>
      </c>
      <c r="J462" s="3">
        <f t="shared" si="54"/>
        <v>0.56190658531747351</v>
      </c>
      <c r="K462" s="4">
        <f t="shared" si="51"/>
        <v>8.3586011609685831E-2</v>
      </c>
      <c r="L462" s="4">
        <f t="shared" si="52"/>
        <v>0.55087951572440319</v>
      </c>
      <c r="M462" s="7">
        <f t="shared" si="55"/>
        <v>-2.7040034845418437</v>
      </c>
    </row>
    <row r="463" spans="4:13" x14ac:dyDescent="0.25">
      <c r="D463" s="1">
        <v>41730</v>
      </c>
      <c r="E463" s="3">
        <v>74.555592000000004</v>
      </c>
      <c r="F463" s="3">
        <v>181.70736199999999</v>
      </c>
      <c r="G463" s="3">
        <f t="shared" si="49"/>
        <v>0.67584100000000547</v>
      </c>
      <c r="H463" s="3">
        <f t="shared" si="50"/>
        <v>1.1969089999999767</v>
      </c>
      <c r="I463" s="3">
        <f t="shared" si="53"/>
        <v>0.61969244246032296</v>
      </c>
      <c r="J463" s="3">
        <f t="shared" si="54"/>
        <v>1.150706585317437</v>
      </c>
      <c r="K463" s="4">
        <f t="shared" si="51"/>
        <v>0.61783329930733333</v>
      </c>
      <c r="L463" s="4">
        <f t="shared" si="52"/>
        <v>1.1741333651784771</v>
      </c>
      <c r="M463" s="7">
        <f t="shared" si="55"/>
        <v>-2.8676749161222581</v>
      </c>
    </row>
    <row r="464" spans="4:13" x14ac:dyDescent="0.25">
      <c r="D464" s="1">
        <v>41729</v>
      </c>
      <c r="E464" s="3">
        <v>73.879750999999999</v>
      </c>
      <c r="F464" s="3">
        <v>180.51045300000001</v>
      </c>
      <c r="G464" s="3">
        <f t="shared" si="49"/>
        <v>-1.6518000000004918E-2</v>
      </c>
      <c r="H464" s="3">
        <f t="shared" si="50"/>
        <v>1.4671620000000019</v>
      </c>
      <c r="I464" s="3">
        <f t="shared" si="53"/>
        <v>-7.2666557539687454E-2</v>
      </c>
      <c r="J464" s="3">
        <f t="shared" si="54"/>
        <v>1.4209595853174621</v>
      </c>
      <c r="K464" s="4">
        <f t="shared" si="51"/>
        <v>-7.6216099294455941E-2</v>
      </c>
      <c r="L464" s="4">
        <f t="shared" si="52"/>
        <v>1.4389314817620487</v>
      </c>
      <c r="M464" s="7">
        <f t="shared" si="55"/>
        <v>-3.26185234313325</v>
      </c>
    </row>
    <row r="465" spans="4:13" x14ac:dyDescent="0.25">
      <c r="D465" s="1">
        <v>41726</v>
      </c>
      <c r="E465" s="3">
        <v>73.896269000000004</v>
      </c>
      <c r="F465" s="3">
        <v>179.04329100000001</v>
      </c>
      <c r="G465" s="3">
        <f t="shared" si="49"/>
        <v>-8.2588999999998691E-2</v>
      </c>
      <c r="H465" s="3">
        <f t="shared" si="50"/>
        <v>0.87837700000000041</v>
      </c>
      <c r="I465" s="3">
        <f t="shared" si="53"/>
        <v>-0.13873755753968123</v>
      </c>
      <c r="J465" s="3">
        <f t="shared" si="54"/>
        <v>0.8321745853174608</v>
      </c>
      <c r="K465" s="4">
        <f t="shared" si="51"/>
        <v>-0.14834419678312069</v>
      </c>
      <c r="L465" s="4">
        <f t="shared" si="52"/>
        <v>0.84276239765532646</v>
      </c>
      <c r="M465" s="7">
        <f t="shared" si="55"/>
        <v>-2.8877014501321088</v>
      </c>
    </row>
    <row r="466" spans="4:13" x14ac:dyDescent="0.25">
      <c r="D466" s="1">
        <v>41725</v>
      </c>
      <c r="E466" s="3">
        <v>73.978858000000002</v>
      </c>
      <c r="F466" s="3">
        <v>178.16491400000001</v>
      </c>
      <c r="G466" s="3">
        <f t="shared" si="49"/>
        <v>-0.31933700000000442</v>
      </c>
      <c r="H466" s="3">
        <f t="shared" si="50"/>
        <v>-0.3764449999999897</v>
      </c>
      <c r="I466" s="3">
        <f t="shared" si="53"/>
        <v>-0.37548555753968699</v>
      </c>
      <c r="J466" s="3">
        <f t="shared" si="54"/>
        <v>-0.42264741468252937</v>
      </c>
      <c r="K466" s="4">
        <f t="shared" si="51"/>
        <v>-0.39526961368001995</v>
      </c>
      <c r="L466" s="4">
        <f t="shared" si="52"/>
        <v>-0.40751772502671824</v>
      </c>
      <c r="M466" s="7">
        <f t="shared" si="55"/>
        <v>-2.667428213620719</v>
      </c>
    </row>
    <row r="467" spans="4:13" x14ac:dyDescent="0.25">
      <c r="D467" s="1">
        <v>41724</v>
      </c>
      <c r="E467" s="3">
        <v>74.298195000000007</v>
      </c>
      <c r="F467" s="3">
        <v>178.541359</v>
      </c>
      <c r="G467" s="3">
        <f t="shared" si="49"/>
        <v>-0.71713199999999233</v>
      </c>
      <c r="H467" s="3">
        <f t="shared" si="50"/>
        <v>-1.2934250000000134</v>
      </c>
      <c r="I467" s="3">
        <f t="shared" si="53"/>
        <v>-0.77328055753967484</v>
      </c>
      <c r="J467" s="3">
        <f t="shared" si="54"/>
        <v>-1.3396274146825531</v>
      </c>
      <c r="K467" s="4">
        <f t="shared" si="51"/>
        <v>-0.75429192884949847</v>
      </c>
      <c r="L467" s="4">
        <f t="shared" si="52"/>
        <v>-1.3610134236616767</v>
      </c>
      <c r="M467" s="7">
        <f t="shared" si="55"/>
        <v>-2.9458426738922077</v>
      </c>
    </row>
    <row r="468" spans="4:13" x14ac:dyDescent="0.25">
      <c r="D468" s="1">
        <v>41723</v>
      </c>
      <c r="E468" s="3">
        <v>75.015326999999999</v>
      </c>
      <c r="F468" s="3">
        <v>179.83478400000001</v>
      </c>
      <c r="G468" s="3">
        <f t="shared" si="49"/>
        <v>0.79833899999999858</v>
      </c>
      <c r="H468" s="3">
        <f t="shared" si="50"/>
        <v>0.84942000000000917</v>
      </c>
      <c r="I468" s="3">
        <f t="shared" si="53"/>
        <v>0.74219044246031607</v>
      </c>
      <c r="J468" s="3">
        <f t="shared" si="54"/>
        <v>0.80321758531746956</v>
      </c>
      <c r="K468" s="4">
        <f t="shared" si="51"/>
        <v>0.76301054311108552</v>
      </c>
      <c r="L468" s="4">
        <f t="shared" si="52"/>
        <v>0.75601000685625375</v>
      </c>
      <c r="M468" s="7">
        <f t="shared" si="55"/>
        <v>-2.7559335787851009</v>
      </c>
    </row>
    <row r="469" spans="4:13" x14ac:dyDescent="0.25">
      <c r="D469" s="1">
        <v>41722</v>
      </c>
      <c r="E469" s="3">
        <v>74.216988000000001</v>
      </c>
      <c r="F469" s="3">
        <v>178.985364</v>
      </c>
      <c r="G469" s="3">
        <f t="shared" si="49"/>
        <v>0.86992399999999748</v>
      </c>
      <c r="H469" s="3">
        <f t="shared" si="50"/>
        <v>-0.74324300000000676</v>
      </c>
      <c r="I469" s="3">
        <f t="shared" si="53"/>
        <v>0.81377544246031497</v>
      </c>
      <c r="J469" s="3">
        <f t="shared" si="54"/>
        <v>-0.78944541468254636</v>
      </c>
      <c r="K469" s="4">
        <f t="shared" si="51"/>
        <v>0.82702388981989639</v>
      </c>
      <c r="L469" s="4">
        <f t="shared" si="52"/>
        <v>-0.82295127768632126</v>
      </c>
      <c r="M469" s="7">
        <f t="shared" si="55"/>
        <v>-3.287618879973754</v>
      </c>
    </row>
    <row r="470" spans="4:13" x14ac:dyDescent="0.25">
      <c r="D470" s="1">
        <v>41719</v>
      </c>
      <c r="E470" s="3">
        <v>73.347064000000003</v>
      </c>
      <c r="F470" s="3">
        <v>179.72860700000001</v>
      </c>
      <c r="G470" s="3">
        <f t="shared" si="49"/>
        <v>0.57397799999999677</v>
      </c>
      <c r="H470" s="3">
        <f t="shared" si="50"/>
        <v>-0.69980799999999022</v>
      </c>
      <c r="I470" s="3">
        <f t="shared" si="53"/>
        <v>0.51782944246031426</v>
      </c>
      <c r="J470" s="3">
        <f t="shared" si="54"/>
        <v>-0.74601041468252982</v>
      </c>
      <c r="K470" s="4">
        <f t="shared" si="51"/>
        <v>0.50737759112369685</v>
      </c>
      <c r="L470" s="4">
        <f t="shared" si="52"/>
        <v>-0.71370556849224265</v>
      </c>
      <c r="M470" s="7">
        <f t="shared" si="55"/>
        <v>-2.9912182205344982</v>
      </c>
    </row>
    <row r="471" spans="4:13" x14ac:dyDescent="0.25">
      <c r="D471" s="1">
        <v>41718</v>
      </c>
      <c r="E471" s="3">
        <v>72.773086000000006</v>
      </c>
      <c r="F471" s="3">
        <v>180.428415</v>
      </c>
      <c r="G471" s="3">
        <f t="shared" si="49"/>
        <v>-0.35237300000000005</v>
      </c>
      <c r="H471" s="3">
        <f t="shared" si="50"/>
        <v>1.0474900000000105</v>
      </c>
      <c r="I471" s="3">
        <f t="shared" si="53"/>
        <v>-0.40852155753968261</v>
      </c>
      <c r="J471" s="3">
        <f t="shared" si="54"/>
        <v>1.0012875853174708</v>
      </c>
      <c r="K471" s="4">
        <f t="shared" si="51"/>
        <v>-0.4104510326954614</v>
      </c>
      <c r="L471" s="4">
        <f t="shared" si="52"/>
        <v>0.99029349281447443</v>
      </c>
      <c r="M471" s="7">
        <f t="shared" si="55"/>
        <v>-3.1141147683863259</v>
      </c>
    </row>
    <row r="472" spans="4:13" x14ac:dyDescent="0.25">
      <c r="D472" s="1">
        <v>41717</v>
      </c>
      <c r="E472" s="3">
        <v>73.125459000000006</v>
      </c>
      <c r="F472" s="3">
        <v>179.38092499999999</v>
      </c>
      <c r="G472" s="3">
        <f t="shared" si="49"/>
        <v>-1.9266999999999257E-2</v>
      </c>
      <c r="H472" s="3">
        <f t="shared" si="50"/>
        <v>-0.96100300000000516</v>
      </c>
      <c r="I472" s="3">
        <f t="shared" si="53"/>
        <v>-7.5415557539681793E-2</v>
      </c>
      <c r="J472" s="3">
        <f t="shared" si="54"/>
        <v>-1.0072054146825449</v>
      </c>
      <c r="K472" s="4">
        <f t="shared" si="51"/>
        <v>-6.0441558369215179E-2</v>
      </c>
      <c r="L472" s="4">
        <f t="shared" si="52"/>
        <v>-1.0155553459436657</v>
      </c>
      <c r="M472" s="7">
        <f t="shared" si="55"/>
        <v>-2.903166188039914</v>
      </c>
    </row>
    <row r="473" spans="4:13" x14ac:dyDescent="0.25">
      <c r="D473" s="1">
        <v>41716</v>
      </c>
      <c r="E473" s="3">
        <v>73.144726000000006</v>
      </c>
      <c r="F473" s="3">
        <v>180.341928</v>
      </c>
      <c r="G473" s="3">
        <f t="shared" si="49"/>
        <v>0.64142300000000319</v>
      </c>
      <c r="H473" s="3">
        <f t="shared" si="50"/>
        <v>1.2781359999999893</v>
      </c>
      <c r="I473" s="3">
        <f t="shared" si="53"/>
        <v>0.58527444246032068</v>
      </c>
      <c r="J473" s="3">
        <f t="shared" si="54"/>
        <v>1.2319335853174496</v>
      </c>
      <c r="K473" s="4">
        <f t="shared" si="51"/>
        <v>0.5910573101858857</v>
      </c>
      <c r="L473" s="4">
        <f t="shared" si="52"/>
        <v>1.2441140190698794</v>
      </c>
      <c r="M473" s="7">
        <f t="shared" si="55"/>
        <v>-2.9019948809798048</v>
      </c>
    </row>
    <row r="474" spans="4:13" x14ac:dyDescent="0.25">
      <c r="D474" s="1">
        <v>41715</v>
      </c>
      <c r="E474" s="3">
        <v>72.503303000000002</v>
      </c>
      <c r="F474" s="3">
        <v>179.06379200000001</v>
      </c>
      <c r="G474" s="3">
        <f t="shared" si="49"/>
        <v>0.28217800000000182</v>
      </c>
      <c r="H474" s="3">
        <f t="shared" si="50"/>
        <v>1.6048739999999952</v>
      </c>
      <c r="I474" s="3">
        <f t="shared" si="53"/>
        <v>0.22602944246031928</v>
      </c>
      <c r="J474" s="3">
        <f t="shared" si="54"/>
        <v>1.5586715853174555</v>
      </c>
      <c r="K474" s="4">
        <f t="shared" si="51"/>
        <v>0.20360408573651601</v>
      </c>
      <c r="L474" s="4">
        <f t="shared" si="52"/>
        <v>1.5896566004791215</v>
      </c>
      <c r="M474" s="7">
        <f t="shared" si="55"/>
        <v>-3.2395684700642446</v>
      </c>
    </row>
    <row r="475" spans="4:13" x14ac:dyDescent="0.25">
      <c r="D475" s="1">
        <v>41712</v>
      </c>
      <c r="E475" s="3">
        <v>72.221125000000001</v>
      </c>
      <c r="F475" s="3">
        <v>177.45891800000001</v>
      </c>
      <c r="G475" s="3">
        <f t="shared" si="49"/>
        <v>-0.82036999999999694</v>
      </c>
      <c r="H475" s="3">
        <f t="shared" si="50"/>
        <v>-0.49971099999999069</v>
      </c>
      <c r="I475" s="3">
        <f t="shared" si="53"/>
        <v>-0.87651855753967944</v>
      </c>
      <c r="J475" s="3">
        <f t="shared" si="54"/>
        <v>-0.5459134146825303</v>
      </c>
      <c r="K475" s="4">
        <f t="shared" si="51"/>
        <v>-0.89894373517144222</v>
      </c>
      <c r="L475" s="4">
        <f t="shared" si="52"/>
        <v>-0.53652907738269218</v>
      </c>
      <c r="M475" s="7">
        <f t="shared" si="55"/>
        <v>-2.7797480073032075</v>
      </c>
    </row>
    <row r="476" spans="4:13" x14ac:dyDescent="0.25">
      <c r="D476" s="1">
        <v>41711</v>
      </c>
      <c r="E476" s="3">
        <v>73.041494999999998</v>
      </c>
      <c r="F476" s="3">
        <v>177.958629</v>
      </c>
      <c r="G476" s="3">
        <f t="shared" si="49"/>
        <v>-0.8203630000000004</v>
      </c>
      <c r="H476" s="3">
        <f t="shared" si="50"/>
        <v>-2.0181129999999996</v>
      </c>
      <c r="I476" s="3">
        <f t="shared" si="53"/>
        <v>-0.87651155753968291</v>
      </c>
      <c r="J476" s="3">
        <f t="shared" si="54"/>
        <v>-2.0643154146825391</v>
      </c>
      <c r="K476" s="4">
        <f t="shared" si="51"/>
        <v>-0.87611682736210794</v>
      </c>
      <c r="L476" s="4">
        <f t="shared" si="52"/>
        <v>-2.0649711827332262</v>
      </c>
      <c r="M476" s="7">
        <f t="shared" si="55"/>
        <v>-3.395478412300557</v>
      </c>
    </row>
    <row r="477" spans="4:13" x14ac:dyDescent="0.25">
      <c r="D477" s="1">
        <v>41710</v>
      </c>
      <c r="E477" s="3">
        <v>73.861857999999998</v>
      </c>
      <c r="F477" s="3">
        <v>179.976742</v>
      </c>
      <c r="G477" s="3">
        <f t="shared" si="49"/>
        <v>7.1577000000004887E-2</v>
      </c>
      <c r="H477" s="3">
        <f t="shared" si="50"/>
        <v>4.8053000000010115E-2</v>
      </c>
      <c r="I477" s="3">
        <f t="shared" si="53"/>
        <v>1.5428442460322343E-2</v>
      </c>
      <c r="J477" s="3">
        <f t="shared" si="54"/>
        <v>1.8505853174704615E-3</v>
      </c>
      <c r="K477" s="4">
        <f t="shared" si="51"/>
        <v>3.219855570565807E-2</v>
      </c>
      <c r="L477" s="4">
        <f t="shared" si="52"/>
        <v>-4.0499555715995478E-2</v>
      </c>
      <c r="M477" s="7">
        <f t="shared" si="55"/>
        <v>-2.6345376982693782</v>
      </c>
    </row>
    <row r="478" spans="4:13" x14ac:dyDescent="0.25">
      <c r="D478" s="1">
        <v>41709</v>
      </c>
      <c r="E478" s="3">
        <v>73.790280999999993</v>
      </c>
      <c r="F478" s="3">
        <v>179.92868899999999</v>
      </c>
      <c r="G478" s="3">
        <f t="shared" si="49"/>
        <v>0.71162599999999543</v>
      </c>
      <c r="H478" s="3">
        <f t="shared" si="50"/>
        <v>-0.89374100000000567</v>
      </c>
      <c r="I478" s="3">
        <f t="shared" si="53"/>
        <v>0.65547744246031292</v>
      </c>
      <c r="J478" s="3">
        <f t="shared" si="54"/>
        <v>-0.93994341468254528</v>
      </c>
      <c r="K478" s="4">
        <f t="shared" si="51"/>
        <v>0.65573112486365082</v>
      </c>
      <c r="L478" s="4">
        <f t="shared" si="52"/>
        <v>-0.94240601914515387</v>
      </c>
      <c r="M478" s="7">
        <f t="shared" si="55"/>
        <v>-3.2466189540522183</v>
      </c>
    </row>
    <row r="479" spans="4:13" x14ac:dyDescent="0.25">
      <c r="D479" s="1">
        <v>41708</v>
      </c>
      <c r="E479" s="3">
        <v>73.078654999999998</v>
      </c>
      <c r="F479" s="3">
        <v>180.82243</v>
      </c>
      <c r="G479" s="3">
        <f t="shared" si="49"/>
        <v>6.6063999999997236E-2</v>
      </c>
      <c r="H479" s="3">
        <f t="shared" si="50"/>
        <v>-9.6091999999998734E-2</v>
      </c>
      <c r="I479" s="3">
        <f t="shared" si="53"/>
        <v>9.9154424603146926E-3</v>
      </c>
      <c r="J479" s="3">
        <f t="shared" si="54"/>
        <v>-0.14229441468253839</v>
      </c>
      <c r="K479" s="4">
        <f t="shared" si="51"/>
        <v>7.3873137820673054E-3</v>
      </c>
      <c r="L479" s="4">
        <f t="shared" si="52"/>
        <v>-0.13748935336257087</v>
      </c>
      <c r="M479" s="7">
        <f t="shared" si="55"/>
        <v>-2.6390149051569858</v>
      </c>
    </row>
    <row r="480" spans="4:13" x14ac:dyDescent="0.25">
      <c r="D480" s="1">
        <v>41705</v>
      </c>
      <c r="E480" s="3">
        <v>73.012591</v>
      </c>
      <c r="F480" s="3">
        <v>180.918522</v>
      </c>
      <c r="G480" s="3">
        <f t="shared" si="49"/>
        <v>-4.2665999999996984E-2</v>
      </c>
      <c r="H480" s="3">
        <f t="shared" si="50"/>
        <v>7.6883000000009361E-2</v>
      </c>
      <c r="I480" s="3">
        <f t="shared" si="53"/>
        <v>-9.8814557539679521E-2</v>
      </c>
      <c r="J480" s="3">
        <f t="shared" si="54"/>
        <v>3.0680585317469707E-2</v>
      </c>
      <c r="K480" s="4">
        <f t="shared" si="51"/>
        <v>-0.10592094397388579</v>
      </c>
      <c r="L480" s="4">
        <f t="shared" si="52"/>
        <v>4.8181572970530467E-2</v>
      </c>
      <c r="M480" s="7">
        <f t="shared" si="55"/>
        <v>-2.6392482908824819</v>
      </c>
    </row>
    <row r="481" spans="4:13" x14ac:dyDescent="0.25">
      <c r="D481" s="1">
        <v>41704</v>
      </c>
      <c r="E481" s="3">
        <v>73.055256999999997</v>
      </c>
      <c r="F481" s="3">
        <v>180.84163899999999</v>
      </c>
      <c r="G481" s="3">
        <f t="shared" si="49"/>
        <v>-0.22161200000000747</v>
      </c>
      <c r="H481" s="3">
        <f t="shared" si="50"/>
        <v>0.41322399999998538</v>
      </c>
      <c r="I481" s="3">
        <f t="shared" si="53"/>
        <v>-0.27776055753969003</v>
      </c>
      <c r="J481" s="3">
        <f t="shared" si="54"/>
        <v>0.36702158531744572</v>
      </c>
      <c r="K481" s="4">
        <f t="shared" si="51"/>
        <v>-0.27525282271374707</v>
      </c>
      <c r="L481" s="4">
        <f t="shared" si="52"/>
        <v>0.36435499768942775</v>
      </c>
      <c r="M481" s="7">
        <f t="shared" si="55"/>
        <v>-2.7314097153642334</v>
      </c>
    </row>
    <row r="482" spans="4:13" x14ac:dyDescent="0.25">
      <c r="D482" s="1">
        <v>41703</v>
      </c>
      <c r="E482" s="3">
        <v>73.276869000000005</v>
      </c>
      <c r="F482" s="3">
        <v>180.428415</v>
      </c>
      <c r="G482" s="3">
        <f t="shared" si="49"/>
        <v>0.15416600000000358</v>
      </c>
      <c r="H482" s="3">
        <f t="shared" si="50"/>
        <v>0.16336899999998877</v>
      </c>
      <c r="I482" s="3">
        <f t="shared" si="53"/>
        <v>9.8017442460321041E-2</v>
      </c>
      <c r="J482" s="3">
        <f t="shared" si="54"/>
        <v>0.11716658531744911</v>
      </c>
      <c r="K482" s="4">
        <f t="shared" si="51"/>
        <v>0.10883596901345879</v>
      </c>
      <c r="L482" s="4">
        <f t="shared" si="52"/>
        <v>0.13335951095918719</v>
      </c>
      <c r="M482" s="7">
        <f t="shared" si="55"/>
        <v>-2.6364673728283075</v>
      </c>
    </row>
    <row r="483" spans="4:13" x14ac:dyDescent="0.25">
      <c r="D483" s="1">
        <v>41702</v>
      </c>
      <c r="E483" s="3">
        <v>73.122703000000001</v>
      </c>
      <c r="F483" s="3">
        <v>180.26504600000001</v>
      </c>
      <c r="G483" s="3">
        <f t="shared" si="49"/>
        <v>0.47900200000000837</v>
      </c>
      <c r="H483" s="3">
        <f t="shared" si="50"/>
        <v>2.4986150000000009</v>
      </c>
      <c r="I483" s="3">
        <f t="shared" si="53"/>
        <v>0.4228534424603258</v>
      </c>
      <c r="J483" s="3">
        <f t="shared" si="54"/>
        <v>2.4524125853174614</v>
      </c>
      <c r="K483" s="4">
        <f t="shared" si="51"/>
        <v>0.42676986410823187</v>
      </c>
      <c r="L483" s="4">
        <f t="shared" si="52"/>
        <v>2.4270788085390094</v>
      </c>
      <c r="M483" s="7">
        <f t="shared" si="55"/>
        <v>-3.9672631772123581</v>
      </c>
    </row>
    <row r="484" spans="4:13" x14ac:dyDescent="0.25">
      <c r="D484" s="1">
        <v>41701</v>
      </c>
      <c r="E484" s="3">
        <v>72.643700999999993</v>
      </c>
      <c r="F484" s="3">
        <v>177.76643100000001</v>
      </c>
      <c r="G484" s="3">
        <f t="shared" si="49"/>
        <v>0.20922599999998681</v>
      </c>
      <c r="H484" s="3">
        <f t="shared" si="50"/>
        <v>-1.2589119999999809</v>
      </c>
      <c r="I484" s="3">
        <f t="shared" si="53"/>
        <v>0.15307744246030427</v>
      </c>
      <c r="J484" s="3">
        <f t="shared" si="54"/>
        <v>-1.3051144146825207</v>
      </c>
      <c r="K484" s="4">
        <f t="shared" si="51"/>
        <v>0.14660486275767295</v>
      </c>
      <c r="L484" s="4">
        <f t="shared" si="52"/>
        <v>-1.2881618939239112</v>
      </c>
      <c r="M484" s="7">
        <f t="shared" si="55"/>
        <v>-3.1799509436090179</v>
      </c>
    </row>
    <row r="485" spans="4:13" x14ac:dyDescent="0.25">
      <c r="D485" s="1">
        <v>41698</v>
      </c>
      <c r="E485" s="3">
        <v>72.434475000000006</v>
      </c>
      <c r="F485" s="3">
        <v>179.02534299999999</v>
      </c>
      <c r="G485" s="3">
        <f t="shared" si="49"/>
        <v>-0.1968389999999971</v>
      </c>
      <c r="H485" s="3">
        <f t="shared" si="50"/>
        <v>0.45165799999998058</v>
      </c>
      <c r="I485" s="3">
        <f t="shared" si="53"/>
        <v>-0.25298755753967966</v>
      </c>
      <c r="J485" s="3">
        <f t="shared" si="54"/>
        <v>0.40545558531744091</v>
      </c>
      <c r="K485" s="4">
        <f t="shared" si="51"/>
        <v>-0.21808112594539686</v>
      </c>
      <c r="L485" s="4">
        <f t="shared" si="52"/>
        <v>0.3577408396235095</v>
      </c>
      <c r="M485" s="7">
        <f t="shared" si="55"/>
        <v>-2.7131450134852169</v>
      </c>
    </row>
    <row r="486" spans="4:13" x14ac:dyDescent="0.25">
      <c r="D486" s="1">
        <v>41697</v>
      </c>
      <c r="E486" s="3">
        <v>72.631314000000003</v>
      </c>
      <c r="F486" s="3">
        <v>178.57368500000001</v>
      </c>
      <c r="G486" s="3">
        <f t="shared" si="49"/>
        <v>1.4205029999999965</v>
      </c>
      <c r="H486" s="3">
        <f t="shared" si="50"/>
        <v>0.93217400000000339</v>
      </c>
      <c r="I486" s="3">
        <f t="shared" si="53"/>
        <v>1.364354442460314</v>
      </c>
      <c r="J486" s="3">
        <f t="shared" si="54"/>
        <v>0.88597158531746378</v>
      </c>
      <c r="K486" s="4">
        <f t="shared" si="51"/>
        <v>1.3463311169245493</v>
      </c>
      <c r="L486" s="4">
        <f t="shared" si="52"/>
        <v>0.91659549056438727</v>
      </c>
      <c r="M486" s="7">
        <f t="shared" si="55"/>
        <v>-2.9598488735069335</v>
      </c>
    </row>
    <row r="487" spans="4:13" x14ac:dyDescent="0.25">
      <c r="D487" s="1">
        <v>41696</v>
      </c>
      <c r="E487" s="3">
        <v>71.210811000000007</v>
      </c>
      <c r="F487" s="3">
        <v>177.64151100000001</v>
      </c>
      <c r="G487" s="3">
        <f t="shared" si="49"/>
        <v>-0.64831199999999001</v>
      </c>
      <c r="H487" s="3">
        <f t="shared" si="50"/>
        <v>9.6200000000123964E-3</v>
      </c>
      <c r="I487" s="3">
        <f t="shared" si="53"/>
        <v>-0.70446055753967252</v>
      </c>
      <c r="J487" s="3">
        <f t="shared" si="54"/>
        <v>-3.6582414682527258E-2</v>
      </c>
      <c r="K487" s="4">
        <f t="shared" si="51"/>
        <v>-0.7252306688708029</v>
      </c>
      <c r="L487" s="4">
        <f t="shared" si="52"/>
        <v>-2.30597757615274E-3</v>
      </c>
      <c r="M487" s="7">
        <f t="shared" si="55"/>
        <v>-2.7925225436439947</v>
      </c>
    </row>
    <row r="488" spans="4:13" x14ac:dyDescent="0.25">
      <c r="D488" s="1">
        <v>41695</v>
      </c>
      <c r="E488" s="3">
        <v>71.859122999999997</v>
      </c>
      <c r="F488" s="3">
        <v>177.631891</v>
      </c>
      <c r="G488" s="3">
        <f t="shared" si="49"/>
        <v>-0.75567300000000159</v>
      </c>
      <c r="H488" s="3">
        <f t="shared" si="50"/>
        <v>-6.7276999999990039E-2</v>
      </c>
      <c r="I488" s="3">
        <f t="shared" si="53"/>
        <v>-0.8118215575396841</v>
      </c>
      <c r="J488" s="3">
        <f t="shared" si="54"/>
        <v>-0.1134794146825297</v>
      </c>
      <c r="K488" s="4">
        <f t="shared" si="51"/>
        <v>-0.80515832451183511</v>
      </c>
      <c r="L488" s="4">
        <f t="shared" si="52"/>
        <v>-0.11170630873786347</v>
      </c>
      <c r="M488" s="7">
        <f t="shared" si="55"/>
        <v>-2.8001812499623933</v>
      </c>
    </row>
    <row r="489" spans="4:13" x14ac:dyDescent="0.25">
      <c r="D489" s="1">
        <v>41694</v>
      </c>
      <c r="E489" s="3">
        <v>72.614795999999998</v>
      </c>
      <c r="F489" s="3">
        <v>177.69916799999999</v>
      </c>
      <c r="G489" s="3">
        <f t="shared" si="49"/>
        <v>0.31658799999999587</v>
      </c>
      <c r="H489" s="3">
        <f t="shared" si="50"/>
        <v>0.98022699999998508</v>
      </c>
      <c r="I489" s="3">
        <f t="shared" si="53"/>
        <v>0.26043944246031331</v>
      </c>
      <c r="J489" s="3">
        <f t="shared" si="54"/>
        <v>0.93402458531744548</v>
      </c>
      <c r="K489" s="4">
        <f t="shared" si="51"/>
        <v>0.23822546551353629</v>
      </c>
      <c r="L489" s="4">
        <f t="shared" si="52"/>
        <v>0.96888209405273051</v>
      </c>
      <c r="M489" s="7">
        <f t="shared" si="55"/>
        <v>-2.8296617964671875</v>
      </c>
    </row>
    <row r="490" spans="4:13" x14ac:dyDescent="0.25">
      <c r="D490" s="1">
        <v>41691</v>
      </c>
      <c r="E490" s="3">
        <v>72.298208000000002</v>
      </c>
      <c r="F490" s="3">
        <v>176.718941</v>
      </c>
      <c r="G490" s="3">
        <f t="shared" si="49"/>
        <v>-0.81210799999999495</v>
      </c>
      <c r="H490" s="3">
        <f t="shared" si="50"/>
        <v>-0.20181700000000546</v>
      </c>
      <c r="I490" s="3">
        <f t="shared" si="53"/>
        <v>-0.86825655753967745</v>
      </c>
      <c r="J490" s="3">
        <f t="shared" si="54"/>
        <v>-0.24801941468254513</v>
      </c>
      <c r="K490" s="4">
        <f t="shared" si="51"/>
        <v>-0.89159745835944815</v>
      </c>
      <c r="L490" s="4">
        <f t="shared" si="52"/>
        <v>-0.19357890764081756</v>
      </c>
      <c r="M490" s="7">
        <f t="shared" si="55"/>
        <v>-2.8208854756603734</v>
      </c>
    </row>
    <row r="491" spans="4:13" x14ac:dyDescent="0.25">
      <c r="D491" s="1">
        <v>41690</v>
      </c>
      <c r="E491" s="3">
        <v>73.110315999999997</v>
      </c>
      <c r="F491" s="3">
        <v>176.92075800000001</v>
      </c>
      <c r="G491" s="3">
        <f t="shared" si="49"/>
        <v>-0.85615500000000111</v>
      </c>
      <c r="H491" s="3">
        <f t="shared" si="50"/>
        <v>1.0378860000000145</v>
      </c>
      <c r="I491" s="3">
        <f t="shared" si="53"/>
        <v>-0.91230355753968362</v>
      </c>
      <c r="J491" s="3">
        <f t="shared" si="54"/>
        <v>0.99168358531747491</v>
      </c>
      <c r="K491" s="4">
        <f t="shared" si="51"/>
        <v>-0.94409629786088589</v>
      </c>
      <c r="L491" s="4">
        <f t="shared" si="52"/>
        <v>1.0292855863751726</v>
      </c>
      <c r="M491" s="7">
        <f t="shared" si="55"/>
        <v>-3.567783631335304</v>
      </c>
    </row>
    <row r="492" spans="4:13" x14ac:dyDescent="0.25">
      <c r="D492" s="1">
        <v>41689</v>
      </c>
      <c r="E492" s="3">
        <v>73.966470999999999</v>
      </c>
      <c r="F492" s="3">
        <v>175.88287199999999</v>
      </c>
      <c r="G492" s="3">
        <f t="shared" si="49"/>
        <v>-1.1865039999999993</v>
      </c>
      <c r="H492" s="3">
        <f t="shared" si="50"/>
        <v>-1.1724260000000015</v>
      </c>
      <c r="I492" s="3">
        <f t="shared" si="53"/>
        <v>-1.2426525575396818</v>
      </c>
      <c r="J492" s="3">
        <f t="shared" si="54"/>
        <v>-1.2186284146825412</v>
      </c>
      <c r="K492" s="4">
        <f t="shared" si="51"/>
        <v>-1.2370459419666142</v>
      </c>
      <c r="L492" s="4">
        <f t="shared" si="52"/>
        <v>-1.2259662812381713</v>
      </c>
      <c r="M492" s="7">
        <f t="shared" si="55"/>
        <v>-2.9557549564364387</v>
      </c>
    </row>
    <row r="493" spans="4:13" x14ac:dyDescent="0.25">
      <c r="D493" s="1">
        <v>41688</v>
      </c>
      <c r="E493" s="3">
        <v>75.152974999999998</v>
      </c>
      <c r="F493" s="3">
        <v>177.05529799999999</v>
      </c>
      <c r="G493" s="3">
        <f t="shared" si="49"/>
        <v>0.27528900000000078</v>
      </c>
      <c r="H493" s="3">
        <f t="shared" si="50"/>
        <v>0.21142199999999889</v>
      </c>
      <c r="I493" s="3">
        <f t="shared" si="53"/>
        <v>0.21914044246031825</v>
      </c>
      <c r="J493" s="3">
        <f t="shared" si="54"/>
        <v>0.16521958531745923</v>
      </c>
      <c r="K493" s="4">
        <f t="shared" si="51"/>
        <v>0.21615455452637569</v>
      </c>
      <c r="L493" s="4">
        <f t="shared" si="52"/>
        <v>0.1835297538183433</v>
      </c>
      <c r="M493" s="7">
        <f t="shared" si="55"/>
        <v>-2.642147095859984</v>
      </c>
    </row>
    <row r="494" spans="4:13" x14ac:dyDescent="0.25">
      <c r="D494" s="1">
        <v>41684</v>
      </c>
      <c r="E494" s="3">
        <v>74.877685999999997</v>
      </c>
      <c r="F494" s="3">
        <v>176.84387599999999</v>
      </c>
      <c r="G494" s="3">
        <f t="shared" si="49"/>
        <v>-6.0558000000000334E-2</v>
      </c>
      <c r="H494" s="3">
        <f t="shared" si="50"/>
        <v>0.97062299999998913</v>
      </c>
      <c r="I494" s="3">
        <f t="shared" si="53"/>
        <v>-0.11670655753968287</v>
      </c>
      <c r="J494" s="3">
        <f t="shared" si="54"/>
        <v>0.92442058531744953</v>
      </c>
      <c r="K494" s="4">
        <f t="shared" si="51"/>
        <v>-8.8174318684187583E-2</v>
      </c>
      <c r="L494" s="4">
        <f t="shared" si="52"/>
        <v>0.88731013566865768</v>
      </c>
      <c r="M494" s="7">
        <f t="shared" si="55"/>
        <v>-2.8876619539859449</v>
      </c>
    </row>
    <row r="495" spans="4:13" x14ac:dyDescent="0.25">
      <c r="D495" s="1">
        <v>41683</v>
      </c>
      <c r="E495" s="3">
        <v>74.938243999999997</v>
      </c>
      <c r="F495" s="3">
        <v>175.87325300000001</v>
      </c>
      <c r="G495" s="3">
        <f t="shared" si="49"/>
        <v>1.1713609999999903</v>
      </c>
      <c r="H495" s="3">
        <f t="shared" si="50"/>
        <v>0.90333100000000854</v>
      </c>
      <c r="I495" s="3">
        <f t="shared" si="53"/>
        <v>1.1152124424603078</v>
      </c>
      <c r="J495" s="3">
        <f t="shared" si="54"/>
        <v>0.85712858531746894</v>
      </c>
      <c r="K495" s="4">
        <f t="shared" si="51"/>
        <v>1.1136350366717112</v>
      </c>
      <c r="L495" s="4">
        <f t="shared" si="52"/>
        <v>0.86042763419597235</v>
      </c>
      <c r="M495" s="7">
        <f t="shared" si="55"/>
        <v>-2.860897664155885</v>
      </c>
    </row>
    <row r="496" spans="4:13" x14ac:dyDescent="0.25">
      <c r="D496" s="1">
        <v>41682</v>
      </c>
      <c r="E496" s="3">
        <v>73.766883000000007</v>
      </c>
      <c r="F496" s="3">
        <v>174.969922</v>
      </c>
      <c r="G496" s="3">
        <f t="shared" si="49"/>
        <v>-5.5059999999969023E-3</v>
      </c>
      <c r="H496" s="3">
        <f t="shared" si="50"/>
        <v>8.650199999999586E-2</v>
      </c>
      <c r="I496" s="3">
        <f t="shared" si="53"/>
        <v>-6.1654557539679446E-2</v>
      </c>
      <c r="J496" s="3">
        <f t="shared" si="54"/>
        <v>4.0299585317456206E-2</v>
      </c>
      <c r="K496" s="4">
        <f t="shared" si="51"/>
        <v>-3.8545609441279834E-2</v>
      </c>
      <c r="L496" s="4">
        <f t="shared" si="52"/>
        <v>2.664187575405209E-2</v>
      </c>
      <c r="M496" s="7">
        <f t="shared" si="55"/>
        <v>-2.6343072111165067</v>
      </c>
    </row>
    <row r="497" spans="4:13" x14ac:dyDescent="0.25">
      <c r="D497" s="1">
        <v>41681</v>
      </c>
      <c r="E497" s="3">
        <v>73.772389000000004</v>
      </c>
      <c r="F497" s="3">
        <v>174.88342</v>
      </c>
      <c r="G497" s="3">
        <f t="shared" si="49"/>
        <v>0.95938600000000918</v>
      </c>
      <c r="H497" s="3">
        <f t="shared" si="50"/>
        <v>1.893178000000006</v>
      </c>
      <c r="I497" s="3">
        <f t="shared" si="53"/>
        <v>0.90323744246032667</v>
      </c>
      <c r="J497" s="3">
        <f t="shared" si="54"/>
        <v>1.8469755853174663</v>
      </c>
      <c r="K497" s="4">
        <f t="shared" si="51"/>
        <v>0.93458702937517169</v>
      </c>
      <c r="L497" s="4">
        <f t="shared" si="52"/>
        <v>1.7966576654521278</v>
      </c>
      <c r="M497" s="7">
        <f t="shared" si="55"/>
        <v>-3.183226837079173</v>
      </c>
    </row>
    <row r="498" spans="4:13" x14ac:dyDescent="0.25">
      <c r="D498" s="1">
        <v>41680</v>
      </c>
      <c r="E498" s="3">
        <v>72.813002999999995</v>
      </c>
      <c r="F498" s="3">
        <v>172.99024199999999</v>
      </c>
      <c r="G498" s="3">
        <f t="shared" si="49"/>
        <v>1.2814799999999877</v>
      </c>
      <c r="H498" s="3">
        <f t="shared" si="50"/>
        <v>0.31713299999998412</v>
      </c>
      <c r="I498" s="3">
        <f t="shared" si="53"/>
        <v>1.2253314424603052</v>
      </c>
      <c r="J498" s="3">
        <f t="shared" si="54"/>
        <v>0.27093058531744446</v>
      </c>
      <c r="K498" s="4">
        <f t="shared" si="51"/>
        <v>1.2491447339696866</v>
      </c>
      <c r="L498" s="4">
        <f t="shared" si="52"/>
        <v>0.25920002490904187</v>
      </c>
      <c r="M498" s="7">
        <f t="shared" si="55"/>
        <v>-3.0053460840988837</v>
      </c>
    </row>
    <row r="499" spans="4:13" x14ac:dyDescent="0.25">
      <c r="D499" s="1">
        <v>41677</v>
      </c>
      <c r="E499" s="3">
        <v>71.531523000000007</v>
      </c>
      <c r="F499" s="3">
        <v>172.67310900000001</v>
      </c>
      <c r="G499" s="3">
        <f t="shared" si="49"/>
        <v>0.9869160000000079</v>
      </c>
      <c r="H499" s="3">
        <f t="shared" si="50"/>
        <v>2.1142040000000009</v>
      </c>
      <c r="I499" s="3">
        <f t="shared" si="53"/>
        <v>0.93076744246032539</v>
      </c>
      <c r="J499" s="3">
        <f t="shared" si="54"/>
        <v>2.0680015853174614</v>
      </c>
      <c r="K499" s="4">
        <f t="shared" si="51"/>
        <v>0.93978988052317081</v>
      </c>
      <c r="L499" s="4">
        <f t="shared" si="52"/>
        <v>2.0833334577075475</v>
      </c>
      <c r="M499" s="7">
        <f t="shared" si="55"/>
        <v>-3.39647921840398</v>
      </c>
    </row>
    <row r="500" spans="4:13" x14ac:dyDescent="0.25">
      <c r="D500" s="1">
        <v>41676</v>
      </c>
      <c r="E500" s="3">
        <v>70.544606999999999</v>
      </c>
      <c r="F500" s="3">
        <v>170.55890500000001</v>
      </c>
      <c r="G500" s="3">
        <f t="shared" si="49"/>
        <v>0.40879999999999939</v>
      </c>
      <c r="H500" s="3">
        <f t="shared" si="50"/>
        <v>2.219916000000012</v>
      </c>
      <c r="I500" s="3">
        <f t="shared" si="53"/>
        <v>0.35265144246031682</v>
      </c>
      <c r="J500" s="3">
        <f t="shared" si="54"/>
        <v>2.1737135853174725</v>
      </c>
      <c r="K500" s="4">
        <f t="shared" si="51"/>
        <v>0.36451727368212627</v>
      </c>
      <c r="L500" s="4">
        <f t="shared" si="52"/>
        <v>2.1495445284124268</v>
      </c>
      <c r="M500" s="7">
        <f t="shared" si="55"/>
        <v>-3.6874155051148474</v>
      </c>
    </row>
    <row r="501" spans="4:13" x14ac:dyDescent="0.25">
      <c r="D501" s="1">
        <v>41675</v>
      </c>
      <c r="E501" s="3">
        <v>70.135807</v>
      </c>
      <c r="F501" s="3">
        <v>168.338989</v>
      </c>
      <c r="G501" s="3">
        <f t="shared" si="49"/>
        <v>0.51993699999999876</v>
      </c>
      <c r="H501" s="3">
        <f t="shared" si="50"/>
        <v>-0.21142199999999889</v>
      </c>
      <c r="I501" s="3">
        <f t="shared" si="53"/>
        <v>0.4637884424603162</v>
      </c>
      <c r="J501" s="3">
        <f t="shared" si="54"/>
        <v>-0.25762441468253855</v>
      </c>
      <c r="K501" s="4">
        <f t="shared" si="51"/>
        <v>0.48776670332363886</v>
      </c>
      <c r="L501" s="4">
        <f t="shared" si="52"/>
        <v>-0.28303751650708325</v>
      </c>
      <c r="M501" s="7">
        <f t="shared" si="55"/>
        <v>-2.7799478940826035</v>
      </c>
    </row>
    <row r="502" spans="4:13" x14ac:dyDescent="0.25">
      <c r="D502" s="1">
        <v>41674</v>
      </c>
      <c r="E502" s="3">
        <v>69.615870000000001</v>
      </c>
      <c r="F502" s="3">
        <v>168.550411</v>
      </c>
      <c r="G502" s="3">
        <f t="shared" si="49"/>
        <v>0.99336399999999969</v>
      </c>
      <c r="H502" s="3">
        <f t="shared" si="50"/>
        <v>1.1724260000000015</v>
      </c>
      <c r="I502" s="3">
        <f t="shared" si="53"/>
        <v>0.93721544246031718</v>
      </c>
      <c r="J502" s="3">
        <f t="shared" si="54"/>
        <v>1.1262235853174618</v>
      </c>
      <c r="K502" s="4">
        <f t="shared" si="51"/>
        <v>0.93903454280569409</v>
      </c>
      <c r="L502" s="4">
        <f t="shared" si="52"/>
        <v>1.0676023942233519</v>
      </c>
      <c r="M502" s="7">
        <f t="shared" si="55"/>
        <v>-2.8483633987532748</v>
      </c>
    </row>
    <row r="503" spans="4:13" x14ac:dyDescent="0.25">
      <c r="D503" s="1">
        <v>41673</v>
      </c>
      <c r="E503" s="3">
        <v>68.622506000000001</v>
      </c>
      <c r="F503" s="3">
        <v>167.377985</v>
      </c>
      <c r="G503" s="3">
        <f t="shared" si="49"/>
        <v>0.12725000000000364</v>
      </c>
      <c r="H503" s="3">
        <f t="shared" si="50"/>
        <v>-3.853619000000009</v>
      </c>
      <c r="I503" s="3">
        <f t="shared" si="53"/>
        <v>7.1101442460321101E-2</v>
      </c>
      <c r="J503" s="3">
        <f t="shared" si="54"/>
        <v>-3.8998214146825485</v>
      </c>
      <c r="K503" s="4">
        <f t="shared" si="51"/>
        <v>7.2535392580164962E-2</v>
      </c>
      <c r="L503" s="4">
        <f t="shared" si="52"/>
        <v>-3.9173111109017764</v>
      </c>
      <c r="M503" s="7">
        <f t="shared" si="55"/>
        <v>-7.0824574395021687</v>
      </c>
    </row>
    <row r="504" spans="4:13" x14ac:dyDescent="0.25">
      <c r="D504" s="1">
        <v>41670</v>
      </c>
      <c r="E504" s="3">
        <v>68.495255999999998</v>
      </c>
      <c r="F504" s="3">
        <v>171.231604</v>
      </c>
      <c r="G504" s="3">
        <f t="shared" si="49"/>
        <v>0.1121959999999973</v>
      </c>
      <c r="H504" s="3">
        <f t="shared" si="50"/>
        <v>-1.0090569999999843</v>
      </c>
      <c r="I504" s="3">
        <f t="shared" si="53"/>
        <v>5.6047442460314754E-2</v>
      </c>
      <c r="J504" s="3">
        <f t="shared" si="54"/>
        <v>-1.055259414682524</v>
      </c>
      <c r="K504" s="4">
        <f>I504-A$11*I505</f>
        <v>5.1215243510989092E-2</v>
      </c>
      <c r="L504" s="4">
        <f>J504-A$12*I505-B$12*J505</f>
        <v>-1.0218653459222582</v>
      </c>
      <c r="M504" s="7">
        <f t="shared" si="55"/>
        <v>-2.9490707832793217</v>
      </c>
    </row>
    <row r="505" spans="4:13" x14ac:dyDescent="0.25">
      <c r="D505" s="1">
        <v>41669</v>
      </c>
      <c r="E505" s="3">
        <v>68.38306</v>
      </c>
      <c r="F505" s="3">
        <v>172.24066099999999</v>
      </c>
      <c r="G505" s="3">
        <f t="shared" ref="G505" si="56">E505-E506</f>
        <v>-0.13272299999999859</v>
      </c>
      <c r="H505" s="3">
        <f t="shared" ref="H505" si="57">F505-F506</f>
        <v>1.8066769999999792</v>
      </c>
      <c r="I505" s="3">
        <f t="shared" si="53"/>
        <v>-0.18887155753968113</v>
      </c>
      <c r="J505" s="3">
        <f t="shared" si="54"/>
        <v>1.7604745853174395</v>
      </c>
    </row>
    <row r="506" spans="4:13" x14ac:dyDescent="0.25">
      <c r="D506" s="1">
        <v>41668</v>
      </c>
      <c r="E506" s="2">
        <v>68.515782999999999</v>
      </c>
      <c r="F506" s="2">
        <v>170.43398400000001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2"/>
  <sheetViews>
    <sheetView workbookViewId="0">
      <selection activeCell="A6" sqref="A6"/>
    </sheetView>
  </sheetViews>
  <sheetFormatPr defaultRowHeight="15" x14ac:dyDescent="0.25"/>
  <cols>
    <col min="1" max="1" width="39.42578125" customWidth="1"/>
    <col min="2" max="2" width="10.85546875" bestFit="1" customWidth="1"/>
  </cols>
  <sheetData>
    <row r="1" spans="1:2" x14ac:dyDescent="0.25">
      <c r="A1" s="10"/>
    </row>
    <row r="3" spans="1:2" x14ac:dyDescent="0.25">
      <c r="B3" s="4"/>
    </row>
    <row r="4" spans="1:2" x14ac:dyDescent="0.25">
      <c r="B4" s="4"/>
    </row>
    <row r="5" spans="1:2" x14ac:dyDescent="0.25">
      <c r="B5" s="4"/>
    </row>
    <row r="6" spans="1:2" x14ac:dyDescent="0.25">
      <c r="B6" s="4"/>
    </row>
    <row r="7" spans="1:2" x14ac:dyDescent="0.25">
      <c r="B7" s="4"/>
    </row>
    <row r="8" spans="1:2" x14ac:dyDescent="0.25">
      <c r="B8" s="4"/>
    </row>
    <row r="9" spans="1:2" x14ac:dyDescent="0.25">
      <c r="B9" s="4"/>
    </row>
    <row r="10" spans="1:2" x14ac:dyDescent="0.25">
      <c r="B10" s="4"/>
    </row>
    <row r="11" spans="1:2" x14ac:dyDescent="0.25">
      <c r="B11" s="4"/>
    </row>
    <row r="12" spans="1:2" x14ac:dyDescent="0.25">
      <c r="B12" s="4"/>
    </row>
    <row r="13" spans="1:2" x14ac:dyDescent="0.25">
      <c r="B13" s="4"/>
    </row>
    <row r="14" spans="1:2" x14ac:dyDescent="0.25">
      <c r="B14" s="4"/>
    </row>
    <row r="15" spans="1:2" x14ac:dyDescent="0.25">
      <c r="B15" s="4"/>
    </row>
    <row r="16" spans="1:2" x14ac:dyDescent="0.25">
      <c r="B16" s="4"/>
    </row>
    <row r="17" spans="2:2" x14ac:dyDescent="0.25">
      <c r="B17" s="4"/>
    </row>
    <row r="18" spans="2:2" x14ac:dyDescent="0.25">
      <c r="B18" s="4"/>
    </row>
    <row r="19" spans="2:2" x14ac:dyDescent="0.25">
      <c r="B19" s="4"/>
    </row>
    <row r="20" spans="2:2" x14ac:dyDescent="0.25">
      <c r="B20" s="4"/>
    </row>
    <row r="21" spans="2:2" x14ac:dyDescent="0.25">
      <c r="B21" s="4"/>
    </row>
    <row r="22" spans="2:2" x14ac:dyDescent="0.25">
      <c r="B22" s="4"/>
    </row>
    <row r="23" spans="2:2" x14ac:dyDescent="0.25">
      <c r="B23" s="4"/>
    </row>
    <row r="24" spans="2:2" x14ac:dyDescent="0.25">
      <c r="B24" s="4"/>
    </row>
    <row r="25" spans="2:2" x14ac:dyDescent="0.25">
      <c r="B25" s="4"/>
    </row>
    <row r="26" spans="2:2" x14ac:dyDescent="0.25">
      <c r="B26" s="14"/>
    </row>
    <row r="27" spans="2:2" x14ac:dyDescent="0.25">
      <c r="B27" s="4"/>
    </row>
    <row r="28" spans="2:2" x14ac:dyDescent="0.25">
      <c r="B28" s="4"/>
    </row>
    <row r="30" spans="2:2" x14ac:dyDescent="0.25">
      <c r="B30" s="7"/>
    </row>
    <row r="31" spans="2:2" x14ac:dyDescent="0.25">
      <c r="B31" s="4"/>
    </row>
    <row r="32" spans="2:2" x14ac:dyDescent="0.25">
      <c r="B3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 DeMeo</dc:creator>
  <cp:lastModifiedBy>Roy DeMeo</cp:lastModifiedBy>
  <dcterms:created xsi:type="dcterms:W3CDTF">2015-02-01T19:25:23Z</dcterms:created>
  <dcterms:modified xsi:type="dcterms:W3CDTF">2016-03-29T01:29:01Z</dcterms:modified>
</cp:coreProperties>
</file>